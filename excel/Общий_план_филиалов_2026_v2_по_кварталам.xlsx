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"/>
    </mc:Choice>
  </mc:AlternateContent>
  <xr:revisionPtr revIDLastSave="0" documentId="13_ncr:1_{25F77F59-073A-4327-B1D9-4EAAC2CF2E1B}" xr6:coauthVersionLast="47" xr6:coauthVersionMax="47" xr10:uidLastSave="{00000000-0000-0000-0000-000000000000}"/>
  <bookViews>
    <workbookView xWindow="-120" yWindow="-120" windowWidth="29040" windowHeight="15840" activeTab="2" xr2:uid="{3D366342-D1D8-4DCB-BCCC-F3665462F2B3}"/>
  </bookViews>
  <sheets>
    <sheet name="Лист1" sheetId="1" r:id="rId1"/>
    <sheet name="Лист2" sheetId="2" r:id="rId2"/>
    <sheet name="Загрузка" sheetId="3" r:id="rId3"/>
  </sheets>
  <definedNames>
    <definedName name="_xlnm._FilterDatabase" localSheetId="0" hidden="1">Лист1!$A$19:$I$191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0" i="1" l="1"/>
  <c r="JU14" i="1"/>
  <c r="JU13" i="1"/>
  <c r="JU12" i="1"/>
  <c r="JU11" i="1"/>
  <c r="JU10" i="1"/>
  <c r="JU9" i="1"/>
  <c r="JU8" i="1"/>
  <c r="JU7" i="1"/>
  <c r="JU6" i="1"/>
  <c r="JU5" i="1"/>
  <c r="JU4" i="1"/>
  <c r="JU3" i="1"/>
  <c r="JT14" i="1"/>
  <c r="JT13" i="1"/>
  <c r="JT12" i="1"/>
  <c r="JT11" i="1"/>
  <c r="JT10" i="1"/>
  <c r="JT9" i="1"/>
  <c r="JT7" i="1"/>
  <c r="JT8" i="1" s="1"/>
  <c r="JT6" i="1"/>
  <c r="JT5" i="1"/>
  <c r="JT3" i="1"/>
  <c r="JT89" i="1"/>
  <c r="JU89" i="1" s="1"/>
  <c r="JT90" i="1"/>
  <c r="JU90" i="1"/>
  <c r="JT91" i="1"/>
  <c r="JU91" i="1" s="1"/>
  <c r="JT92" i="1"/>
  <c r="JU92" i="1"/>
  <c r="JT93" i="1"/>
  <c r="JU93" i="1" s="1"/>
  <c r="JT94" i="1"/>
  <c r="JU94" i="1"/>
  <c r="JT95" i="1"/>
  <c r="JU95" i="1" s="1"/>
  <c r="JT96" i="1"/>
  <c r="JU96" i="1"/>
  <c r="JT97" i="1"/>
  <c r="JU97" i="1" s="1"/>
  <c r="JT98" i="1"/>
  <c r="JU98" i="1"/>
  <c r="JT99" i="1"/>
  <c r="JU99" i="1" s="1"/>
  <c r="JT100" i="1"/>
  <c r="JU100" i="1"/>
  <c r="JT101" i="1"/>
  <c r="JU101" i="1" s="1"/>
  <c r="JT102" i="1"/>
  <c r="JU102" i="1"/>
  <c r="JT103" i="1"/>
  <c r="JU103" i="1" s="1"/>
  <c r="JT104" i="1"/>
  <c r="JU104" i="1"/>
  <c r="JT105" i="1"/>
  <c r="JU105" i="1" s="1"/>
  <c r="JT106" i="1"/>
  <c r="JU106" i="1"/>
  <c r="JT107" i="1"/>
  <c r="JU107" i="1" s="1"/>
  <c r="JT108" i="1"/>
  <c r="JU108" i="1"/>
  <c r="JT109" i="1"/>
  <c r="JU109" i="1" s="1"/>
  <c r="JT110" i="1"/>
  <c r="JU110" i="1"/>
  <c r="JT111" i="1"/>
  <c r="JU111" i="1" s="1"/>
  <c r="JT112" i="1"/>
  <c r="JU112" i="1"/>
  <c r="JT113" i="1"/>
  <c r="JU113" i="1" s="1"/>
  <c r="JT114" i="1"/>
  <c r="JU114" i="1"/>
  <c r="JT115" i="1"/>
  <c r="JU115" i="1" s="1"/>
  <c r="JT116" i="1"/>
  <c r="JU116" i="1"/>
  <c r="JT117" i="1"/>
  <c r="JU117" i="1" s="1"/>
  <c r="JT118" i="1"/>
  <c r="JU118" i="1"/>
  <c r="JT119" i="1"/>
  <c r="JU119" i="1" s="1"/>
  <c r="JT120" i="1"/>
  <c r="JU120" i="1"/>
  <c r="JT121" i="1"/>
  <c r="JU121" i="1" s="1"/>
  <c r="JT122" i="1"/>
  <c r="JU122" i="1"/>
  <c r="JT123" i="1"/>
  <c r="JU123" i="1" s="1"/>
  <c r="JT124" i="1"/>
  <c r="JU124" i="1"/>
  <c r="JT125" i="1"/>
  <c r="JU125" i="1" s="1"/>
  <c r="JT126" i="1"/>
  <c r="JU126" i="1"/>
  <c r="JT127" i="1"/>
  <c r="JU127" i="1" s="1"/>
  <c r="JT128" i="1"/>
  <c r="JU128" i="1"/>
  <c r="JT129" i="1"/>
  <c r="JU129" i="1" s="1"/>
  <c r="JT130" i="1"/>
  <c r="JU130" i="1"/>
  <c r="JT131" i="1"/>
  <c r="JU131" i="1" s="1"/>
  <c r="JT132" i="1"/>
  <c r="JU132" i="1"/>
  <c r="JT133" i="1"/>
  <c r="JU133" i="1" s="1"/>
  <c r="JT134" i="1"/>
  <c r="JU134" i="1"/>
  <c r="JT135" i="1"/>
  <c r="JU135" i="1" s="1"/>
  <c r="JT136" i="1"/>
  <c r="JU136" i="1"/>
  <c r="JT137" i="1"/>
  <c r="JU137" i="1" s="1"/>
  <c r="JT138" i="1"/>
  <c r="JU138" i="1"/>
  <c r="JT139" i="1"/>
  <c r="JU139" i="1" s="1"/>
  <c r="JT140" i="1"/>
  <c r="JU140" i="1"/>
  <c r="JT141" i="1"/>
  <c r="JU141" i="1" s="1"/>
  <c r="JT142" i="1"/>
  <c r="JU142" i="1"/>
  <c r="JT143" i="1"/>
  <c r="JU143" i="1" s="1"/>
  <c r="JT144" i="1"/>
  <c r="JU144" i="1"/>
  <c r="JT145" i="1"/>
  <c r="JU145" i="1" s="1"/>
  <c r="JT146" i="1"/>
  <c r="JU146" i="1"/>
  <c r="JT147" i="1"/>
  <c r="JU147" i="1" s="1"/>
  <c r="JT148" i="1"/>
  <c r="JU148" i="1"/>
  <c r="JT149" i="1"/>
  <c r="JU149" i="1" s="1"/>
  <c r="JT150" i="1"/>
  <c r="JU150" i="1"/>
  <c r="JT151" i="1"/>
  <c r="JU151" i="1" s="1"/>
  <c r="JT152" i="1"/>
  <c r="JU152" i="1"/>
  <c r="JT153" i="1"/>
  <c r="JU153" i="1" s="1"/>
  <c r="JT154" i="1"/>
  <c r="JU154" i="1"/>
  <c r="JT155" i="1"/>
  <c r="JU155" i="1" s="1"/>
  <c r="JT156" i="1"/>
  <c r="JU156" i="1"/>
  <c r="JT157" i="1"/>
  <c r="JU157" i="1" s="1"/>
  <c r="JT158" i="1"/>
  <c r="JU158" i="1"/>
  <c r="JT159" i="1"/>
  <c r="JU159" i="1" s="1"/>
  <c r="JT160" i="1"/>
  <c r="JU160" i="1"/>
  <c r="JT161" i="1"/>
  <c r="JU161" i="1" s="1"/>
  <c r="JT162" i="1"/>
  <c r="JU162" i="1"/>
  <c r="JT163" i="1"/>
  <c r="JU163" i="1" s="1"/>
  <c r="JT164" i="1"/>
  <c r="JU164" i="1"/>
  <c r="JT165" i="1"/>
  <c r="JU165" i="1" s="1"/>
  <c r="JT166" i="1"/>
  <c r="JU166" i="1"/>
  <c r="JT167" i="1"/>
  <c r="JU167" i="1" s="1"/>
  <c r="JT168" i="1"/>
  <c r="JU168" i="1"/>
  <c r="JT169" i="1"/>
  <c r="JU169" i="1" s="1"/>
  <c r="JT170" i="1"/>
  <c r="JU170" i="1"/>
  <c r="JT171" i="1"/>
  <c r="JU171" i="1" s="1"/>
  <c r="JT172" i="1"/>
  <c r="JU172" i="1"/>
  <c r="JT173" i="1"/>
  <c r="JU173" i="1" s="1"/>
  <c r="JT174" i="1"/>
  <c r="JU174" i="1"/>
  <c r="JT175" i="1"/>
  <c r="JU175" i="1" s="1"/>
  <c r="JT176" i="1"/>
  <c r="JU176" i="1"/>
  <c r="JT177" i="1"/>
  <c r="JU177" i="1" s="1"/>
  <c r="JT178" i="1"/>
  <c r="JU178" i="1"/>
  <c r="JT179" i="1"/>
  <c r="JU179" i="1" s="1"/>
  <c r="JT180" i="1"/>
  <c r="JU180" i="1"/>
  <c r="JT181" i="1"/>
  <c r="JU181" i="1" s="1"/>
  <c r="JT182" i="1"/>
  <c r="JU182" i="1"/>
  <c r="JT183" i="1"/>
  <c r="JU183" i="1" s="1"/>
  <c r="JT184" i="1"/>
  <c r="JU184" i="1"/>
  <c r="JT185" i="1"/>
  <c r="JU185" i="1" s="1"/>
  <c r="JT186" i="1"/>
  <c r="JU186" i="1"/>
  <c r="JT187" i="1"/>
  <c r="JU187" i="1" s="1"/>
  <c r="JT188" i="1"/>
  <c r="JU188" i="1"/>
  <c r="JT189" i="1"/>
  <c r="JU189" i="1" s="1"/>
  <c r="JT190" i="1"/>
  <c r="JU190" i="1"/>
  <c r="JT191" i="1"/>
  <c r="JU191" i="1" s="1"/>
  <c r="JT21" i="1"/>
  <c r="JU21" i="1" s="1"/>
  <c r="JT22" i="1"/>
  <c r="JU22" i="1"/>
  <c r="JT23" i="1"/>
  <c r="JU23" i="1" s="1"/>
  <c r="JT24" i="1"/>
  <c r="JU24" i="1"/>
  <c r="JT25" i="1"/>
  <c r="JU25" i="1" s="1"/>
  <c r="JT26" i="1"/>
  <c r="JU26" i="1"/>
  <c r="JT27" i="1"/>
  <c r="JU27" i="1" s="1"/>
  <c r="JT28" i="1"/>
  <c r="JU28" i="1"/>
  <c r="JT29" i="1"/>
  <c r="JU29" i="1" s="1"/>
  <c r="JT30" i="1"/>
  <c r="JU30" i="1"/>
  <c r="JT31" i="1"/>
  <c r="JU31" i="1" s="1"/>
  <c r="JT32" i="1"/>
  <c r="JU32" i="1"/>
  <c r="JT33" i="1"/>
  <c r="JU33" i="1" s="1"/>
  <c r="JT34" i="1"/>
  <c r="JU34" i="1"/>
  <c r="JT35" i="1"/>
  <c r="JU35" i="1" s="1"/>
  <c r="JT36" i="1"/>
  <c r="JU36" i="1"/>
  <c r="JT37" i="1"/>
  <c r="JU37" i="1" s="1"/>
  <c r="JT38" i="1"/>
  <c r="JU38" i="1"/>
  <c r="JT39" i="1"/>
  <c r="JU39" i="1" s="1"/>
  <c r="JT40" i="1"/>
  <c r="JU40" i="1"/>
  <c r="JT41" i="1"/>
  <c r="JU41" i="1" s="1"/>
  <c r="JT42" i="1"/>
  <c r="JU42" i="1"/>
  <c r="JT43" i="1"/>
  <c r="JU43" i="1" s="1"/>
  <c r="JT44" i="1"/>
  <c r="JU44" i="1"/>
  <c r="JT45" i="1"/>
  <c r="JU45" i="1" s="1"/>
  <c r="JT46" i="1"/>
  <c r="JU46" i="1"/>
  <c r="JT47" i="1"/>
  <c r="JU47" i="1" s="1"/>
  <c r="JT48" i="1"/>
  <c r="JU48" i="1"/>
  <c r="JT49" i="1"/>
  <c r="JU49" i="1" s="1"/>
  <c r="JT50" i="1"/>
  <c r="JU50" i="1"/>
  <c r="JT51" i="1"/>
  <c r="JU51" i="1" s="1"/>
  <c r="JT52" i="1"/>
  <c r="JU52" i="1"/>
  <c r="JT53" i="1"/>
  <c r="JU53" i="1" s="1"/>
  <c r="JT54" i="1"/>
  <c r="JU54" i="1"/>
  <c r="JT55" i="1"/>
  <c r="JU55" i="1" s="1"/>
  <c r="JT56" i="1"/>
  <c r="JU56" i="1"/>
  <c r="JT57" i="1"/>
  <c r="JU57" i="1" s="1"/>
  <c r="JT58" i="1"/>
  <c r="JU58" i="1"/>
  <c r="JT59" i="1"/>
  <c r="JU59" i="1" s="1"/>
  <c r="JT60" i="1"/>
  <c r="JU60" i="1"/>
  <c r="JT61" i="1"/>
  <c r="JU61" i="1" s="1"/>
  <c r="JT62" i="1"/>
  <c r="JU62" i="1"/>
  <c r="JT63" i="1"/>
  <c r="JU63" i="1" s="1"/>
  <c r="JT64" i="1"/>
  <c r="JU64" i="1"/>
  <c r="JT65" i="1"/>
  <c r="JU65" i="1" s="1"/>
  <c r="JT66" i="1"/>
  <c r="JU66" i="1"/>
  <c r="JT67" i="1"/>
  <c r="JU67" i="1" s="1"/>
  <c r="JT68" i="1"/>
  <c r="JU68" i="1"/>
  <c r="JT69" i="1"/>
  <c r="JU69" i="1" s="1"/>
  <c r="JT70" i="1"/>
  <c r="JU70" i="1"/>
  <c r="JT71" i="1"/>
  <c r="JU71" i="1" s="1"/>
  <c r="JT72" i="1"/>
  <c r="JU72" i="1"/>
  <c r="JT73" i="1"/>
  <c r="JU73" i="1" s="1"/>
  <c r="JT74" i="1"/>
  <c r="JU74" i="1"/>
  <c r="JT75" i="1"/>
  <c r="JU75" i="1" s="1"/>
  <c r="JT76" i="1"/>
  <c r="JU76" i="1"/>
  <c r="JT77" i="1"/>
  <c r="JU77" i="1" s="1"/>
  <c r="JT78" i="1"/>
  <c r="JU78" i="1"/>
  <c r="JT79" i="1"/>
  <c r="JU79" i="1" s="1"/>
  <c r="JT80" i="1"/>
  <c r="JU80" i="1"/>
  <c r="JT81" i="1"/>
  <c r="JU81" i="1" s="1"/>
  <c r="JT82" i="1"/>
  <c r="JU82" i="1"/>
  <c r="JT83" i="1"/>
  <c r="JU83" i="1" s="1"/>
  <c r="JT84" i="1"/>
  <c r="JU84" i="1"/>
  <c r="JT85" i="1"/>
  <c r="JU85" i="1" s="1"/>
  <c r="JT86" i="1"/>
  <c r="JU86" i="1"/>
  <c r="JT87" i="1"/>
  <c r="JU87" i="1" s="1"/>
  <c r="JT88" i="1"/>
  <c r="JU88" i="1"/>
  <c r="JU20" i="1"/>
  <c r="JT20" i="1"/>
  <c r="JR21" i="1"/>
  <c r="JR22" i="1"/>
  <c r="JR23" i="1"/>
  <c r="JR24" i="1"/>
  <c r="JR25" i="1"/>
  <c r="JR26" i="1"/>
  <c r="JR27" i="1"/>
  <c r="JR28" i="1"/>
  <c r="JR29" i="1"/>
  <c r="JR30" i="1"/>
  <c r="JR31" i="1"/>
  <c r="JR32" i="1"/>
  <c r="JR33" i="1"/>
  <c r="JR34" i="1"/>
  <c r="JR35" i="1"/>
  <c r="JR36" i="1"/>
  <c r="JR37" i="1"/>
  <c r="JR38" i="1"/>
  <c r="JR39" i="1"/>
  <c r="JR40" i="1"/>
  <c r="JR41" i="1"/>
  <c r="JR42" i="1"/>
  <c r="JR43" i="1"/>
  <c r="JR44" i="1"/>
  <c r="JR45" i="1"/>
  <c r="JR46" i="1"/>
  <c r="JR47" i="1"/>
  <c r="JR48" i="1"/>
  <c r="JR49" i="1"/>
  <c r="JR50" i="1"/>
  <c r="JR51" i="1"/>
  <c r="JR52" i="1"/>
  <c r="JR53" i="1"/>
  <c r="JR54" i="1"/>
  <c r="JR55" i="1"/>
  <c r="JR56" i="1"/>
  <c r="JR57" i="1"/>
  <c r="JR58" i="1"/>
  <c r="JR59" i="1"/>
  <c r="JR60" i="1"/>
  <c r="JR61" i="1"/>
  <c r="JR62" i="1"/>
  <c r="JR63" i="1"/>
  <c r="JR64" i="1"/>
  <c r="JR65" i="1"/>
  <c r="JR66" i="1"/>
  <c r="JR67" i="1"/>
  <c r="JR68" i="1"/>
  <c r="JR69" i="1"/>
  <c r="JR70" i="1"/>
  <c r="JR71" i="1"/>
  <c r="JR72" i="1"/>
  <c r="JR73" i="1"/>
  <c r="JR74" i="1"/>
  <c r="JR75" i="1"/>
  <c r="JR76" i="1"/>
  <c r="JR77" i="1"/>
  <c r="JR78" i="1"/>
  <c r="JR79" i="1"/>
  <c r="JR80" i="1"/>
  <c r="JR81" i="1"/>
  <c r="JR82" i="1"/>
  <c r="JR83" i="1"/>
  <c r="JR84" i="1"/>
  <c r="JR85" i="1"/>
  <c r="JR86" i="1"/>
  <c r="JR87" i="1"/>
  <c r="JR88" i="1"/>
  <c r="JR89" i="1"/>
  <c r="JR90" i="1"/>
  <c r="JR91" i="1"/>
  <c r="JR92" i="1"/>
  <c r="JR93" i="1"/>
  <c r="JR94" i="1"/>
  <c r="JR95" i="1"/>
  <c r="JR96" i="1"/>
  <c r="JR97" i="1"/>
  <c r="JR98" i="1"/>
  <c r="JR99" i="1"/>
  <c r="JR100" i="1"/>
  <c r="JR101" i="1"/>
  <c r="JR102" i="1"/>
  <c r="JR103" i="1"/>
  <c r="JR104" i="1"/>
  <c r="JR105" i="1"/>
  <c r="JR106" i="1"/>
  <c r="JR107" i="1"/>
  <c r="JR108" i="1"/>
  <c r="JR109" i="1"/>
  <c r="JR110" i="1"/>
  <c r="JR111" i="1"/>
  <c r="JR112" i="1"/>
  <c r="JR113" i="1"/>
  <c r="JR114" i="1"/>
  <c r="JR115" i="1"/>
  <c r="JR116" i="1"/>
  <c r="JR117" i="1"/>
  <c r="JR118" i="1"/>
  <c r="JR119" i="1"/>
  <c r="JR120" i="1"/>
  <c r="JR121" i="1"/>
  <c r="JR122" i="1"/>
  <c r="JR123" i="1"/>
  <c r="JR124" i="1"/>
  <c r="JR125" i="1"/>
  <c r="JR126" i="1"/>
  <c r="JR127" i="1"/>
  <c r="JR128" i="1"/>
  <c r="JR129" i="1"/>
  <c r="JR130" i="1"/>
  <c r="JR131" i="1"/>
  <c r="JR132" i="1"/>
  <c r="JR133" i="1"/>
  <c r="JR134" i="1"/>
  <c r="JR135" i="1"/>
  <c r="JR136" i="1"/>
  <c r="JR137" i="1"/>
  <c r="JR138" i="1"/>
  <c r="JR139" i="1"/>
  <c r="JR140" i="1"/>
  <c r="JR141" i="1"/>
  <c r="JR142" i="1"/>
  <c r="JR143" i="1"/>
  <c r="JR144" i="1"/>
  <c r="JR145" i="1"/>
  <c r="JR146" i="1"/>
  <c r="JR147" i="1"/>
  <c r="JR148" i="1"/>
  <c r="JR149" i="1"/>
  <c r="JR150" i="1"/>
  <c r="JR151" i="1"/>
  <c r="JR152" i="1"/>
  <c r="JR153" i="1"/>
  <c r="JR154" i="1"/>
  <c r="JR155" i="1"/>
  <c r="JR156" i="1"/>
  <c r="JR157" i="1"/>
  <c r="JR158" i="1"/>
  <c r="JR159" i="1"/>
  <c r="JR160" i="1"/>
  <c r="JR161" i="1"/>
  <c r="JR162" i="1"/>
  <c r="JR163" i="1"/>
  <c r="JR164" i="1"/>
  <c r="JR165" i="1"/>
  <c r="JR166" i="1"/>
  <c r="JR167" i="1"/>
  <c r="JR168" i="1"/>
  <c r="JR169" i="1"/>
  <c r="JR170" i="1"/>
  <c r="JR171" i="1"/>
  <c r="JR172" i="1"/>
  <c r="JR173" i="1"/>
  <c r="JR174" i="1"/>
  <c r="JR175" i="1"/>
  <c r="JR176" i="1"/>
  <c r="JR177" i="1"/>
  <c r="JR178" i="1"/>
  <c r="JR179" i="1"/>
  <c r="JR180" i="1"/>
  <c r="JR181" i="1"/>
  <c r="JR182" i="1"/>
  <c r="JR183" i="1"/>
  <c r="JR184" i="1"/>
  <c r="JR185" i="1"/>
  <c r="JR186" i="1"/>
  <c r="JR187" i="1"/>
  <c r="JR188" i="1"/>
  <c r="JR189" i="1"/>
  <c r="JR190" i="1"/>
  <c r="JR191" i="1"/>
  <c r="JR20" i="1"/>
  <c r="JQ21" i="1"/>
  <c r="JQ22" i="1"/>
  <c r="JQ23" i="1"/>
  <c r="JQ24" i="1"/>
  <c r="JQ25" i="1"/>
  <c r="JQ26" i="1"/>
  <c r="JQ27" i="1"/>
  <c r="JQ28" i="1"/>
  <c r="JQ29" i="1"/>
  <c r="JQ30" i="1"/>
  <c r="JQ31" i="1"/>
  <c r="JQ32" i="1"/>
  <c r="JQ33" i="1"/>
  <c r="JQ34" i="1"/>
  <c r="JQ35" i="1"/>
  <c r="JQ36" i="1"/>
  <c r="JQ37" i="1"/>
  <c r="JQ38" i="1"/>
  <c r="JQ39" i="1"/>
  <c r="JQ40" i="1"/>
  <c r="JQ41" i="1"/>
  <c r="JQ42" i="1"/>
  <c r="JQ43" i="1"/>
  <c r="JQ44" i="1"/>
  <c r="JQ45" i="1"/>
  <c r="JQ46" i="1"/>
  <c r="JQ47" i="1"/>
  <c r="JQ48" i="1"/>
  <c r="JQ49" i="1"/>
  <c r="JQ50" i="1"/>
  <c r="JQ51" i="1"/>
  <c r="JQ52" i="1"/>
  <c r="JQ53" i="1"/>
  <c r="JQ54" i="1"/>
  <c r="JQ55" i="1"/>
  <c r="JQ56" i="1"/>
  <c r="JQ57" i="1"/>
  <c r="JQ58" i="1"/>
  <c r="JQ59" i="1"/>
  <c r="JQ60" i="1"/>
  <c r="JQ61" i="1"/>
  <c r="JQ62" i="1"/>
  <c r="JQ63" i="1"/>
  <c r="JQ64" i="1"/>
  <c r="JQ65" i="1"/>
  <c r="JQ66" i="1"/>
  <c r="JQ67" i="1"/>
  <c r="JQ68" i="1"/>
  <c r="JQ69" i="1"/>
  <c r="JQ70" i="1"/>
  <c r="JQ71" i="1"/>
  <c r="JQ72" i="1"/>
  <c r="JQ73" i="1"/>
  <c r="JQ74" i="1"/>
  <c r="JQ75" i="1"/>
  <c r="JQ76" i="1"/>
  <c r="JQ77" i="1"/>
  <c r="JQ78" i="1"/>
  <c r="JQ79" i="1"/>
  <c r="JQ80" i="1"/>
  <c r="JQ81" i="1"/>
  <c r="JQ82" i="1"/>
  <c r="JQ83" i="1"/>
  <c r="JQ84" i="1"/>
  <c r="JQ85" i="1"/>
  <c r="JQ86" i="1"/>
  <c r="JQ87" i="1"/>
  <c r="JQ88" i="1"/>
  <c r="JQ89" i="1"/>
  <c r="JQ90" i="1"/>
  <c r="JQ91" i="1"/>
  <c r="JQ92" i="1"/>
  <c r="JQ93" i="1"/>
  <c r="JQ94" i="1"/>
  <c r="JQ95" i="1"/>
  <c r="JQ96" i="1"/>
  <c r="JQ97" i="1"/>
  <c r="JQ98" i="1"/>
  <c r="JQ99" i="1"/>
  <c r="JQ100" i="1"/>
  <c r="JQ101" i="1"/>
  <c r="JQ102" i="1"/>
  <c r="JQ103" i="1"/>
  <c r="JQ104" i="1"/>
  <c r="JQ105" i="1"/>
  <c r="JQ106" i="1"/>
  <c r="JQ107" i="1"/>
  <c r="JQ108" i="1"/>
  <c r="JQ109" i="1"/>
  <c r="JQ110" i="1"/>
  <c r="JQ111" i="1"/>
  <c r="JQ112" i="1"/>
  <c r="JQ113" i="1"/>
  <c r="JQ114" i="1"/>
  <c r="JQ115" i="1"/>
  <c r="JQ116" i="1"/>
  <c r="JQ117" i="1"/>
  <c r="JQ118" i="1"/>
  <c r="JQ119" i="1"/>
  <c r="JQ120" i="1"/>
  <c r="JQ121" i="1"/>
  <c r="JQ122" i="1"/>
  <c r="JQ123" i="1"/>
  <c r="JQ124" i="1"/>
  <c r="JQ125" i="1"/>
  <c r="JQ126" i="1"/>
  <c r="JQ127" i="1"/>
  <c r="JQ128" i="1"/>
  <c r="JQ129" i="1"/>
  <c r="JQ130" i="1"/>
  <c r="JQ131" i="1"/>
  <c r="JQ132" i="1"/>
  <c r="JQ133" i="1"/>
  <c r="JQ134" i="1"/>
  <c r="JQ135" i="1"/>
  <c r="JQ136" i="1"/>
  <c r="JQ137" i="1"/>
  <c r="JQ138" i="1"/>
  <c r="JQ139" i="1"/>
  <c r="JQ140" i="1"/>
  <c r="JQ141" i="1"/>
  <c r="JQ142" i="1"/>
  <c r="JQ143" i="1"/>
  <c r="JQ144" i="1"/>
  <c r="JQ145" i="1"/>
  <c r="JQ146" i="1"/>
  <c r="JQ147" i="1"/>
  <c r="JQ148" i="1"/>
  <c r="JQ149" i="1"/>
  <c r="JQ150" i="1"/>
  <c r="JQ151" i="1"/>
  <c r="JQ152" i="1"/>
  <c r="JQ153" i="1"/>
  <c r="JQ154" i="1"/>
  <c r="JQ155" i="1"/>
  <c r="JQ156" i="1"/>
  <c r="JQ157" i="1"/>
  <c r="JQ158" i="1"/>
  <c r="JQ159" i="1"/>
  <c r="JQ160" i="1"/>
  <c r="JQ161" i="1"/>
  <c r="JQ162" i="1"/>
  <c r="JQ163" i="1"/>
  <c r="JQ164" i="1"/>
  <c r="JQ165" i="1"/>
  <c r="JQ166" i="1"/>
  <c r="JQ167" i="1"/>
  <c r="JQ168" i="1"/>
  <c r="JQ169" i="1"/>
  <c r="JQ170" i="1"/>
  <c r="JQ171" i="1"/>
  <c r="JQ172" i="1"/>
  <c r="JQ173" i="1"/>
  <c r="JQ174" i="1"/>
  <c r="JQ175" i="1"/>
  <c r="JQ176" i="1"/>
  <c r="JQ177" i="1"/>
  <c r="JQ178" i="1"/>
  <c r="JQ179" i="1"/>
  <c r="JQ180" i="1"/>
  <c r="JQ181" i="1"/>
  <c r="JQ182" i="1"/>
  <c r="JQ183" i="1"/>
  <c r="JQ184" i="1"/>
  <c r="JQ185" i="1"/>
  <c r="JQ186" i="1"/>
  <c r="JQ187" i="1"/>
  <c r="JQ188" i="1"/>
  <c r="JQ189" i="1"/>
  <c r="JQ190" i="1"/>
  <c r="JQ191" i="1"/>
  <c r="JQ20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IP53" i="1"/>
  <c r="IQ53" i="1"/>
  <c r="IR53" i="1"/>
  <c r="IS53" i="1"/>
  <c r="IT53" i="1"/>
  <c r="IU53" i="1"/>
  <c r="IV53" i="1"/>
  <c r="IW53" i="1"/>
  <c r="IX53" i="1"/>
  <c r="IY53" i="1"/>
  <c r="IZ53" i="1"/>
  <c r="JA53" i="1"/>
  <c r="JB53" i="1"/>
  <c r="JC53" i="1"/>
  <c r="JD53" i="1"/>
  <c r="JE53" i="1"/>
  <c r="JF53" i="1"/>
  <c r="JG53" i="1"/>
  <c r="JH53" i="1"/>
  <c r="JI53" i="1"/>
  <c r="JJ53" i="1"/>
  <c r="JK53" i="1"/>
  <c r="JL53" i="1"/>
  <c r="JM53" i="1"/>
  <c r="JN53" i="1"/>
  <c r="JO53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IP56" i="1"/>
  <c r="IQ56" i="1"/>
  <c r="IR56" i="1"/>
  <c r="IS56" i="1"/>
  <c r="IT56" i="1"/>
  <c r="IU56" i="1"/>
  <c r="IV56" i="1"/>
  <c r="IW56" i="1"/>
  <c r="IX56" i="1"/>
  <c r="IY56" i="1"/>
  <c r="IZ56" i="1"/>
  <c r="JA56" i="1"/>
  <c r="JB56" i="1"/>
  <c r="JC56" i="1"/>
  <c r="JD56" i="1"/>
  <c r="JE56" i="1"/>
  <c r="JF56" i="1"/>
  <c r="JG56" i="1"/>
  <c r="JH56" i="1"/>
  <c r="JI56" i="1"/>
  <c r="JJ56" i="1"/>
  <c r="JK56" i="1"/>
  <c r="JL56" i="1"/>
  <c r="JM56" i="1"/>
  <c r="JN56" i="1"/>
  <c r="JO56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JE59" i="1"/>
  <c r="JF59" i="1"/>
  <c r="JG59" i="1"/>
  <c r="JH59" i="1"/>
  <c r="JI59" i="1"/>
  <c r="JJ59" i="1"/>
  <c r="JK59" i="1"/>
  <c r="JL59" i="1"/>
  <c r="JM59" i="1"/>
  <c r="JN59" i="1"/>
  <c r="JO59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IP62" i="1"/>
  <c r="IQ62" i="1"/>
  <c r="IR62" i="1"/>
  <c r="IS62" i="1"/>
  <c r="IT62" i="1"/>
  <c r="IU62" i="1"/>
  <c r="IV62" i="1"/>
  <c r="IW62" i="1"/>
  <c r="IX62" i="1"/>
  <c r="IY62" i="1"/>
  <c r="IZ62" i="1"/>
  <c r="JA62" i="1"/>
  <c r="JB62" i="1"/>
  <c r="JC62" i="1"/>
  <c r="JD62" i="1"/>
  <c r="JE62" i="1"/>
  <c r="JF62" i="1"/>
  <c r="JG62" i="1"/>
  <c r="JH62" i="1"/>
  <c r="JI62" i="1"/>
  <c r="JJ62" i="1"/>
  <c r="JK62" i="1"/>
  <c r="JL62" i="1"/>
  <c r="JM62" i="1"/>
  <c r="JN62" i="1"/>
  <c r="JO62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JE65" i="1"/>
  <c r="JF65" i="1"/>
  <c r="JG65" i="1"/>
  <c r="JH65" i="1"/>
  <c r="JI65" i="1"/>
  <c r="JJ65" i="1"/>
  <c r="JK65" i="1"/>
  <c r="JL65" i="1"/>
  <c r="JM65" i="1"/>
  <c r="JN65" i="1"/>
  <c r="JO65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IP68" i="1"/>
  <c r="IQ68" i="1"/>
  <c r="IR68" i="1"/>
  <c r="IS68" i="1"/>
  <c r="IT68" i="1"/>
  <c r="IU68" i="1"/>
  <c r="IV68" i="1"/>
  <c r="IW68" i="1"/>
  <c r="IX68" i="1"/>
  <c r="IY68" i="1"/>
  <c r="IZ68" i="1"/>
  <c r="JA68" i="1"/>
  <c r="JB68" i="1"/>
  <c r="JC68" i="1"/>
  <c r="JD68" i="1"/>
  <c r="JE68" i="1"/>
  <c r="JF68" i="1"/>
  <c r="JG68" i="1"/>
  <c r="JH68" i="1"/>
  <c r="JI68" i="1"/>
  <c r="JJ68" i="1"/>
  <c r="JK68" i="1"/>
  <c r="JL68" i="1"/>
  <c r="JM68" i="1"/>
  <c r="JN68" i="1"/>
  <c r="JO68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JL72" i="1"/>
  <c r="JM72" i="1"/>
  <c r="JN72" i="1"/>
  <c r="JO72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JE73" i="1"/>
  <c r="JF73" i="1"/>
  <c r="JG73" i="1"/>
  <c r="JH73" i="1"/>
  <c r="JI73" i="1"/>
  <c r="JJ73" i="1"/>
  <c r="JK73" i="1"/>
  <c r="JL73" i="1"/>
  <c r="JM73" i="1"/>
  <c r="JN73" i="1"/>
  <c r="JO73" i="1"/>
  <c r="IP74" i="1"/>
  <c r="IQ74" i="1"/>
  <c r="IR74" i="1"/>
  <c r="IS74" i="1"/>
  <c r="IT74" i="1"/>
  <c r="IU74" i="1"/>
  <c r="IV74" i="1"/>
  <c r="IW74" i="1"/>
  <c r="IX74" i="1"/>
  <c r="IY74" i="1"/>
  <c r="IZ74" i="1"/>
  <c r="JA74" i="1"/>
  <c r="JB74" i="1"/>
  <c r="JC74" i="1"/>
  <c r="JD74" i="1"/>
  <c r="JE74" i="1"/>
  <c r="JF74" i="1"/>
  <c r="JG74" i="1"/>
  <c r="JH74" i="1"/>
  <c r="JI74" i="1"/>
  <c r="JJ74" i="1"/>
  <c r="JK74" i="1"/>
  <c r="JL74" i="1"/>
  <c r="JM74" i="1"/>
  <c r="JN74" i="1"/>
  <c r="JO74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JL75" i="1"/>
  <c r="JM75" i="1"/>
  <c r="JN75" i="1"/>
  <c r="JO75" i="1"/>
  <c r="IP76" i="1"/>
  <c r="IQ76" i="1"/>
  <c r="IR76" i="1"/>
  <c r="IS76" i="1"/>
  <c r="IT76" i="1"/>
  <c r="IU76" i="1"/>
  <c r="IV76" i="1"/>
  <c r="IW76" i="1"/>
  <c r="IX76" i="1"/>
  <c r="IY76" i="1"/>
  <c r="IZ76" i="1"/>
  <c r="JA76" i="1"/>
  <c r="JB76" i="1"/>
  <c r="JC76" i="1"/>
  <c r="JD76" i="1"/>
  <c r="JE76" i="1"/>
  <c r="JF76" i="1"/>
  <c r="JG76" i="1"/>
  <c r="JH76" i="1"/>
  <c r="JI76" i="1"/>
  <c r="JJ76" i="1"/>
  <c r="JK76" i="1"/>
  <c r="JL76" i="1"/>
  <c r="JM76" i="1"/>
  <c r="JN76" i="1"/>
  <c r="JO76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JE77" i="1"/>
  <c r="JF77" i="1"/>
  <c r="JG77" i="1"/>
  <c r="JH77" i="1"/>
  <c r="JI77" i="1"/>
  <c r="JJ77" i="1"/>
  <c r="JK77" i="1"/>
  <c r="JL77" i="1"/>
  <c r="JM77" i="1"/>
  <c r="JN77" i="1"/>
  <c r="JO77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JL78" i="1"/>
  <c r="JM78" i="1"/>
  <c r="JN78" i="1"/>
  <c r="JO78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JE81" i="1"/>
  <c r="JF81" i="1"/>
  <c r="JG81" i="1"/>
  <c r="JH81" i="1"/>
  <c r="JI81" i="1"/>
  <c r="JJ81" i="1"/>
  <c r="JK81" i="1"/>
  <c r="JL81" i="1"/>
  <c r="JM81" i="1"/>
  <c r="JN81" i="1"/>
  <c r="JO81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JE82" i="1"/>
  <c r="JF82" i="1"/>
  <c r="JG82" i="1"/>
  <c r="JH82" i="1"/>
  <c r="JI82" i="1"/>
  <c r="JJ82" i="1"/>
  <c r="JK82" i="1"/>
  <c r="JL82" i="1"/>
  <c r="JM82" i="1"/>
  <c r="JN82" i="1"/>
  <c r="JO82" i="1"/>
  <c r="IP83" i="1"/>
  <c r="IQ83" i="1"/>
  <c r="IR83" i="1"/>
  <c r="IS83" i="1"/>
  <c r="IT83" i="1"/>
  <c r="IU83" i="1"/>
  <c r="IV83" i="1"/>
  <c r="IW83" i="1"/>
  <c r="IX83" i="1"/>
  <c r="IY83" i="1"/>
  <c r="IZ83" i="1"/>
  <c r="JA83" i="1"/>
  <c r="JB83" i="1"/>
  <c r="JC83" i="1"/>
  <c r="JD83" i="1"/>
  <c r="JE83" i="1"/>
  <c r="JF83" i="1"/>
  <c r="JG83" i="1"/>
  <c r="JH83" i="1"/>
  <c r="JI83" i="1"/>
  <c r="JJ83" i="1"/>
  <c r="JK83" i="1"/>
  <c r="JL83" i="1"/>
  <c r="JM83" i="1"/>
  <c r="JN83" i="1"/>
  <c r="JO83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JE84" i="1"/>
  <c r="JF84" i="1"/>
  <c r="JG84" i="1"/>
  <c r="JH84" i="1"/>
  <c r="JI84" i="1"/>
  <c r="JJ84" i="1"/>
  <c r="JK84" i="1"/>
  <c r="JL84" i="1"/>
  <c r="JM84" i="1"/>
  <c r="JN84" i="1"/>
  <c r="JO84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JE85" i="1"/>
  <c r="JF85" i="1"/>
  <c r="JG85" i="1"/>
  <c r="JH85" i="1"/>
  <c r="JI85" i="1"/>
  <c r="JJ85" i="1"/>
  <c r="JK85" i="1"/>
  <c r="JL85" i="1"/>
  <c r="JM85" i="1"/>
  <c r="JN85" i="1"/>
  <c r="JO85" i="1"/>
  <c r="IP86" i="1"/>
  <c r="IQ86" i="1"/>
  <c r="IR86" i="1"/>
  <c r="IS86" i="1"/>
  <c r="IT86" i="1"/>
  <c r="IU86" i="1"/>
  <c r="IV86" i="1"/>
  <c r="IW86" i="1"/>
  <c r="IX86" i="1"/>
  <c r="IY86" i="1"/>
  <c r="IZ86" i="1"/>
  <c r="JA86" i="1"/>
  <c r="JB86" i="1"/>
  <c r="JC86" i="1"/>
  <c r="JD86" i="1"/>
  <c r="JE86" i="1"/>
  <c r="JF86" i="1"/>
  <c r="JG86" i="1"/>
  <c r="JH86" i="1"/>
  <c r="JI86" i="1"/>
  <c r="JJ86" i="1"/>
  <c r="JK86" i="1"/>
  <c r="JL86" i="1"/>
  <c r="JM86" i="1"/>
  <c r="JN86" i="1"/>
  <c r="JO86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JE87" i="1"/>
  <c r="JF87" i="1"/>
  <c r="JG87" i="1"/>
  <c r="JH87" i="1"/>
  <c r="JI87" i="1"/>
  <c r="JJ87" i="1"/>
  <c r="JK87" i="1"/>
  <c r="JL87" i="1"/>
  <c r="JM87" i="1"/>
  <c r="JN87" i="1"/>
  <c r="JO87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88" i="1"/>
  <c r="JJ88" i="1"/>
  <c r="JK88" i="1"/>
  <c r="JL88" i="1"/>
  <c r="JM88" i="1"/>
  <c r="JN88" i="1"/>
  <c r="JO88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89" i="1"/>
  <c r="JJ89" i="1"/>
  <c r="JK89" i="1"/>
  <c r="JL89" i="1"/>
  <c r="JM89" i="1"/>
  <c r="JN89" i="1"/>
  <c r="JO89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JE90" i="1"/>
  <c r="JF90" i="1"/>
  <c r="JG90" i="1"/>
  <c r="JH90" i="1"/>
  <c r="JI90" i="1"/>
  <c r="JJ90" i="1"/>
  <c r="JK90" i="1"/>
  <c r="JL90" i="1"/>
  <c r="JM90" i="1"/>
  <c r="JN90" i="1"/>
  <c r="JO90" i="1"/>
  <c r="IP91" i="1"/>
  <c r="IQ91" i="1"/>
  <c r="IR91" i="1"/>
  <c r="IS91" i="1"/>
  <c r="IT91" i="1"/>
  <c r="IU91" i="1"/>
  <c r="IV91" i="1"/>
  <c r="IW91" i="1"/>
  <c r="IX91" i="1"/>
  <c r="IY91" i="1"/>
  <c r="IZ91" i="1"/>
  <c r="JA91" i="1"/>
  <c r="JB91" i="1"/>
  <c r="JC91" i="1"/>
  <c r="JD91" i="1"/>
  <c r="JE91" i="1"/>
  <c r="JF91" i="1"/>
  <c r="JG91" i="1"/>
  <c r="JH91" i="1"/>
  <c r="JI91" i="1"/>
  <c r="JJ91" i="1"/>
  <c r="JK91" i="1"/>
  <c r="JL91" i="1"/>
  <c r="JM91" i="1"/>
  <c r="JN91" i="1"/>
  <c r="JO91" i="1"/>
  <c r="IP92" i="1"/>
  <c r="IQ92" i="1"/>
  <c r="IR92" i="1"/>
  <c r="IS92" i="1"/>
  <c r="IT92" i="1"/>
  <c r="IU92" i="1"/>
  <c r="IV92" i="1"/>
  <c r="IW92" i="1"/>
  <c r="IX92" i="1"/>
  <c r="IY92" i="1"/>
  <c r="IZ92" i="1"/>
  <c r="JA92" i="1"/>
  <c r="JB92" i="1"/>
  <c r="JC92" i="1"/>
  <c r="JD92" i="1"/>
  <c r="JE92" i="1"/>
  <c r="JF92" i="1"/>
  <c r="JG92" i="1"/>
  <c r="JH92" i="1"/>
  <c r="JI92" i="1"/>
  <c r="JJ92" i="1"/>
  <c r="JK92" i="1"/>
  <c r="JL92" i="1"/>
  <c r="JM92" i="1"/>
  <c r="JN92" i="1"/>
  <c r="JO92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JL93" i="1"/>
  <c r="JM93" i="1"/>
  <c r="JN93" i="1"/>
  <c r="JO93" i="1"/>
  <c r="IP94" i="1"/>
  <c r="IQ94" i="1"/>
  <c r="IR94" i="1"/>
  <c r="IS94" i="1"/>
  <c r="IT94" i="1"/>
  <c r="IU94" i="1"/>
  <c r="IV94" i="1"/>
  <c r="IW94" i="1"/>
  <c r="IX94" i="1"/>
  <c r="IY94" i="1"/>
  <c r="IZ94" i="1"/>
  <c r="JA94" i="1"/>
  <c r="JB94" i="1"/>
  <c r="JC94" i="1"/>
  <c r="JD94" i="1"/>
  <c r="JE94" i="1"/>
  <c r="JF94" i="1"/>
  <c r="JG94" i="1"/>
  <c r="JH94" i="1"/>
  <c r="JI94" i="1"/>
  <c r="JJ94" i="1"/>
  <c r="JK94" i="1"/>
  <c r="JL94" i="1"/>
  <c r="JM94" i="1"/>
  <c r="JN94" i="1"/>
  <c r="JO94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JI95" i="1"/>
  <c r="JJ95" i="1"/>
  <c r="JK95" i="1"/>
  <c r="JL95" i="1"/>
  <c r="JM95" i="1"/>
  <c r="JN95" i="1"/>
  <c r="JO95" i="1"/>
  <c r="IP96" i="1"/>
  <c r="IQ96" i="1"/>
  <c r="IR96" i="1"/>
  <c r="IS96" i="1"/>
  <c r="IT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JL96" i="1"/>
  <c r="JM96" i="1"/>
  <c r="JN96" i="1"/>
  <c r="JO96" i="1"/>
  <c r="IP97" i="1"/>
  <c r="IQ97" i="1"/>
  <c r="IR97" i="1"/>
  <c r="IS97" i="1"/>
  <c r="IT97" i="1"/>
  <c r="IU97" i="1"/>
  <c r="IV97" i="1"/>
  <c r="IW97" i="1"/>
  <c r="IX97" i="1"/>
  <c r="IY97" i="1"/>
  <c r="IZ97" i="1"/>
  <c r="JA97" i="1"/>
  <c r="JB97" i="1"/>
  <c r="JC97" i="1"/>
  <c r="JD97" i="1"/>
  <c r="JE97" i="1"/>
  <c r="JF97" i="1"/>
  <c r="JG97" i="1"/>
  <c r="JH97" i="1"/>
  <c r="JI97" i="1"/>
  <c r="JJ97" i="1"/>
  <c r="JK97" i="1"/>
  <c r="JL97" i="1"/>
  <c r="JM97" i="1"/>
  <c r="JN97" i="1"/>
  <c r="JO97" i="1"/>
  <c r="IP98" i="1"/>
  <c r="IQ98" i="1"/>
  <c r="IR98" i="1"/>
  <c r="IS98" i="1"/>
  <c r="IT98" i="1"/>
  <c r="IU98" i="1"/>
  <c r="IV98" i="1"/>
  <c r="IW98" i="1"/>
  <c r="IX98" i="1"/>
  <c r="IY98" i="1"/>
  <c r="IZ98" i="1"/>
  <c r="JA98" i="1"/>
  <c r="JB98" i="1"/>
  <c r="JC98" i="1"/>
  <c r="JD98" i="1"/>
  <c r="JE98" i="1"/>
  <c r="JF98" i="1"/>
  <c r="JG98" i="1"/>
  <c r="JH98" i="1"/>
  <c r="JI98" i="1"/>
  <c r="JJ98" i="1"/>
  <c r="JK98" i="1"/>
  <c r="JL98" i="1"/>
  <c r="JM98" i="1"/>
  <c r="JN98" i="1"/>
  <c r="JO98" i="1"/>
  <c r="IP99" i="1"/>
  <c r="IQ99" i="1"/>
  <c r="IR99" i="1"/>
  <c r="IS99" i="1"/>
  <c r="IT99" i="1"/>
  <c r="IU99" i="1"/>
  <c r="IV99" i="1"/>
  <c r="IW99" i="1"/>
  <c r="IX99" i="1"/>
  <c r="IY99" i="1"/>
  <c r="IZ99" i="1"/>
  <c r="JA99" i="1"/>
  <c r="JB99" i="1"/>
  <c r="JC99" i="1"/>
  <c r="JD99" i="1"/>
  <c r="JE99" i="1"/>
  <c r="JF99" i="1"/>
  <c r="JG99" i="1"/>
  <c r="JH99" i="1"/>
  <c r="JI99" i="1"/>
  <c r="JJ99" i="1"/>
  <c r="JK99" i="1"/>
  <c r="JL99" i="1"/>
  <c r="JM99" i="1"/>
  <c r="JN99" i="1"/>
  <c r="JO99" i="1"/>
  <c r="IP100" i="1"/>
  <c r="IQ100" i="1"/>
  <c r="IR100" i="1"/>
  <c r="IS100" i="1"/>
  <c r="IT100" i="1"/>
  <c r="IU100" i="1"/>
  <c r="IV100" i="1"/>
  <c r="IW100" i="1"/>
  <c r="IX100" i="1"/>
  <c r="IY100" i="1"/>
  <c r="IZ100" i="1"/>
  <c r="JA100" i="1"/>
  <c r="JB100" i="1"/>
  <c r="JC100" i="1"/>
  <c r="JD100" i="1"/>
  <c r="JE100" i="1"/>
  <c r="JF100" i="1"/>
  <c r="JG100" i="1"/>
  <c r="JH100" i="1"/>
  <c r="JI100" i="1"/>
  <c r="JJ100" i="1"/>
  <c r="JK100" i="1"/>
  <c r="JL100" i="1"/>
  <c r="JM100" i="1"/>
  <c r="JN100" i="1"/>
  <c r="JO100" i="1"/>
  <c r="IP101" i="1"/>
  <c r="IQ101" i="1"/>
  <c r="IR101" i="1"/>
  <c r="IS101" i="1"/>
  <c r="IT101" i="1"/>
  <c r="IU101" i="1"/>
  <c r="IV101" i="1"/>
  <c r="IW101" i="1"/>
  <c r="IX101" i="1"/>
  <c r="IY101" i="1"/>
  <c r="IZ101" i="1"/>
  <c r="JA101" i="1"/>
  <c r="JB101" i="1"/>
  <c r="JC101" i="1"/>
  <c r="JD101" i="1"/>
  <c r="JE101" i="1"/>
  <c r="JF101" i="1"/>
  <c r="JG101" i="1"/>
  <c r="JH101" i="1"/>
  <c r="JI101" i="1"/>
  <c r="JJ101" i="1"/>
  <c r="JK101" i="1"/>
  <c r="JL101" i="1"/>
  <c r="JM101" i="1"/>
  <c r="JN101" i="1"/>
  <c r="JO101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JL103" i="1"/>
  <c r="JM103" i="1"/>
  <c r="JN103" i="1"/>
  <c r="JO103" i="1"/>
  <c r="IP104" i="1"/>
  <c r="IQ104" i="1"/>
  <c r="IR104" i="1"/>
  <c r="IS104" i="1"/>
  <c r="IT104" i="1"/>
  <c r="IU104" i="1"/>
  <c r="IV104" i="1"/>
  <c r="IW104" i="1"/>
  <c r="IX104" i="1"/>
  <c r="IY104" i="1"/>
  <c r="IZ104" i="1"/>
  <c r="JA104" i="1"/>
  <c r="JB104" i="1"/>
  <c r="JC104" i="1"/>
  <c r="JD104" i="1"/>
  <c r="JE104" i="1"/>
  <c r="JF104" i="1"/>
  <c r="JG104" i="1"/>
  <c r="JH104" i="1"/>
  <c r="JI104" i="1"/>
  <c r="JJ104" i="1"/>
  <c r="JK104" i="1"/>
  <c r="JL104" i="1"/>
  <c r="JM104" i="1"/>
  <c r="JN104" i="1"/>
  <c r="JO104" i="1"/>
  <c r="IP105" i="1"/>
  <c r="IQ105" i="1"/>
  <c r="IR105" i="1"/>
  <c r="IS105" i="1"/>
  <c r="IT105" i="1"/>
  <c r="IU105" i="1"/>
  <c r="IV105" i="1"/>
  <c r="IW105" i="1"/>
  <c r="IX105" i="1"/>
  <c r="IY105" i="1"/>
  <c r="IZ105" i="1"/>
  <c r="JA105" i="1"/>
  <c r="JB105" i="1"/>
  <c r="JC105" i="1"/>
  <c r="JD105" i="1"/>
  <c r="JE105" i="1"/>
  <c r="JF105" i="1"/>
  <c r="JG105" i="1"/>
  <c r="JH105" i="1"/>
  <c r="JI105" i="1"/>
  <c r="JJ105" i="1"/>
  <c r="JK105" i="1"/>
  <c r="JL105" i="1"/>
  <c r="JM105" i="1"/>
  <c r="JN105" i="1"/>
  <c r="JO105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JL106" i="1"/>
  <c r="JM106" i="1"/>
  <c r="JN106" i="1"/>
  <c r="JO106" i="1"/>
  <c r="IP107" i="1"/>
  <c r="IQ107" i="1"/>
  <c r="IR107" i="1"/>
  <c r="IS107" i="1"/>
  <c r="IT107" i="1"/>
  <c r="IU107" i="1"/>
  <c r="IV107" i="1"/>
  <c r="IW107" i="1"/>
  <c r="IX107" i="1"/>
  <c r="IY107" i="1"/>
  <c r="IZ107" i="1"/>
  <c r="JA107" i="1"/>
  <c r="JB107" i="1"/>
  <c r="JC107" i="1"/>
  <c r="JD107" i="1"/>
  <c r="JE107" i="1"/>
  <c r="JF107" i="1"/>
  <c r="JG107" i="1"/>
  <c r="JH107" i="1"/>
  <c r="JI107" i="1"/>
  <c r="JJ107" i="1"/>
  <c r="JK107" i="1"/>
  <c r="JL107" i="1"/>
  <c r="JM107" i="1"/>
  <c r="JN107" i="1"/>
  <c r="JO107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IP109" i="1"/>
  <c r="IQ109" i="1"/>
  <c r="IR109" i="1"/>
  <c r="IS109" i="1"/>
  <c r="IT109" i="1"/>
  <c r="IU109" i="1"/>
  <c r="IV109" i="1"/>
  <c r="IW109" i="1"/>
  <c r="IX109" i="1"/>
  <c r="IY109" i="1"/>
  <c r="IZ109" i="1"/>
  <c r="JA109" i="1"/>
  <c r="JB109" i="1"/>
  <c r="JC109" i="1"/>
  <c r="JD109" i="1"/>
  <c r="JE109" i="1"/>
  <c r="JF109" i="1"/>
  <c r="JG109" i="1"/>
  <c r="JH109" i="1"/>
  <c r="JI109" i="1"/>
  <c r="JJ109" i="1"/>
  <c r="JK109" i="1"/>
  <c r="JL109" i="1"/>
  <c r="JM109" i="1"/>
  <c r="JN109" i="1"/>
  <c r="JO109" i="1"/>
  <c r="IP110" i="1"/>
  <c r="IQ110" i="1"/>
  <c r="IR110" i="1"/>
  <c r="IS110" i="1"/>
  <c r="IT110" i="1"/>
  <c r="IU110" i="1"/>
  <c r="IV110" i="1"/>
  <c r="IW110" i="1"/>
  <c r="IX110" i="1"/>
  <c r="IY110" i="1"/>
  <c r="IZ110" i="1"/>
  <c r="JA110" i="1"/>
  <c r="JB110" i="1"/>
  <c r="JC110" i="1"/>
  <c r="JD110" i="1"/>
  <c r="JE110" i="1"/>
  <c r="JF110" i="1"/>
  <c r="JG110" i="1"/>
  <c r="JH110" i="1"/>
  <c r="JI110" i="1"/>
  <c r="JJ110" i="1"/>
  <c r="JK110" i="1"/>
  <c r="JL110" i="1"/>
  <c r="JM110" i="1"/>
  <c r="JN110" i="1"/>
  <c r="JO110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IP112" i="1"/>
  <c r="IQ112" i="1"/>
  <c r="IR112" i="1"/>
  <c r="IS112" i="1"/>
  <c r="IT112" i="1"/>
  <c r="IU112" i="1"/>
  <c r="IV112" i="1"/>
  <c r="IW112" i="1"/>
  <c r="IX112" i="1"/>
  <c r="IY112" i="1"/>
  <c r="IZ112" i="1"/>
  <c r="JA112" i="1"/>
  <c r="JB112" i="1"/>
  <c r="JC112" i="1"/>
  <c r="JD112" i="1"/>
  <c r="JE112" i="1"/>
  <c r="JF112" i="1"/>
  <c r="JG112" i="1"/>
  <c r="JH112" i="1"/>
  <c r="JI112" i="1"/>
  <c r="JJ112" i="1"/>
  <c r="JK112" i="1"/>
  <c r="JL112" i="1"/>
  <c r="JM112" i="1"/>
  <c r="JN112" i="1"/>
  <c r="JO112" i="1"/>
  <c r="IP113" i="1"/>
  <c r="IQ113" i="1"/>
  <c r="IR113" i="1"/>
  <c r="IS113" i="1"/>
  <c r="IT113" i="1"/>
  <c r="IU113" i="1"/>
  <c r="IV113" i="1"/>
  <c r="IW113" i="1"/>
  <c r="IX113" i="1"/>
  <c r="IY113" i="1"/>
  <c r="IZ113" i="1"/>
  <c r="JA113" i="1"/>
  <c r="JB113" i="1"/>
  <c r="JC113" i="1"/>
  <c r="JD113" i="1"/>
  <c r="JE113" i="1"/>
  <c r="JF113" i="1"/>
  <c r="JG113" i="1"/>
  <c r="JH113" i="1"/>
  <c r="JI113" i="1"/>
  <c r="JJ113" i="1"/>
  <c r="JK113" i="1"/>
  <c r="JL113" i="1"/>
  <c r="JM113" i="1"/>
  <c r="JN113" i="1"/>
  <c r="JO113" i="1"/>
  <c r="IP114" i="1"/>
  <c r="IQ114" i="1"/>
  <c r="IR114" i="1"/>
  <c r="IS114" i="1"/>
  <c r="IT114" i="1"/>
  <c r="IU114" i="1"/>
  <c r="IV114" i="1"/>
  <c r="IW114" i="1"/>
  <c r="IX114" i="1"/>
  <c r="IY114" i="1"/>
  <c r="IZ114" i="1"/>
  <c r="JA114" i="1"/>
  <c r="JB114" i="1"/>
  <c r="JC114" i="1"/>
  <c r="JD114" i="1"/>
  <c r="JE114" i="1"/>
  <c r="JF114" i="1"/>
  <c r="JG114" i="1"/>
  <c r="JH114" i="1"/>
  <c r="JI114" i="1"/>
  <c r="JJ114" i="1"/>
  <c r="JK114" i="1"/>
  <c r="JL114" i="1"/>
  <c r="JM114" i="1"/>
  <c r="JN114" i="1"/>
  <c r="JO114" i="1"/>
  <c r="IP115" i="1"/>
  <c r="IQ115" i="1"/>
  <c r="IR115" i="1"/>
  <c r="IS115" i="1"/>
  <c r="IT115" i="1"/>
  <c r="IU115" i="1"/>
  <c r="IV115" i="1"/>
  <c r="IW115" i="1"/>
  <c r="IX115" i="1"/>
  <c r="IY115" i="1"/>
  <c r="IZ115" i="1"/>
  <c r="JA115" i="1"/>
  <c r="JB115" i="1"/>
  <c r="JC115" i="1"/>
  <c r="JD115" i="1"/>
  <c r="JE115" i="1"/>
  <c r="JF115" i="1"/>
  <c r="JG115" i="1"/>
  <c r="JH115" i="1"/>
  <c r="JI115" i="1"/>
  <c r="JJ115" i="1"/>
  <c r="JK115" i="1"/>
  <c r="JL115" i="1"/>
  <c r="JM115" i="1"/>
  <c r="JN115" i="1"/>
  <c r="JO115" i="1"/>
  <c r="IP116" i="1"/>
  <c r="IQ116" i="1"/>
  <c r="IR116" i="1"/>
  <c r="IS116" i="1"/>
  <c r="IT116" i="1"/>
  <c r="IU116" i="1"/>
  <c r="IV116" i="1"/>
  <c r="IW116" i="1"/>
  <c r="IX116" i="1"/>
  <c r="IY116" i="1"/>
  <c r="IZ116" i="1"/>
  <c r="JA116" i="1"/>
  <c r="JB116" i="1"/>
  <c r="JC116" i="1"/>
  <c r="JD116" i="1"/>
  <c r="JE116" i="1"/>
  <c r="JF116" i="1"/>
  <c r="JG116" i="1"/>
  <c r="JH116" i="1"/>
  <c r="JI116" i="1"/>
  <c r="JJ116" i="1"/>
  <c r="JK116" i="1"/>
  <c r="JL116" i="1"/>
  <c r="JM116" i="1"/>
  <c r="JN116" i="1"/>
  <c r="JO116" i="1"/>
  <c r="IP117" i="1"/>
  <c r="IQ117" i="1"/>
  <c r="IR117" i="1"/>
  <c r="IS117" i="1"/>
  <c r="IT117" i="1"/>
  <c r="IU117" i="1"/>
  <c r="IV117" i="1"/>
  <c r="IW117" i="1"/>
  <c r="IX117" i="1"/>
  <c r="IY117" i="1"/>
  <c r="IZ117" i="1"/>
  <c r="JA117" i="1"/>
  <c r="JB117" i="1"/>
  <c r="JC117" i="1"/>
  <c r="JD117" i="1"/>
  <c r="JE117" i="1"/>
  <c r="JF117" i="1"/>
  <c r="JG117" i="1"/>
  <c r="JH117" i="1"/>
  <c r="JI117" i="1"/>
  <c r="JJ117" i="1"/>
  <c r="JK117" i="1"/>
  <c r="JL117" i="1"/>
  <c r="JM117" i="1"/>
  <c r="JN117" i="1"/>
  <c r="JO117" i="1"/>
  <c r="IP118" i="1"/>
  <c r="IQ118" i="1"/>
  <c r="IR118" i="1"/>
  <c r="IS118" i="1"/>
  <c r="IT118" i="1"/>
  <c r="IU118" i="1"/>
  <c r="IV118" i="1"/>
  <c r="IW118" i="1"/>
  <c r="IX118" i="1"/>
  <c r="IY118" i="1"/>
  <c r="IZ118" i="1"/>
  <c r="JA118" i="1"/>
  <c r="JB118" i="1"/>
  <c r="JC118" i="1"/>
  <c r="JD118" i="1"/>
  <c r="JE118" i="1"/>
  <c r="JF118" i="1"/>
  <c r="JG118" i="1"/>
  <c r="JH118" i="1"/>
  <c r="JI118" i="1"/>
  <c r="JJ118" i="1"/>
  <c r="JK118" i="1"/>
  <c r="JL118" i="1"/>
  <c r="JM118" i="1"/>
  <c r="JN118" i="1"/>
  <c r="JO118" i="1"/>
  <c r="IP119" i="1"/>
  <c r="IQ119" i="1"/>
  <c r="IR119" i="1"/>
  <c r="IS119" i="1"/>
  <c r="IT119" i="1"/>
  <c r="IU119" i="1"/>
  <c r="IV119" i="1"/>
  <c r="IW119" i="1"/>
  <c r="IX119" i="1"/>
  <c r="IY119" i="1"/>
  <c r="IZ119" i="1"/>
  <c r="JA119" i="1"/>
  <c r="JB119" i="1"/>
  <c r="JC119" i="1"/>
  <c r="JD119" i="1"/>
  <c r="JE119" i="1"/>
  <c r="JF119" i="1"/>
  <c r="JG119" i="1"/>
  <c r="JH119" i="1"/>
  <c r="JI119" i="1"/>
  <c r="JJ119" i="1"/>
  <c r="JK119" i="1"/>
  <c r="JL119" i="1"/>
  <c r="JM119" i="1"/>
  <c r="JN119" i="1"/>
  <c r="JO119" i="1"/>
  <c r="IP120" i="1"/>
  <c r="IQ120" i="1"/>
  <c r="IR120" i="1"/>
  <c r="IS120" i="1"/>
  <c r="IT120" i="1"/>
  <c r="IU120" i="1"/>
  <c r="IV120" i="1"/>
  <c r="IW120" i="1"/>
  <c r="IX120" i="1"/>
  <c r="IY120" i="1"/>
  <c r="IZ120" i="1"/>
  <c r="JA120" i="1"/>
  <c r="JB120" i="1"/>
  <c r="JC120" i="1"/>
  <c r="JD120" i="1"/>
  <c r="JE120" i="1"/>
  <c r="JF120" i="1"/>
  <c r="JG120" i="1"/>
  <c r="JH120" i="1"/>
  <c r="JI120" i="1"/>
  <c r="JJ120" i="1"/>
  <c r="JK120" i="1"/>
  <c r="JL120" i="1"/>
  <c r="JM120" i="1"/>
  <c r="JN120" i="1"/>
  <c r="JO120" i="1"/>
  <c r="IP121" i="1"/>
  <c r="IQ121" i="1"/>
  <c r="IR121" i="1"/>
  <c r="IS121" i="1"/>
  <c r="IT121" i="1"/>
  <c r="IU121" i="1"/>
  <c r="IV121" i="1"/>
  <c r="IW121" i="1"/>
  <c r="IX121" i="1"/>
  <c r="IY121" i="1"/>
  <c r="IZ121" i="1"/>
  <c r="JA121" i="1"/>
  <c r="JB121" i="1"/>
  <c r="JC121" i="1"/>
  <c r="JD121" i="1"/>
  <c r="JE121" i="1"/>
  <c r="JF121" i="1"/>
  <c r="JG121" i="1"/>
  <c r="JH121" i="1"/>
  <c r="JI121" i="1"/>
  <c r="JJ121" i="1"/>
  <c r="JK121" i="1"/>
  <c r="JL121" i="1"/>
  <c r="JM121" i="1"/>
  <c r="JN121" i="1"/>
  <c r="JO121" i="1"/>
  <c r="IP122" i="1"/>
  <c r="IQ122" i="1"/>
  <c r="IR122" i="1"/>
  <c r="IS122" i="1"/>
  <c r="IT122" i="1"/>
  <c r="IU122" i="1"/>
  <c r="IV122" i="1"/>
  <c r="IW122" i="1"/>
  <c r="IX122" i="1"/>
  <c r="IY122" i="1"/>
  <c r="IZ122" i="1"/>
  <c r="JA122" i="1"/>
  <c r="JB122" i="1"/>
  <c r="JC122" i="1"/>
  <c r="JD122" i="1"/>
  <c r="JE122" i="1"/>
  <c r="JF122" i="1"/>
  <c r="JG122" i="1"/>
  <c r="JH122" i="1"/>
  <c r="JI122" i="1"/>
  <c r="JJ122" i="1"/>
  <c r="JK122" i="1"/>
  <c r="JL122" i="1"/>
  <c r="JM122" i="1"/>
  <c r="JN122" i="1"/>
  <c r="JO122" i="1"/>
  <c r="IP123" i="1"/>
  <c r="IQ123" i="1"/>
  <c r="IR123" i="1"/>
  <c r="IS123" i="1"/>
  <c r="IT123" i="1"/>
  <c r="IU123" i="1"/>
  <c r="IV123" i="1"/>
  <c r="IW123" i="1"/>
  <c r="IX123" i="1"/>
  <c r="IY123" i="1"/>
  <c r="IZ123" i="1"/>
  <c r="JA123" i="1"/>
  <c r="JB123" i="1"/>
  <c r="JC123" i="1"/>
  <c r="JD123" i="1"/>
  <c r="JE123" i="1"/>
  <c r="JF123" i="1"/>
  <c r="JG123" i="1"/>
  <c r="JH123" i="1"/>
  <c r="JI123" i="1"/>
  <c r="JJ123" i="1"/>
  <c r="JK123" i="1"/>
  <c r="JL123" i="1"/>
  <c r="JM123" i="1"/>
  <c r="JN123" i="1"/>
  <c r="JO123" i="1"/>
  <c r="IP124" i="1"/>
  <c r="IQ124" i="1"/>
  <c r="IR124" i="1"/>
  <c r="IS124" i="1"/>
  <c r="IT124" i="1"/>
  <c r="IU124" i="1"/>
  <c r="IV124" i="1"/>
  <c r="IW124" i="1"/>
  <c r="IX124" i="1"/>
  <c r="IY124" i="1"/>
  <c r="IZ124" i="1"/>
  <c r="JA124" i="1"/>
  <c r="JB124" i="1"/>
  <c r="JC124" i="1"/>
  <c r="JD124" i="1"/>
  <c r="JE124" i="1"/>
  <c r="JF124" i="1"/>
  <c r="JG124" i="1"/>
  <c r="JH124" i="1"/>
  <c r="JI124" i="1"/>
  <c r="JJ124" i="1"/>
  <c r="JK124" i="1"/>
  <c r="JL124" i="1"/>
  <c r="JM124" i="1"/>
  <c r="JN124" i="1"/>
  <c r="JO124" i="1"/>
  <c r="IP125" i="1"/>
  <c r="IQ125" i="1"/>
  <c r="IR125" i="1"/>
  <c r="IS125" i="1"/>
  <c r="IT125" i="1"/>
  <c r="IU125" i="1"/>
  <c r="IV125" i="1"/>
  <c r="IW125" i="1"/>
  <c r="IX125" i="1"/>
  <c r="IY125" i="1"/>
  <c r="IZ125" i="1"/>
  <c r="JA125" i="1"/>
  <c r="JB125" i="1"/>
  <c r="JC125" i="1"/>
  <c r="JD125" i="1"/>
  <c r="JE125" i="1"/>
  <c r="JF125" i="1"/>
  <c r="JG125" i="1"/>
  <c r="JH125" i="1"/>
  <c r="JI125" i="1"/>
  <c r="JJ125" i="1"/>
  <c r="JK125" i="1"/>
  <c r="JL125" i="1"/>
  <c r="JM125" i="1"/>
  <c r="JN125" i="1"/>
  <c r="JO125" i="1"/>
  <c r="IP126" i="1"/>
  <c r="IQ126" i="1"/>
  <c r="IR126" i="1"/>
  <c r="IS126" i="1"/>
  <c r="IT126" i="1"/>
  <c r="IU126" i="1"/>
  <c r="IV126" i="1"/>
  <c r="IW126" i="1"/>
  <c r="IX126" i="1"/>
  <c r="IY126" i="1"/>
  <c r="IZ126" i="1"/>
  <c r="JA126" i="1"/>
  <c r="JB126" i="1"/>
  <c r="JC126" i="1"/>
  <c r="JD126" i="1"/>
  <c r="JE126" i="1"/>
  <c r="JF126" i="1"/>
  <c r="JG126" i="1"/>
  <c r="JH126" i="1"/>
  <c r="JI126" i="1"/>
  <c r="JJ126" i="1"/>
  <c r="JK126" i="1"/>
  <c r="JL126" i="1"/>
  <c r="JM126" i="1"/>
  <c r="JN126" i="1"/>
  <c r="JO126" i="1"/>
  <c r="IP127" i="1"/>
  <c r="IQ127" i="1"/>
  <c r="IR127" i="1"/>
  <c r="IS127" i="1"/>
  <c r="IT127" i="1"/>
  <c r="IU127" i="1"/>
  <c r="IV127" i="1"/>
  <c r="IW127" i="1"/>
  <c r="IX127" i="1"/>
  <c r="IY127" i="1"/>
  <c r="IZ127" i="1"/>
  <c r="JA127" i="1"/>
  <c r="JB127" i="1"/>
  <c r="JC127" i="1"/>
  <c r="JD127" i="1"/>
  <c r="JE127" i="1"/>
  <c r="JF127" i="1"/>
  <c r="JG127" i="1"/>
  <c r="JH127" i="1"/>
  <c r="JI127" i="1"/>
  <c r="JJ127" i="1"/>
  <c r="JK127" i="1"/>
  <c r="JL127" i="1"/>
  <c r="JM127" i="1"/>
  <c r="JN127" i="1"/>
  <c r="JO127" i="1"/>
  <c r="IP128" i="1"/>
  <c r="IQ128" i="1"/>
  <c r="IR128" i="1"/>
  <c r="IS128" i="1"/>
  <c r="IT128" i="1"/>
  <c r="IU128" i="1"/>
  <c r="IV128" i="1"/>
  <c r="IW128" i="1"/>
  <c r="IX128" i="1"/>
  <c r="IY128" i="1"/>
  <c r="IZ128" i="1"/>
  <c r="JA128" i="1"/>
  <c r="JB128" i="1"/>
  <c r="JC128" i="1"/>
  <c r="JD128" i="1"/>
  <c r="JE128" i="1"/>
  <c r="JF128" i="1"/>
  <c r="JG128" i="1"/>
  <c r="JH128" i="1"/>
  <c r="JI128" i="1"/>
  <c r="JJ128" i="1"/>
  <c r="JK128" i="1"/>
  <c r="JL128" i="1"/>
  <c r="JM128" i="1"/>
  <c r="JN128" i="1"/>
  <c r="JO128" i="1"/>
  <c r="IP129" i="1"/>
  <c r="IQ129" i="1"/>
  <c r="IR129" i="1"/>
  <c r="IS129" i="1"/>
  <c r="IT129" i="1"/>
  <c r="IU129" i="1"/>
  <c r="IV129" i="1"/>
  <c r="IW129" i="1"/>
  <c r="IX129" i="1"/>
  <c r="IY129" i="1"/>
  <c r="IZ129" i="1"/>
  <c r="JA129" i="1"/>
  <c r="JB129" i="1"/>
  <c r="JC129" i="1"/>
  <c r="JD129" i="1"/>
  <c r="JE129" i="1"/>
  <c r="JF129" i="1"/>
  <c r="JG129" i="1"/>
  <c r="JH129" i="1"/>
  <c r="JI129" i="1"/>
  <c r="JJ129" i="1"/>
  <c r="JK129" i="1"/>
  <c r="JL129" i="1"/>
  <c r="JM129" i="1"/>
  <c r="JN129" i="1"/>
  <c r="JO129" i="1"/>
  <c r="IP130" i="1"/>
  <c r="IQ130" i="1"/>
  <c r="IR130" i="1"/>
  <c r="IS130" i="1"/>
  <c r="IT130" i="1"/>
  <c r="IU130" i="1"/>
  <c r="IV130" i="1"/>
  <c r="IW130" i="1"/>
  <c r="IX130" i="1"/>
  <c r="IY130" i="1"/>
  <c r="IZ130" i="1"/>
  <c r="JA130" i="1"/>
  <c r="JB130" i="1"/>
  <c r="JC130" i="1"/>
  <c r="JD130" i="1"/>
  <c r="JE130" i="1"/>
  <c r="JF130" i="1"/>
  <c r="JG130" i="1"/>
  <c r="JH130" i="1"/>
  <c r="JI130" i="1"/>
  <c r="JJ130" i="1"/>
  <c r="JK130" i="1"/>
  <c r="JL130" i="1"/>
  <c r="JM130" i="1"/>
  <c r="JN130" i="1"/>
  <c r="JO130" i="1"/>
  <c r="IP131" i="1"/>
  <c r="IQ131" i="1"/>
  <c r="IR131" i="1"/>
  <c r="IS131" i="1"/>
  <c r="IT131" i="1"/>
  <c r="IU131" i="1"/>
  <c r="IV131" i="1"/>
  <c r="IW131" i="1"/>
  <c r="IX131" i="1"/>
  <c r="IY131" i="1"/>
  <c r="IZ131" i="1"/>
  <c r="JA131" i="1"/>
  <c r="JB131" i="1"/>
  <c r="JC131" i="1"/>
  <c r="JD131" i="1"/>
  <c r="JE131" i="1"/>
  <c r="JF131" i="1"/>
  <c r="JG131" i="1"/>
  <c r="JH131" i="1"/>
  <c r="JI131" i="1"/>
  <c r="JJ131" i="1"/>
  <c r="JK131" i="1"/>
  <c r="JL131" i="1"/>
  <c r="JM131" i="1"/>
  <c r="JN131" i="1"/>
  <c r="JO131" i="1"/>
  <c r="IP132" i="1"/>
  <c r="IQ132" i="1"/>
  <c r="IR132" i="1"/>
  <c r="IS132" i="1"/>
  <c r="IT132" i="1"/>
  <c r="IU132" i="1"/>
  <c r="IV132" i="1"/>
  <c r="IW132" i="1"/>
  <c r="IX132" i="1"/>
  <c r="IY132" i="1"/>
  <c r="IZ132" i="1"/>
  <c r="JA132" i="1"/>
  <c r="JB132" i="1"/>
  <c r="JC132" i="1"/>
  <c r="JD132" i="1"/>
  <c r="JE132" i="1"/>
  <c r="JF132" i="1"/>
  <c r="JG132" i="1"/>
  <c r="JH132" i="1"/>
  <c r="JI132" i="1"/>
  <c r="JJ132" i="1"/>
  <c r="JK132" i="1"/>
  <c r="JL132" i="1"/>
  <c r="JM132" i="1"/>
  <c r="JN132" i="1"/>
  <c r="JO132" i="1"/>
  <c r="IP133" i="1"/>
  <c r="IQ133" i="1"/>
  <c r="IR133" i="1"/>
  <c r="IS133" i="1"/>
  <c r="IT133" i="1"/>
  <c r="IU133" i="1"/>
  <c r="IV133" i="1"/>
  <c r="IW133" i="1"/>
  <c r="IX133" i="1"/>
  <c r="IY133" i="1"/>
  <c r="IZ133" i="1"/>
  <c r="JA133" i="1"/>
  <c r="JB133" i="1"/>
  <c r="JC133" i="1"/>
  <c r="JD133" i="1"/>
  <c r="JE133" i="1"/>
  <c r="JF133" i="1"/>
  <c r="JG133" i="1"/>
  <c r="JH133" i="1"/>
  <c r="JI133" i="1"/>
  <c r="JJ133" i="1"/>
  <c r="JK133" i="1"/>
  <c r="JL133" i="1"/>
  <c r="JM133" i="1"/>
  <c r="JN133" i="1"/>
  <c r="JO133" i="1"/>
  <c r="IP134" i="1"/>
  <c r="IQ134" i="1"/>
  <c r="IR134" i="1"/>
  <c r="IS134" i="1"/>
  <c r="IT134" i="1"/>
  <c r="IU134" i="1"/>
  <c r="IV134" i="1"/>
  <c r="IW134" i="1"/>
  <c r="IX134" i="1"/>
  <c r="IY134" i="1"/>
  <c r="IZ134" i="1"/>
  <c r="JA134" i="1"/>
  <c r="JB134" i="1"/>
  <c r="JC134" i="1"/>
  <c r="JD134" i="1"/>
  <c r="JE134" i="1"/>
  <c r="JF134" i="1"/>
  <c r="JG134" i="1"/>
  <c r="JH134" i="1"/>
  <c r="JI134" i="1"/>
  <c r="JJ134" i="1"/>
  <c r="JK134" i="1"/>
  <c r="JL134" i="1"/>
  <c r="JM134" i="1"/>
  <c r="JN134" i="1"/>
  <c r="JO134" i="1"/>
  <c r="IP135" i="1"/>
  <c r="IQ135" i="1"/>
  <c r="IR135" i="1"/>
  <c r="IS135" i="1"/>
  <c r="IT135" i="1"/>
  <c r="IU135" i="1"/>
  <c r="IV135" i="1"/>
  <c r="IW135" i="1"/>
  <c r="IX135" i="1"/>
  <c r="IY135" i="1"/>
  <c r="IZ135" i="1"/>
  <c r="JA135" i="1"/>
  <c r="JB135" i="1"/>
  <c r="JC135" i="1"/>
  <c r="JD135" i="1"/>
  <c r="JE135" i="1"/>
  <c r="JF135" i="1"/>
  <c r="JG135" i="1"/>
  <c r="JH135" i="1"/>
  <c r="JI135" i="1"/>
  <c r="JJ135" i="1"/>
  <c r="JK135" i="1"/>
  <c r="JL135" i="1"/>
  <c r="JM135" i="1"/>
  <c r="JN135" i="1"/>
  <c r="JO135" i="1"/>
  <c r="IP136" i="1"/>
  <c r="IQ136" i="1"/>
  <c r="IR136" i="1"/>
  <c r="IS136" i="1"/>
  <c r="IT136" i="1"/>
  <c r="IU136" i="1"/>
  <c r="IV136" i="1"/>
  <c r="IW136" i="1"/>
  <c r="IX136" i="1"/>
  <c r="IY136" i="1"/>
  <c r="IZ136" i="1"/>
  <c r="JA136" i="1"/>
  <c r="JB136" i="1"/>
  <c r="JC136" i="1"/>
  <c r="JD136" i="1"/>
  <c r="JE136" i="1"/>
  <c r="JF136" i="1"/>
  <c r="JG136" i="1"/>
  <c r="JH136" i="1"/>
  <c r="JI136" i="1"/>
  <c r="JJ136" i="1"/>
  <c r="JK136" i="1"/>
  <c r="JL136" i="1"/>
  <c r="JM136" i="1"/>
  <c r="JN136" i="1"/>
  <c r="JO136" i="1"/>
  <c r="IP137" i="1"/>
  <c r="IQ137" i="1"/>
  <c r="IR137" i="1"/>
  <c r="IS137" i="1"/>
  <c r="IT137" i="1"/>
  <c r="IU137" i="1"/>
  <c r="IV137" i="1"/>
  <c r="IW137" i="1"/>
  <c r="IX137" i="1"/>
  <c r="IY137" i="1"/>
  <c r="IZ137" i="1"/>
  <c r="JA137" i="1"/>
  <c r="JB137" i="1"/>
  <c r="JC137" i="1"/>
  <c r="JD137" i="1"/>
  <c r="JE137" i="1"/>
  <c r="JF137" i="1"/>
  <c r="JG137" i="1"/>
  <c r="JH137" i="1"/>
  <c r="JI137" i="1"/>
  <c r="JJ137" i="1"/>
  <c r="JK137" i="1"/>
  <c r="JL137" i="1"/>
  <c r="JM137" i="1"/>
  <c r="JN137" i="1"/>
  <c r="JO137" i="1"/>
  <c r="IP138" i="1"/>
  <c r="IQ138" i="1"/>
  <c r="IR138" i="1"/>
  <c r="IS138" i="1"/>
  <c r="IT138" i="1"/>
  <c r="IU138" i="1"/>
  <c r="IV138" i="1"/>
  <c r="IW138" i="1"/>
  <c r="IX138" i="1"/>
  <c r="IY138" i="1"/>
  <c r="IZ138" i="1"/>
  <c r="JA138" i="1"/>
  <c r="JB138" i="1"/>
  <c r="JC138" i="1"/>
  <c r="JD138" i="1"/>
  <c r="JE138" i="1"/>
  <c r="JF138" i="1"/>
  <c r="JG138" i="1"/>
  <c r="JH138" i="1"/>
  <c r="JI138" i="1"/>
  <c r="JJ138" i="1"/>
  <c r="JK138" i="1"/>
  <c r="JL138" i="1"/>
  <c r="JM138" i="1"/>
  <c r="JN138" i="1"/>
  <c r="JO138" i="1"/>
  <c r="IP139" i="1"/>
  <c r="IQ139" i="1"/>
  <c r="IR139" i="1"/>
  <c r="IS139" i="1"/>
  <c r="IT139" i="1"/>
  <c r="IU139" i="1"/>
  <c r="IV139" i="1"/>
  <c r="IW139" i="1"/>
  <c r="IX139" i="1"/>
  <c r="IY139" i="1"/>
  <c r="IZ139" i="1"/>
  <c r="JA139" i="1"/>
  <c r="JB139" i="1"/>
  <c r="JC139" i="1"/>
  <c r="JD139" i="1"/>
  <c r="JE139" i="1"/>
  <c r="JF139" i="1"/>
  <c r="JG139" i="1"/>
  <c r="JH139" i="1"/>
  <c r="JI139" i="1"/>
  <c r="JJ139" i="1"/>
  <c r="JK139" i="1"/>
  <c r="JL139" i="1"/>
  <c r="JM139" i="1"/>
  <c r="JN139" i="1"/>
  <c r="JO139" i="1"/>
  <c r="IP140" i="1"/>
  <c r="IQ140" i="1"/>
  <c r="IR140" i="1"/>
  <c r="IS140" i="1"/>
  <c r="IT140" i="1"/>
  <c r="IU140" i="1"/>
  <c r="IV140" i="1"/>
  <c r="IW140" i="1"/>
  <c r="IX140" i="1"/>
  <c r="IY140" i="1"/>
  <c r="IZ140" i="1"/>
  <c r="JA140" i="1"/>
  <c r="JB140" i="1"/>
  <c r="JC140" i="1"/>
  <c r="JD140" i="1"/>
  <c r="JE140" i="1"/>
  <c r="JF140" i="1"/>
  <c r="JG140" i="1"/>
  <c r="JH140" i="1"/>
  <c r="JI140" i="1"/>
  <c r="JJ140" i="1"/>
  <c r="JK140" i="1"/>
  <c r="JL140" i="1"/>
  <c r="JM140" i="1"/>
  <c r="JN140" i="1"/>
  <c r="JO140" i="1"/>
  <c r="IP141" i="1"/>
  <c r="IQ141" i="1"/>
  <c r="IR141" i="1"/>
  <c r="IS141" i="1"/>
  <c r="IT141" i="1"/>
  <c r="IU141" i="1"/>
  <c r="IV141" i="1"/>
  <c r="IW141" i="1"/>
  <c r="IX141" i="1"/>
  <c r="IY141" i="1"/>
  <c r="IZ141" i="1"/>
  <c r="JA141" i="1"/>
  <c r="JB141" i="1"/>
  <c r="JC141" i="1"/>
  <c r="JD141" i="1"/>
  <c r="JE141" i="1"/>
  <c r="JF141" i="1"/>
  <c r="JG141" i="1"/>
  <c r="JH141" i="1"/>
  <c r="JI141" i="1"/>
  <c r="JJ141" i="1"/>
  <c r="JK141" i="1"/>
  <c r="JL141" i="1"/>
  <c r="JM141" i="1"/>
  <c r="JN141" i="1"/>
  <c r="JO141" i="1"/>
  <c r="IP142" i="1"/>
  <c r="IQ142" i="1"/>
  <c r="IR142" i="1"/>
  <c r="IS142" i="1"/>
  <c r="IT142" i="1"/>
  <c r="IU142" i="1"/>
  <c r="IV142" i="1"/>
  <c r="IW142" i="1"/>
  <c r="IX142" i="1"/>
  <c r="IY142" i="1"/>
  <c r="IZ142" i="1"/>
  <c r="JA142" i="1"/>
  <c r="JB142" i="1"/>
  <c r="JC142" i="1"/>
  <c r="JD142" i="1"/>
  <c r="JE142" i="1"/>
  <c r="JF142" i="1"/>
  <c r="JG142" i="1"/>
  <c r="JH142" i="1"/>
  <c r="JI142" i="1"/>
  <c r="JJ142" i="1"/>
  <c r="JK142" i="1"/>
  <c r="JL142" i="1"/>
  <c r="JM142" i="1"/>
  <c r="JN142" i="1"/>
  <c r="JO142" i="1"/>
  <c r="IP143" i="1"/>
  <c r="IQ143" i="1"/>
  <c r="IR143" i="1"/>
  <c r="IS143" i="1"/>
  <c r="IT143" i="1"/>
  <c r="IU143" i="1"/>
  <c r="IV143" i="1"/>
  <c r="IW143" i="1"/>
  <c r="IX143" i="1"/>
  <c r="IY143" i="1"/>
  <c r="IZ143" i="1"/>
  <c r="JA143" i="1"/>
  <c r="JB143" i="1"/>
  <c r="JC143" i="1"/>
  <c r="JD143" i="1"/>
  <c r="JE143" i="1"/>
  <c r="JF143" i="1"/>
  <c r="JG143" i="1"/>
  <c r="JH143" i="1"/>
  <c r="JI143" i="1"/>
  <c r="JJ143" i="1"/>
  <c r="JK143" i="1"/>
  <c r="JL143" i="1"/>
  <c r="JM143" i="1"/>
  <c r="JN143" i="1"/>
  <c r="JO143" i="1"/>
  <c r="IP144" i="1"/>
  <c r="IQ144" i="1"/>
  <c r="IR144" i="1"/>
  <c r="IS144" i="1"/>
  <c r="IT144" i="1"/>
  <c r="IU144" i="1"/>
  <c r="IV144" i="1"/>
  <c r="IW144" i="1"/>
  <c r="IX144" i="1"/>
  <c r="IY144" i="1"/>
  <c r="IZ144" i="1"/>
  <c r="JA144" i="1"/>
  <c r="JB144" i="1"/>
  <c r="JC144" i="1"/>
  <c r="JD144" i="1"/>
  <c r="JE144" i="1"/>
  <c r="JF144" i="1"/>
  <c r="JG144" i="1"/>
  <c r="JH144" i="1"/>
  <c r="JI144" i="1"/>
  <c r="JJ144" i="1"/>
  <c r="JK144" i="1"/>
  <c r="JL144" i="1"/>
  <c r="JM144" i="1"/>
  <c r="JN144" i="1"/>
  <c r="JO144" i="1"/>
  <c r="IP145" i="1"/>
  <c r="IQ145" i="1"/>
  <c r="IR145" i="1"/>
  <c r="IS145" i="1"/>
  <c r="IT145" i="1"/>
  <c r="IU145" i="1"/>
  <c r="IV145" i="1"/>
  <c r="IW145" i="1"/>
  <c r="IX145" i="1"/>
  <c r="IY145" i="1"/>
  <c r="IZ145" i="1"/>
  <c r="JA145" i="1"/>
  <c r="JB145" i="1"/>
  <c r="JC145" i="1"/>
  <c r="JD145" i="1"/>
  <c r="JE145" i="1"/>
  <c r="JF145" i="1"/>
  <c r="JG145" i="1"/>
  <c r="JH145" i="1"/>
  <c r="JI145" i="1"/>
  <c r="JJ145" i="1"/>
  <c r="JK145" i="1"/>
  <c r="JL145" i="1"/>
  <c r="JM145" i="1"/>
  <c r="JN145" i="1"/>
  <c r="JO145" i="1"/>
  <c r="IP146" i="1"/>
  <c r="IQ146" i="1"/>
  <c r="IR146" i="1"/>
  <c r="IS146" i="1"/>
  <c r="IT146" i="1"/>
  <c r="IU146" i="1"/>
  <c r="IV146" i="1"/>
  <c r="IW146" i="1"/>
  <c r="IX146" i="1"/>
  <c r="IY146" i="1"/>
  <c r="IZ146" i="1"/>
  <c r="JA146" i="1"/>
  <c r="JB146" i="1"/>
  <c r="JC146" i="1"/>
  <c r="JD146" i="1"/>
  <c r="JE146" i="1"/>
  <c r="JF146" i="1"/>
  <c r="JG146" i="1"/>
  <c r="JH146" i="1"/>
  <c r="JI146" i="1"/>
  <c r="JJ146" i="1"/>
  <c r="JK146" i="1"/>
  <c r="JL146" i="1"/>
  <c r="JM146" i="1"/>
  <c r="JN146" i="1"/>
  <c r="JO146" i="1"/>
  <c r="IP147" i="1"/>
  <c r="IQ147" i="1"/>
  <c r="IR147" i="1"/>
  <c r="IS147" i="1"/>
  <c r="IT147" i="1"/>
  <c r="IU147" i="1"/>
  <c r="IV147" i="1"/>
  <c r="IW147" i="1"/>
  <c r="IX147" i="1"/>
  <c r="IY147" i="1"/>
  <c r="IZ147" i="1"/>
  <c r="JA147" i="1"/>
  <c r="JB147" i="1"/>
  <c r="JC147" i="1"/>
  <c r="JD147" i="1"/>
  <c r="JE147" i="1"/>
  <c r="JF147" i="1"/>
  <c r="JG147" i="1"/>
  <c r="JH147" i="1"/>
  <c r="JI147" i="1"/>
  <c r="JJ147" i="1"/>
  <c r="JK147" i="1"/>
  <c r="JL147" i="1"/>
  <c r="JM147" i="1"/>
  <c r="JN147" i="1"/>
  <c r="JO147" i="1"/>
  <c r="IP148" i="1"/>
  <c r="IQ148" i="1"/>
  <c r="IR148" i="1"/>
  <c r="IS148" i="1"/>
  <c r="IT148" i="1"/>
  <c r="IU148" i="1"/>
  <c r="IV148" i="1"/>
  <c r="IW148" i="1"/>
  <c r="IX148" i="1"/>
  <c r="IY148" i="1"/>
  <c r="IZ148" i="1"/>
  <c r="JA148" i="1"/>
  <c r="JB148" i="1"/>
  <c r="JC148" i="1"/>
  <c r="JD148" i="1"/>
  <c r="JE148" i="1"/>
  <c r="JF148" i="1"/>
  <c r="JG148" i="1"/>
  <c r="JH148" i="1"/>
  <c r="JI148" i="1"/>
  <c r="JJ148" i="1"/>
  <c r="JK148" i="1"/>
  <c r="JL148" i="1"/>
  <c r="JM148" i="1"/>
  <c r="JN148" i="1"/>
  <c r="JO148" i="1"/>
  <c r="IP149" i="1"/>
  <c r="IQ149" i="1"/>
  <c r="IR149" i="1"/>
  <c r="IS149" i="1"/>
  <c r="IT149" i="1"/>
  <c r="IU149" i="1"/>
  <c r="IV149" i="1"/>
  <c r="IW149" i="1"/>
  <c r="IX149" i="1"/>
  <c r="IY149" i="1"/>
  <c r="IZ149" i="1"/>
  <c r="JA149" i="1"/>
  <c r="JB149" i="1"/>
  <c r="JC149" i="1"/>
  <c r="JD149" i="1"/>
  <c r="JE149" i="1"/>
  <c r="JF149" i="1"/>
  <c r="JG149" i="1"/>
  <c r="JH149" i="1"/>
  <c r="JI149" i="1"/>
  <c r="JJ149" i="1"/>
  <c r="JK149" i="1"/>
  <c r="JL149" i="1"/>
  <c r="JM149" i="1"/>
  <c r="JN149" i="1"/>
  <c r="JO149" i="1"/>
  <c r="IP150" i="1"/>
  <c r="IQ150" i="1"/>
  <c r="IR150" i="1"/>
  <c r="IS150" i="1"/>
  <c r="IT150" i="1"/>
  <c r="IU150" i="1"/>
  <c r="IV150" i="1"/>
  <c r="IW150" i="1"/>
  <c r="IX150" i="1"/>
  <c r="IY150" i="1"/>
  <c r="IZ150" i="1"/>
  <c r="JA150" i="1"/>
  <c r="JB150" i="1"/>
  <c r="JC150" i="1"/>
  <c r="JD150" i="1"/>
  <c r="JE150" i="1"/>
  <c r="JF150" i="1"/>
  <c r="JG150" i="1"/>
  <c r="JH150" i="1"/>
  <c r="JI150" i="1"/>
  <c r="JJ150" i="1"/>
  <c r="JK150" i="1"/>
  <c r="JL150" i="1"/>
  <c r="JM150" i="1"/>
  <c r="JN150" i="1"/>
  <c r="JO150" i="1"/>
  <c r="IP151" i="1"/>
  <c r="IQ151" i="1"/>
  <c r="IR151" i="1"/>
  <c r="IS151" i="1"/>
  <c r="IT151" i="1"/>
  <c r="IU151" i="1"/>
  <c r="IV151" i="1"/>
  <c r="IW151" i="1"/>
  <c r="IX151" i="1"/>
  <c r="IY151" i="1"/>
  <c r="IZ151" i="1"/>
  <c r="JA151" i="1"/>
  <c r="JB151" i="1"/>
  <c r="JC151" i="1"/>
  <c r="JD151" i="1"/>
  <c r="JE151" i="1"/>
  <c r="JF151" i="1"/>
  <c r="JG151" i="1"/>
  <c r="JH151" i="1"/>
  <c r="JI151" i="1"/>
  <c r="JJ151" i="1"/>
  <c r="JK151" i="1"/>
  <c r="JL151" i="1"/>
  <c r="JM151" i="1"/>
  <c r="JN151" i="1"/>
  <c r="JO151" i="1"/>
  <c r="IP152" i="1"/>
  <c r="IQ152" i="1"/>
  <c r="IR152" i="1"/>
  <c r="IS152" i="1"/>
  <c r="IT152" i="1"/>
  <c r="IU152" i="1"/>
  <c r="IV152" i="1"/>
  <c r="IW152" i="1"/>
  <c r="IX152" i="1"/>
  <c r="IY152" i="1"/>
  <c r="IZ152" i="1"/>
  <c r="JA152" i="1"/>
  <c r="JB152" i="1"/>
  <c r="JC152" i="1"/>
  <c r="JD152" i="1"/>
  <c r="JE152" i="1"/>
  <c r="JF152" i="1"/>
  <c r="JG152" i="1"/>
  <c r="JH152" i="1"/>
  <c r="JI152" i="1"/>
  <c r="JJ152" i="1"/>
  <c r="JK152" i="1"/>
  <c r="JL152" i="1"/>
  <c r="JM152" i="1"/>
  <c r="JN152" i="1"/>
  <c r="JO152" i="1"/>
  <c r="IP153" i="1"/>
  <c r="IQ153" i="1"/>
  <c r="IR153" i="1"/>
  <c r="IS153" i="1"/>
  <c r="IT153" i="1"/>
  <c r="IU153" i="1"/>
  <c r="IV153" i="1"/>
  <c r="IW153" i="1"/>
  <c r="IX153" i="1"/>
  <c r="IY153" i="1"/>
  <c r="IZ153" i="1"/>
  <c r="JA153" i="1"/>
  <c r="JB153" i="1"/>
  <c r="JC153" i="1"/>
  <c r="JD153" i="1"/>
  <c r="JE153" i="1"/>
  <c r="JF153" i="1"/>
  <c r="JG153" i="1"/>
  <c r="JH153" i="1"/>
  <c r="JI153" i="1"/>
  <c r="JJ153" i="1"/>
  <c r="JK153" i="1"/>
  <c r="JL153" i="1"/>
  <c r="JM153" i="1"/>
  <c r="JN153" i="1"/>
  <c r="JO153" i="1"/>
  <c r="IP154" i="1"/>
  <c r="IQ154" i="1"/>
  <c r="IR154" i="1"/>
  <c r="IS154" i="1"/>
  <c r="IT154" i="1"/>
  <c r="IU154" i="1"/>
  <c r="IV154" i="1"/>
  <c r="IW154" i="1"/>
  <c r="IX154" i="1"/>
  <c r="IY154" i="1"/>
  <c r="IZ154" i="1"/>
  <c r="JA154" i="1"/>
  <c r="JB154" i="1"/>
  <c r="JC154" i="1"/>
  <c r="JD154" i="1"/>
  <c r="JE154" i="1"/>
  <c r="JF154" i="1"/>
  <c r="JG154" i="1"/>
  <c r="JH154" i="1"/>
  <c r="JI154" i="1"/>
  <c r="JJ154" i="1"/>
  <c r="JK154" i="1"/>
  <c r="JL154" i="1"/>
  <c r="JM154" i="1"/>
  <c r="JN154" i="1"/>
  <c r="JO154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IP156" i="1"/>
  <c r="IQ156" i="1"/>
  <c r="IR156" i="1"/>
  <c r="IS156" i="1"/>
  <c r="IT156" i="1"/>
  <c r="IU156" i="1"/>
  <c r="IV156" i="1"/>
  <c r="IW156" i="1"/>
  <c r="IX156" i="1"/>
  <c r="IY156" i="1"/>
  <c r="IZ156" i="1"/>
  <c r="JA156" i="1"/>
  <c r="JB156" i="1"/>
  <c r="JC156" i="1"/>
  <c r="JD156" i="1"/>
  <c r="JE156" i="1"/>
  <c r="JF156" i="1"/>
  <c r="JG156" i="1"/>
  <c r="JH156" i="1"/>
  <c r="JI156" i="1"/>
  <c r="JJ156" i="1"/>
  <c r="JK156" i="1"/>
  <c r="JL156" i="1"/>
  <c r="JM156" i="1"/>
  <c r="JN156" i="1"/>
  <c r="JO156" i="1"/>
  <c r="IP157" i="1"/>
  <c r="IQ157" i="1"/>
  <c r="IR157" i="1"/>
  <c r="IS157" i="1"/>
  <c r="IT157" i="1"/>
  <c r="IU157" i="1"/>
  <c r="IV157" i="1"/>
  <c r="IW157" i="1"/>
  <c r="IX157" i="1"/>
  <c r="IY157" i="1"/>
  <c r="IZ157" i="1"/>
  <c r="JA157" i="1"/>
  <c r="JB157" i="1"/>
  <c r="JC157" i="1"/>
  <c r="JD157" i="1"/>
  <c r="JE157" i="1"/>
  <c r="JF157" i="1"/>
  <c r="JG157" i="1"/>
  <c r="JH157" i="1"/>
  <c r="JI157" i="1"/>
  <c r="JJ157" i="1"/>
  <c r="JK157" i="1"/>
  <c r="JL157" i="1"/>
  <c r="JM157" i="1"/>
  <c r="JN157" i="1"/>
  <c r="JO157" i="1"/>
  <c r="IP158" i="1"/>
  <c r="IQ158" i="1"/>
  <c r="IR158" i="1"/>
  <c r="IS158" i="1"/>
  <c r="IT158" i="1"/>
  <c r="IU158" i="1"/>
  <c r="IV158" i="1"/>
  <c r="IW158" i="1"/>
  <c r="IX158" i="1"/>
  <c r="IY158" i="1"/>
  <c r="IZ158" i="1"/>
  <c r="JA158" i="1"/>
  <c r="JB158" i="1"/>
  <c r="JC158" i="1"/>
  <c r="JD158" i="1"/>
  <c r="JE158" i="1"/>
  <c r="JF158" i="1"/>
  <c r="JG158" i="1"/>
  <c r="JH158" i="1"/>
  <c r="JI158" i="1"/>
  <c r="JJ158" i="1"/>
  <c r="JK158" i="1"/>
  <c r="JL158" i="1"/>
  <c r="JM158" i="1"/>
  <c r="JN158" i="1"/>
  <c r="JO158" i="1"/>
  <c r="IP159" i="1"/>
  <c r="IQ159" i="1"/>
  <c r="IR159" i="1"/>
  <c r="IS159" i="1"/>
  <c r="IT159" i="1"/>
  <c r="IU159" i="1"/>
  <c r="IV159" i="1"/>
  <c r="IW159" i="1"/>
  <c r="IX159" i="1"/>
  <c r="IY159" i="1"/>
  <c r="IZ159" i="1"/>
  <c r="JA159" i="1"/>
  <c r="JB159" i="1"/>
  <c r="JC159" i="1"/>
  <c r="JD159" i="1"/>
  <c r="JE159" i="1"/>
  <c r="JF159" i="1"/>
  <c r="JG159" i="1"/>
  <c r="JH159" i="1"/>
  <c r="JI159" i="1"/>
  <c r="JJ159" i="1"/>
  <c r="JK159" i="1"/>
  <c r="JL159" i="1"/>
  <c r="JM159" i="1"/>
  <c r="JN159" i="1"/>
  <c r="JO159" i="1"/>
  <c r="IP160" i="1"/>
  <c r="IQ160" i="1"/>
  <c r="IR160" i="1"/>
  <c r="IS160" i="1"/>
  <c r="IT160" i="1"/>
  <c r="IU160" i="1"/>
  <c r="IV160" i="1"/>
  <c r="IW160" i="1"/>
  <c r="IX160" i="1"/>
  <c r="IY160" i="1"/>
  <c r="IZ160" i="1"/>
  <c r="JA160" i="1"/>
  <c r="JB160" i="1"/>
  <c r="JC160" i="1"/>
  <c r="JD160" i="1"/>
  <c r="JE160" i="1"/>
  <c r="JF160" i="1"/>
  <c r="JG160" i="1"/>
  <c r="JH160" i="1"/>
  <c r="JI160" i="1"/>
  <c r="JJ160" i="1"/>
  <c r="JK160" i="1"/>
  <c r="JL160" i="1"/>
  <c r="JM160" i="1"/>
  <c r="JN160" i="1"/>
  <c r="JO160" i="1"/>
  <c r="IP161" i="1"/>
  <c r="IQ161" i="1"/>
  <c r="IR161" i="1"/>
  <c r="IS161" i="1"/>
  <c r="IT161" i="1"/>
  <c r="IU161" i="1"/>
  <c r="IV161" i="1"/>
  <c r="IW161" i="1"/>
  <c r="IX161" i="1"/>
  <c r="IY161" i="1"/>
  <c r="IZ161" i="1"/>
  <c r="JA161" i="1"/>
  <c r="JB161" i="1"/>
  <c r="JC161" i="1"/>
  <c r="JD161" i="1"/>
  <c r="JE161" i="1"/>
  <c r="JF161" i="1"/>
  <c r="JG161" i="1"/>
  <c r="JH161" i="1"/>
  <c r="JI161" i="1"/>
  <c r="JJ161" i="1"/>
  <c r="JK161" i="1"/>
  <c r="JL161" i="1"/>
  <c r="JM161" i="1"/>
  <c r="JN161" i="1"/>
  <c r="JO161" i="1"/>
  <c r="IP162" i="1"/>
  <c r="IQ162" i="1"/>
  <c r="IR162" i="1"/>
  <c r="IS162" i="1"/>
  <c r="IT162" i="1"/>
  <c r="IU162" i="1"/>
  <c r="IV162" i="1"/>
  <c r="IW162" i="1"/>
  <c r="IX162" i="1"/>
  <c r="IY162" i="1"/>
  <c r="IZ162" i="1"/>
  <c r="JA162" i="1"/>
  <c r="JB162" i="1"/>
  <c r="JC162" i="1"/>
  <c r="JD162" i="1"/>
  <c r="JE162" i="1"/>
  <c r="JF162" i="1"/>
  <c r="JG162" i="1"/>
  <c r="JH162" i="1"/>
  <c r="JI162" i="1"/>
  <c r="JJ162" i="1"/>
  <c r="JK162" i="1"/>
  <c r="JL162" i="1"/>
  <c r="JM162" i="1"/>
  <c r="JN162" i="1"/>
  <c r="JO162" i="1"/>
  <c r="IP163" i="1"/>
  <c r="IQ163" i="1"/>
  <c r="IR163" i="1"/>
  <c r="IS163" i="1"/>
  <c r="IT163" i="1"/>
  <c r="IU163" i="1"/>
  <c r="IV163" i="1"/>
  <c r="IW163" i="1"/>
  <c r="IX163" i="1"/>
  <c r="IY163" i="1"/>
  <c r="IZ163" i="1"/>
  <c r="JA163" i="1"/>
  <c r="JB163" i="1"/>
  <c r="JC163" i="1"/>
  <c r="JD163" i="1"/>
  <c r="JE163" i="1"/>
  <c r="JF163" i="1"/>
  <c r="JG163" i="1"/>
  <c r="JH163" i="1"/>
  <c r="JI163" i="1"/>
  <c r="JJ163" i="1"/>
  <c r="JK163" i="1"/>
  <c r="JL163" i="1"/>
  <c r="JM163" i="1"/>
  <c r="JN163" i="1"/>
  <c r="JO163" i="1"/>
  <c r="IP164" i="1"/>
  <c r="IQ164" i="1"/>
  <c r="IR164" i="1"/>
  <c r="IS164" i="1"/>
  <c r="IT164" i="1"/>
  <c r="IU164" i="1"/>
  <c r="IV164" i="1"/>
  <c r="IW164" i="1"/>
  <c r="IX164" i="1"/>
  <c r="IY164" i="1"/>
  <c r="IZ164" i="1"/>
  <c r="JA164" i="1"/>
  <c r="JB164" i="1"/>
  <c r="JC164" i="1"/>
  <c r="JD164" i="1"/>
  <c r="JE164" i="1"/>
  <c r="JF164" i="1"/>
  <c r="JG164" i="1"/>
  <c r="JH164" i="1"/>
  <c r="JI164" i="1"/>
  <c r="JJ164" i="1"/>
  <c r="JK164" i="1"/>
  <c r="JL164" i="1"/>
  <c r="JM164" i="1"/>
  <c r="JN164" i="1"/>
  <c r="JO164" i="1"/>
  <c r="IP165" i="1"/>
  <c r="IQ165" i="1"/>
  <c r="IR165" i="1"/>
  <c r="IS165" i="1"/>
  <c r="IT165" i="1"/>
  <c r="IU165" i="1"/>
  <c r="IV165" i="1"/>
  <c r="IW165" i="1"/>
  <c r="IX165" i="1"/>
  <c r="IY165" i="1"/>
  <c r="IZ165" i="1"/>
  <c r="JA165" i="1"/>
  <c r="JB165" i="1"/>
  <c r="JC165" i="1"/>
  <c r="JD165" i="1"/>
  <c r="JE165" i="1"/>
  <c r="JF165" i="1"/>
  <c r="JG165" i="1"/>
  <c r="JH165" i="1"/>
  <c r="JI165" i="1"/>
  <c r="JJ165" i="1"/>
  <c r="JK165" i="1"/>
  <c r="JL165" i="1"/>
  <c r="JM165" i="1"/>
  <c r="JN165" i="1"/>
  <c r="JO165" i="1"/>
  <c r="IP166" i="1"/>
  <c r="IQ166" i="1"/>
  <c r="IR166" i="1"/>
  <c r="IS166" i="1"/>
  <c r="IT166" i="1"/>
  <c r="IU166" i="1"/>
  <c r="IV166" i="1"/>
  <c r="IW166" i="1"/>
  <c r="IX166" i="1"/>
  <c r="IY166" i="1"/>
  <c r="IZ166" i="1"/>
  <c r="JA166" i="1"/>
  <c r="JB166" i="1"/>
  <c r="JC166" i="1"/>
  <c r="JD166" i="1"/>
  <c r="JE166" i="1"/>
  <c r="JF166" i="1"/>
  <c r="JG166" i="1"/>
  <c r="JH166" i="1"/>
  <c r="JI166" i="1"/>
  <c r="JJ166" i="1"/>
  <c r="JK166" i="1"/>
  <c r="JL166" i="1"/>
  <c r="JM166" i="1"/>
  <c r="JN166" i="1"/>
  <c r="JO166" i="1"/>
  <c r="IP167" i="1"/>
  <c r="IQ167" i="1"/>
  <c r="IR167" i="1"/>
  <c r="IS167" i="1"/>
  <c r="IT167" i="1"/>
  <c r="IU167" i="1"/>
  <c r="IV167" i="1"/>
  <c r="IW167" i="1"/>
  <c r="IX167" i="1"/>
  <c r="IY167" i="1"/>
  <c r="IZ167" i="1"/>
  <c r="JA167" i="1"/>
  <c r="JB167" i="1"/>
  <c r="JC167" i="1"/>
  <c r="JD167" i="1"/>
  <c r="JE167" i="1"/>
  <c r="JF167" i="1"/>
  <c r="JG167" i="1"/>
  <c r="JH167" i="1"/>
  <c r="JI167" i="1"/>
  <c r="JJ167" i="1"/>
  <c r="JK167" i="1"/>
  <c r="JL167" i="1"/>
  <c r="JM167" i="1"/>
  <c r="JN167" i="1"/>
  <c r="JO167" i="1"/>
  <c r="IP168" i="1"/>
  <c r="IQ168" i="1"/>
  <c r="IR168" i="1"/>
  <c r="IS168" i="1"/>
  <c r="IT168" i="1"/>
  <c r="IU168" i="1"/>
  <c r="IV168" i="1"/>
  <c r="IW168" i="1"/>
  <c r="IX168" i="1"/>
  <c r="IY168" i="1"/>
  <c r="IZ168" i="1"/>
  <c r="JA168" i="1"/>
  <c r="JB168" i="1"/>
  <c r="JC168" i="1"/>
  <c r="JD168" i="1"/>
  <c r="JE168" i="1"/>
  <c r="JF168" i="1"/>
  <c r="JG168" i="1"/>
  <c r="JH168" i="1"/>
  <c r="JI168" i="1"/>
  <c r="JJ168" i="1"/>
  <c r="JK168" i="1"/>
  <c r="JL168" i="1"/>
  <c r="JM168" i="1"/>
  <c r="JN168" i="1"/>
  <c r="JO168" i="1"/>
  <c r="IP169" i="1"/>
  <c r="IQ169" i="1"/>
  <c r="IR169" i="1"/>
  <c r="IS169" i="1"/>
  <c r="IT169" i="1"/>
  <c r="IU169" i="1"/>
  <c r="IV169" i="1"/>
  <c r="IW169" i="1"/>
  <c r="IX169" i="1"/>
  <c r="IY169" i="1"/>
  <c r="IZ169" i="1"/>
  <c r="JA169" i="1"/>
  <c r="JB169" i="1"/>
  <c r="JC169" i="1"/>
  <c r="JD169" i="1"/>
  <c r="JE169" i="1"/>
  <c r="JF169" i="1"/>
  <c r="JG169" i="1"/>
  <c r="JH169" i="1"/>
  <c r="JI169" i="1"/>
  <c r="JJ169" i="1"/>
  <c r="JK169" i="1"/>
  <c r="JL169" i="1"/>
  <c r="JM169" i="1"/>
  <c r="JN169" i="1"/>
  <c r="JO169" i="1"/>
  <c r="IP170" i="1"/>
  <c r="IQ170" i="1"/>
  <c r="IR170" i="1"/>
  <c r="IS170" i="1"/>
  <c r="IT170" i="1"/>
  <c r="IU170" i="1"/>
  <c r="IV170" i="1"/>
  <c r="IW170" i="1"/>
  <c r="IX170" i="1"/>
  <c r="IY170" i="1"/>
  <c r="IZ170" i="1"/>
  <c r="JA170" i="1"/>
  <c r="JB170" i="1"/>
  <c r="JC170" i="1"/>
  <c r="JD170" i="1"/>
  <c r="JE170" i="1"/>
  <c r="JF170" i="1"/>
  <c r="JG170" i="1"/>
  <c r="JH170" i="1"/>
  <c r="JI170" i="1"/>
  <c r="JJ170" i="1"/>
  <c r="JK170" i="1"/>
  <c r="JL170" i="1"/>
  <c r="JM170" i="1"/>
  <c r="JN170" i="1"/>
  <c r="JO170" i="1"/>
  <c r="IP171" i="1"/>
  <c r="IQ171" i="1"/>
  <c r="IR171" i="1"/>
  <c r="IS171" i="1"/>
  <c r="IT171" i="1"/>
  <c r="IU171" i="1"/>
  <c r="IV171" i="1"/>
  <c r="IW171" i="1"/>
  <c r="IX171" i="1"/>
  <c r="IY171" i="1"/>
  <c r="IZ171" i="1"/>
  <c r="JA171" i="1"/>
  <c r="JB171" i="1"/>
  <c r="JC171" i="1"/>
  <c r="JD171" i="1"/>
  <c r="JE171" i="1"/>
  <c r="JF171" i="1"/>
  <c r="JG171" i="1"/>
  <c r="JH171" i="1"/>
  <c r="JI171" i="1"/>
  <c r="JJ171" i="1"/>
  <c r="JK171" i="1"/>
  <c r="JL171" i="1"/>
  <c r="JM171" i="1"/>
  <c r="JN171" i="1"/>
  <c r="JO171" i="1"/>
  <c r="IP172" i="1"/>
  <c r="IQ172" i="1"/>
  <c r="IR172" i="1"/>
  <c r="IS172" i="1"/>
  <c r="IT172" i="1"/>
  <c r="IU172" i="1"/>
  <c r="IV172" i="1"/>
  <c r="IW172" i="1"/>
  <c r="IX172" i="1"/>
  <c r="IY172" i="1"/>
  <c r="IZ172" i="1"/>
  <c r="JA172" i="1"/>
  <c r="JB172" i="1"/>
  <c r="JC172" i="1"/>
  <c r="JD172" i="1"/>
  <c r="JE172" i="1"/>
  <c r="JF172" i="1"/>
  <c r="JG172" i="1"/>
  <c r="JH172" i="1"/>
  <c r="JI172" i="1"/>
  <c r="JJ172" i="1"/>
  <c r="JK172" i="1"/>
  <c r="JL172" i="1"/>
  <c r="JM172" i="1"/>
  <c r="JN172" i="1"/>
  <c r="JO172" i="1"/>
  <c r="IP173" i="1"/>
  <c r="IQ173" i="1"/>
  <c r="IR173" i="1"/>
  <c r="IS173" i="1"/>
  <c r="IT173" i="1"/>
  <c r="IU173" i="1"/>
  <c r="IV173" i="1"/>
  <c r="IW173" i="1"/>
  <c r="IX173" i="1"/>
  <c r="IY173" i="1"/>
  <c r="IZ173" i="1"/>
  <c r="JA173" i="1"/>
  <c r="JB173" i="1"/>
  <c r="JC173" i="1"/>
  <c r="JD173" i="1"/>
  <c r="JE173" i="1"/>
  <c r="JF173" i="1"/>
  <c r="JG173" i="1"/>
  <c r="JH173" i="1"/>
  <c r="JI173" i="1"/>
  <c r="JJ173" i="1"/>
  <c r="JK173" i="1"/>
  <c r="JL173" i="1"/>
  <c r="JM173" i="1"/>
  <c r="JN173" i="1"/>
  <c r="JO173" i="1"/>
  <c r="IP174" i="1"/>
  <c r="IQ174" i="1"/>
  <c r="IR174" i="1"/>
  <c r="IS174" i="1"/>
  <c r="IT174" i="1"/>
  <c r="IU174" i="1"/>
  <c r="IV174" i="1"/>
  <c r="IW174" i="1"/>
  <c r="IX174" i="1"/>
  <c r="IY174" i="1"/>
  <c r="IZ174" i="1"/>
  <c r="JA174" i="1"/>
  <c r="JB174" i="1"/>
  <c r="JC174" i="1"/>
  <c r="JD174" i="1"/>
  <c r="JE174" i="1"/>
  <c r="JF174" i="1"/>
  <c r="JG174" i="1"/>
  <c r="JH174" i="1"/>
  <c r="JI174" i="1"/>
  <c r="JJ174" i="1"/>
  <c r="JK174" i="1"/>
  <c r="JL174" i="1"/>
  <c r="JM174" i="1"/>
  <c r="JN174" i="1"/>
  <c r="JO174" i="1"/>
  <c r="IP175" i="1"/>
  <c r="IQ175" i="1"/>
  <c r="IR175" i="1"/>
  <c r="IS175" i="1"/>
  <c r="IT175" i="1"/>
  <c r="IU175" i="1"/>
  <c r="IV175" i="1"/>
  <c r="IW175" i="1"/>
  <c r="IX175" i="1"/>
  <c r="IY175" i="1"/>
  <c r="IZ175" i="1"/>
  <c r="JA175" i="1"/>
  <c r="JB175" i="1"/>
  <c r="JC175" i="1"/>
  <c r="JD175" i="1"/>
  <c r="JE175" i="1"/>
  <c r="JF175" i="1"/>
  <c r="JG175" i="1"/>
  <c r="JH175" i="1"/>
  <c r="JI175" i="1"/>
  <c r="JJ175" i="1"/>
  <c r="JK175" i="1"/>
  <c r="JL175" i="1"/>
  <c r="JM175" i="1"/>
  <c r="JN175" i="1"/>
  <c r="JO175" i="1"/>
  <c r="IP176" i="1"/>
  <c r="IQ176" i="1"/>
  <c r="IR176" i="1"/>
  <c r="IS176" i="1"/>
  <c r="IT176" i="1"/>
  <c r="IU176" i="1"/>
  <c r="IV176" i="1"/>
  <c r="IW176" i="1"/>
  <c r="IX176" i="1"/>
  <c r="IY176" i="1"/>
  <c r="IZ176" i="1"/>
  <c r="JA176" i="1"/>
  <c r="JB176" i="1"/>
  <c r="JC176" i="1"/>
  <c r="JD176" i="1"/>
  <c r="JE176" i="1"/>
  <c r="JF176" i="1"/>
  <c r="JG176" i="1"/>
  <c r="JH176" i="1"/>
  <c r="JI176" i="1"/>
  <c r="JJ176" i="1"/>
  <c r="JK176" i="1"/>
  <c r="JL176" i="1"/>
  <c r="JM176" i="1"/>
  <c r="JN176" i="1"/>
  <c r="JO176" i="1"/>
  <c r="IP177" i="1"/>
  <c r="IQ177" i="1"/>
  <c r="IR177" i="1"/>
  <c r="IS177" i="1"/>
  <c r="IT177" i="1"/>
  <c r="IU177" i="1"/>
  <c r="IV177" i="1"/>
  <c r="IW177" i="1"/>
  <c r="IX177" i="1"/>
  <c r="IY177" i="1"/>
  <c r="IZ177" i="1"/>
  <c r="JA177" i="1"/>
  <c r="JB177" i="1"/>
  <c r="JC177" i="1"/>
  <c r="JD177" i="1"/>
  <c r="JE177" i="1"/>
  <c r="JF177" i="1"/>
  <c r="JG177" i="1"/>
  <c r="JH177" i="1"/>
  <c r="JI177" i="1"/>
  <c r="JJ177" i="1"/>
  <c r="JK177" i="1"/>
  <c r="JL177" i="1"/>
  <c r="JM177" i="1"/>
  <c r="JN177" i="1"/>
  <c r="JO177" i="1"/>
  <c r="IP178" i="1"/>
  <c r="IQ178" i="1"/>
  <c r="IR178" i="1"/>
  <c r="IS178" i="1"/>
  <c r="IT178" i="1"/>
  <c r="IU178" i="1"/>
  <c r="IV178" i="1"/>
  <c r="IW178" i="1"/>
  <c r="IX178" i="1"/>
  <c r="IY178" i="1"/>
  <c r="IZ178" i="1"/>
  <c r="JA178" i="1"/>
  <c r="JB178" i="1"/>
  <c r="JC178" i="1"/>
  <c r="JD178" i="1"/>
  <c r="JE178" i="1"/>
  <c r="JF178" i="1"/>
  <c r="JG178" i="1"/>
  <c r="JH178" i="1"/>
  <c r="JI178" i="1"/>
  <c r="JJ178" i="1"/>
  <c r="JK178" i="1"/>
  <c r="JL178" i="1"/>
  <c r="JM178" i="1"/>
  <c r="JN178" i="1"/>
  <c r="JO178" i="1"/>
  <c r="IP179" i="1"/>
  <c r="IQ179" i="1"/>
  <c r="IR179" i="1"/>
  <c r="IS179" i="1"/>
  <c r="IT179" i="1"/>
  <c r="IU179" i="1"/>
  <c r="IV179" i="1"/>
  <c r="IW179" i="1"/>
  <c r="IX179" i="1"/>
  <c r="IY179" i="1"/>
  <c r="IZ179" i="1"/>
  <c r="JA179" i="1"/>
  <c r="JB179" i="1"/>
  <c r="JC179" i="1"/>
  <c r="JD179" i="1"/>
  <c r="JE179" i="1"/>
  <c r="JF179" i="1"/>
  <c r="JG179" i="1"/>
  <c r="JH179" i="1"/>
  <c r="JI179" i="1"/>
  <c r="JJ179" i="1"/>
  <c r="JK179" i="1"/>
  <c r="JL179" i="1"/>
  <c r="JM179" i="1"/>
  <c r="JN179" i="1"/>
  <c r="JO179" i="1"/>
  <c r="IP180" i="1"/>
  <c r="IQ180" i="1"/>
  <c r="IR180" i="1"/>
  <c r="IS180" i="1"/>
  <c r="IT180" i="1"/>
  <c r="IU180" i="1"/>
  <c r="IV180" i="1"/>
  <c r="IW180" i="1"/>
  <c r="IX180" i="1"/>
  <c r="IY180" i="1"/>
  <c r="IZ180" i="1"/>
  <c r="JA180" i="1"/>
  <c r="JB180" i="1"/>
  <c r="JC180" i="1"/>
  <c r="JD180" i="1"/>
  <c r="JE180" i="1"/>
  <c r="JF180" i="1"/>
  <c r="JG180" i="1"/>
  <c r="JH180" i="1"/>
  <c r="JI180" i="1"/>
  <c r="JJ180" i="1"/>
  <c r="JK180" i="1"/>
  <c r="JL180" i="1"/>
  <c r="JM180" i="1"/>
  <c r="JN180" i="1"/>
  <c r="JO180" i="1"/>
  <c r="IP181" i="1"/>
  <c r="IQ181" i="1"/>
  <c r="IR181" i="1"/>
  <c r="IS181" i="1"/>
  <c r="IT181" i="1"/>
  <c r="IU181" i="1"/>
  <c r="IV181" i="1"/>
  <c r="IW181" i="1"/>
  <c r="IX181" i="1"/>
  <c r="IY181" i="1"/>
  <c r="IZ181" i="1"/>
  <c r="JA181" i="1"/>
  <c r="JB181" i="1"/>
  <c r="JC181" i="1"/>
  <c r="JD181" i="1"/>
  <c r="JE181" i="1"/>
  <c r="JF181" i="1"/>
  <c r="JG181" i="1"/>
  <c r="JH181" i="1"/>
  <c r="JI181" i="1"/>
  <c r="JJ181" i="1"/>
  <c r="JK181" i="1"/>
  <c r="JL181" i="1"/>
  <c r="JM181" i="1"/>
  <c r="JN181" i="1"/>
  <c r="JO181" i="1"/>
  <c r="IP182" i="1"/>
  <c r="IQ182" i="1"/>
  <c r="IR182" i="1"/>
  <c r="IS182" i="1"/>
  <c r="IT182" i="1"/>
  <c r="IU182" i="1"/>
  <c r="IV182" i="1"/>
  <c r="IW182" i="1"/>
  <c r="IX182" i="1"/>
  <c r="IY182" i="1"/>
  <c r="IZ182" i="1"/>
  <c r="JA182" i="1"/>
  <c r="JB182" i="1"/>
  <c r="JC182" i="1"/>
  <c r="JD182" i="1"/>
  <c r="JE182" i="1"/>
  <c r="JF182" i="1"/>
  <c r="JG182" i="1"/>
  <c r="JH182" i="1"/>
  <c r="JI182" i="1"/>
  <c r="JJ182" i="1"/>
  <c r="JK182" i="1"/>
  <c r="JL182" i="1"/>
  <c r="JM182" i="1"/>
  <c r="JN182" i="1"/>
  <c r="JO182" i="1"/>
  <c r="IP183" i="1"/>
  <c r="IQ183" i="1"/>
  <c r="IR183" i="1"/>
  <c r="IS183" i="1"/>
  <c r="IT183" i="1"/>
  <c r="IU183" i="1"/>
  <c r="IV183" i="1"/>
  <c r="IW183" i="1"/>
  <c r="IX183" i="1"/>
  <c r="IY183" i="1"/>
  <c r="IZ183" i="1"/>
  <c r="JA183" i="1"/>
  <c r="JB183" i="1"/>
  <c r="JC183" i="1"/>
  <c r="JD183" i="1"/>
  <c r="JE183" i="1"/>
  <c r="JF183" i="1"/>
  <c r="JG183" i="1"/>
  <c r="JH183" i="1"/>
  <c r="JI183" i="1"/>
  <c r="JJ183" i="1"/>
  <c r="JK183" i="1"/>
  <c r="JL183" i="1"/>
  <c r="JM183" i="1"/>
  <c r="JN183" i="1"/>
  <c r="JO183" i="1"/>
  <c r="IP184" i="1"/>
  <c r="IQ184" i="1"/>
  <c r="IR184" i="1"/>
  <c r="IS184" i="1"/>
  <c r="IT184" i="1"/>
  <c r="IU184" i="1"/>
  <c r="IV184" i="1"/>
  <c r="IW184" i="1"/>
  <c r="IX184" i="1"/>
  <c r="IY184" i="1"/>
  <c r="IZ184" i="1"/>
  <c r="JA184" i="1"/>
  <c r="JB184" i="1"/>
  <c r="JC184" i="1"/>
  <c r="JD184" i="1"/>
  <c r="JE184" i="1"/>
  <c r="JF184" i="1"/>
  <c r="JG184" i="1"/>
  <c r="JH184" i="1"/>
  <c r="JI184" i="1"/>
  <c r="JJ184" i="1"/>
  <c r="JK184" i="1"/>
  <c r="JL184" i="1"/>
  <c r="JM184" i="1"/>
  <c r="JN184" i="1"/>
  <c r="JO184" i="1"/>
  <c r="IP185" i="1"/>
  <c r="IQ185" i="1"/>
  <c r="IR185" i="1"/>
  <c r="IS185" i="1"/>
  <c r="IT185" i="1"/>
  <c r="IU185" i="1"/>
  <c r="IV185" i="1"/>
  <c r="IW185" i="1"/>
  <c r="IX185" i="1"/>
  <c r="IY185" i="1"/>
  <c r="IZ185" i="1"/>
  <c r="JA185" i="1"/>
  <c r="JB185" i="1"/>
  <c r="JC185" i="1"/>
  <c r="JD185" i="1"/>
  <c r="JE185" i="1"/>
  <c r="JF185" i="1"/>
  <c r="JG185" i="1"/>
  <c r="JH185" i="1"/>
  <c r="JI185" i="1"/>
  <c r="JJ185" i="1"/>
  <c r="JK185" i="1"/>
  <c r="JL185" i="1"/>
  <c r="JM185" i="1"/>
  <c r="JN185" i="1"/>
  <c r="JO185" i="1"/>
  <c r="IP186" i="1"/>
  <c r="IQ186" i="1"/>
  <c r="IR186" i="1"/>
  <c r="IS186" i="1"/>
  <c r="IT186" i="1"/>
  <c r="IU186" i="1"/>
  <c r="IV186" i="1"/>
  <c r="IW186" i="1"/>
  <c r="IX186" i="1"/>
  <c r="IY186" i="1"/>
  <c r="IZ186" i="1"/>
  <c r="JA186" i="1"/>
  <c r="JB186" i="1"/>
  <c r="JC186" i="1"/>
  <c r="JD186" i="1"/>
  <c r="JE186" i="1"/>
  <c r="JF186" i="1"/>
  <c r="JG186" i="1"/>
  <c r="JH186" i="1"/>
  <c r="JI186" i="1"/>
  <c r="JJ186" i="1"/>
  <c r="JK186" i="1"/>
  <c r="JL186" i="1"/>
  <c r="JM186" i="1"/>
  <c r="JN186" i="1"/>
  <c r="JO186" i="1"/>
  <c r="IP187" i="1"/>
  <c r="IQ187" i="1"/>
  <c r="IR187" i="1"/>
  <c r="IS187" i="1"/>
  <c r="IT187" i="1"/>
  <c r="IU187" i="1"/>
  <c r="IV187" i="1"/>
  <c r="IW187" i="1"/>
  <c r="IX187" i="1"/>
  <c r="IY187" i="1"/>
  <c r="IZ187" i="1"/>
  <c r="JA187" i="1"/>
  <c r="JB187" i="1"/>
  <c r="JC187" i="1"/>
  <c r="JD187" i="1"/>
  <c r="JE187" i="1"/>
  <c r="JF187" i="1"/>
  <c r="JG187" i="1"/>
  <c r="JH187" i="1"/>
  <c r="JI187" i="1"/>
  <c r="JJ187" i="1"/>
  <c r="JK187" i="1"/>
  <c r="JL187" i="1"/>
  <c r="JM187" i="1"/>
  <c r="JN187" i="1"/>
  <c r="JO187" i="1"/>
  <c r="IP188" i="1"/>
  <c r="IQ188" i="1"/>
  <c r="IR188" i="1"/>
  <c r="IS188" i="1"/>
  <c r="IT188" i="1"/>
  <c r="IU188" i="1"/>
  <c r="IV188" i="1"/>
  <c r="IW188" i="1"/>
  <c r="IX188" i="1"/>
  <c r="IY188" i="1"/>
  <c r="IZ188" i="1"/>
  <c r="JA188" i="1"/>
  <c r="JB188" i="1"/>
  <c r="JC188" i="1"/>
  <c r="JD188" i="1"/>
  <c r="JE188" i="1"/>
  <c r="JF188" i="1"/>
  <c r="JG188" i="1"/>
  <c r="JH188" i="1"/>
  <c r="JI188" i="1"/>
  <c r="JJ188" i="1"/>
  <c r="JK188" i="1"/>
  <c r="JL188" i="1"/>
  <c r="JM188" i="1"/>
  <c r="JN188" i="1"/>
  <c r="JO188" i="1"/>
  <c r="IP189" i="1"/>
  <c r="IQ189" i="1"/>
  <c r="IR189" i="1"/>
  <c r="IS189" i="1"/>
  <c r="IT189" i="1"/>
  <c r="IU189" i="1"/>
  <c r="IV189" i="1"/>
  <c r="IW189" i="1"/>
  <c r="IX189" i="1"/>
  <c r="IY189" i="1"/>
  <c r="IZ189" i="1"/>
  <c r="JA189" i="1"/>
  <c r="JB189" i="1"/>
  <c r="JC189" i="1"/>
  <c r="JD189" i="1"/>
  <c r="JE189" i="1"/>
  <c r="JF189" i="1"/>
  <c r="JG189" i="1"/>
  <c r="JH189" i="1"/>
  <c r="JI189" i="1"/>
  <c r="JJ189" i="1"/>
  <c r="JK189" i="1"/>
  <c r="JL189" i="1"/>
  <c r="JM189" i="1"/>
  <c r="JN189" i="1"/>
  <c r="JO189" i="1"/>
  <c r="IP190" i="1"/>
  <c r="IQ190" i="1"/>
  <c r="IR190" i="1"/>
  <c r="IS190" i="1"/>
  <c r="IT190" i="1"/>
  <c r="IU190" i="1"/>
  <c r="IV190" i="1"/>
  <c r="IW190" i="1"/>
  <c r="IX190" i="1"/>
  <c r="IY190" i="1"/>
  <c r="IZ190" i="1"/>
  <c r="JA190" i="1"/>
  <c r="JB190" i="1"/>
  <c r="JC190" i="1"/>
  <c r="JD190" i="1"/>
  <c r="JE190" i="1"/>
  <c r="JF190" i="1"/>
  <c r="JG190" i="1"/>
  <c r="JH190" i="1"/>
  <c r="JI190" i="1"/>
  <c r="JJ190" i="1"/>
  <c r="JK190" i="1"/>
  <c r="JL190" i="1"/>
  <c r="JM190" i="1"/>
  <c r="JN190" i="1"/>
  <c r="JO190" i="1"/>
  <c r="IP191" i="1"/>
  <c r="IQ191" i="1"/>
  <c r="IR191" i="1"/>
  <c r="IS191" i="1"/>
  <c r="IT191" i="1"/>
  <c r="IU191" i="1"/>
  <c r="IV191" i="1"/>
  <c r="IW191" i="1"/>
  <c r="IX191" i="1"/>
  <c r="IY191" i="1"/>
  <c r="IZ191" i="1"/>
  <c r="JA191" i="1"/>
  <c r="JB191" i="1"/>
  <c r="JC191" i="1"/>
  <c r="JD191" i="1"/>
  <c r="JE191" i="1"/>
  <c r="JF191" i="1"/>
  <c r="JG191" i="1"/>
  <c r="JH191" i="1"/>
  <c r="JI191" i="1"/>
  <c r="JJ191" i="1"/>
  <c r="JK191" i="1"/>
  <c r="JL191" i="1"/>
  <c r="JM191" i="1"/>
  <c r="JN191" i="1"/>
  <c r="JO191" i="1"/>
  <c r="IQ20" i="1"/>
  <c r="IR20" i="1"/>
  <c r="IS20" i="1"/>
  <c r="IT20" i="1"/>
  <c r="IT3" i="1" s="1"/>
  <c r="IU20" i="1"/>
  <c r="IV20" i="1"/>
  <c r="IW20" i="1"/>
  <c r="IX20" i="1"/>
  <c r="IX3" i="1" s="1"/>
  <c r="IY20" i="1"/>
  <c r="IZ20" i="1"/>
  <c r="JA20" i="1"/>
  <c r="JB20" i="1"/>
  <c r="JB3" i="1" s="1"/>
  <c r="JC20" i="1"/>
  <c r="JD20" i="1"/>
  <c r="JE20" i="1"/>
  <c r="JF20" i="1"/>
  <c r="JF14" i="1" s="1"/>
  <c r="JG20" i="1"/>
  <c r="JH20" i="1"/>
  <c r="JI20" i="1"/>
  <c r="JJ20" i="1"/>
  <c r="JJ3" i="1" s="1"/>
  <c r="JK20" i="1"/>
  <c r="JL20" i="1"/>
  <c r="JM20" i="1"/>
  <c r="JN20" i="1"/>
  <c r="JN14" i="1" s="1"/>
  <c r="JO20" i="1"/>
  <c r="IP20" i="1"/>
  <c r="HN20" i="1"/>
  <c r="IW7" i="1"/>
  <c r="JE3" i="1"/>
  <c r="JI3" i="1"/>
  <c r="JM7" i="1"/>
  <c r="IQ7" i="1"/>
  <c r="IU7" i="1"/>
  <c r="IY7" i="1"/>
  <c r="JC3" i="1"/>
  <c r="JG7" i="1"/>
  <c r="JK7" i="1"/>
  <c r="JO7" i="1"/>
  <c r="IS3" i="1"/>
  <c r="IQ13" i="1"/>
  <c r="IY13" i="1"/>
  <c r="JC13" i="1"/>
  <c r="JG13" i="1"/>
  <c r="JK6" i="1"/>
  <c r="JO13" i="1"/>
  <c r="IS13" i="1"/>
  <c r="IW13" i="1"/>
  <c r="JA13" i="1"/>
  <c r="JE6" i="1"/>
  <c r="JI13" i="1"/>
  <c r="JM13" i="1"/>
  <c r="IS9" i="1"/>
  <c r="IW5" i="1"/>
  <c r="JA5" i="1"/>
  <c r="JE9" i="1"/>
  <c r="JI9" i="1"/>
  <c r="JM5" i="1"/>
  <c r="IU9" i="1"/>
  <c r="IY9" i="1"/>
  <c r="JC5" i="1"/>
  <c r="JK9" i="1"/>
  <c r="JO9" i="1"/>
  <c r="IW10" i="1"/>
  <c r="JE10" i="1"/>
  <c r="JM10" i="1"/>
  <c r="IQ10" i="1"/>
  <c r="IU10" i="1"/>
  <c r="IY10" i="1"/>
  <c r="JC10" i="1"/>
  <c r="JG10" i="1"/>
  <c r="JK10" i="1"/>
  <c r="JO10" i="1"/>
  <c r="IQ11" i="1"/>
  <c r="IY11" i="1"/>
  <c r="JC11" i="1"/>
  <c r="JG11" i="1"/>
  <c r="JO11" i="1"/>
  <c r="IS11" i="1"/>
  <c r="IW11" i="1"/>
  <c r="JE11" i="1"/>
  <c r="JI11" i="1"/>
  <c r="JM11" i="1"/>
  <c r="IS12" i="1"/>
  <c r="IW12" i="1"/>
  <c r="JA12" i="1"/>
  <c r="JE12" i="1"/>
  <c r="JI12" i="1"/>
  <c r="JM12" i="1"/>
  <c r="IU12" i="1"/>
  <c r="JC12" i="1"/>
  <c r="JK12" i="1"/>
  <c r="HN21" i="1"/>
  <c r="HO21" i="1"/>
  <c r="HP21" i="1"/>
  <c r="HQ21" i="1"/>
  <c r="HR21" i="1"/>
  <c r="HS21" i="1"/>
  <c r="HT21" i="1"/>
  <c r="HU21" i="1"/>
  <c r="HU7" i="1" s="1"/>
  <c r="HV21" i="1"/>
  <c r="HW21" i="1"/>
  <c r="HX21" i="1"/>
  <c r="HY21" i="1"/>
  <c r="HY7" i="1" s="1"/>
  <c r="HZ21" i="1"/>
  <c r="IA21" i="1"/>
  <c r="IB21" i="1"/>
  <c r="IC21" i="1"/>
  <c r="IC3" i="1" s="1"/>
  <c r="ID21" i="1"/>
  <c r="IE21" i="1"/>
  <c r="IF21" i="1"/>
  <c r="IG21" i="1"/>
  <c r="IG7" i="1" s="1"/>
  <c r="IH21" i="1"/>
  <c r="II21" i="1"/>
  <c r="IJ21" i="1"/>
  <c r="IK21" i="1"/>
  <c r="IK3" i="1" s="1"/>
  <c r="IL21" i="1"/>
  <c r="IM21" i="1"/>
  <c r="HN22" i="1"/>
  <c r="HO22" i="1"/>
  <c r="HP22" i="1"/>
  <c r="HQ22" i="1"/>
  <c r="HR22" i="1"/>
  <c r="HS22" i="1"/>
  <c r="HS7" i="1" s="1"/>
  <c r="HT22" i="1"/>
  <c r="HU22" i="1"/>
  <c r="HV22" i="1"/>
  <c r="HW22" i="1"/>
  <c r="HW7" i="1" s="1"/>
  <c r="HX22" i="1"/>
  <c r="HY22" i="1"/>
  <c r="HZ22" i="1"/>
  <c r="IA22" i="1"/>
  <c r="IA7" i="1" s="1"/>
  <c r="IB22" i="1"/>
  <c r="IC22" i="1"/>
  <c r="ID22" i="1"/>
  <c r="IE22" i="1"/>
  <c r="IE7" i="1" s="1"/>
  <c r="IF22" i="1"/>
  <c r="IG22" i="1"/>
  <c r="IH22" i="1"/>
  <c r="II22" i="1"/>
  <c r="II7" i="1" s="1"/>
  <c r="IJ22" i="1"/>
  <c r="IK22" i="1"/>
  <c r="IL22" i="1"/>
  <c r="IM22" i="1"/>
  <c r="IM7" i="1" s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HN32" i="1"/>
  <c r="HO32" i="1"/>
  <c r="HO6" i="1" s="1"/>
  <c r="HP32" i="1"/>
  <c r="HQ32" i="1"/>
  <c r="HR32" i="1"/>
  <c r="HS32" i="1"/>
  <c r="HS6" i="1" s="1"/>
  <c r="HT32" i="1"/>
  <c r="HU32" i="1"/>
  <c r="HV32" i="1"/>
  <c r="HW32" i="1"/>
  <c r="HW6" i="1" s="1"/>
  <c r="HX32" i="1"/>
  <c r="HY32" i="1"/>
  <c r="HZ32" i="1"/>
  <c r="IA32" i="1"/>
  <c r="IB32" i="1"/>
  <c r="IC32" i="1"/>
  <c r="ID32" i="1"/>
  <c r="IE32" i="1"/>
  <c r="IE6" i="1" s="1"/>
  <c r="IF32" i="1"/>
  <c r="IG32" i="1"/>
  <c r="IH32" i="1"/>
  <c r="II32" i="1"/>
  <c r="II6" i="1" s="1"/>
  <c r="IJ32" i="1"/>
  <c r="IK32" i="1"/>
  <c r="IL32" i="1"/>
  <c r="IM32" i="1"/>
  <c r="IM6" i="1" s="1"/>
  <c r="HN33" i="1"/>
  <c r="HO33" i="1"/>
  <c r="HP33" i="1"/>
  <c r="HQ33" i="1"/>
  <c r="HR33" i="1"/>
  <c r="HS33" i="1"/>
  <c r="HT33" i="1"/>
  <c r="HU33" i="1"/>
  <c r="HU13" i="1" s="1"/>
  <c r="HV33" i="1"/>
  <c r="HW33" i="1"/>
  <c r="HX33" i="1"/>
  <c r="HY33" i="1"/>
  <c r="HY13" i="1" s="1"/>
  <c r="HZ33" i="1"/>
  <c r="IA33" i="1"/>
  <c r="IB33" i="1"/>
  <c r="IC33" i="1"/>
  <c r="IC13" i="1" s="1"/>
  <c r="ID33" i="1"/>
  <c r="IE33" i="1"/>
  <c r="IF33" i="1"/>
  <c r="IG33" i="1"/>
  <c r="IH33" i="1"/>
  <c r="II33" i="1"/>
  <c r="IJ33" i="1"/>
  <c r="IK33" i="1"/>
  <c r="IK13" i="1" s="1"/>
  <c r="IL33" i="1"/>
  <c r="IM33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HN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IB53" i="1"/>
  <c r="IC53" i="1"/>
  <c r="ID53" i="1"/>
  <c r="IE53" i="1"/>
  <c r="IF53" i="1"/>
  <c r="IG53" i="1"/>
  <c r="IH53" i="1"/>
  <c r="II53" i="1"/>
  <c r="IJ53" i="1"/>
  <c r="IK53" i="1"/>
  <c r="IL53" i="1"/>
  <c r="IM53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IB56" i="1"/>
  <c r="IC56" i="1"/>
  <c r="ID56" i="1"/>
  <c r="IE56" i="1"/>
  <c r="IF56" i="1"/>
  <c r="IG56" i="1"/>
  <c r="IH56" i="1"/>
  <c r="II56" i="1"/>
  <c r="IJ56" i="1"/>
  <c r="IK56" i="1"/>
  <c r="IL56" i="1"/>
  <c r="IM56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IB62" i="1"/>
  <c r="IC62" i="1"/>
  <c r="ID62" i="1"/>
  <c r="IE62" i="1"/>
  <c r="IF62" i="1"/>
  <c r="IG62" i="1"/>
  <c r="IH62" i="1"/>
  <c r="II62" i="1"/>
  <c r="IJ62" i="1"/>
  <c r="IK62" i="1"/>
  <c r="IL62" i="1"/>
  <c r="IM62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IB65" i="1"/>
  <c r="IC65" i="1"/>
  <c r="ID65" i="1"/>
  <c r="IE65" i="1"/>
  <c r="IF65" i="1"/>
  <c r="IG65" i="1"/>
  <c r="IH65" i="1"/>
  <c r="II65" i="1"/>
  <c r="IJ65" i="1"/>
  <c r="IK65" i="1"/>
  <c r="IL65" i="1"/>
  <c r="IM65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HN68" i="1"/>
  <c r="HO68" i="1"/>
  <c r="HP68" i="1"/>
  <c r="HQ68" i="1"/>
  <c r="HR68" i="1"/>
  <c r="HS68" i="1"/>
  <c r="HT68" i="1"/>
  <c r="HU68" i="1"/>
  <c r="HV68" i="1"/>
  <c r="HW68" i="1"/>
  <c r="HX68" i="1"/>
  <c r="HY68" i="1"/>
  <c r="HZ68" i="1"/>
  <c r="IA68" i="1"/>
  <c r="IB68" i="1"/>
  <c r="IC68" i="1"/>
  <c r="ID68" i="1"/>
  <c r="IE68" i="1"/>
  <c r="IF68" i="1"/>
  <c r="IG68" i="1"/>
  <c r="IH68" i="1"/>
  <c r="II68" i="1"/>
  <c r="IJ68" i="1"/>
  <c r="IK68" i="1"/>
  <c r="IL68" i="1"/>
  <c r="IM68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HN71" i="1"/>
  <c r="HO71" i="1"/>
  <c r="HP71" i="1"/>
  <c r="HQ71" i="1"/>
  <c r="HQ9" i="1" s="1"/>
  <c r="HR71" i="1"/>
  <c r="HS71" i="1"/>
  <c r="HT71" i="1"/>
  <c r="HU71" i="1"/>
  <c r="HU9" i="1" s="1"/>
  <c r="HV71" i="1"/>
  <c r="HW71" i="1"/>
  <c r="HX71" i="1"/>
  <c r="HY71" i="1"/>
  <c r="HZ71" i="1"/>
  <c r="IA71" i="1"/>
  <c r="IB71" i="1"/>
  <c r="IC71" i="1"/>
  <c r="IC9" i="1" s="1"/>
  <c r="ID71" i="1"/>
  <c r="IE71" i="1"/>
  <c r="IF71" i="1"/>
  <c r="IG71" i="1"/>
  <c r="IG9" i="1" s="1"/>
  <c r="IH71" i="1"/>
  <c r="II71" i="1"/>
  <c r="IJ71" i="1"/>
  <c r="IK71" i="1"/>
  <c r="IK9" i="1" s="1"/>
  <c r="IL71" i="1"/>
  <c r="IM71" i="1"/>
  <c r="HN72" i="1"/>
  <c r="HO72" i="1"/>
  <c r="HP72" i="1"/>
  <c r="HQ72" i="1"/>
  <c r="HR72" i="1"/>
  <c r="HS72" i="1"/>
  <c r="HS9" i="1" s="1"/>
  <c r="HT72" i="1"/>
  <c r="HU72" i="1"/>
  <c r="HV72" i="1"/>
  <c r="HW72" i="1"/>
  <c r="HW9" i="1" s="1"/>
  <c r="HX72" i="1"/>
  <c r="HY72" i="1"/>
  <c r="HZ72" i="1"/>
  <c r="IA72" i="1"/>
  <c r="IA9" i="1" s="1"/>
  <c r="IB72" i="1"/>
  <c r="IC72" i="1"/>
  <c r="ID72" i="1"/>
  <c r="IE72" i="1"/>
  <c r="IF72" i="1"/>
  <c r="IG72" i="1"/>
  <c r="IH72" i="1"/>
  <c r="II72" i="1"/>
  <c r="II9" i="1" s="1"/>
  <c r="IJ72" i="1"/>
  <c r="IK72" i="1"/>
  <c r="IL72" i="1"/>
  <c r="IM72" i="1"/>
  <c r="IM9" i="1" s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HN74" i="1"/>
  <c r="HO74" i="1"/>
  <c r="HP74" i="1"/>
  <c r="HQ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HN76" i="1"/>
  <c r="HO76" i="1"/>
  <c r="HP76" i="1"/>
  <c r="HQ76" i="1"/>
  <c r="HR76" i="1"/>
  <c r="HS76" i="1"/>
  <c r="HT76" i="1"/>
  <c r="HU76" i="1"/>
  <c r="HV76" i="1"/>
  <c r="HW76" i="1"/>
  <c r="HX76" i="1"/>
  <c r="HY76" i="1"/>
  <c r="HZ76" i="1"/>
  <c r="IA76" i="1"/>
  <c r="IB76" i="1"/>
  <c r="IC76" i="1"/>
  <c r="ID76" i="1"/>
  <c r="IE76" i="1"/>
  <c r="IF76" i="1"/>
  <c r="IG76" i="1"/>
  <c r="IH76" i="1"/>
  <c r="II76" i="1"/>
  <c r="IJ76" i="1"/>
  <c r="IK76" i="1"/>
  <c r="IL76" i="1"/>
  <c r="IM76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IB77" i="1"/>
  <c r="IC77" i="1"/>
  <c r="ID77" i="1"/>
  <c r="IE77" i="1"/>
  <c r="IF77" i="1"/>
  <c r="IG77" i="1"/>
  <c r="IH77" i="1"/>
  <c r="II77" i="1"/>
  <c r="IJ77" i="1"/>
  <c r="IK77" i="1"/>
  <c r="IL77" i="1"/>
  <c r="IM77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M78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HN83" i="1"/>
  <c r="HO83" i="1"/>
  <c r="HP83" i="1"/>
  <c r="HQ83" i="1"/>
  <c r="HR83" i="1"/>
  <c r="HS83" i="1"/>
  <c r="HT83" i="1"/>
  <c r="HU83" i="1"/>
  <c r="HV83" i="1"/>
  <c r="HW83" i="1"/>
  <c r="HX83" i="1"/>
  <c r="HY83" i="1"/>
  <c r="HZ83" i="1"/>
  <c r="IA83" i="1"/>
  <c r="IB83" i="1"/>
  <c r="IC83" i="1"/>
  <c r="ID83" i="1"/>
  <c r="IE83" i="1"/>
  <c r="IF83" i="1"/>
  <c r="IG83" i="1"/>
  <c r="IH83" i="1"/>
  <c r="II83" i="1"/>
  <c r="IJ83" i="1"/>
  <c r="IK83" i="1"/>
  <c r="IL83" i="1"/>
  <c r="IM83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HN86" i="1"/>
  <c r="HO86" i="1"/>
  <c r="HP86" i="1"/>
  <c r="HQ86" i="1"/>
  <c r="HR86" i="1"/>
  <c r="HS86" i="1"/>
  <c r="HT86" i="1"/>
  <c r="HU86" i="1"/>
  <c r="HV86" i="1"/>
  <c r="HW86" i="1"/>
  <c r="HX86" i="1"/>
  <c r="HY86" i="1"/>
  <c r="HZ86" i="1"/>
  <c r="IA86" i="1"/>
  <c r="IB86" i="1"/>
  <c r="IC86" i="1"/>
  <c r="ID86" i="1"/>
  <c r="IE86" i="1"/>
  <c r="IF86" i="1"/>
  <c r="IG86" i="1"/>
  <c r="IH86" i="1"/>
  <c r="II86" i="1"/>
  <c r="IJ86" i="1"/>
  <c r="IK86" i="1"/>
  <c r="IL86" i="1"/>
  <c r="IM86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HN90" i="1"/>
  <c r="HO90" i="1"/>
  <c r="HP90" i="1"/>
  <c r="HQ90" i="1"/>
  <c r="HR90" i="1"/>
  <c r="HS90" i="1"/>
  <c r="HT90" i="1"/>
  <c r="HU90" i="1"/>
  <c r="HV90" i="1"/>
  <c r="HW90" i="1"/>
  <c r="HX90" i="1"/>
  <c r="HY90" i="1"/>
  <c r="HZ90" i="1"/>
  <c r="IA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HN91" i="1"/>
  <c r="HO91" i="1"/>
  <c r="HP91" i="1"/>
  <c r="HQ91" i="1"/>
  <c r="HR91" i="1"/>
  <c r="HS91" i="1"/>
  <c r="HT91" i="1"/>
  <c r="HU91" i="1"/>
  <c r="HV91" i="1"/>
  <c r="HW91" i="1"/>
  <c r="HX91" i="1"/>
  <c r="HY91" i="1"/>
  <c r="HZ91" i="1"/>
  <c r="IA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HN92" i="1"/>
  <c r="HO92" i="1"/>
  <c r="HP92" i="1"/>
  <c r="HQ92" i="1"/>
  <c r="HR92" i="1"/>
  <c r="HS92" i="1"/>
  <c r="HT92" i="1"/>
  <c r="HU92" i="1"/>
  <c r="HV92" i="1"/>
  <c r="HW92" i="1"/>
  <c r="HX92" i="1"/>
  <c r="HY92" i="1"/>
  <c r="HZ92" i="1"/>
  <c r="IA92" i="1"/>
  <c r="IB92" i="1"/>
  <c r="IC92" i="1"/>
  <c r="ID92" i="1"/>
  <c r="IE92" i="1"/>
  <c r="IF92" i="1"/>
  <c r="IG92" i="1"/>
  <c r="IH92" i="1"/>
  <c r="II92" i="1"/>
  <c r="IJ92" i="1"/>
  <c r="IK92" i="1"/>
  <c r="IL92" i="1"/>
  <c r="IM92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HN94" i="1"/>
  <c r="HO94" i="1"/>
  <c r="HP94" i="1"/>
  <c r="HQ94" i="1"/>
  <c r="HR94" i="1"/>
  <c r="HS94" i="1"/>
  <c r="HT94" i="1"/>
  <c r="HU94" i="1"/>
  <c r="HV94" i="1"/>
  <c r="HW94" i="1"/>
  <c r="HX94" i="1"/>
  <c r="HY94" i="1"/>
  <c r="HZ94" i="1"/>
  <c r="IA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HN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HN97" i="1"/>
  <c r="HO97" i="1"/>
  <c r="HP97" i="1"/>
  <c r="HQ97" i="1"/>
  <c r="HR97" i="1"/>
  <c r="HS97" i="1"/>
  <c r="HT97" i="1"/>
  <c r="HU97" i="1"/>
  <c r="HV97" i="1"/>
  <c r="HW97" i="1"/>
  <c r="HX97" i="1"/>
  <c r="HY97" i="1"/>
  <c r="HZ97" i="1"/>
  <c r="IA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HN98" i="1"/>
  <c r="HO98" i="1"/>
  <c r="HP98" i="1"/>
  <c r="HQ98" i="1"/>
  <c r="HR98" i="1"/>
  <c r="HS98" i="1"/>
  <c r="HT98" i="1"/>
  <c r="HU98" i="1"/>
  <c r="HV98" i="1"/>
  <c r="HW98" i="1"/>
  <c r="HX98" i="1"/>
  <c r="HY98" i="1"/>
  <c r="HZ98" i="1"/>
  <c r="IA98" i="1"/>
  <c r="IB98" i="1"/>
  <c r="IC98" i="1"/>
  <c r="ID98" i="1"/>
  <c r="IE98" i="1"/>
  <c r="IF98" i="1"/>
  <c r="IG98" i="1"/>
  <c r="IH98" i="1"/>
  <c r="II98" i="1"/>
  <c r="IJ98" i="1"/>
  <c r="IK98" i="1"/>
  <c r="IL98" i="1"/>
  <c r="IM98" i="1"/>
  <c r="HN99" i="1"/>
  <c r="HO99" i="1"/>
  <c r="HP99" i="1"/>
  <c r="HQ99" i="1"/>
  <c r="HR99" i="1"/>
  <c r="HS99" i="1"/>
  <c r="HT99" i="1"/>
  <c r="HU99" i="1"/>
  <c r="HV99" i="1"/>
  <c r="HW99" i="1"/>
  <c r="HX99" i="1"/>
  <c r="HY99" i="1"/>
  <c r="HZ99" i="1"/>
  <c r="IA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HN100" i="1"/>
  <c r="HO100" i="1"/>
  <c r="HP100" i="1"/>
  <c r="HQ100" i="1"/>
  <c r="HR100" i="1"/>
  <c r="HS100" i="1"/>
  <c r="HT100" i="1"/>
  <c r="HU100" i="1"/>
  <c r="HV100" i="1"/>
  <c r="HW100" i="1"/>
  <c r="HX100" i="1"/>
  <c r="HY100" i="1"/>
  <c r="HZ100" i="1"/>
  <c r="IA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HN101" i="1"/>
  <c r="HO101" i="1"/>
  <c r="HP101" i="1"/>
  <c r="HQ101" i="1"/>
  <c r="HR101" i="1"/>
  <c r="HS101" i="1"/>
  <c r="HT101" i="1"/>
  <c r="HU101" i="1"/>
  <c r="HV101" i="1"/>
  <c r="HW101" i="1"/>
  <c r="HX101" i="1"/>
  <c r="HY101" i="1"/>
  <c r="HZ101" i="1"/>
  <c r="IA101" i="1"/>
  <c r="IB101" i="1"/>
  <c r="IC101" i="1"/>
  <c r="ID101" i="1"/>
  <c r="IE101" i="1"/>
  <c r="IF101" i="1"/>
  <c r="IG101" i="1"/>
  <c r="IH101" i="1"/>
  <c r="II101" i="1"/>
  <c r="IJ101" i="1"/>
  <c r="IK101" i="1"/>
  <c r="IL101" i="1"/>
  <c r="IM101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HN103" i="1"/>
  <c r="HO103" i="1"/>
  <c r="HP103" i="1"/>
  <c r="HQ103" i="1"/>
  <c r="HR103" i="1"/>
  <c r="HS103" i="1"/>
  <c r="HT103" i="1"/>
  <c r="HU103" i="1"/>
  <c r="HV103" i="1"/>
  <c r="HW103" i="1"/>
  <c r="HX103" i="1"/>
  <c r="HY103" i="1"/>
  <c r="HZ103" i="1"/>
  <c r="IA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HN104" i="1"/>
  <c r="HO104" i="1"/>
  <c r="HP104" i="1"/>
  <c r="HQ104" i="1"/>
  <c r="HR104" i="1"/>
  <c r="HS104" i="1"/>
  <c r="HT104" i="1"/>
  <c r="HU104" i="1"/>
  <c r="HV104" i="1"/>
  <c r="HW104" i="1"/>
  <c r="HX104" i="1"/>
  <c r="HY104" i="1"/>
  <c r="HZ104" i="1"/>
  <c r="IA104" i="1"/>
  <c r="IB104" i="1"/>
  <c r="IC104" i="1"/>
  <c r="ID104" i="1"/>
  <c r="IE104" i="1"/>
  <c r="IF104" i="1"/>
  <c r="IG104" i="1"/>
  <c r="IH104" i="1"/>
  <c r="II104" i="1"/>
  <c r="IJ104" i="1"/>
  <c r="IK104" i="1"/>
  <c r="IL104" i="1"/>
  <c r="IM104" i="1"/>
  <c r="HN105" i="1"/>
  <c r="HO105" i="1"/>
  <c r="HP105" i="1"/>
  <c r="HQ105" i="1"/>
  <c r="HR105" i="1"/>
  <c r="HS105" i="1"/>
  <c r="HT105" i="1"/>
  <c r="HU105" i="1"/>
  <c r="HV105" i="1"/>
  <c r="HW105" i="1"/>
  <c r="HX105" i="1"/>
  <c r="HY105" i="1"/>
  <c r="HZ105" i="1"/>
  <c r="IA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HN107" i="1"/>
  <c r="HO107" i="1"/>
  <c r="HP107" i="1"/>
  <c r="HQ107" i="1"/>
  <c r="HR107" i="1"/>
  <c r="HS107" i="1"/>
  <c r="HT107" i="1"/>
  <c r="HU107" i="1"/>
  <c r="HV107" i="1"/>
  <c r="HW107" i="1"/>
  <c r="HX107" i="1"/>
  <c r="HY107" i="1"/>
  <c r="HZ107" i="1"/>
  <c r="IA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HN109" i="1"/>
  <c r="HO109" i="1"/>
  <c r="HP109" i="1"/>
  <c r="HQ109" i="1"/>
  <c r="HR109" i="1"/>
  <c r="HS109" i="1"/>
  <c r="HT109" i="1"/>
  <c r="HU109" i="1"/>
  <c r="HV109" i="1"/>
  <c r="HW109" i="1"/>
  <c r="HX109" i="1"/>
  <c r="HY109" i="1"/>
  <c r="HZ109" i="1"/>
  <c r="IA109" i="1"/>
  <c r="IB109" i="1"/>
  <c r="IC109" i="1"/>
  <c r="ID109" i="1"/>
  <c r="IE109" i="1"/>
  <c r="IF109" i="1"/>
  <c r="IG109" i="1"/>
  <c r="IH109" i="1"/>
  <c r="II109" i="1"/>
  <c r="IJ109" i="1"/>
  <c r="IK109" i="1"/>
  <c r="IL109" i="1"/>
  <c r="IM109" i="1"/>
  <c r="HN110" i="1"/>
  <c r="HO110" i="1"/>
  <c r="HP110" i="1"/>
  <c r="HQ110" i="1"/>
  <c r="HR110" i="1"/>
  <c r="HS110" i="1"/>
  <c r="HT110" i="1"/>
  <c r="HU110" i="1"/>
  <c r="HV110" i="1"/>
  <c r="HW110" i="1"/>
  <c r="HX110" i="1"/>
  <c r="HY110" i="1"/>
  <c r="HZ110" i="1"/>
  <c r="IA110" i="1"/>
  <c r="IB110" i="1"/>
  <c r="IC110" i="1"/>
  <c r="ID110" i="1"/>
  <c r="IE110" i="1"/>
  <c r="IF110" i="1"/>
  <c r="IG110" i="1"/>
  <c r="IH110" i="1"/>
  <c r="II110" i="1"/>
  <c r="IJ110" i="1"/>
  <c r="IK110" i="1"/>
  <c r="IL110" i="1"/>
  <c r="IM110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HN113" i="1"/>
  <c r="HO113" i="1"/>
  <c r="HP113" i="1"/>
  <c r="HQ113" i="1"/>
  <c r="HR113" i="1"/>
  <c r="HS113" i="1"/>
  <c r="HT113" i="1"/>
  <c r="HU113" i="1"/>
  <c r="HV113" i="1"/>
  <c r="HW113" i="1"/>
  <c r="HX113" i="1"/>
  <c r="HY113" i="1"/>
  <c r="HZ113" i="1"/>
  <c r="IA113" i="1"/>
  <c r="IB113" i="1"/>
  <c r="IC113" i="1"/>
  <c r="ID113" i="1"/>
  <c r="IE113" i="1"/>
  <c r="IF113" i="1"/>
  <c r="IG113" i="1"/>
  <c r="IH113" i="1"/>
  <c r="II113" i="1"/>
  <c r="IJ113" i="1"/>
  <c r="IK113" i="1"/>
  <c r="IL113" i="1"/>
  <c r="IM113" i="1"/>
  <c r="HN114" i="1"/>
  <c r="HO114" i="1"/>
  <c r="HP114" i="1"/>
  <c r="HQ114" i="1"/>
  <c r="HR114" i="1"/>
  <c r="HS114" i="1"/>
  <c r="HT114" i="1"/>
  <c r="HU114" i="1"/>
  <c r="HV114" i="1"/>
  <c r="HW114" i="1"/>
  <c r="HX114" i="1"/>
  <c r="HY114" i="1"/>
  <c r="HZ114" i="1"/>
  <c r="IA114" i="1"/>
  <c r="IB114" i="1"/>
  <c r="IC114" i="1"/>
  <c r="ID114" i="1"/>
  <c r="IE114" i="1"/>
  <c r="IF114" i="1"/>
  <c r="IG114" i="1"/>
  <c r="IH114" i="1"/>
  <c r="II114" i="1"/>
  <c r="IJ114" i="1"/>
  <c r="IK114" i="1"/>
  <c r="IL114" i="1"/>
  <c r="IM114" i="1"/>
  <c r="HN115" i="1"/>
  <c r="HO115" i="1"/>
  <c r="HP115" i="1"/>
  <c r="HQ115" i="1"/>
  <c r="HR115" i="1"/>
  <c r="HS115" i="1"/>
  <c r="HT115" i="1"/>
  <c r="HU115" i="1"/>
  <c r="HV115" i="1"/>
  <c r="HW115" i="1"/>
  <c r="HX115" i="1"/>
  <c r="HY115" i="1"/>
  <c r="HZ115" i="1"/>
  <c r="IA115" i="1"/>
  <c r="IB115" i="1"/>
  <c r="IC115" i="1"/>
  <c r="ID115" i="1"/>
  <c r="IE115" i="1"/>
  <c r="IF115" i="1"/>
  <c r="IG115" i="1"/>
  <c r="IH115" i="1"/>
  <c r="II115" i="1"/>
  <c r="IJ115" i="1"/>
  <c r="IK115" i="1"/>
  <c r="IL115" i="1"/>
  <c r="IM115" i="1"/>
  <c r="HN116" i="1"/>
  <c r="HO116" i="1"/>
  <c r="HP116" i="1"/>
  <c r="HQ116" i="1"/>
  <c r="HR116" i="1"/>
  <c r="HS116" i="1"/>
  <c r="HT116" i="1"/>
  <c r="HU116" i="1"/>
  <c r="HV116" i="1"/>
  <c r="HW116" i="1"/>
  <c r="HX116" i="1"/>
  <c r="HY116" i="1"/>
  <c r="HZ116" i="1"/>
  <c r="IA116" i="1"/>
  <c r="IB116" i="1"/>
  <c r="IC116" i="1"/>
  <c r="ID116" i="1"/>
  <c r="IE116" i="1"/>
  <c r="IF116" i="1"/>
  <c r="IG116" i="1"/>
  <c r="IH116" i="1"/>
  <c r="II116" i="1"/>
  <c r="IJ116" i="1"/>
  <c r="IK116" i="1"/>
  <c r="IL116" i="1"/>
  <c r="IM116" i="1"/>
  <c r="HN117" i="1"/>
  <c r="HO117" i="1"/>
  <c r="HP117" i="1"/>
  <c r="HQ117" i="1"/>
  <c r="HR117" i="1"/>
  <c r="HS117" i="1"/>
  <c r="HT117" i="1"/>
  <c r="HU117" i="1"/>
  <c r="HV117" i="1"/>
  <c r="HW117" i="1"/>
  <c r="HX117" i="1"/>
  <c r="HY117" i="1"/>
  <c r="HZ117" i="1"/>
  <c r="IA117" i="1"/>
  <c r="IB117" i="1"/>
  <c r="IC117" i="1"/>
  <c r="ID117" i="1"/>
  <c r="IE117" i="1"/>
  <c r="IF117" i="1"/>
  <c r="IG117" i="1"/>
  <c r="IH117" i="1"/>
  <c r="II117" i="1"/>
  <c r="IJ117" i="1"/>
  <c r="IK117" i="1"/>
  <c r="IL117" i="1"/>
  <c r="IM117" i="1"/>
  <c r="HN118" i="1"/>
  <c r="HO118" i="1"/>
  <c r="HP118" i="1"/>
  <c r="HQ118" i="1"/>
  <c r="HR118" i="1"/>
  <c r="HS118" i="1"/>
  <c r="HT118" i="1"/>
  <c r="HU118" i="1"/>
  <c r="HV118" i="1"/>
  <c r="HW118" i="1"/>
  <c r="HX118" i="1"/>
  <c r="HY118" i="1"/>
  <c r="HZ118" i="1"/>
  <c r="IA118" i="1"/>
  <c r="IB118" i="1"/>
  <c r="IC118" i="1"/>
  <c r="ID118" i="1"/>
  <c r="IE118" i="1"/>
  <c r="IF118" i="1"/>
  <c r="IG118" i="1"/>
  <c r="IH118" i="1"/>
  <c r="II118" i="1"/>
  <c r="IJ118" i="1"/>
  <c r="IK118" i="1"/>
  <c r="IL118" i="1"/>
  <c r="IM118" i="1"/>
  <c r="HN119" i="1"/>
  <c r="HO119" i="1"/>
  <c r="HP119" i="1"/>
  <c r="HQ119" i="1"/>
  <c r="HR119" i="1"/>
  <c r="HS119" i="1"/>
  <c r="HT119" i="1"/>
  <c r="HU119" i="1"/>
  <c r="HV119" i="1"/>
  <c r="HW119" i="1"/>
  <c r="HX119" i="1"/>
  <c r="HY119" i="1"/>
  <c r="HZ119" i="1"/>
  <c r="IA119" i="1"/>
  <c r="IB119" i="1"/>
  <c r="IC119" i="1"/>
  <c r="ID119" i="1"/>
  <c r="IE119" i="1"/>
  <c r="IF119" i="1"/>
  <c r="IG119" i="1"/>
  <c r="IH119" i="1"/>
  <c r="II119" i="1"/>
  <c r="IJ119" i="1"/>
  <c r="IK119" i="1"/>
  <c r="IL119" i="1"/>
  <c r="IM119" i="1"/>
  <c r="HN120" i="1"/>
  <c r="HO120" i="1"/>
  <c r="HP120" i="1"/>
  <c r="HQ120" i="1"/>
  <c r="HR120" i="1"/>
  <c r="HS120" i="1"/>
  <c r="HT120" i="1"/>
  <c r="HU120" i="1"/>
  <c r="HV120" i="1"/>
  <c r="HW120" i="1"/>
  <c r="HX120" i="1"/>
  <c r="HY120" i="1"/>
  <c r="HZ120" i="1"/>
  <c r="IA120" i="1"/>
  <c r="IB120" i="1"/>
  <c r="IC120" i="1"/>
  <c r="ID120" i="1"/>
  <c r="IE120" i="1"/>
  <c r="IF120" i="1"/>
  <c r="IG120" i="1"/>
  <c r="IH120" i="1"/>
  <c r="II120" i="1"/>
  <c r="IJ120" i="1"/>
  <c r="IK120" i="1"/>
  <c r="IL120" i="1"/>
  <c r="IM120" i="1"/>
  <c r="HN121" i="1"/>
  <c r="HO121" i="1"/>
  <c r="HP121" i="1"/>
  <c r="HQ121" i="1"/>
  <c r="HR121" i="1"/>
  <c r="HS121" i="1"/>
  <c r="HT121" i="1"/>
  <c r="HU121" i="1"/>
  <c r="HV121" i="1"/>
  <c r="HW121" i="1"/>
  <c r="HX121" i="1"/>
  <c r="HY121" i="1"/>
  <c r="HZ121" i="1"/>
  <c r="IA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HN122" i="1"/>
  <c r="HO122" i="1"/>
  <c r="HP122" i="1"/>
  <c r="HQ122" i="1"/>
  <c r="HR122" i="1"/>
  <c r="HS122" i="1"/>
  <c r="HT122" i="1"/>
  <c r="HU122" i="1"/>
  <c r="HV122" i="1"/>
  <c r="HW122" i="1"/>
  <c r="HX122" i="1"/>
  <c r="HY122" i="1"/>
  <c r="HZ122" i="1"/>
  <c r="IA122" i="1"/>
  <c r="IB122" i="1"/>
  <c r="IC122" i="1"/>
  <c r="ID122" i="1"/>
  <c r="IE122" i="1"/>
  <c r="IF122" i="1"/>
  <c r="IG122" i="1"/>
  <c r="IH122" i="1"/>
  <c r="II122" i="1"/>
  <c r="IJ122" i="1"/>
  <c r="IK122" i="1"/>
  <c r="IL122" i="1"/>
  <c r="IM122" i="1"/>
  <c r="HN123" i="1"/>
  <c r="HO123" i="1"/>
  <c r="HP123" i="1"/>
  <c r="HQ123" i="1"/>
  <c r="HR123" i="1"/>
  <c r="HS123" i="1"/>
  <c r="HT123" i="1"/>
  <c r="HU123" i="1"/>
  <c r="HV123" i="1"/>
  <c r="HW123" i="1"/>
  <c r="HX123" i="1"/>
  <c r="HY123" i="1"/>
  <c r="HZ123" i="1"/>
  <c r="IA123" i="1"/>
  <c r="IB123" i="1"/>
  <c r="IC123" i="1"/>
  <c r="ID123" i="1"/>
  <c r="IE123" i="1"/>
  <c r="IF123" i="1"/>
  <c r="IG123" i="1"/>
  <c r="IH123" i="1"/>
  <c r="II123" i="1"/>
  <c r="IJ123" i="1"/>
  <c r="IK123" i="1"/>
  <c r="IL123" i="1"/>
  <c r="IM123" i="1"/>
  <c r="HN124" i="1"/>
  <c r="HO124" i="1"/>
  <c r="HP124" i="1"/>
  <c r="HQ124" i="1"/>
  <c r="HR124" i="1"/>
  <c r="HS124" i="1"/>
  <c r="HT124" i="1"/>
  <c r="HU124" i="1"/>
  <c r="HV124" i="1"/>
  <c r="HW124" i="1"/>
  <c r="HX124" i="1"/>
  <c r="HY124" i="1"/>
  <c r="HZ124" i="1"/>
  <c r="IA124" i="1"/>
  <c r="IB124" i="1"/>
  <c r="IC124" i="1"/>
  <c r="ID124" i="1"/>
  <c r="IE124" i="1"/>
  <c r="IF124" i="1"/>
  <c r="IG124" i="1"/>
  <c r="IH124" i="1"/>
  <c r="II124" i="1"/>
  <c r="IJ124" i="1"/>
  <c r="IK124" i="1"/>
  <c r="IL124" i="1"/>
  <c r="IM124" i="1"/>
  <c r="HN125" i="1"/>
  <c r="HO125" i="1"/>
  <c r="HP125" i="1"/>
  <c r="HQ125" i="1"/>
  <c r="HR125" i="1"/>
  <c r="HS125" i="1"/>
  <c r="HT125" i="1"/>
  <c r="HU125" i="1"/>
  <c r="HV125" i="1"/>
  <c r="HW125" i="1"/>
  <c r="HX125" i="1"/>
  <c r="HY125" i="1"/>
  <c r="HZ125" i="1"/>
  <c r="IA125" i="1"/>
  <c r="IB125" i="1"/>
  <c r="IC125" i="1"/>
  <c r="ID125" i="1"/>
  <c r="IE125" i="1"/>
  <c r="IF125" i="1"/>
  <c r="IG125" i="1"/>
  <c r="IH125" i="1"/>
  <c r="II125" i="1"/>
  <c r="IJ125" i="1"/>
  <c r="IK125" i="1"/>
  <c r="IL125" i="1"/>
  <c r="IM125" i="1"/>
  <c r="HN126" i="1"/>
  <c r="HO126" i="1"/>
  <c r="HP126" i="1"/>
  <c r="HQ126" i="1"/>
  <c r="HR126" i="1"/>
  <c r="HS126" i="1"/>
  <c r="HT126" i="1"/>
  <c r="HU126" i="1"/>
  <c r="HV126" i="1"/>
  <c r="HW126" i="1"/>
  <c r="HX126" i="1"/>
  <c r="HY126" i="1"/>
  <c r="HZ126" i="1"/>
  <c r="IA126" i="1"/>
  <c r="IB126" i="1"/>
  <c r="IC126" i="1"/>
  <c r="ID126" i="1"/>
  <c r="IE126" i="1"/>
  <c r="IF126" i="1"/>
  <c r="IG126" i="1"/>
  <c r="IH126" i="1"/>
  <c r="II126" i="1"/>
  <c r="IJ126" i="1"/>
  <c r="IK126" i="1"/>
  <c r="IL126" i="1"/>
  <c r="IM126" i="1"/>
  <c r="HN127" i="1"/>
  <c r="HO127" i="1"/>
  <c r="HP127" i="1"/>
  <c r="HQ127" i="1"/>
  <c r="HQ10" i="1" s="1"/>
  <c r="HR127" i="1"/>
  <c r="HS127" i="1"/>
  <c r="HT127" i="1"/>
  <c r="HU127" i="1"/>
  <c r="HV127" i="1"/>
  <c r="HW127" i="1"/>
  <c r="HX127" i="1"/>
  <c r="HY127" i="1"/>
  <c r="HY10" i="1" s="1"/>
  <c r="HZ127" i="1"/>
  <c r="IA127" i="1"/>
  <c r="IB127" i="1"/>
  <c r="IC127" i="1"/>
  <c r="IC10" i="1" s="1"/>
  <c r="ID127" i="1"/>
  <c r="IE127" i="1"/>
  <c r="IF127" i="1"/>
  <c r="IG127" i="1"/>
  <c r="IG10" i="1" s="1"/>
  <c r="IH127" i="1"/>
  <c r="II127" i="1"/>
  <c r="IJ127" i="1"/>
  <c r="IK127" i="1"/>
  <c r="IL127" i="1"/>
  <c r="IM127" i="1"/>
  <c r="HN128" i="1"/>
  <c r="HO128" i="1"/>
  <c r="HO10" i="1" s="1"/>
  <c r="HP128" i="1"/>
  <c r="HQ128" i="1"/>
  <c r="HR128" i="1"/>
  <c r="HS128" i="1"/>
  <c r="HS10" i="1" s="1"/>
  <c r="HT128" i="1"/>
  <c r="HU128" i="1"/>
  <c r="HV128" i="1"/>
  <c r="HW128" i="1"/>
  <c r="HW10" i="1" s="1"/>
  <c r="HX128" i="1"/>
  <c r="HY128" i="1"/>
  <c r="HZ128" i="1"/>
  <c r="IA128" i="1"/>
  <c r="IB128" i="1"/>
  <c r="IC128" i="1"/>
  <c r="ID128" i="1"/>
  <c r="IE128" i="1"/>
  <c r="IE10" i="1" s="1"/>
  <c r="IF128" i="1"/>
  <c r="IG128" i="1"/>
  <c r="IH128" i="1"/>
  <c r="II128" i="1"/>
  <c r="II10" i="1" s="1"/>
  <c r="IJ128" i="1"/>
  <c r="IK128" i="1"/>
  <c r="IL128" i="1"/>
  <c r="IM128" i="1"/>
  <c r="IM10" i="1" s="1"/>
  <c r="HN129" i="1"/>
  <c r="HO129" i="1"/>
  <c r="HP129" i="1"/>
  <c r="HQ129" i="1"/>
  <c r="HR129" i="1"/>
  <c r="HS129" i="1"/>
  <c r="HT129" i="1"/>
  <c r="HU129" i="1"/>
  <c r="HV129" i="1"/>
  <c r="HW129" i="1"/>
  <c r="HX129" i="1"/>
  <c r="HY129" i="1"/>
  <c r="HZ129" i="1"/>
  <c r="IA129" i="1"/>
  <c r="IB129" i="1"/>
  <c r="IC129" i="1"/>
  <c r="ID129" i="1"/>
  <c r="IE129" i="1"/>
  <c r="IF129" i="1"/>
  <c r="IG129" i="1"/>
  <c r="IH129" i="1"/>
  <c r="II129" i="1"/>
  <c r="IJ129" i="1"/>
  <c r="IK129" i="1"/>
  <c r="IL129" i="1"/>
  <c r="IM129" i="1"/>
  <c r="HN130" i="1"/>
  <c r="HO130" i="1"/>
  <c r="HP130" i="1"/>
  <c r="HQ130" i="1"/>
  <c r="HR130" i="1"/>
  <c r="HS130" i="1"/>
  <c r="HS11" i="1" s="1"/>
  <c r="HT130" i="1"/>
  <c r="HU130" i="1"/>
  <c r="HV130" i="1"/>
  <c r="HW130" i="1"/>
  <c r="HW11" i="1" s="1"/>
  <c r="HX130" i="1"/>
  <c r="HY130" i="1"/>
  <c r="HZ130" i="1"/>
  <c r="IA130" i="1"/>
  <c r="IA11" i="1" s="1"/>
  <c r="IB130" i="1"/>
  <c r="IC130" i="1"/>
  <c r="ID130" i="1"/>
  <c r="IE130" i="1"/>
  <c r="IF130" i="1"/>
  <c r="IG130" i="1"/>
  <c r="IH130" i="1"/>
  <c r="II130" i="1"/>
  <c r="II11" i="1" s="1"/>
  <c r="IJ130" i="1"/>
  <c r="IK130" i="1"/>
  <c r="IL130" i="1"/>
  <c r="IM130" i="1"/>
  <c r="IM11" i="1" s="1"/>
  <c r="HN131" i="1"/>
  <c r="HO131" i="1"/>
  <c r="HP131" i="1"/>
  <c r="HQ131" i="1"/>
  <c r="HQ11" i="1" s="1"/>
  <c r="HR131" i="1"/>
  <c r="HS131" i="1"/>
  <c r="HT131" i="1"/>
  <c r="HU131" i="1"/>
  <c r="HV131" i="1"/>
  <c r="HW131" i="1"/>
  <c r="HX131" i="1"/>
  <c r="HY131" i="1"/>
  <c r="HY11" i="1" s="1"/>
  <c r="HZ131" i="1"/>
  <c r="IA131" i="1"/>
  <c r="IB131" i="1"/>
  <c r="IC131" i="1"/>
  <c r="IC11" i="1" s="1"/>
  <c r="ID131" i="1"/>
  <c r="IE131" i="1"/>
  <c r="IF131" i="1"/>
  <c r="IG131" i="1"/>
  <c r="IG11" i="1" s="1"/>
  <c r="IH131" i="1"/>
  <c r="II131" i="1"/>
  <c r="IJ131" i="1"/>
  <c r="IK131" i="1"/>
  <c r="IL131" i="1"/>
  <c r="IM131" i="1"/>
  <c r="HN132" i="1"/>
  <c r="HO132" i="1"/>
  <c r="HP132" i="1"/>
  <c r="HQ132" i="1"/>
  <c r="HR132" i="1"/>
  <c r="HS132" i="1"/>
  <c r="HT132" i="1"/>
  <c r="HU132" i="1"/>
  <c r="HV132" i="1"/>
  <c r="HW132" i="1"/>
  <c r="HX132" i="1"/>
  <c r="HY132" i="1"/>
  <c r="HZ132" i="1"/>
  <c r="IA132" i="1"/>
  <c r="IB132" i="1"/>
  <c r="IC132" i="1"/>
  <c r="ID132" i="1"/>
  <c r="IE132" i="1"/>
  <c r="IF132" i="1"/>
  <c r="IG132" i="1"/>
  <c r="IH132" i="1"/>
  <c r="II132" i="1"/>
  <c r="IJ132" i="1"/>
  <c r="IK132" i="1"/>
  <c r="IL132" i="1"/>
  <c r="IM132" i="1"/>
  <c r="HN133" i="1"/>
  <c r="HO133" i="1"/>
  <c r="HP133" i="1"/>
  <c r="HQ133" i="1"/>
  <c r="HR133" i="1"/>
  <c r="HS133" i="1"/>
  <c r="HT133" i="1"/>
  <c r="HU133" i="1"/>
  <c r="HV133" i="1"/>
  <c r="HW133" i="1"/>
  <c r="HX133" i="1"/>
  <c r="HY133" i="1"/>
  <c r="HZ133" i="1"/>
  <c r="IA133" i="1"/>
  <c r="IB133" i="1"/>
  <c r="IC133" i="1"/>
  <c r="ID133" i="1"/>
  <c r="IE133" i="1"/>
  <c r="IF133" i="1"/>
  <c r="IG133" i="1"/>
  <c r="IH133" i="1"/>
  <c r="II133" i="1"/>
  <c r="IJ133" i="1"/>
  <c r="IK133" i="1"/>
  <c r="IL133" i="1"/>
  <c r="IM133" i="1"/>
  <c r="HN134" i="1"/>
  <c r="HO134" i="1"/>
  <c r="HP134" i="1"/>
  <c r="HQ134" i="1"/>
  <c r="HR134" i="1"/>
  <c r="HS134" i="1"/>
  <c r="HT134" i="1"/>
  <c r="HU134" i="1"/>
  <c r="HV134" i="1"/>
  <c r="HW134" i="1"/>
  <c r="HX134" i="1"/>
  <c r="HY134" i="1"/>
  <c r="HZ134" i="1"/>
  <c r="IA134" i="1"/>
  <c r="IB134" i="1"/>
  <c r="IC134" i="1"/>
  <c r="ID134" i="1"/>
  <c r="IE134" i="1"/>
  <c r="IF134" i="1"/>
  <c r="IG134" i="1"/>
  <c r="IH134" i="1"/>
  <c r="II134" i="1"/>
  <c r="IJ134" i="1"/>
  <c r="IK134" i="1"/>
  <c r="IL134" i="1"/>
  <c r="IM134" i="1"/>
  <c r="HN135" i="1"/>
  <c r="HO135" i="1"/>
  <c r="HP135" i="1"/>
  <c r="HQ135" i="1"/>
  <c r="HR135" i="1"/>
  <c r="HS135" i="1"/>
  <c r="HT135" i="1"/>
  <c r="HU135" i="1"/>
  <c r="HV135" i="1"/>
  <c r="HW135" i="1"/>
  <c r="HX135" i="1"/>
  <c r="HY135" i="1"/>
  <c r="HZ135" i="1"/>
  <c r="IA135" i="1"/>
  <c r="IB135" i="1"/>
  <c r="IC135" i="1"/>
  <c r="ID135" i="1"/>
  <c r="IE135" i="1"/>
  <c r="IF135" i="1"/>
  <c r="IG135" i="1"/>
  <c r="IH135" i="1"/>
  <c r="II135" i="1"/>
  <c r="IJ135" i="1"/>
  <c r="IK135" i="1"/>
  <c r="IL135" i="1"/>
  <c r="IM135" i="1"/>
  <c r="HN136" i="1"/>
  <c r="HO136" i="1"/>
  <c r="HP136" i="1"/>
  <c r="HQ136" i="1"/>
  <c r="HR136" i="1"/>
  <c r="HS136" i="1"/>
  <c r="HT136" i="1"/>
  <c r="HU136" i="1"/>
  <c r="HV136" i="1"/>
  <c r="HW136" i="1"/>
  <c r="HX136" i="1"/>
  <c r="HY136" i="1"/>
  <c r="HZ136" i="1"/>
  <c r="IA136" i="1"/>
  <c r="IB136" i="1"/>
  <c r="IC136" i="1"/>
  <c r="ID136" i="1"/>
  <c r="IE136" i="1"/>
  <c r="IF136" i="1"/>
  <c r="IG136" i="1"/>
  <c r="IH136" i="1"/>
  <c r="II136" i="1"/>
  <c r="IJ136" i="1"/>
  <c r="IK136" i="1"/>
  <c r="IL136" i="1"/>
  <c r="IM136" i="1"/>
  <c r="HN137" i="1"/>
  <c r="HO137" i="1"/>
  <c r="HP137" i="1"/>
  <c r="HQ137" i="1"/>
  <c r="HR137" i="1"/>
  <c r="HS137" i="1"/>
  <c r="HT137" i="1"/>
  <c r="HU137" i="1"/>
  <c r="HV137" i="1"/>
  <c r="HW137" i="1"/>
  <c r="HX137" i="1"/>
  <c r="HY137" i="1"/>
  <c r="HZ137" i="1"/>
  <c r="IA137" i="1"/>
  <c r="IB137" i="1"/>
  <c r="IC137" i="1"/>
  <c r="ID137" i="1"/>
  <c r="IE137" i="1"/>
  <c r="IF137" i="1"/>
  <c r="IG137" i="1"/>
  <c r="IH137" i="1"/>
  <c r="II137" i="1"/>
  <c r="IJ137" i="1"/>
  <c r="IK137" i="1"/>
  <c r="IL137" i="1"/>
  <c r="IM137" i="1"/>
  <c r="HN138" i="1"/>
  <c r="HO138" i="1"/>
  <c r="HP138" i="1"/>
  <c r="HQ138" i="1"/>
  <c r="HR138" i="1"/>
  <c r="HS138" i="1"/>
  <c r="HT138" i="1"/>
  <c r="HU138" i="1"/>
  <c r="HV138" i="1"/>
  <c r="HW138" i="1"/>
  <c r="HX138" i="1"/>
  <c r="HY138" i="1"/>
  <c r="HZ138" i="1"/>
  <c r="IA138" i="1"/>
  <c r="IB138" i="1"/>
  <c r="IC138" i="1"/>
  <c r="ID138" i="1"/>
  <c r="IE138" i="1"/>
  <c r="IF138" i="1"/>
  <c r="IG138" i="1"/>
  <c r="IH138" i="1"/>
  <c r="II138" i="1"/>
  <c r="IJ138" i="1"/>
  <c r="IK138" i="1"/>
  <c r="IL138" i="1"/>
  <c r="IM138" i="1"/>
  <c r="HN139" i="1"/>
  <c r="HO139" i="1"/>
  <c r="HP139" i="1"/>
  <c r="HQ139" i="1"/>
  <c r="HQ12" i="1" s="1"/>
  <c r="HR139" i="1"/>
  <c r="HS139" i="1"/>
  <c r="HT139" i="1"/>
  <c r="HU139" i="1"/>
  <c r="HU12" i="1" s="1"/>
  <c r="HV139" i="1"/>
  <c r="HW139" i="1"/>
  <c r="HX139" i="1"/>
  <c r="HY139" i="1"/>
  <c r="HY12" i="1" s="1"/>
  <c r="HZ139" i="1"/>
  <c r="IA139" i="1"/>
  <c r="IB139" i="1"/>
  <c r="IC139" i="1"/>
  <c r="ID139" i="1"/>
  <c r="IE139" i="1"/>
  <c r="IF139" i="1"/>
  <c r="IG139" i="1"/>
  <c r="IG12" i="1" s="1"/>
  <c r="IH139" i="1"/>
  <c r="II139" i="1"/>
  <c r="IJ139" i="1"/>
  <c r="IK139" i="1"/>
  <c r="IK12" i="1" s="1"/>
  <c r="IL139" i="1"/>
  <c r="IM139" i="1"/>
  <c r="HN140" i="1"/>
  <c r="HO140" i="1"/>
  <c r="HO12" i="1" s="1"/>
  <c r="HP140" i="1"/>
  <c r="HQ140" i="1"/>
  <c r="HR140" i="1"/>
  <c r="HS140" i="1"/>
  <c r="HT140" i="1"/>
  <c r="HU140" i="1"/>
  <c r="HV140" i="1"/>
  <c r="HW140" i="1"/>
  <c r="HW12" i="1" s="1"/>
  <c r="HX140" i="1"/>
  <c r="HY140" i="1"/>
  <c r="HZ140" i="1"/>
  <c r="IA140" i="1"/>
  <c r="IA12" i="1" s="1"/>
  <c r="IB140" i="1"/>
  <c r="IC140" i="1"/>
  <c r="ID140" i="1"/>
  <c r="IE140" i="1"/>
  <c r="IE12" i="1" s="1"/>
  <c r="IF140" i="1"/>
  <c r="IG140" i="1"/>
  <c r="IH140" i="1"/>
  <c r="II140" i="1"/>
  <c r="IJ140" i="1"/>
  <c r="IK140" i="1"/>
  <c r="IL140" i="1"/>
  <c r="IM140" i="1"/>
  <c r="IM12" i="1" s="1"/>
  <c r="HN141" i="1"/>
  <c r="HO141" i="1"/>
  <c r="HP141" i="1"/>
  <c r="HQ141" i="1"/>
  <c r="HR141" i="1"/>
  <c r="HS141" i="1"/>
  <c r="HT141" i="1"/>
  <c r="HU141" i="1"/>
  <c r="HV141" i="1"/>
  <c r="HW141" i="1"/>
  <c r="HX141" i="1"/>
  <c r="HY141" i="1"/>
  <c r="HZ141" i="1"/>
  <c r="IA141" i="1"/>
  <c r="IB141" i="1"/>
  <c r="IC141" i="1"/>
  <c r="ID141" i="1"/>
  <c r="IE141" i="1"/>
  <c r="IF141" i="1"/>
  <c r="IG141" i="1"/>
  <c r="IH141" i="1"/>
  <c r="II141" i="1"/>
  <c r="IJ141" i="1"/>
  <c r="IK141" i="1"/>
  <c r="IL141" i="1"/>
  <c r="IM141" i="1"/>
  <c r="HN142" i="1"/>
  <c r="HO142" i="1"/>
  <c r="HP142" i="1"/>
  <c r="HQ142" i="1"/>
  <c r="HR142" i="1"/>
  <c r="HS142" i="1"/>
  <c r="HT142" i="1"/>
  <c r="HU142" i="1"/>
  <c r="HV142" i="1"/>
  <c r="HW142" i="1"/>
  <c r="HX142" i="1"/>
  <c r="HY142" i="1"/>
  <c r="HZ142" i="1"/>
  <c r="IA142" i="1"/>
  <c r="IB142" i="1"/>
  <c r="IC142" i="1"/>
  <c r="ID142" i="1"/>
  <c r="IE142" i="1"/>
  <c r="IF142" i="1"/>
  <c r="IG142" i="1"/>
  <c r="IH142" i="1"/>
  <c r="II142" i="1"/>
  <c r="IJ142" i="1"/>
  <c r="IK142" i="1"/>
  <c r="IL142" i="1"/>
  <c r="IM142" i="1"/>
  <c r="HN143" i="1"/>
  <c r="HO143" i="1"/>
  <c r="HP143" i="1"/>
  <c r="HQ143" i="1"/>
  <c r="HR143" i="1"/>
  <c r="HS143" i="1"/>
  <c r="HT143" i="1"/>
  <c r="HU143" i="1"/>
  <c r="HV143" i="1"/>
  <c r="HW143" i="1"/>
  <c r="HX143" i="1"/>
  <c r="HY143" i="1"/>
  <c r="HZ143" i="1"/>
  <c r="IA143" i="1"/>
  <c r="IB143" i="1"/>
  <c r="IC143" i="1"/>
  <c r="ID143" i="1"/>
  <c r="IE143" i="1"/>
  <c r="IF143" i="1"/>
  <c r="IG143" i="1"/>
  <c r="IH143" i="1"/>
  <c r="II143" i="1"/>
  <c r="IJ143" i="1"/>
  <c r="IK143" i="1"/>
  <c r="IL143" i="1"/>
  <c r="IM143" i="1"/>
  <c r="HN144" i="1"/>
  <c r="HO144" i="1"/>
  <c r="HP144" i="1"/>
  <c r="HQ144" i="1"/>
  <c r="HR144" i="1"/>
  <c r="HS144" i="1"/>
  <c r="HT144" i="1"/>
  <c r="HU144" i="1"/>
  <c r="HV144" i="1"/>
  <c r="HW144" i="1"/>
  <c r="HX144" i="1"/>
  <c r="HY144" i="1"/>
  <c r="HZ144" i="1"/>
  <c r="IA144" i="1"/>
  <c r="IB144" i="1"/>
  <c r="IC144" i="1"/>
  <c r="ID144" i="1"/>
  <c r="IE144" i="1"/>
  <c r="IF144" i="1"/>
  <c r="IG144" i="1"/>
  <c r="IH144" i="1"/>
  <c r="II144" i="1"/>
  <c r="IJ144" i="1"/>
  <c r="IK144" i="1"/>
  <c r="IL144" i="1"/>
  <c r="IM144" i="1"/>
  <c r="HN145" i="1"/>
  <c r="HO145" i="1"/>
  <c r="HP145" i="1"/>
  <c r="HQ145" i="1"/>
  <c r="HR145" i="1"/>
  <c r="HS145" i="1"/>
  <c r="HT145" i="1"/>
  <c r="HU145" i="1"/>
  <c r="HV145" i="1"/>
  <c r="HW145" i="1"/>
  <c r="HX145" i="1"/>
  <c r="HY145" i="1"/>
  <c r="HZ145" i="1"/>
  <c r="IA145" i="1"/>
  <c r="IB145" i="1"/>
  <c r="IC145" i="1"/>
  <c r="ID145" i="1"/>
  <c r="IE145" i="1"/>
  <c r="IF145" i="1"/>
  <c r="IG145" i="1"/>
  <c r="IH145" i="1"/>
  <c r="II145" i="1"/>
  <c r="IJ145" i="1"/>
  <c r="IK145" i="1"/>
  <c r="IL145" i="1"/>
  <c r="IM145" i="1"/>
  <c r="HN146" i="1"/>
  <c r="HO146" i="1"/>
  <c r="HP146" i="1"/>
  <c r="HQ146" i="1"/>
  <c r="HR146" i="1"/>
  <c r="HS146" i="1"/>
  <c r="HT146" i="1"/>
  <c r="HU146" i="1"/>
  <c r="HV146" i="1"/>
  <c r="HW146" i="1"/>
  <c r="HX146" i="1"/>
  <c r="HY146" i="1"/>
  <c r="HZ146" i="1"/>
  <c r="IA146" i="1"/>
  <c r="IB146" i="1"/>
  <c r="IC146" i="1"/>
  <c r="ID146" i="1"/>
  <c r="IE146" i="1"/>
  <c r="IF146" i="1"/>
  <c r="IG146" i="1"/>
  <c r="IH146" i="1"/>
  <c r="II146" i="1"/>
  <c r="IJ146" i="1"/>
  <c r="IK146" i="1"/>
  <c r="IL146" i="1"/>
  <c r="IM146" i="1"/>
  <c r="HN147" i="1"/>
  <c r="HO147" i="1"/>
  <c r="HP147" i="1"/>
  <c r="HQ147" i="1"/>
  <c r="HR147" i="1"/>
  <c r="HS147" i="1"/>
  <c r="HT147" i="1"/>
  <c r="HU147" i="1"/>
  <c r="HV147" i="1"/>
  <c r="HW147" i="1"/>
  <c r="HX147" i="1"/>
  <c r="HY147" i="1"/>
  <c r="HZ147" i="1"/>
  <c r="IA147" i="1"/>
  <c r="IB147" i="1"/>
  <c r="IC147" i="1"/>
  <c r="ID147" i="1"/>
  <c r="IE147" i="1"/>
  <c r="IF147" i="1"/>
  <c r="IG147" i="1"/>
  <c r="IH147" i="1"/>
  <c r="II147" i="1"/>
  <c r="IJ147" i="1"/>
  <c r="IK147" i="1"/>
  <c r="IL147" i="1"/>
  <c r="IM147" i="1"/>
  <c r="HN148" i="1"/>
  <c r="HO148" i="1"/>
  <c r="HP148" i="1"/>
  <c r="HQ148" i="1"/>
  <c r="HR148" i="1"/>
  <c r="HS148" i="1"/>
  <c r="HT148" i="1"/>
  <c r="HU148" i="1"/>
  <c r="HV148" i="1"/>
  <c r="HW148" i="1"/>
  <c r="HX148" i="1"/>
  <c r="HY148" i="1"/>
  <c r="HZ148" i="1"/>
  <c r="IA148" i="1"/>
  <c r="IB148" i="1"/>
  <c r="IC148" i="1"/>
  <c r="ID148" i="1"/>
  <c r="IE148" i="1"/>
  <c r="IF148" i="1"/>
  <c r="IG148" i="1"/>
  <c r="IH148" i="1"/>
  <c r="II148" i="1"/>
  <c r="IJ148" i="1"/>
  <c r="IK148" i="1"/>
  <c r="IL148" i="1"/>
  <c r="IM148" i="1"/>
  <c r="HN149" i="1"/>
  <c r="HO149" i="1"/>
  <c r="HP149" i="1"/>
  <c r="HQ149" i="1"/>
  <c r="HR149" i="1"/>
  <c r="HS149" i="1"/>
  <c r="HT149" i="1"/>
  <c r="HU149" i="1"/>
  <c r="HV149" i="1"/>
  <c r="HW149" i="1"/>
  <c r="HX149" i="1"/>
  <c r="HY149" i="1"/>
  <c r="HZ149" i="1"/>
  <c r="IA149" i="1"/>
  <c r="IB149" i="1"/>
  <c r="IC149" i="1"/>
  <c r="ID149" i="1"/>
  <c r="IE149" i="1"/>
  <c r="IF149" i="1"/>
  <c r="IG149" i="1"/>
  <c r="IH149" i="1"/>
  <c r="II149" i="1"/>
  <c r="IJ149" i="1"/>
  <c r="IK149" i="1"/>
  <c r="IL149" i="1"/>
  <c r="IM149" i="1"/>
  <c r="HN150" i="1"/>
  <c r="HO150" i="1"/>
  <c r="HP150" i="1"/>
  <c r="HQ150" i="1"/>
  <c r="HR150" i="1"/>
  <c r="HS150" i="1"/>
  <c r="HT150" i="1"/>
  <c r="HU150" i="1"/>
  <c r="HV150" i="1"/>
  <c r="HW150" i="1"/>
  <c r="HX150" i="1"/>
  <c r="HY150" i="1"/>
  <c r="HZ150" i="1"/>
  <c r="IA150" i="1"/>
  <c r="IB150" i="1"/>
  <c r="IC150" i="1"/>
  <c r="ID150" i="1"/>
  <c r="IE150" i="1"/>
  <c r="IF150" i="1"/>
  <c r="IG150" i="1"/>
  <c r="IH150" i="1"/>
  <c r="II150" i="1"/>
  <c r="IJ150" i="1"/>
  <c r="IK150" i="1"/>
  <c r="IL150" i="1"/>
  <c r="IM150" i="1"/>
  <c r="HN151" i="1"/>
  <c r="HO151" i="1"/>
  <c r="HP151" i="1"/>
  <c r="HQ151" i="1"/>
  <c r="HR151" i="1"/>
  <c r="HS151" i="1"/>
  <c r="HT151" i="1"/>
  <c r="HU151" i="1"/>
  <c r="HV151" i="1"/>
  <c r="HW151" i="1"/>
  <c r="HX151" i="1"/>
  <c r="HY151" i="1"/>
  <c r="HZ151" i="1"/>
  <c r="IA151" i="1"/>
  <c r="IB151" i="1"/>
  <c r="IC151" i="1"/>
  <c r="ID151" i="1"/>
  <c r="IE151" i="1"/>
  <c r="IF151" i="1"/>
  <c r="IG151" i="1"/>
  <c r="IH151" i="1"/>
  <c r="II151" i="1"/>
  <c r="IJ151" i="1"/>
  <c r="IK151" i="1"/>
  <c r="IL151" i="1"/>
  <c r="IM151" i="1"/>
  <c r="HN152" i="1"/>
  <c r="HO152" i="1"/>
  <c r="HP152" i="1"/>
  <c r="HQ152" i="1"/>
  <c r="HR152" i="1"/>
  <c r="HS152" i="1"/>
  <c r="HT152" i="1"/>
  <c r="HU152" i="1"/>
  <c r="HV152" i="1"/>
  <c r="HW152" i="1"/>
  <c r="HX152" i="1"/>
  <c r="HY152" i="1"/>
  <c r="HZ152" i="1"/>
  <c r="IA152" i="1"/>
  <c r="IB152" i="1"/>
  <c r="IC152" i="1"/>
  <c r="ID152" i="1"/>
  <c r="IE152" i="1"/>
  <c r="IF152" i="1"/>
  <c r="IG152" i="1"/>
  <c r="IH152" i="1"/>
  <c r="II152" i="1"/>
  <c r="IJ152" i="1"/>
  <c r="IK152" i="1"/>
  <c r="IL152" i="1"/>
  <c r="IM152" i="1"/>
  <c r="HN153" i="1"/>
  <c r="HO153" i="1"/>
  <c r="HP153" i="1"/>
  <c r="HQ153" i="1"/>
  <c r="HR153" i="1"/>
  <c r="HS153" i="1"/>
  <c r="HT153" i="1"/>
  <c r="HU153" i="1"/>
  <c r="HV153" i="1"/>
  <c r="HW153" i="1"/>
  <c r="HX153" i="1"/>
  <c r="HY153" i="1"/>
  <c r="HZ153" i="1"/>
  <c r="IA153" i="1"/>
  <c r="IB153" i="1"/>
  <c r="IC153" i="1"/>
  <c r="ID153" i="1"/>
  <c r="IE153" i="1"/>
  <c r="IF153" i="1"/>
  <c r="IG153" i="1"/>
  <c r="IH153" i="1"/>
  <c r="II153" i="1"/>
  <c r="IJ153" i="1"/>
  <c r="IK153" i="1"/>
  <c r="IL153" i="1"/>
  <c r="IM153" i="1"/>
  <c r="HN154" i="1"/>
  <c r="HO154" i="1"/>
  <c r="HP154" i="1"/>
  <c r="HQ154" i="1"/>
  <c r="HR154" i="1"/>
  <c r="HS154" i="1"/>
  <c r="HT154" i="1"/>
  <c r="HU154" i="1"/>
  <c r="HV154" i="1"/>
  <c r="HW154" i="1"/>
  <c r="HX154" i="1"/>
  <c r="HY154" i="1"/>
  <c r="HZ154" i="1"/>
  <c r="IA154" i="1"/>
  <c r="IB154" i="1"/>
  <c r="IC154" i="1"/>
  <c r="ID154" i="1"/>
  <c r="IE154" i="1"/>
  <c r="IF154" i="1"/>
  <c r="IG154" i="1"/>
  <c r="IH154" i="1"/>
  <c r="II154" i="1"/>
  <c r="IJ154" i="1"/>
  <c r="IK154" i="1"/>
  <c r="IL154" i="1"/>
  <c r="IM154" i="1"/>
  <c r="HN155" i="1"/>
  <c r="HO155" i="1"/>
  <c r="HP155" i="1"/>
  <c r="HQ155" i="1"/>
  <c r="HR155" i="1"/>
  <c r="HS155" i="1"/>
  <c r="HT155" i="1"/>
  <c r="HU155" i="1"/>
  <c r="HV155" i="1"/>
  <c r="HW155" i="1"/>
  <c r="HX155" i="1"/>
  <c r="HY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HN156" i="1"/>
  <c r="HO156" i="1"/>
  <c r="HP156" i="1"/>
  <c r="HQ156" i="1"/>
  <c r="HR156" i="1"/>
  <c r="HS156" i="1"/>
  <c r="HT156" i="1"/>
  <c r="HU156" i="1"/>
  <c r="HV156" i="1"/>
  <c r="HW156" i="1"/>
  <c r="HX156" i="1"/>
  <c r="HY156" i="1"/>
  <c r="HZ156" i="1"/>
  <c r="IA156" i="1"/>
  <c r="IB156" i="1"/>
  <c r="IC156" i="1"/>
  <c r="ID156" i="1"/>
  <c r="IE156" i="1"/>
  <c r="IF156" i="1"/>
  <c r="IG156" i="1"/>
  <c r="IH156" i="1"/>
  <c r="II156" i="1"/>
  <c r="IJ156" i="1"/>
  <c r="IK156" i="1"/>
  <c r="IL156" i="1"/>
  <c r="IM156" i="1"/>
  <c r="HN157" i="1"/>
  <c r="HO157" i="1"/>
  <c r="HP157" i="1"/>
  <c r="HQ157" i="1"/>
  <c r="HR157" i="1"/>
  <c r="HS157" i="1"/>
  <c r="HT157" i="1"/>
  <c r="HU157" i="1"/>
  <c r="HV157" i="1"/>
  <c r="HW157" i="1"/>
  <c r="HX157" i="1"/>
  <c r="HY157" i="1"/>
  <c r="HZ157" i="1"/>
  <c r="IA157" i="1"/>
  <c r="IB157" i="1"/>
  <c r="IC157" i="1"/>
  <c r="ID157" i="1"/>
  <c r="IE157" i="1"/>
  <c r="IF157" i="1"/>
  <c r="IG157" i="1"/>
  <c r="IH157" i="1"/>
  <c r="II157" i="1"/>
  <c r="IJ157" i="1"/>
  <c r="IK157" i="1"/>
  <c r="IL157" i="1"/>
  <c r="IM157" i="1"/>
  <c r="HN158" i="1"/>
  <c r="HO158" i="1"/>
  <c r="HP158" i="1"/>
  <c r="HQ158" i="1"/>
  <c r="HR158" i="1"/>
  <c r="HS158" i="1"/>
  <c r="HT158" i="1"/>
  <c r="HU158" i="1"/>
  <c r="HV158" i="1"/>
  <c r="HW158" i="1"/>
  <c r="HX158" i="1"/>
  <c r="HY158" i="1"/>
  <c r="HZ158" i="1"/>
  <c r="IA158" i="1"/>
  <c r="IB158" i="1"/>
  <c r="IC158" i="1"/>
  <c r="ID158" i="1"/>
  <c r="IE158" i="1"/>
  <c r="IF158" i="1"/>
  <c r="IG158" i="1"/>
  <c r="IH158" i="1"/>
  <c r="II158" i="1"/>
  <c r="IJ158" i="1"/>
  <c r="IK158" i="1"/>
  <c r="IL158" i="1"/>
  <c r="IM158" i="1"/>
  <c r="HN159" i="1"/>
  <c r="HO159" i="1"/>
  <c r="HP159" i="1"/>
  <c r="HQ159" i="1"/>
  <c r="HR159" i="1"/>
  <c r="HS159" i="1"/>
  <c r="HT159" i="1"/>
  <c r="HU159" i="1"/>
  <c r="HV159" i="1"/>
  <c r="HW159" i="1"/>
  <c r="HX159" i="1"/>
  <c r="HY159" i="1"/>
  <c r="HZ159" i="1"/>
  <c r="IA159" i="1"/>
  <c r="IB159" i="1"/>
  <c r="IC159" i="1"/>
  <c r="ID159" i="1"/>
  <c r="IE159" i="1"/>
  <c r="IF159" i="1"/>
  <c r="IG159" i="1"/>
  <c r="IH159" i="1"/>
  <c r="II159" i="1"/>
  <c r="IJ159" i="1"/>
  <c r="IK159" i="1"/>
  <c r="IL159" i="1"/>
  <c r="IM159" i="1"/>
  <c r="HN160" i="1"/>
  <c r="HO160" i="1"/>
  <c r="HP160" i="1"/>
  <c r="HQ160" i="1"/>
  <c r="HR160" i="1"/>
  <c r="HS160" i="1"/>
  <c r="HT160" i="1"/>
  <c r="HU160" i="1"/>
  <c r="HV160" i="1"/>
  <c r="HW160" i="1"/>
  <c r="HX160" i="1"/>
  <c r="HY160" i="1"/>
  <c r="HZ160" i="1"/>
  <c r="IA160" i="1"/>
  <c r="IB160" i="1"/>
  <c r="IC160" i="1"/>
  <c r="ID160" i="1"/>
  <c r="IE160" i="1"/>
  <c r="IF160" i="1"/>
  <c r="IG160" i="1"/>
  <c r="IH160" i="1"/>
  <c r="II160" i="1"/>
  <c r="IJ160" i="1"/>
  <c r="IK160" i="1"/>
  <c r="IL160" i="1"/>
  <c r="IM160" i="1"/>
  <c r="HN161" i="1"/>
  <c r="HO161" i="1"/>
  <c r="HP161" i="1"/>
  <c r="HQ161" i="1"/>
  <c r="HR161" i="1"/>
  <c r="HS161" i="1"/>
  <c r="HT161" i="1"/>
  <c r="HU161" i="1"/>
  <c r="HV161" i="1"/>
  <c r="HW161" i="1"/>
  <c r="HX161" i="1"/>
  <c r="HY161" i="1"/>
  <c r="HZ161" i="1"/>
  <c r="IA161" i="1"/>
  <c r="IB161" i="1"/>
  <c r="IC161" i="1"/>
  <c r="ID161" i="1"/>
  <c r="IE161" i="1"/>
  <c r="IF161" i="1"/>
  <c r="IG161" i="1"/>
  <c r="IH161" i="1"/>
  <c r="II161" i="1"/>
  <c r="IJ161" i="1"/>
  <c r="IK161" i="1"/>
  <c r="IL161" i="1"/>
  <c r="IM161" i="1"/>
  <c r="HN162" i="1"/>
  <c r="HO162" i="1"/>
  <c r="HP162" i="1"/>
  <c r="HQ162" i="1"/>
  <c r="HR162" i="1"/>
  <c r="HS162" i="1"/>
  <c r="HT162" i="1"/>
  <c r="HU162" i="1"/>
  <c r="HV162" i="1"/>
  <c r="HW162" i="1"/>
  <c r="HX162" i="1"/>
  <c r="HY162" i="1"/>
  <c r="HZ162" i="1"/>
  <c r="IA162" i="1"/>
  <c r="IB162" i="1"/>
  <c r="IC162" i="1"/>
  <c r="ID162" i="1"/>
  <c r="IE162" i="1"/>
  <c r="IF162" i="1"/>
  <c r="IG162" i="1"/>
  <c r="IH162" i="1"/>
  <c r="II162" i="1"/>
  <c r="IJ162" i="1"/>
  <c r="IK162" i="1"/>
  <c r="IL162" i="1"/>
  <c r="IM162" i="1"/>
  <c r="HN163" i="1"/>
  <c r="HO163" i="1"/>
  <c r="HP163" i="1"/>
  <c r="HQ163" i="1"/>
  <c r="HR163" i="1"/>
  <c r="HS163" i="1"/>
  <c r="HT163" i="1"/>
  <c r="HU163" i="1"/>
  <c r="HV163" i="1"/>
  <c r="HW163" i="1"/>
  <c r="HX163" i="1"/>
  <c r="HY163" i="1"/>
  <c r="HZ163" i="1"/>
  <c r="IA163" i="1"/>
  <c r="IB163" i="1"/>
  <c r="IC163" i="1"/>
  <c r="ID163" i="1"/>
  <c r="IE163" i="1"/>
  <c r="IF163" i="1"/>
  <c r="IG163" i="1"/>
  <c r="IH163" i="1"/>
  <c r="II163" i="1"/>
  <c r="IJ163" i="1"/>
  <c r="IK163" i="1"/>
  <c r="IL163" i="1"/>
  <c r="IM163" i="1"/>
  <c r="HN164" i="1"/>
  <c r="HO164" i="1"/>
  <c r="HP164" i="1"/>
  <c r="HQ164" i="1"/>
  <c r="HR164" i="1"/>
  <c r="HS164" i="1"/>
  <c r="HT164" i="1"/>
  <c r="HU164" i="1"/>
  <c r="HV164" i="1"/>
  <c r="HW164" i="1"/>
  <c r="HX164" i="1"/>
  <c r="HY164" i="1"/>
  <c r="HZ164" i="1"/>
  <c r="IA164" i="1"/>
  <c r="IB164" i="1"/>
  <c r="IC164" i="1"/>
  <c r="ID164" i="1"/>
  <c r="IE164" i="1"/>
  <c r="IF164" i="1"/>
  <c r="IG164" i="1"/>
  <c r="IH164" i="1"/>
  <c r="II164" i="1"/>
  <c r="IJ164" i="1"/>
  <c r="IK164" i="1"/>
  <c r="IL164" i="1"/>
  <c r="IM164" i="1"/>
  <c r="HN165" i="1"/>
  <c r="HO165" i="1"/>
  <c r="HP165" i="1"/>
  <c r="HQ165" i="1"/>
  <c r="HR165" i="1"/>
  <c r="HS165" i="1"/>
  <c r="HT165" i="1"/>
  <c r="HU165" i="1"/>
  <c r="HV165" i="1"/>
  <c r="HW165" i="1"/>
  <c r="HX165" i="1"/>
  <c r="HY165" i="1"/>
  <c r="HZ165" i="1"/>
  <c r="IA165" i="1"/>
  <c r="IB165" i="1"/>
  <c r="IC165" i="1"/>
  <c r="ID165" i="1"/>
  <c r="IE165" i="1"/>
  <c r="IF165" i="1"/>
  <c r="IG165" i="1"/>
  <c r="IH165" i="1"/>
  <c r="II165" i="1"/>
  <c r="IJ165" i="1"/>
  <c r="IK165" i="1"/>
  <c r="IL165" i="1"/>
  <c r="IM165" i="1"/>
  <c r="HN166" i="1"/>
  <c r="HO166" i="1"/>
  <c r="HP166" i="1"/>
  <c r="HQ166" i="1"/>
  <c r="HR166" i="1"/>
  <c r="HS166" i="1"/>
  <c r="HT166" i="1"/>
  <c r="HU166" i="1"/>
  <c r="HV166" i="1"/>
  <c r="HW166" i="1"/>
  <c r="HX166" i="1"/>
  <c r="HY166" i="1"/>
  <c r="HZ166" i="1"/>
  <c r="IA166" i="1"/>
  <c r="IB166" i="1"/>
  <c r="IC166" i="1"/>
  <c r="ID166" i="1"/>
  <c r="IE166" i="1"/>
  <c r="IF166" i="1"/>
  <c r="IG166" i="1"/>
  <c r="IH166" i="1"/>
  <c r="II166" i="1"/>
  <c r="IJ166" i="1"/>
  <c r="IK166" i="1"/>
  <c r="IL166" i="1"/>
  <c r="IM166" i="1"/>
  <c r="HN167" i="1"/>
  <c r="HO167" i="1"/>
  <c r="HP167" i="1"/>
  <c r="HQ167" i="1"/>
  <c r="HR167" i="1"/>
  <c r="HS167" i="1"/>
  <c r="HT167" i="1"/>
  <c r="HU167" i="1"/>
  <c r="HV167" i="1"/>
  <c r="HW167" i="1"/>
  <c r="HX167" i="1"/>
  <c r="HY167" i="1"/>
  <c r="HZ167" i="1"/>
  <c r="IA167" i="1"/>
  <c r="IB167" i="1"/>
  <c r="IC167" i="1"/>
  <c r="ID167" i="1"/>
  <c r="IE167" i="1"/>
  <c r="IF167" i="1"/>
  <c r="IG167" i="1"/>
  <c r="IH167" i="1"/>
  <c r="II167" i="1"/>
  <c r="IJ167" i="1"/>
  <c r="IK167" i="1"/>
  <c r="IL167" i="1"/>
  <c r="IM167" i="1"/>
  <c r="HN168" i="1"/>
  <c r="HO168" i="1"/>
  <c r="HP168" i="1"/>
  <c r="HQ168" i="1"/>
  <c r="HR168" i="1"/>
  <c r="HS168" i="1"/>
  <c r="HT168" i="1"/>
  <c r="HU168" i="1"/>
  <c r="HV168" i="1"/>
  <c r="HW168" i="1"/>
  <c r="HX168" i="1"/>
  <c r="HY168" i="1"/>
  <c r="HZ168" i="1"/>
  <c r="IA168" i="1"/>
  <c r="IB168" i="1"/>
  <c r="IC168" i="1"/>
  <c r="ID168" i="1"/>
  <c r="IE168" i="1"/>
  <c r="IF168" i="1"/>
  <c r="IG168" i="1"/>
  <c r="IH168" i="1"/>
  <c r="II168" i="1"/>
  <c r="IJ168" i="1"/>
  <c r="IK168" i="1"/>
  <c r="IL168" i="1"/>
  <c r="IM168" i="1"/>
  <c r="HN169" i="1"/>
  <c r="HO169" i="1"/>
  <c r="HP169" i="1"/>
  <c r="HQ169" i="1"/>
  <c r="HR169" i="1"/>
  <c r="HS169" i="1"/>
  <c r="HT169" i="1"/>
  <c r="HU169" i="1"/>
  <c r="HV169" i="1"/>
  <c r="HW169" i="1"/>
  <c r="HX169" i="1"/>
  <c r="HY169" i="1"/>
  <c r="HZ169" i="1"/>
  <c r="IA169" i="1"/>
  <c r="IB169" i="1"/>
  <c r="IC169" i="1"/>
  <c r="ID169" i="1"/>
  <c r="IE169" i="1"/>
  <c r="IF169" i="1"/>
  <c r="IG169" i="1"/>
  <c r="IH169" i="1"/>
  <c r="II169" i="1"/>
  <c r="IJ169" i="1"/>
  <c r="IK169" i="1"/>
  <c r="IL169" i="1"/>
  <c r="IM169" i="1"/>
  <c r="HN170" i="1"/>
  <c r="HO170" i="1"/>
  <c r="HP170" i="1"/>
  <c r="HQ170" i="1"/>
  <c r="HR170" i="1"/>
  <c r="HS170" i="1"/>
  <c r="HT170" i="1"/>
  <c r="HU170" i="1"/>
  <c r="HV170" i="1"/>
  <c r="HW170" i="1"/>
  <c r="HX170" i="1"/>
  <c r="HY170" i="1"/>
  <c r="HZ170" i="1"/>
  <c r="IA170" i="1"/>
  <c r="IB170" i="1"/>
  <c r="IC170" i="1"/>
  <c r="ID170" i="1"/>
  <c r="IE170" i="1"/>
  <c r="IF170" i="1"/>
  <c r="IG170" i="1"/>
  <c r="IH170" i="1"/>
  <c r="II170" i="1"/>
  <c r="IJ170" i="1"/>
  <c r="IK170" i="1"/>
  <c r="IL170" i="1"/>
  <c r="IM170" i="1"/>
  <c r="HN171" i="1"/>
  <c r="HO171" i="1"/>
  <c r="HP171" i="1"/>
  <c r="HQ171" i="1"/>
  <c r="HR171" i="1"/>
  <c r="HS171" i="1"/>
  <c r="HT171" i="1"/>
  <c r="HU171" i="1"/>
  <c r="HV171" i="1"/>
  <c r="HW171" i="1"/>
  <c r="HX171" i="1"/>
  <c r="HY171" i="1"/>
  <c r="HZ171" i="1"/>
  <c r="IA171" i="1"/>
  <c r="IB171" i="1"/>
  <c r="IC171" i="1"/>
  <c r="ID171" i="1"/>
  <c r="IE171" i="1"/>
  <c r="IF171" i="1"/>
  <c r="IG171" i="1"/>
  <c r="IH171" i="1"/>
  <c r="II171" i="1"/>
  <c r="IJ171" i="1"/>
  <c r="IK171" i="1"/>
  <c r="IL171" i="1"/>
  <c r="IM171" i="1"/>
  <c r="HN172" i="1"/>
  <c r="HO172" i="1"/>
  <c r="HP172" i="1"/>
  <c r="HQ172" i="1"/>
  <c r="HR172" i="1"/>
  <c r="HS172" i="1"/>
  <c r="HT172" i="1"/>
  <c r="HU172" i="1"/>
  <c r="HV172" i="1"/>
  <c r="HW172" i="1"/>
  <c r="HX172" i="1"/>
  <c r="HY172" i="1"/>
  <c r="HZ172" i="1"/>
  <c r="IA172" i="1"/>
  <c r="IB172" i="1"/>
  <c r="IC172" i="1"/>
  <c r="ID172" i="1"/>
  <c r="IE172" i="1"/>
  <c r="IF172" i="1"/>
  <c r="IG172" i="1"/>
  <c r="IH172" i="1"/>
  <c r="II172" i="1"/>
  <c r="IJ172" i="1"/>
  <c r="IK172" i="1"/>
  <c r="IL172" i="1"/>
  <c r="IM172" i="1"/>
  <c r="HN173" i="1"/>
  <c r="HO173" i="1"/>
  <c r="HP173" i="1"/>
  <c r="HQ173" i="1"/>
  <c r="HR173" i="1"/>
  <c r="HS173" i="1"/>
  <c r="HT173" i="1"/>
  <c r="HU173" i="1"/>
  <c r="HV173" i="1"/>
  <c r="HW173" i="1"/>
  <c r="HX173" i="1"/>
  <c r="HY173" i="1"/>
  <c r="HZ173" i="1"/>
  <c r="IA173" i="1"/>
  <c r="IB173" i="1"/>
  <c r="IC173" i="1"/>
  <c r="ID173" i="1"/>
  <c r="IE173" i="1"/>
  <c r="IF173" i="1"/>
  <c r="IG173" i="1"/>
  <c r="IH173" i="1"/>
  <c r="II173" i="1"/>
  <c r="IJ173" i="1"/>
  <c r="IK173" i="1"/>
  <c r="IL173" i="1"/>
  <c r="IM173" i="1"/>
  <c r="HN174" i="1"/>
  <c r="HO174" i="1"/>
  <c r="HP174" i="1"/>
  <c r="HQ174" i="1"/>
  <c r="HR174" i="1"/>
  <c r="HS174" i="1"/>
  <c r="HT174" i="1"/>
  <c r="HU174" i="1"/>
  <c r="HV174" i="1"/>
  <c r="HW174" i="1"/>
  <c r="HX174" i="1"/>
  <c r="HY174" i="1"/>
  <c r="HZ174" i="1"/>
  <c r="IA174" i="1"/>
  <c r="IB174" i="1"/>
  <c r="IC174" i="1"/>
  <c r="ID174" i="1"/>
  <c r="IE174" i="1"/>
  <c r="IF174" i="1"/>
  <c r="IG174" i="1"/>
  <c r="IH174" i="1"/>
  <c r="II174" i="1"/>
  <c r="IJ174" i="1"/>
  <c r="IK174" i="1"/>
  <c r="IL174" i="1"/>
  <c r="IM174" i="1"/>
  <c r="HN175" i="1"/>
  <c r="HO175" i="1"/>
  <c r="HP175" i="1"/>
  <c r="HQ175" i="1"/>
  <c r="HR175" i="1"/>
  <c r="HS175" i="1"/>
  <c r="HT175" i="1"/>
  <c r="HU175" i="1"/>
  <c r="HV175" i="1"/>
  <c r="HW175" i="1"/>
  <c r="HX175" i="1"/>
  <c r="HY175" i="1"/>
  <c r="HZ175" i="1"/>
  <c r="IA175" i="1"/>
  <c r="IB175" i="1"/>
  <c r="IC175" i="1"/>
  <c r="ID175" i="1"/>
  <c r="IE175" i="1"/>
  <c r="IF175" i="1"/>
  <c r="IG175" i="1"/>
  <c r="IH175" i="1"/>
  <c r="II175" i="1"/>
  <c r="IJ175" i="1"/>
  <c r="IK175" i="1"/>
  <c r="IL175" i="1"/>
  <c r="IM175" i="1"/>
  <c r="HN176" i="1"/>
  <c r="HO176" i="1"/>
  <c r="HP176" i="1"/>
  <c r="HQ176" i="1"/>
  <c r="HR176" i="1"/>
  <c r="HS176" i="1"/>
  <c r="HT176" i="1"/>
  <c r="HU176" i="1"/>
  <c r="HV176" i="1"/>
  <c r="HW176" i="1"/>
  <c r="HX176" i="1"/>
  <c r="HY176" i="1"/>
  <c r="HZ176" i="1"/>
  <c r="IA176" i="1"/>
  <c r="IB176" i="1"/>
  <c r="IC176" i="1"/>
  <c r="ID176" i="1"/>
  <c r="IE176" i="1"/>
  <c r="IF176" i="1"/>
  <c r="IG176" i="1"/>
  <c r="IH176" i="1"/>
  <c r="II176" i="1"/>
  <c r="IJ176" i="1"/>
  <c r="IK176" i="1"/>
  <c r="IL176" i="1"/>
  <c r="IM176" i="1"/>
  <c r="HN177" i="1"/>
  <c r="HO177" i="1"/>
  <c r="HP177" i="1"/>
  <c r="HQ177" i="1"/>
  <c r="HR177" i="1"/>
  <c r="HS177" i="1"/>
  <c r="HT177" i="1"/>
  <c r="HU177" i="1"/>
  <c r="HV177" i="1"/>
  <c r="HW177" i="1"/>
  <c r="HX177" i="1"/>
  <c r="HY177" i="1"/>
  <c r="HZ177" i="1"/>
  <c r="IA177" i="1"/>
  <c r="IB177" i="1"/>
  <c r="IC177" i="1"/>
  <c r="ID177" i="1"/>
  <c r="IE177" i="1"/>
  <c r="IF177" i="1"/>
  <c r="IG177" i="1"/>
  <c r="IH177" i="1"/>
  <c r="II177" i="1"/>
  <c r="IJ177" i="1"/>
  <c r="IK177" i="1"/>
  <c r="IL177" i="1"/>
  <c r="IM177" i="1"/>
  <c r="HN178" i="1"/>
  <c r="HO178" i="1"/>
  <c r="HP178" i="1"/>
  <c r="HQ178" i="1"/>
  <c r="HR178" i="1"/>
  <c r="HS178" i="1"/>
  <c r="HT178" i="1"/>
  <c r="HU178" i="1"/>
  <c r="HV178" i="1"/>
  <c r="HW178" i="1"/>
  <c r="HX178" i="1"/>
  <c r="HY178" i="1"/>
  <c r="HZ178" i="1"/>
  <c r="IA178" i="1"/>
  <c r="IB178" i="1"/>
  <c r="IC178" i="1"/>
  <c r="ID178" i="1"/>
  <c r="IE178" i="1"/>
  <c r="IF178" i="1"/>
  <c r="IG178" i="1"/>
  <c r="IH178" i="1"/>
  <c r="II178" i="1"/>
  <c r="IJ178" i="1"/>
  <c r="IK178" i="1"/>
  <c r="IL178" i="1"/>
  <c r="IM178" i="1"/>
  <c r="HN179" i="1"/>
  <c r="HO179" i="1"/>
  <c r="HP179" i="1"/>
  <c r="HQ179" i="1"/>
  <c r="HR179" i="1"/>
  <c r="HS179" i="1"/>
  <c r="HT179" i="1"/>
  <c r="HU179" i="1"/>
  <c r="HV179" i="1"/>
  <c r="HW179" i="1"/>
  <c r="HX179" i="1"/>
  <c r="HY179" i="1"/>
  <c r="HZ179" i="1"/>
  <c r="IA179" i="1"/>
  <c r="IB179" i="1"/>
  <c r="IC179" i="1"/>
  <c r="ID179" i="1"/>
  <c r="IE179" i="1"/>
  <c r="IF179" i="1"/>
  <c r="IG179" i="1"/>
  <c r="IH179" i="1"/>
  <c r="II179" i="1"/>
  <c r="IJ179" i="1"/>
  <c r="IK179" i="1"/>
  <c r="IL179" i="1"/>
  <c r="IM179" i="1"/>
  <c r="HN180" i="1"/>
  <c r="HO180" i="1"/>
  <c r="HP180" i="1"/>
  <c r="HQ180" i="1"/>
  <c r="HR180" i="1"/>
  <c r="HS180" i="1"/>
  <c r="HT180" i="1"/>
  <c r="HU180" i="1"/>
  <c r="HV180" i="1"/>
  <c r="HW180" i="1"/>
  <c r="HX180" i="1"/>
  <c r="HY180" i="1"/>
  <c r="HZ180" i="1"/>
  <c r="IA180" i="1"/>
  <c r="IB180" i="1"/>
  <c r="IC180" i="1"/>
  <c r="ID180" i="1"/>
  <c r="IE180" i="1"/>
  <c r="IF180" i="1"/>
  <c r="IG180" i="1"/>
  <c r="IH180" i="1"/>
  <c r="II180" i="1"/>
  <c r="IJ180" i="1"/>
  <c r="IK180" i="1"/>
  <c r="IL180" i="1"/>
  <c r="IM180" i="1"/>
  <c r="HN181" i="1"/>
  <c r="HO181" i="1"/>
  <c r="HP181" i="1"/>
  <c r="HQ181" i="1"/>
  <c r="HR181" i="1"/>
  <c r="HS181" i="1"/>
  <c r="HT181" i="1"/>
  <c r="HU181" i="1"/>
  <c r="HV181" i="1"/>
  <c r="HW181" i="1"/>
  <c r="HX181" i="1"/>
  <c r="HY181" i="1"/>
  <c r="HZ181" i="1"/>
  <c r="IA181" i="1"/>
  <c r="IB181" i="1"/>
  <c r="IC181" i="1"/>
  <c r="ID181" i="1"/>
  <c r="IE181" i="1"/>
  <c r="IF181" i="1"/>
  <c r="IG181" i="1"/>
  <c r="IH181" i="1"/>
  <c r="II181" i="1"/>
  <c r="IJ181" i="1"/>
  <c r="IK181" i="1"/>
  <c r="IL181" i="1"/>
  <c r="IM181" i="1"/>
  <c r="HN182" i="1"/>
  <c r="HO182" i="1"/>
  <c r="HP182" i="1"/>
  <c r="HQ182" i="1"/>
  <c r="HR182" i="1"/>
  <c r="HS182" i="1"/>
  <c r="HT182" i="1"/>
  <c r="HU182" i="1"/>
  <c r="HV182" i="1"/>
  <c r="HW182" i="1"/>
  <c r="HX182" i="1"/>
  <c r="HY182" i="1"/>
  <c r="HZ182" i="1"/>
  <c r="IA182" i="1"/>
  <c r="IB182" i="1"/>
  <c r="IC182" i="1"/>
  <c r="ID182" i="1"/>
  <c r="IE182" i="1"/>
  <c r="IF182" i="1"/>
  <c r="IG182" i="1"/>
  <c r="IH182" i="1"/>
  <c r="II182" i="1"/>
  <c r="IJ182" i="1"/>
  <c r="IK182" i="1"/>
  <c r="IL182" i="1"/>
  <c r="IM182" i="1"/>
  <c r="HN183" i="1"/>
  <c r="HO183" i="1"/>
  <c r="HP183" i="1"/>
  <c r="HQ183" i="1"/>
  <c r="HR183" i="1"/>
  <c r="HS183" i="1"/>
  <c r="HT183" i="1"/>
  <c r="HU183" i="1"/>
  <c r="HV183" i="1"/>
  <c r="HW183" i="1"/>
  <c r="HX183" i="1"/>
  <c r="HY183" i="1"/>
  <c r="HZ183" i="1"/>
  <c r="IA183" i="1"/>
  <c r="IB183" i="1"/>
  <c r="IC183" i="1"/>
  <c r="ID183" i="1"/>
  <c r="IE183" i="1"/>
  <c r="IF183" i="1"/>
  <c r="IG183" i="1"/>
  <c r="IH183" i="1"/>
  <c r="II183" i="1"/>
  <c r="IJ183" i="1"/>
  <c r="IK183" i="1"/>
  <c r="IL183" i="1"/>
  <c r="IM183" i="1"/>
  <c r="HN184" i="1"/>
  <c r="HO184" i="1"/>
  <c r="HP184" i="1"/>
  <c r="HQ184" i="1"/>
  <c r="HR184" i="1"/>
  <c r="HS184" i="1"/>
  <c r="HT184" i="1"/>
  <c r="HU184" i="1"/>
  <c r="HV184" i="1"/>
  <c r="HW184" i="1"/>
  <c r="HX184" i="1"/>
  <c r="HY184" i="1"/>
  <c r="HZ184" i="1"/>
  <c r="IA184" i="1"/>
  <c r="IB184" i="1"/>
  <c r="IC184" i="1"/>
  <c r="ID184" i="1"/>
  <c r="IE184" i="1"/>
  <c r="IF184" i="1"/>
  <c r="IG184" i="1"/>
  <c r="IH184" i="1"/>
  <c r="II184" i="1"/>
  <c r="IJ184" i="1"/>
  <c r="IK184" i="1"/>
  <c r="IL184" i="1"/>
  <c r="IM184" i="1"/>
  <c r="HN185" i="1"/>
  <c r="HO185" i="1"/>
  <c r="HP185" i="1"/>
  <c r="HQ185" i="1"/>
  <c r="HR185" i="1"/>
  <c r="HS185" i="1"/>
  <c r="HT185" i="1"/>
  <c r="HU185" i="1"/>
  <c r="HV185" i="1"/>
  <c r="HW185" i="1"/>
  <c r="HX185" i="1"/>
  <c r="HY185" i="1"/>
  <c r="HZ185" i="1"/>
  <c r="IA185" i="1"/>
  <c r="IB185" i="1"/>
  <c r="IC185" i="1"/>
  <c r="ID185" i="1"/>
  <c r="IE185" i="1"/>
  <c r="IF185" i="1"/>
  <c r="IG185" i="1"/>
  <c r="IH185" i="1"/>
  <c r="II185" i="1"/>
  <c r="IJ185" i="1"/>
  <c r="IK185" i="1"/>
  <c r="IL185" i="1"/>
  <c r="IM185" i="1"/>
  <c r="HN186" i="1"/>
  <c r="HO186" i="1"/>
  <c r="HP186" i="1"/>
  <c r="HQ186" i="1"/>
  <c r="HR186" i="1"/>
  <c r="HS186" i="1"/>
  <c r="HT186" i="1"/>
  <c r="HU186" i="1"/>
  <c r="HV186" i="1"/>
  <c r="HW186" i="1"/>
  <c r="HX186" i="1"/>
  <c r="HY186" i="1"/>
  <c r="HZ186" i="1"/>
  <c r="IA186" i="1"/>
  <c r="IB186" i="1"/>
  <c r="IC186" i="1"/>
  <c r="ID186" i="1"/>
  <c r="IE186" i="1"/>
  <c r="IF186" i="1"/>
  <c r="IG186" i="1"/>
  <c r="IH186" i="1"/>
  <c r="II186" i="1"/>
  <c r="IJ186" i="1"/>
  <c r="IK186" i="1"/>
  <c r="IL186" i="1"/>
  <c r="IM186" i="1"/>
  <c r="HN187" i="1"/>
  <c r="HO187" i="1"/>
  <c r="HP187" i="1"/>
  <c r="HQ187" i="1"/>
  <c r="HR187" i="1"/>
  <c r="HS187" i="1"/>
  <c r="HT187" i="1"/>
  <c r="HU187" i="1"/>
  <c r="HV187" i="1"/>
  <c r="HW187" i="1"/>
  <c r="HX187" i="1"/>
  <c r="HY187" i="1"/>
  <c r="HZ187" i="1"/>
  <c r="IA187" i="1"/>
  <c r="IB187" i="1"/>
  <c r="IC187" i="1"/>
  <c r="ID187" i="1"/>
  <c r="IE187" i="1"/>
  <c r="IF187" i="1"/>
  <c r="IG187" i="1"/>
  <c r="IH187" i="1"/>
  <c r="II187" i="1"/>
  <c r="IJ187" i="1"/>
  <c r="IK187" i="1"/>
  <c r="IL187" i="1"/>
  <c r="IM187" i="1"/>
  <c r="HN188" i="1"/>
  <c r="HO188" i="1"/>
  <c r="HP188" i="1"/>
  <c r="HQ188" i="1"/>
  <c r="HR188" i="1"/>
  <c r="HS188" i="1"/>
  <c r="HT188" i="1"/>
  <c r="HU188" i="1"/>
  <c r="HV188" i="1"/>
  <c r="HW188" i="1"/>
  <c r="HX188" i="1"/>
  <c r="HY188" i="1"/>
  <c r="HZ188" i="1"/>
  <c r="IA188" i="1"/>
  <c r="IB188" i="1"/>
  <c r="IC188" i="1"/>
  <c r="ID188" i="1"/>
  <c r="IE188" i="1"/>
  <c r="IF188" i="1"/>
  <c r="IG188" i="1"/>
  <c r="IH188" i="1"/>
  <c r="II188" i="1"/>
  <c r="IJ188" i="1"/>
  <c r="IK188" i="1"/>
  <c r="IL188" i="1"/>
  <c r="IM188" i="1"/>
  <c r="HN189" i="1"/>
  <c r="HO189" i="1"/>
  <c r="HP189" i="1"/>
  <c r="HQ189" i="1"/>
  <c r="HR189" i="1"/>
  <c r="HS189" i="1"/>
  <c r="HT189" i="1"/>
  <c r="HU189" i="1"/>
  <c r="HV189" i="1"/>
  <c r="HW189" i="1"/>
  <c r="HX189" i="1"/>
  <c r="HY189" i="1"/>
  <c r="HZ189" i="1"/>
  <c r="IA189" i="1"/>
  <c r="IB189" i="1"/>
  <c r="IC189" i="1"/>
  <c r="ID189" i="1"/>
  <c r="IE189" i="1"/>
  <c r="IF189" i="1"/>
  <c r="IG189" i="1"/>
  <c r="IH189" i="1"/>
  <c r="II189" i="1"/>
  <c r="IJ189" i="1"/>
  <c r="IK189" i="1"/>
  <c r="IL189" i="1"/>
  <c r="IM189" i="1"/>
  <c r="HN190" i="1"/>
  <c r="HO190" i="1"/>
  <c r="HP190" i="1"/>
  <c r="HQ190" i="1"/>
  <c r="HR190" i="1"/>
  <c r="HS190" i="1"/>
  <c r="HT190" i="1"/>
  <c r="HU190" i="1"/>
  <c r="HV190" i="1"/>
  <c r="HW190" i="1"/>
  <c r="HX190" i="1"/>
  <c r="HY190" i="1"/>
  <c r="HZ190" i="1"/>
  <c r="IA190" i="1"/>
  <c r="IB190" i="1"/>
  <c r="IC190" i="1"/>
  <c r="ID190" i="1"/>
  <c r="IE190" i="1"/>
  <c r="IF190" i="1"/>
  <c r="IG190" i="1"/>
  <c r="IH190" i="1"/>
  <c r="II190" i="1"/>
  <c r="IJ190" i="1"/>
  <c r="IK190" i="1"/>
  <c r="IL190" i="1"/>
  <c r="IM190" i="1"/>
  <c r="HN191" i="1"/>
  <c r="HO191" i="1"/>
  <c r="HP191" i="1"/>
  <c r="HQ191" i="1"/>
  <c r="HR191" i="1"/>
  <c r="HS191" i="1"/>
  <c r="HT191" i="1"/>
  <c r="HU191" i="1"/>
  <c r="HV191" i="1"/>
  <c r="HW191" i="1"/>
  <c r="HX191" i="1"/>
  <c r="HY191" i="1"/>
  <c r="HZ191" i="1"/>
  <c r="IA191" i="1"/>
  <c r="IB191" i="1"/>
  <c r="IC191" i="1"/>
  <c r="ID191" i="1"/>
  <c r="IE191" i="1"/>
  <c r="IF191" i="1"/>
  <c r="IG191" i="1"/>
  <c r="IH191" i="1"/>
  <c r="II191" i="1"/>
  <c r="IJ191" i="1"/>
  <c r="IK191" i="1"/>
  <c r="IL191" i="1"/>
  <c r="IM191" i="1"/>
  <c r="JN12" i="1"/>
  <c r="JJ12" i="1"/>
  <c r="JF12" i="1"/>
  <c r="JB12" i="1"/>
  <c r="IX12" i="1"/>
  <c r="IT12" i="1"/>
  <c r="IP12" i="1"/>
  <c r="JL12" i="1"/>
  <c r="JH12" i="1"/>
  <c r="JD12" i="1"/>
  <c r="IZ12" i="1"/>
  <c r="IV12" i="1"/>
  <c r="IR12" i="1"/>
  <c r="JL11" i="1"/>
  <c r="JH11" i="1"/>
  <c r="JD11" i="1"/>
  <c r="IZ11" i="1"/>
  <c r="IV11" i="1"/>
  <c r="IR11" i="1"/>
  <c r="JN10" i="1"/>
  <c r="JJ10" i="1"/>
  <c r="JF10" i="1"/>
  <c r="JB10" i="1"/>
  <c r="IX10" i="1"/>
  <c r="IT10" i="1"/>
  <c r="IP10" i="1"/>
  <c r="JL10" i="1"/>
  <c r="JH10" i="1"/>
  <c r="JD10" i="1"/>
  <c r="IZ10" i="1"/>
  <c r="IV10" i="1"/>
  <c r="IR10" i="1"/>
  <c r="JN5" i="1"/>
  <c r="JJ5" i="1"/>
  <c r="JF5" i="1"/>
  <c r="JB5" i="1"/>
  <c r="IX5" i="1"/>
  <c r="IT5" i="1"/>
  <c r="IP5" i="1"/>
  <c r="JL5" i="1"/>
  <c r="JH5" i="1"/>
  <c r="JD5" i="1"/>
  <c r="IZ5" i="1"/>
  <c r="IV5" i="1"/>
  <c r="IR5" i="1"/>
  <c r="IV6" i="1"/>
  <c r="JN13" i="1"/>
  <c r="JJ13" i="1"/>
  <c r="JF13" i="1"/>
  <c r="JB13" i="1"/>
  <c r="IX13" i="1"/>
  <c r="IT13" i="1"/>
  <c r="IP13" i="1"/>
  <c r="JL7" i="1"/>
  <c r="JH7" i="1"/>
  <c r="JD7" i="1"/>
  <c r="IZ7" i="1"/>
  <c r="IV7" i="1"/>
  <c r="IR7" i="1"/>
  <c r="JJ14" i="1"/>
  <c r="IT14" i="1"/>
  <c r="IP14" i="1"/>
  <c r="JO14" i="1"/>
  <c r="JM14" i="1"/>
  <c r="JL14" i="1"/>
  <c r="JK14" i="1"/>
  <c r="JI14" i="1"/>
  <c r="JH14" i="1"/>
  <c r="JG14" i="1"/>
  <c r="JE14" i="1"/>
  <c r="JD14" i="1"/>
  <c r="JC14" i="1"/>
  <c r="JA14" i="1"/>
  <c r="IZ14" i="1"/>
  <c r="IY14" i="1"/>
  <c r="IW14" i="1"/>
  <c r="IV14" i="1"/>
  <c r="IU14" i="1"/>
  <c r="IS14" i="1"/>
  <c r="IR14" i="1"/>
  <c r="IQ14" i="1"/>
  <c r="JL13" i="1"/>
  <c r="JK13" i="1"/>
  <c r="JH13" i="1"/>
  <c r="JE13" i="1"/>
  <c r="JD13" i="1"/>
  <c r="IZ13" i="1"/>
  <c r="IV13" i="1"/>
  <c r="IU13" i="1"/>
  <c r="IR13" i="1"/>
  <c r="JO12" i="1"/>
  <c r="JG12" i="1"/>
  <c r="IY12" i="1"/>
  <c r="IQ12" i="1"/>
  <c r="JN11" i="1"/>
  <c r="JK11" i="1"/>
  <c r="JJ11" i="1"/>
  <c r="JF11" i="1"/>
  <c r="JB11" i="1"/>
  <c r="JA11" i="1"/>
  <c r="IX11" i="1"/>
  <c r="IU11" i="1"/>
  <c r="IT11" i="1"/>
  <c r="IP11" i="1"/>
  <c r="JI10" i="1"/>
  <c r="JA10" i="1"/>
  <c r="IS10" i="1"/>
  <c r="JL9" i="1"/>
  <c r="JH9" i="1"/>
  <c r="JG9" i="1"/>
  <c r="JD9" i="1"/>
  <c r="JA9" i="1"/>
  <c r="IZ9" i="1"/>
  <c r="IV9" i="1"/>
  <c r="IR9" i="1"/>
  <c r="IQ9" i="1"/>
  <c r="JI7" i="1"/>
  <c r="JA7" i="1"/>
  <c r="IS7" i="1"/>
  <c r="JL6" i="1"/>
  <c r="JH6" i="1"/>
  <c r="JG6" i="1"/>
  <c r="JD6" i="1"/>
  <c r="JA6" i="1"/>
  <c r="IZ6" i="1"/>
  <c r="IU6" i="1"/>
  <c r="IR6" i="1"/>
  <c r="JO5" i="1"/>
  <c r="JG5" i="1"/>
  <c r="IY5" i="1"/>
  <c r="IQ5" i="1"/>
  <c r="JK3" i="1"/>
  <c r="JA3" i="1"/>
  <c r="IU3" i="1"/>
  <c r="IP3" i="1"/>
  <c r="HO7" i="1"/>
  <c r="HQ7" i="1"/>
  <c r="IA6" i="1"/>
  <c r="HQ13" i="1"/>
  <c r="IG13" i="1"/>
  <c r="HY9" i="1"/>
  <c r="HO9" i="1"/>
  <c r="IE9" i="1"/>
  <c r="HU10" i="1"/>
  <c r="IK10" i="1"/>
  <c r="IA10" i="1"/>
  <c r="HO11" i="1"/>
  <c r="IE11" i="1"/>
  <c r="HU11" i="1"/>
  <c r="IK11" i="1"/>
  <c r="IC12" i="1"/>
  <c r="HS12" i="1"/>
  <c r="II12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FJ22" i="1"/>
  <c r="FK22" i="1"/>
  <c r="FK7" i="1" s="1"/>
  <c r="FL22" i="1"/>
  <c r="FM22" i="1"/>
  <c r="FN22" i="1"/>
  <c r="FO22" i="1"/>
  <c r="FP22" i="1"/>
  <c r="FQ22" i="1"/>
  <c r="FR22" i="1"/>
  <c r="FS22" i="1"/>
  <c r="FS3" i="1" s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FJ32" i="1"/>
  <c r="FK32" i="1"/>
  <c r="FK13" i="1" s="1"/>
  <c r="FL32" i="1"/>
  <c r="FM32" i="1"/>
  <c r="FN32" i="1"/>
  <c r="FO32" i="1"/>
  <c r="FO13" i="1" s="1"/>
  <c r="FP32" i="1"/>
  <c r="FQ32" i="1"/>
  <c r="FR32" i="1"/>
  <c r="FS32" i="1"/>
  <c r="FS13" i="1" s="1"/>
  <c r="FT32" i="1"/>
  <c r="FU32" i="1"/>
  <c r="FV32" i="1"/>
  <c r="FW32" i="1"/>
  <c r="FW13" i="1" s="1"/>
  <c r="FX32" i="1"/>
  <c r="FY32" i="1"/>
  <c r="FZ32" i="1"/>
  <c r="GA32" i="1"/>
  <c r="GA13" i="1" s="1"/>
  <c r="GB32" i="1"/>
  <c r="GC32" i="1"/>
  <c r="GD32" i="1"/>
  <c r="GE32" i="1"/>
  <c r="GE13" i="1" s="1"/>
  <c r="GF32" i="1"/>
  <c r="GG32" i="1"/>
  <c r="GH32" i="1"/>
  <c r="GI32" i="1"/>
  <c r="GI13" i="1" s="1"/>
  <c r="FJ33" i="1"/>
  <c r="FK33" i="1"/>
  <c r="FL33" i="1"/>
  <c r="FM33" i="1"/>
  <c r="FM6" i="1" s="1"/>
  <c r="FN33" i="1"/>
  <c r="FO33" i="1"/>
  <c r="FP33" i="1"/>
  <c r="FQ33" i="1"/>
  <c r="FQ13" i="1" s="1"/>
  <c r="FR33" i="1"/>
  <c r="FS33" i="1"/>
  <c r="FT33" i="1"/>
  <c r="FU33" i="1"/>
  <c r="FU13" i="1" s="1"/>
  <c r="FV33" i="1"/>
  <c r="FW33" i="1"/>
  <c r="FX33" i="1"/>
  <c r="FY33" i="1"/>
  <c r="FY13" i="1" s="1"/>
  <c r="FZ33" i="1"/>
  <c r="GA33" i="1"/>
  <c r="GB33" i="1"/>
  <c r="GC33" i="1"/>
  <c r="GC13" i="1" s="1"/>
  <c r="GD33" i="1"/>
  <c r="GE33" i="1"/>
  <c r="GF33" i="1"/>
  <c r="GG33" i="1"/>
  <c r="GG6" i="1" s="1"/>
  <c r="GH33" i="1"/>
  <c r="GI33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FJ71" i="1"/>
  <c r="FK71" i="1"/>
  <c r="FL71" i="1"/>
  <c r="FM71" i="1"/>
  <c r="FM9" i="1" s="1"/>
  <c r="FN71" i="1"/>
  <c r="FO71" i="1"/>
  <c r="FP71" i="1"/>
  <c r="FQ71" i="1"/>
  <c r="FQ9" i="1" s="1"/>
  <c r="FR71" i="1"/>
  <c r="FS71" i="1"/>
  <c r="FT71" i="1"/>
  <c r="FU71" i="1"/>
  <c r="FU9" i="1" s="1"/>
  <c r="FV71" i="1"/>
  <c r="FW71" i="1"/>
  <c r="FX71" i="1"/>
  <c r="FY71" i="1"/>
  <c r="FY9" i="1" s="1"/>
  <c r="FZ71" i="1"/>
  <c r="GA71" i="1"/>
  <c r="GB71" i="1"/>
  <c r="GC71" i="1"/>
  <c r="GC9" i="1" s="1"/>
  <c r="GD71" i="1"/>
  <c r="GE71" i="1"/>
  <c r="GF71" i="1"/>
  <c r="GG71" i="1"/>
  <c r="GG9" i="1" s="1"/>
  <c r="GH71" i="1"/>
  <c r="GI71" i="1"/>
  <c r="FJ72" i="1"/>
  <c r="FK72" i="1"/>
  <c r="FK9" i="1" s="1"/>
  <c r="FL72" i="1"/>
  <c r="FM72" i="1"/>
  <c r="FN72" i="1"/>
  <c r="FO72" i="1"/>
  <c r="FO9" i="1" s="1"/>
  <c r="FP72" i="1"/>
  <c r="FQ72" i="1"/>
  <c r="FR72" i="1"/>
  <c r="FS72" i="1"/>
  <c r="FS9" i="1" s="1"/>
  <c r="FT72" i="1"/>
  <c r="FU72" i="1"/>
  <c r="FV72" i="1"/>
  <c r="FW72" i="1"/>
  <c r="FW9" i="1" s="1"/>
  <c r="FX72" i="1"/>
  <c r="FY72" i="1"/>
  <c r="FZ72" i="1"/>
  <c r="GA72" i="1"/>
  <c r="GA9" i="1" s="1"/>
  <c r="GB72" i="1"/>
  <c r="GC72" i="1"/>
  <c r="GD72" i="1"/>
  <c r="GE72" i="1"/>
  <c r="GE9" i="1" s="1"/>
  <c r="GF72" i="1"/>
  <c r="GG72" i="1"/>
  <c r="GH72" i="1"/>
  <c r="GI72" i="1"/>
  <c r="GI9" i="1" s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FJ100" i="1"/>
  <c r="FJ9" i="1" s="1"/>
  <c r="FK100" i="1"/>
  <c r="FL100" i="1"/>
  <c r="FM100" i="1"/>
  <c r="FN100" i="1"/>
  <c r="FN9" i="1" s="1"/>
  <c r="FO100" i="1"/>
  <c r="FP100" i="1"/>
  <c r="FQ100" i="1"/>
  <c r="FR100" i="1"/>
  <c r="FR9" i="1" s="1"/>
  <c r="FS100" i="1"/>
  <c r="FT100" i="1"/>
  <c r="FU100" i="1"/>
  <c r="FV100" i="1"/>
  <c r="FV9" i="1" s="1"/>
  <c r="FW100" i="1"/>
  <c r="FX100" i="1"/>
  <c r="FY100" i="1"/>
  <c r="FZ100" i="1"/>
  <c r="FZ9" i="1" s="1"/>
  <c r="GA100" i="1"/>
  <c r="GB100" i="1"/>
  <c r="GC100" i="1"/>
  <c r="GD100" i="1"/>
  <c r="GD9" i="1" s="1"/>
  <c r="GE100" i="1"/>
  <c r="GF100" i="1"/>
  <c r="GG100" i="1"/>
  <c r="GH100" i="1"/>
  <c r="GH9" i="1" s="1"/>
  <c r="GI100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FJ127" i="1"/>
  <c r="FK127" i="1"/>
  <c r="FL127" i="1"/>
  <c r="FL10" i="1" s="1"/>
  <c r="FM127" i="1"/>
  <c r="FM10" i="1" s="1"/>
  <c r="FN127" i="1"/>
  <c r="FO127" i="1"/>
  <c r="FP127" i="1"/>
  <c r="FP10" i="1" s="1"/>
  <c r="FQ127" i="1"/>
  <c r="FQ10" i="1" s="1"/>
  <c r="FR127" i="1"/>
  <c r="FS127" i="1"/>
  <c r="FT127" i="1"/>
  <c r="FT10" i="1" s="1"/>
  <c r="FU127" i="1"/>
  <c r="FU10" i="1" s="1"/>
  <c r="FV127" i="1"/>
  <c r="FW127" i="1"/>
  <c r="FX127" i="1"/>
  <c r="FX10" i="1" s="1"/>
  <c r="FY127" i="1"/>
  <c r="FY10" i="1" s="1"/>
  <c r="FZ127" i="1"/>
  <c r="GA127" i="1"/>
  <c r="GB127" i="1"/>
  <c r="GB10" i="1" s="1"/>
  <c r="GC127" i="1"/>
  <c r="GC10" i="1" s="1"/>
  <c r="GD127" i="1"/>
  <c r="GE127" i="1"/>
  <c r="GF127" i="1"/>
  <c r="GF10" i="1" s="1"/>
  <c r="GG127" i="1"/>
  <c r="GG10" i="1" s="1"/>
  <c r="GH127" i="1"/>
  <c r="GI127" i="1"/>
  <c r="FJ128" i="1"/>
  <c r="FK128" i="1"/>
  <c r="FK10" i="1" s="1"/>
  <c r="FL128" i="1"/>
  <c r="FM128" i="1"/>
  <c r="FN128" i="1"/>
  <c r="FO128" i="1"/>
  <c r="FO10" i="1" s="1"/>
  <c r="FP128" i="1"/>
  <c r="FQ128" i="1"/>
  <c r="FR128" i="1"/>
  <c r="FS128" i="1"/>
  <c r="FS10" i="1" s="1"/>
  <c r="FT128" i="1"/>
  <c r="FU128" i="1"/>
  <c r="FV128" i="1"/>
  <c r="FW128" i="1"/>
  <c r="FW10" i="1" s="1"/>
  <c r="FX128" i="1"/>
  <c r="FY128" i="1"/>
  <c r="FZ128" i="1"/>
  <c r="GA128" i="1"/>
  <c r="GA10" i="1" s="1"/>
  <c r="GB128" i="1"/>
  <c r="GC128" i="1"/>
  <c r="GD128" i="1"/>
  <c r="GE128" i="1"/>
  <c r="GE10" i="1" s="1"/>
  <c r="GF128" i="1"/>
  <c r="GG128" i="1"/>
  <c r="GH128" i="1"/>
  <c r="GI128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FJ130" i="1"/>
  <c r="FJ11" i="1" s="1"/>
  <c r="FK130" i="1"/>
  <c r="FK11" i="1" s="1"/>
  <c r="FL130" i="1"/>
  <c r="FM130" i="1"/>
  <c r="FN130" i="1"/>
  <c r="FN11" i="1" s="1"/>
  <c r="FO130" i="1"/>
  <c r="FO11" i="1" s="1"/>
  <c r="FP130" i="1"/>
  <c r="FQ130" i="1"/>
  <c r="FR130" i="1"/>
  <c r="FR11" i="1" s="1"/>
  <c r="FS130" i="1"/>
  <c r="FS11" i="1" s="1"/>
  <c r="FT130" i="1"/>
  <c r="FU130" i="1"/>
  <c r="FV130" i="1"/>
  <c r="FV11" i="1" s="1"/>
  <c r="FW130" i="1"/>
  <c r="FW11" i="1" s="1"/>
  <c r="FX130" i="1"/>
  <c r="FY130" i="1"/>
  <c r="FZ130" i="1"/>
  <c r="FZ11" i="1" s="1"/>
  <c r="GA130" i="1"/>
  <c r="GA11" i="1" s="1"/>
  <c r="GB130" i="1"/>
  <c r="GC130" i="1"/>
  <c r="GD130" i="1"/>
  <c r="GD11" i="1" s="1"/>
  <c r="GE130" i="1"/>
  <c r="GE11" i="1" s="1"/>
  <c r="GF130" i="1"/>
  <c r="GG130" i="1"/>
  <c r="GH130" i="1"/>
  <c r="GH11" i="1" s="1"/>
  <c r="GI130" i="1"/>
  <c r="GI11" i="1" s="1"/>
  <c r="FJ131" i="1"/>
  <c r="FK131" i="1"/>
  <c r="FL131" i="1"/>
  <c r="FM131" i="1"/>
  <c r="FM11" i="1" s="1"/>
  <c r="FN131" i="1"/>
  <c r="FO131" i="1"/>
  <c r="FP131" i="1"/>
  <c r="FQ131" i="1"/>
  <c r="FQ11" i="1" s="1"/>
  <c r="FR131" i="1"/>
  <c r="FS131" i="1"/>
  <c r="FT131" i="1"/>
  <c r="FU131" i="1"/>
  <c r="FU11" i="1" s="1"/>
  <c r="FV131" i="1"/>
  <c r="FW131" i="1"/>
  <c r="FX131" i="1"/>
  <c r="FY131" i="1"/>
  <c r="FY11" i="1" s="1"/>
  <c r="FZ131" i="1"/>
  <c r="GA131" i="1"/>
  <c r="GB131" i="1"/>
  <c r="GC131" i="1"/>
  <c r="GC11" i="1" s="1"/>
  <c r="GD131" i="1"/>
  <c r="GE131" i="1"/>
  <c r="GF131" i="1"/>
  <c r="GG131" i="1"/>
  <c r="GG11" i="1" s="1"/>
  <c r="GH131" i="1"/>
  <c r="GI131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FJ134" i="1"/>
  <c r="FK134" i="1"/>
  <c r="FL134" i="1"/>
  <c r="FM134" i="1"/>
  <c r="FN134" i="1"/>
  <c r="FO134" i="1"/>
  <c r="FP134" i="1"/>
  <c r="FQ134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FJ137" i="1"/>
  <c r="FK137" i="1"/>
  <c r="FL137" i="1"/>
  <c r="FM137" i="1"/>
  <c r="FN137" i="1"/>
  <c r="FO137" i="1"/>
  <c r="FP137" i="1"/>
  <c r="FQ137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FJ139" i="1"/>
  <c r="FK139" i="1"/>
  <c r="FL139" i="1"/>
  <c r="FL12" i="1" s="1"/>
  <c r="FM139" i="1"/>
  <c r="FM12" i="1" s="1"/>
  <c r="FN139" i="1"/>
  <c r="FO139" i="1"/>
  <c r="FP139" i="1"/>
  <c r="FP12" i="1" s="1"/>
  <c r="FQ139" i="1"/>
  <c r="FQ12" i="1" s="1"/>
  <c r="FR139" i="1"/>
  <c r="FS139" i="1"/>
  <c r="FT139" i="1"/>
  <c r="FT12" i="1" s="1"/>
  <c r="FU139" i="1"/>
  <c r="FU12" i="1" s="1"/>
  <c r="FV139" i="1"/>
  <c r="FW139" i="1"/>
  <c r="FX139" i="1"/>
  <c r="FX12" i="1" s="1"/>
  <c r="FY139" i="1"/>
  <c r="FY12" i="1" s="1"/>
  <c r="FZ139" i="1"/>
  <c r="GA139" i="1"/>
  <c r="GB139" i="1"/>
  <c r="GB12" i="1" s="1"/>
  <c r="GC139" i="1"/>
  <c r="GC12" i="1" s="1"/>
  <c r="GD139" i="1"/>
  <c r="GE139" i="1"/>
  <c r="GF139" i="1"/>
  <c r="GF12" i="1" s="1"/>
  <c r="GG139" i="1"/>
  <c r="GG12" i="1" s="1"/>
  <c r="GH139" i="1"/>
  <c r="GI139" i="1"/>
  <c r="FJ140" i="1"/>
  <c r="FK140" i="1"/>
  <c r="FK12" i="1" s="1"/>
  <c r="FL140" i="1"/>
  <c r="FM140" i="1"/>
  <c r="FN140" i="1"/>
  <c r="FO140" i="1"/>
  <c r="FO12" i="1" s="1"/>
  <c r="FP140" i="1"/>
  <c r="FQ140" i="1"/>
  <c r="FR140" i="1"/>
  <c r="FS140" i="1"/>
  <c r="FS12" i="1" s="1"/>
  <c r="FT140" i="1"/>
  <c r="FU140" i="1"/>
  <c r="FV140" i="1"/>
  <c r="FW140" i="1"/>
  <c r="FW12" i="1" s="1"/>
  <c r="FX140" i="1"/>
  <c r="FY140" i="1"/>
  <c r="FZ140" i="1"/>
  <c r="GA140" i="1"/>
  <c r="GA12" i="1" s="1"/>
  <c r="GB140" i="1"/>
  <c r="GC140" i="1"/>
  <c r="GD140" i="1"/>
  <c r="GE140" i="1"/>
  <c r="GE12" i="1" s="1"/>
  <c r="GF140" i="1"/>
  <c r="GG140" i="1"/>
  <c r="GH140" i="1"/>
  <c r="GI140" i="1"/>
  <c r="GI12" i="1" s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FJ143" i="1"/>
  <c r="FK143" i="1"/>
  <c r="FL143" i="1"/>
  <c r="FM143" i="1"/>
  <c r="FN143" i="1"/>
  <c r="FO143" i="1"/>
  <c r="FP143" i="1"/>
  <c r="FQ143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FJ146" i="1"/>
  <c r="FK146" i="1"/>
  <c r="FL146" i="1"/>
  <c r="FM146" i="1"/>
  <c r="FN146" i="1"/>
  <c r="FO146" i="1"/>
  <c r="FP146" i="1"/>
  <c r="FQ146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FJ149" i="1"/>
  <c r="FK149" i="1"/>
  <c r="FL149" i="1"/>
  <c r="FM149" i="1"/>
  <c r="FN149" i="1"/>
  <c r="FO149" i="1"/>
  <c r="FP149" i="1"/>
  <c r="FQ149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FJ152" i="1"/>
  <c r="FK152" i="1"/>
  <c r="FL152" i="1"/>
  <c r="FM152" i="1"/>
  <c r="FN152" i="1"/>
  <c r="FO152" i="1"/>
  <c r="FP152" i="1"/>
  <c r="FQ152" i="1"/>
  <c r="FR152" i="1"/>
  <c r="FS152" i="1"/>
  <c r="FT152" i="1"/>
  <c r="FU152" i="1"/>
  <c r="FV152" i="1"/>
  <c r="FW152" i="1"/>
  <c r="FX152" i="1"/>
  <c r="FY152" i="1"/>
  <c r="FZ152" i="1"/>
  <c r="GA152" i="1"/>
  <c r="GB152" i="1"/>
  <c r="GC152" i="1"/>
  <c r="GD152" i="1"/>
  <c r="GE152" i="1"/>
  <c r="GF152" i="1"/>
  <c r="GG152" i="1"/>
  <c r="GH152" i="1"/>
  <c r="GI152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FJ158" i="1"/>
  <c r="FK158" i="1"/>
  <c r="FL158" i="1"/>
  <c r="FM158" i="1"/>
  <c r="FN158" i="1"/>
  <c r="FO158" i="1"/>
  <c r="FP158" i="1"/>
  <c r="FQ158" i="1"/>
  <c r="FR158" i="1"/>
  <c r="FS158" i="1"/>
  <c r="FT158" i="1"/>
  <c r="FU158" i="1"/>
  <c r="FV158" i="1"/>
  <c r="FW158" i="1"/>
  <c r="FX158" i="1"/>
  <c r="FY158" i="1"/>
  <c r="FZ158" i="1"/>
  <c r="GA158" i="1"/>
  <c r="GB158" i="1"/>
  <c r="GC158" i="1"/>
  <c r="GD158" i="1"/>
  <c r="GE158" i="1"/>
  <c r="GF158" i="1"/>
  <c r="GG158" i="1"/>
  <c r="GH158" i="1"/>
  <c r="GI158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FJ161" i="1"/>
  <c r="FK161" i="1"/>
  <c r="FL161" i="1"/>
  <c r="FM161" i="1"/>
  <c r="FN161" i="1"/>
  <c r="FO161" i="1"/>
  <c r="FP161" i="1"/>
  <c r="FQ161" i="1"/>
  <c r="FR161" i="1"/>
  <c r="FS161" i="1"/>
  <c r="FT161" i="1"/>
  <c r="FU161" i="1"/>
  <c r="FV161" i="1"/>
  <c r="FW161" i="1"/>
  <c r="FX161" i="1"/>
  <c r="FY161" i="1"/>
  <c r="FZ161" i="1"/>
  <c r="GA161" i="1"/>
  <c r="GB161" i="1"/>
  <c r="GC161" i="1"/>
  <c r="GD161" i="1"/>
  <c r="GE161" i="1"/>
  <c r="GF161" i="1"/>
  <c r="GG161" i="1"/>
  <c r="GH161" i="1"/>
  <c r="GI161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FJ164" i="1"/>
  <c r="FK164" i="1"/>
  <c r="FL164" i="1"/>
  <c r="FM164" i="1"/>
  <c r="FN164" i="1"/>
  <c r="FO164" i="1"/>
  <c r="FP164" i="1"/>
  <c r="FQ164" i="1"/>
  <c r="FR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FJ167" i="1"/>
  <c r="FK167" i="1"/>
  <c r="FL167" i="1"/>
  <c r="FM167" i="1"/>
  <c r="FN167" i="1"/>
  <c r="FO167" i="1"/>
  <c r="FP167" i="1"/>
  <c r="FQ167" i="1"/>
  <c r="FR167" i="1"/>
  <c r="FS167" i="1"/>
  <c r="FT167" i="1"/>
  <c r="FU167" i="1"/>
  <c r="FV167" i="1"/>
  <c r="FW167" i="1"/>
  <c r="FX167" i="1"/>
  <c r="FY167" i="1"/>
  <c r="FZ167" i="1"/>
  <c r="GA167" i="1"/>
  <c r="GB167" i="1"/>
  <c r="GC167" i="1"/>
  <c r="GD167" i="1"/>
  <c r="GE167" i="1"/>
  <c r="GF167" i="1"/>
  <c r="GG167" i="1"/>
  <c r="GH167" i="1"/>
  <c r="GI167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FJ170" i="1"/>
  <c r="FK170" i="1"/>
  <c r="FL170" i="1"/>
  <c r="FM170" i="1"/>
  <c r="FN170" i="1"/>
  <c r="FO170" i="1"/>
  <c r="FP170" i="1"/>
  <c r="FQ170" i="1"/>
  <c r="FR170" i="1"/>
  <c r="FS170" i="1"/>
  <c r="FT170" i="1"/>
  <c r="FU170" i="1"/>
  <c r="FV170" i="1"/>
  <c r="FW170" i="1"/>
  <c r="FX170" i="1"/>
  <c r="FY170" i="1"/>
  <c r="FZ170" i="1"/>
  <c r="GA170" i="1"/>
  <c r="GB170" i="1"/>
  <c r="GC170" i="1"/>
  <c r="GD170" i="1"/>
  <c r="GE170" i="1"/>
  <c r="GF170" i="1"/>
  <c r="GG170" i="1"/>
  <c r="GH170" i="1"/>
  <c r="GI170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FJ173" i="1"/>
  <c r="FK173" i="1"/>
  <c r="FL173" i="1"/>
  <c r="FM173" i="1"/>
  <c r="FN173" i="1"/>
  <c r="FO173" i="1"/>
  <c r="FP173" i="1"/>
  <c r="FQ173" i="1"/>
  <c r="FR173" i="1"/>
  <c r="FS173" i="1"/>
  <c r="FT173" i="1"/>
  <c r="FU173" i="1"/>
  <c r="FV173" i="1"/>
  <c r="FW173" i="1"/>
  <c r="FX173" i="1"/>
  <c r="FY173" i="1"/>
  <c r="FZ173" i="1"/>
  <c r="GA173" i="1"/>
  <c r="GB173" i="1"/>
  <c r="GC173" i="1"/>
  <c r="GD173" i="1"/>
  <c r="GE173" i="1"/>
  <c r="GF173" i="1"/>
  <c r="GG173" i="1"/>
  <c r="GH173" i="1"/>
  <c r="GI173" i="1"/>
  <c r="FJ174" i="1"/>
  <c r="FK174" i="1"/>
  <c r="FL174" i="1"/>
  <c r="FM174" i="1"/>
  <c r="FN174" i="1"/>
  <c r="FO174" i="1"/>
  <c r="FP174" i="1"/>
  <c r="FQ174" i="1"/>
  <c r="FR174" i="1"/>
  <c r="FS174" i="1"/>
  <c r="FT174" i="1"/>
  <c r="FU174" i="1"/>
  <c r="FV174" i="1"/>
  <c r="FW174" i="1"/>
  <c r="FX174" i="1"/>
  <c r="FY174" i="1"/>
  <c r="FZ174" i="1"/>
  <c r="GA174" i="1"/>
  <c r="GB174" i="1"/>
  <c r="GC174" i="1"/>
  <c r="GD174" i="1"/>
  <c r="GE174" i="1"/>
  <c r="GF174" i="1"/>
  <c r="GG174" i="1"/>
  <c r="GH174" i="1"/>
  <c r="GI174" i="1"/>
  <c r="FJ175" i="1"/>
  <c r="FK175" i="1"/>
  <c r="FL175" i="1"/>
  <c r="FM175" i="1"/>
  <c r="FN175" i="1"/>
  <c r="FO175" i="1"/>
  <c r="FP175" i="1"/>
  <c r="FQ175" i="1"/>
  <c r="FR175" i="1"/>
  <c r="FS175" i="1"/>
  <c r="FT175" i="1"/>
  <c r="FU175" i="1"/>
  <c r="FV175" i="1"/>
  <c r="FW175" i="1"/>
  <c r="FX175" i="1"/>
  <c r="FY175" i="1"/>
  <c r="FZ175" i="1"/>
  <c r="GA175" i="1"/>
  <c r="GB175" i="1"/>
  <c r="GC175" i="1"/>
  <c r="GD175" i="1"/>
  <c r="GE175" i="1"/>
  <c r="GF175" i="1"/>
  <c r="GG175" i="1"/>
  <c r="GH175" i="1"/>
  <c r="GI175" i="1"/>
  <c r="FJ176" i="1"/>
  <c r="FK176" i="1"/>
  <c r="FL176" i="1"/>
  <c r="FM176" i="1"/>
  <c r="FN176" i="1"/>
  <c r="FO176" i="1"/>
  <c r="FP176" i="1"/>
  <c r="FQ176" i="1"/>
  <c r="FR176" i="1"/>
  <c r="FS176" i="1"/>
  <c r="FT176" i="1"/>
  <c r="FU176" i="1"/>
  <c r="FV176" i="1"/>
  <c r="FW176" i="1"/>
  <c r="FX176" i="1"/>
  <c r="FY176" i="1"/>
  <c r="FZ176" i="1"/>
  <c r="GA176" i="1"/>
  <c r="GB176" i="1"/>
  <c r="GC176" i="1"/>
  <c r="GD176" i="1"/>
  <c r="GE176" i="1"/>
  <c r="GF176" i="1"/>
  <c r="GG176" i="1"/>
  <c r="GH176" i="1"/>
  <c r="GI176" i="1"/>
  <c r="FJ177" i="1"/>
  <c r="FK177" i="1"/>
  <c r="FL177" i="1"/>
  <c r="FM177" i="1"/>
  <c r="FN177" i="1"/>
  <c r="FO177" i="1"/>
  <c r="FP177" i="1"/>
  <c r="FQ177" i="1"/>
  <c r="FR177" i="1"/>
  <c r="FS177" i="1"/>
  <c r="FT177" i="1"/>
  <c r="FU177" i="1"/>
  <c r="FV177" i="1"/>
  <c r="FW177" i="1"/>
  <c r="FX177" i="1"/>
  <c r="FY177" i="1"/>
  <c r="FZ177" i="1"/>
  <c r="GA177" i="1"/>
  <c r="GB177" i="1"/>
  <c r="GC177" i="1"/>
  <c r="GD177" i="1"/>
  <c r="GE177" i="1"/>
  <c r="GF177" i="1"/>
  <c r="GG177" i="1"/>
  <c r="GH177" i="1"/>
  <c r="GI177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FJ179" i="1"/>
  <c r="FK179" i="1"/>
  <c r="FL179" i="1"/>
  <c r="FM179" i="1"/>
  <c r="FN179" i="1"/>
  <c r="FO179" i="1"/>
  <c r="FP179" i="1"/>
  <c r="FQ179" i="1"/>
  <c r="FR179" i="1"/>
  <c r="FS179" i="1"/>
  <c r="FT179" i="1"/>
  <c r="FU179" i="1"/>
  <c r="FV179" i="1"/>
  <c r="FW179" i="1"/>
  <c r="FX179" i="1"/>
  <c r="FY179" i="1"/>
  <c r="FZ179" i="1"/>
  <c r="GA179" i="1"/>
  <c r="GB179" i="1"/>
  <c r="GC179" i="1"/>
  <c r="GD179" i="1"/>
  <c r="GE179" i="1"/>
  <c r="GF179" i="1"/>
  <c r="GG179" i="1"/>
  <c r="GH179" i="1"/>
  <c r="GI179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FJ181" i="1"/>
  <c r="FK181" i="1"/>
  <c r="FL181" i="1"/>
  <c r="FM181" i="1"/>
  <c r="FN181" i="1"/>
  <c r="FO181" i="1"/>
  <c r="FP181" i="1"/>
  <c r="FQ181" i="1"/>
  <c r="FR181" i="1"/>
  <c r="FS181" i="1"/>
  <c r="FT181" i="1"/>
  <c r="FU181" i="1"/>
  <c r="FV181" i="1"/>
  <c r="FW181" i="1"/>
  <c r="FX181" i="1"/>
  <c r="FY181" i="1"/>
  <c r="FZ181" i="1"/>
  <c r="GA181" i="1"/>
  <c r="GB181" i="1"/>
  <c r="GC181" i="1"/>
  <c r="GD181" i="1"/>
  <c r="GE181" i="1"/>
  <c r="GF181" i="1"/>
  <c r="GG181" i="1"/>
  <c r="GH181" i="1"/>
  <c r="GI181" i="1"/>
  <c r="FJ182" i="1"/>
  <c r="FK182" i="1"/>
  <c r="FL182" i="1"/>
  <c r="FM182" i="1"/>
  <c r="FN182" i="1"/>
  <c r="FO182" i="1"/>
  <c r="FP182" i="1"/>
  <c r="FQ182" i="1"/>
  <c r="FR182" i="1"/>
  <c r="FS182" i="1"/>
  <c r="FT182" i="1"/>
  <c r="FU182" i="1"/>
  <c r="FV182" i="1"/>
  <c r="FW182" i="1"/>
  <c r="FX182" i="1"/>
  <c r="FY182" i="1"/>
  <c r="FZ182" i="1"/>
  <c r="GA182" i="1"/>
  <c r="GB182" i="1"/>
  <c r="GC182" i="1"/>
  <c r="GD182" i="1"/>
  <c r="GE182" i="1"/>
  <c r="GF182" i="1"/>
  <c r="GG182" i="1"/>
  <c r="GH182" i="1"/>
  <c r="GI182" i="1"/>
  <c r="FJ183" i="1"/>
  <c r="FK183" i="1"/>
  <c r="FL183" i="1"/>
  <c r="FM183" i="1"/>
  <c r="FN183" i="1"/>
  <c r="FO183" i="1"/>
  <c r="FP183" i="1"/>
  <c r="FQ183" i="1"/>
  <c r="FR183" i="1"/>
  <c r="FS183" i="1"/>
  <c r="FT183" i="1"/>
  <c r="FU183" i="1"/>
  <c r="FV183" i="1"/>
  <c r="FW183" i="1"/>
  <c r="FX183" i="1"/>
  <c r="FY183" i="1"/>
  <c r="FZ183" i="1"/>
  <c r="GA183" i="1"/>
  <c r="GB183" i="1"/>
  <c r="GC183" i="1"/>
  <c r="GD183" i="1"/>
  <c r="GE183" i="1"/>
  <c r="GF183" i="1"/>
  <c r="GG183" i="1"/>
  <c r="GH183" i="1"/>
  <c r="GI183" i="1"/>
  <c r="FJ184" i="1"/>
  <c r="FK184" i="1"/>
  <c r="FL184" i="1"/>
  <c r="FM184" i="1"/>
  <c r="FN184" i="1"/>
  <c r="FO184" i="1"/>
  <c r="FP184" i="1"/>
  <c r="FQ184" i="1"/>
  <c r="FR184" i="1"/>
  <c r="FS184" i="1"/>
  <c r="FT184" i="1"/>
  <c r="FU184" i="1"/>
  <c r="FV184" i="1"/>
  <c r="FW184" i="1"/>
  <c r="FX184" i="1"/>
  <c r="FY184" i="1"/>
  <c r="FZ184" i="1"/>
  <c r="GA184" i="1"/>
  <c r="GB184" i="1"/>
  <c r="GC184" i="1"/>
  <c r="GD184" i="1"/>
  <c r="GE184" i="1"/>
  <c r="GF184" i="1"/>
  <c r="GG184" i="1"/>
  <c r="GH184" i="1"/>
  <c r="GI184" i="1"/>
  <c r="FJ185" i="1"/>
  <c r="FK185" i="1"/>
  <c r="FL185" i="1"/>
  <c r="FM185" i="1"/>
  <c r="FN185" i="1"/>
  <c r="FO185" i="1"/>
  <c r="FP185" i="1"/>
  <c r="FQ185" i="1"/>
  <c r="FR185" i="1"/>
  <c r="FS185" i="1"/>
  <c r="FT185" i="1"/>
  <c r="FU185" i="1"/>
  <c r="FV185" i="1"/>
  <c r="FW185" i="1"/>
  <c r="FX185" i="1"/>
  <c r="FY185" i="1"/>
  <c r="FZ185" i="1"/>
  <c r="GA185" i="1"/>
  <c r="GB185" i="1"/>
  <c r="GC185" i="1"/>
  <c r="GD185" i="1"/>
  <c r="GE185" i="1"/>
  <c r="GF185" i="1"/>
  <c r="GG185" i="1"/>
  <c r="GH185" i="1"/>
  <c r="GI185" i="1"/>
  <c r="FJ186" i="1"/>
  <c r="FK186" i="1"/>
  <c r="FL186" i="1"/>
  <c r="FM186" i="1"/>
  <c r="FN186" i="1"/>
  <c r="FO186" i="1"/>
  <c r="FP186" i="1"/>
  <c r="FQ186" i="1"/>
  <c r="FR186" i="1"/>
  <c r="FS186" i="1"/>
  <c r="FT186" i="1"/>
  <c r="FU186" i="1"/>
  <c r="FV186" i="1"/>
  <c r="FW186" i="1"/>
  <c r="FX186" i="1"/>
  <c r="FY186" i="1"/>
  <c r="FZ186" i="1"/>
  <c r="GA186" i="1"/>
  <c r="GB186" i="1"/>
  <c r="GC186" i="1"/>
  <c r="GD186" i="1"/>
  <c r="GE186" i="1"/>
  <c r="GF186" i="1"/>
  <c r="GG186" i="1"/>
  <c r="GH186" i="1"/>
  <c r="GI186" i="1"/>
  <c r="FJ187" i="1"/>
  <c r="FK187" i="1"/>
  <c r="FL187" i="1"/>
  <c r="FM187" i="1"/>
  <c r="FN187" i="1"/>
  <c r="FO187" i="1"/>
  <c r="FP187" i="1"/>
  <c r="FQ187" i="1"/>
  <c r="FR187" i="1"/>
  <c r="FS187" i="1"/>
  <c r="FT187" i="1"/>
  <c r="FU187" i="1"/>
  <c r="FV187" i="1"/>
  <c r="FW187" i="1"/>
  <c r="FX187" i="1"/>
  <c r="FY187" i="1"/>
  <c r="FZ187" i="1"/>
  <c r="GA187" i="1"/>
  <c r="GB187" i="1"/>
  <c r="GC187" i="1"/>
  <c r="GD187" i="1"/>
  <c r="GE187" i="1"/>
  <c r="GF187" i="1"/>
  <c r="GG187" i="1"/>
  <c r="GH187" i="1"/>
  <c r="GI187" i="1"/>
  <c r="FJ188" i="1"/>
  <c r="FK188" i="1"/>
  <c r="FL188" i="1"/>
  <c r="FM188" i="1"/>
  <c r="FN188" i="1"/>
  <c r="FO188" i="1"/>
  <c r="FP188" i="1"/>
  <c r="FQ188" i="1"/>
  <c r="FR188" i="1"/>
  <c r="FS188" i="1"/>
  <c r="FT188" i="1"/>
  <c r="FU188" i="1"/>
  <c r="FV188" i="1"/>
  <c r="FW188" i="1"/>
  <c r="FX188" i="1"/>
  <c r="FY188" i="1"/>
  <c r="FZ188" i="1"/>
  <c r="GA188" i="1"/>
  <c r="GB188" i="1"/>
  <c r="GC188" i="1"/>
  <c r="GD188" i="1"/>
  <c r="GE188" i="1"/>
  <c r="GF188" i="1"/>
  <c r="GG188" i="1"/>
  <c r="GH188" i="1"/>
  <c r="GI188" i="1"/>
  <c r="FJ189" i="1"/>
  <c r="FK189" i="1"/>
  <c r="FL189" i="1"/>
  <c r="FM189" i="1"/>
  <c r="FN189" i="1"/>
  <c r="FO189" i="1"/>
  <c r="FP189" i="1"/>
  <c r="FQ189" i="1"/>
  <c r="FR189" i="1"/>
  <c r="FS189" i="1"/>
  <c r="FT189" i="1"/>
  <c r="FU189" i="1"/>
  <c r="FV189" i="1"/>
  <c r="FW189" i="1"/>
  <c r="FX189" i="1"/>
  <c r="FY189" i="1"/>
  <c r="FZ189" i="1"/>
  <c r="GA189" i="1"/>
  <c r="GB189" i="1"/>
  <c r="GC189" i="1"/>
  <c r="GD189" i="1"/>
  <c r="GE189" i="1"/>
  <c r="GF189" i="1"/>
  <c r="GG189" i="1"/>
  <c r="GH189" i="1"/>
  <c r="GI189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V190" i="1"/>
  <c r="FW190" i="1"/>
  <c r="FX190" i="1"/>
  <c r="FY190" i="1"/>
  <c r="FZ190" i="1"/>
  <c r="GA190" i="1"/>
  <c r="GB190" i="1"/>
  <c r="GC190" i="1"/>
  <c r="GD190" i="1"/>
  <c r="GE190" i="1"/>
  <c r="GF190" i="1"/>
  <c r="GG190" i="1"/>
  <c r="GH190" i="1"/>
  <c r="GI190" i="1"/>
  <c r="FJ191" i="1"/>
  <c r="FK191" i="1"/>
  <c r="FL191" i="1"/>
  <c r="FM191" i="1"/>
  <c r="FN191" i="1"/>
  <c r="FO191" i="1"/>
  <c r="FP191" i="1"/>
  <c r="FQ191" i="1"/>
  <c r="FR191" i="1"/>
  <c r="FS191" i="1"/>
  <c r="FT191" i="1"/>
  <c r="FU191" i="1"/>
  <c r="FV191" i="1"/>
  <c r="FW191" i="1"/>
  <c r="FX191" i="1"/>
  <c r="FY191" i="1"/>
  <c r="FZ191" i="1"/>
  <c r="GA191" i="1"/>
  <c r="GB191" i="1"/>
  <c r="GC191" i="1"/>
  <c r="GD191" i="1"/>
  <c r="GE191" i="1"/>
  <c r="GF191" i="1"/>
  <c r="GG191" i="1"/>
  <c r="GH191" i="1"/>
  <c r="GI191" i="1"/>
  <c r="GL21" i="1"/>
  <c r="GM21" i="1"/>
  <c r="GN21" i="1"/>
  <c r="GO21" i="1"/>
  <c r="GP21" i="1"/>
  <c r="GQ21" i="1"/>
  <c r="GR21" i="1"/>
  <c r="GS21" i="1"/>
  <c r="GS7" i="1" s="1"/>
  <c r="GT21" i="1"/>
  <c r="GU21" i="1"/>
  <c r="GV21" i="1"/>
  <c r="GW21" i="1"/>
  <c r="GX21" i="1"/>
  <c r="GY21" i="1"/>
  <c r="GZ21" i="1"/>
  <c r="HA21" i="1"/>
  <c r="HA7" i="1" s="1"/>
  <c r="HB21" i="1"/>
  <c r="HC21" i="1"/>
  <c r="HD21" i="1"/>
  <c r="HE21" i="1"/>
  <c r="HE3" i="1" s="1"/>
  <c r="HF21" i="1"/>
  <c r="HG21" i="1"/>
  <c r="HH21" i="1"/>
  <c r="HI21" i="1"/>
  <c r="HI7" i="1" s="1"/>
  <c r="HJ21" i="1"/>
  <c r="HK21" i="1"/>
  <c r="GL22" i="1"/>
  <c r="GM22" i="1"/>
  <c r="GM7" i="1" s="1"/>
  <c r="GN22" i="1"/>
  <c r="GO22" i="1"/>
  <c r="GP22" i="1"/>
  <c r="GQ22" i="1"/>
  <c r="GR22" i="1"/>
  <c r="GS22" i="1"/>
  <c r="GT22" i="1"/>
  <c r="GU22" i="1"/>
  <c r="GU3" i="1" s="1"/>
  <c r="GV22" i="1"/>
  <c r="GW22" i="1"/>
  <c r="GX22" i="1"/>
  <c r="GY22" i="1"/>
  <c r="GY7" i="1" s="1"/>
  <c r="GZ22" i="1"/>
  <c r="HA22" i="1"/>
  <c r="HB22" i="1"/>
  <c r="HC22" i="1"/>
  <c r="HC7" i="1" s="1"/>
  <c r="HD22" i="1"/>
  <c r="HE22" i="1"/>
  <c r="HF22" i="1"/>
  <c r="HG22" i="1"/>
  <c r="HG7" i="1" s="1"/>
  <c r="HH22" i="1"/>
  <c r="HI22" i="1"/>
  <c r="HJ22" i="1"/>
  <c r="HK22" i="1"/>
  <c r="HK7" i="1" s="1"/>
  <c r="GL23" i="1"/>
  <c r="GM23" i="1"/>
  <c r="GN23" i="1"/>
  <c r="GO23" i="1"/>
  <c r="GO7" i="1" s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GL32" i="1"/>
  <c r="GM32" i="1"/>
  <c r="GM13" i="1" s="1"/>
  <c r="GN32" i="1"/>
  <c r="GO32" i="1"/>
  <c r="GP32" i="1"/>
  <c r="GQ32" i="1"/>
  <c r="GR32" i="1"/>
  <c r="GS32" i="1"/>
  <c r="GT32" i="1"/>
  <c r="GU32" i="1"/>
  <c r="GU13" i="1" s="1"/>
  <c r="GV32" i="1"/>
  <c r="GW32" i="1"/>
  <c r="GX32" i="1"/>
  <c r="GY32" i="1"/>
  <c r="GY13" i="1" s="1"/>
  <c r="GZ32" i="1"/>
  <c r="HA32" i="1"/>
  <c r="HB32" i="1"/>
  <c r="HC32" i="1"/>
  <c r="HC6" i="1" s="1"/>
  <c r="HD32" i="1"/>
  <c r="HE32" i="1"/>
  <c r="HF32" i="1"/>
  <c r="HG32" i="1"/>
  <c r="HG13" i="1" s="1"/>
  <c r="HH32" i="1"/>
  <c r="HI32" i="1"/>
  <c r="HJ32" i="1"/>
  <c r="HK32" i="1"/>
  <c r="HK6" i="1" s="1"/>
  <c r="GL33" i="1"/>
  <c r="GM33" i="1"/>
  <c r="GN33" i="1"/>
  <c r="GO33" i="1"/>
  <c r="GO6" i="1" s="1"/>
  <c r="GP33" i="1"/>
  <c r="GQ33" i="1"/>
  <c r="GR33" i="1"/>
  <c r="GS33" i="1"/>
  <c r="GS13" i="1" s="1"/>
  <c r="GT33" i="1"/>
  <c r="GU33" i="1"/>
  <c r="GV33" i="1"/>
  <c r="GW33" i="1"/>
  <c r="GW13" i="1" s="1"/>
  <c r="GX33" i="1"/>
  <c r="GY33" i="1"/>
  <c r="GZ33" i="1"/>
  <c r="HA33" i="1"/>
  <c r="HA13" i="1" s="1"/>
  <c r="HB33" i="1"/>
  <c r="HC33" i="1"/>
  <c r="HD33" i="1"/>
  <c r="HE33" i="1"/>
  <c r="HE6" i="1" s="1"/>
  <c r="HF33" i="1"/>
  <c r="HG33" i="1"/>
  <c r="HH33" i="1"/>
  <c r="HI33" i="1"/>
  <c r="HI13" i="1" s="1"/>
  <c r="HJ33" i="1"/>
  <c r="HK33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B53" i="1"/>
  <c r="HC53" i="1"/>
  <c r="HD53" i="1"/>
  <c r="HE53" i="1"/>
  <c r="HF53" i="1"/>
  <c r="HG53" i="1"/>
  <c r="HH53" i="1"/>
  <c r="HI53" i="1"/>
  <c r="HJ53" i="1"/>
  <c r="HK53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F56" i="1"/>
  <c r="HG56" i="1"/>
  <c r="HH56" i="1"/>
  <c r="HI56" i="1"/>
  <c r="HJ56" i="1"/>
  <c r="HK56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F62" i="1"/>
  <c r="HG62" i="1"/>
  <c r="HH62" i="1"/>
  <c r="HI62" i="1"/>
  <c r="HJ62" i="1"/>
  <c r="HK62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GY68" i="1"/>
  <c r="GZ68" i="1"/>
  <c r="HA68" i="1"/>
  <c r="HB68" i="1"/>
  <c r="HC68" i="1"/>
  <c r="HD68" i="1"/>
  <c r="HE68" i="1"/>
  <c r="HF68" i="1"/>
  <c r="HG68" i="1"/>
  <c r="HH68" i="1"/>
  <c r="HI68" i="1"/>
  <c r="HJ68" i="1"/>
  <c r="HK68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GL71" i="1"/>
  <c r="GM71" i="1"/>
  <c r="GN71" i="1"/>
  <c r="GO71" i="1"/>
  <c r="GO5" i="1" s="1"/>
  <c r="GP71" i="1"/>
  <c r="GQ71" i="1"/>
  <c r="GR71" i="1"/>
  <c r="GS71" i="1"/>
  <c r="GS5" i="1" s="1"/>
  <c r="GT71" i="1"/>
  <c r="GU71" i="1"/>
  <c r="GV71" i="1"/>
  <c r="GW71" i="1"/>
  <c r="GW9" i="1" s="1"/>
  <c r="GX71" i="1"/>
  <c r="GY71" i="1"/>
  <c r="GZ71" i="1"/>
  <c r="HA71" i="1"/>
  <c r="HA9" i="1" s="1"/>
  <c r="HB71" i="1"/>
  <c r="HC71" i="1"/>
  <c r="HD71" i="1"/>
  <c r="HE71" i="1"/>
  <c r="HE5" i="1" s="1"/>
  <c r="HF71" i="1"/>
  <c r="HG71" i="1"/>
  <c r="HH71" i="1"/>
  <c r="HI71" i="1"/>
  <c r="HI5" i="1" s="1"/>
  <c r="HJ71" i="1"/>
  <c r="HK71" i="1"/>
  <c r="GL72" i="1"/>
  <c r="GM72" i="1"/>
  <c r="GN72" i="1"/>
  <c r="GO72" i="1"/>
  <c r="GP72" i="1"/>
  <c r="GQ72" i="1"/>
  <c r="GQ9" i="1" s="1"/>
  <c r="GR72" i="1"/>
  <c r="GS72" i="1"/>
  <c r="GT72" i="1"/>
  <c r="GU72" i="1"/>
  <c r="GU9" i="1" s="1"/>
  <c r="GV72" i="1"/>
  <c r="GW72" i="1"/>
  <c r="GX72" i="1"/>
  <c r="GY72" i="1"/>
  <c r="GY9" i="1" s="1"/>
  <c r="GZ72" i="1"/>
  <c r="HA72" i="1"/>
  <c r="HB72" i="1"/>
  <c r="HC72" i="1"/>
  <c r="HD72" i="1"/>
  <c r="HE72" i="1"/>
  <c r="HF72" i="1"/>
  <c r="HG72" i="1"/>
  <c r="HG9" i="1" s="1"/>
  <c r="HH72" i="1"/>
  <c r="HI72" i="1"/>
  <c r="HJ72" i="1"/>
  <c r="HK72" i="1"/>
  <c r="HK9" i="1" s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GL76" i="1"/>
  <c r="GM76" i="1"/>
  <c r="GN76" i="1"/>
  <c r="GO76" i="1"/>
  <c r="GP76" i="1"/>
  <c r="GQ76" i="1"/>
  <c r="GR76" i="1"/>
  <c r="GS76" i="1"/>
  <c r="GT76" i="1"/>
  <c r="GU76" i="1"/>
  <c r="GV76" i="1"/>
  <c r="GW76" i="1"/>
  <c r="GX76" i="1"/>
  <c r="GY76" i="1"/>
  <c r="GZ76" i="1"/>
  <c r="HA76" i="1"/>
  <c r="HB76" i="1"/>
  <c r="HC76" i="1"/>
  <c r="HD76" i="1"/>
  <c r="HE76" i="1"/>
  <c r="HF76" i="1"/>
  <c r="HG76" i="1"/>
  <c r="HH76" i="1"/>
  <c r="HI76" i="1"/>
  <c r="HJ76" i="1"/>
  <c r="HK76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GY77" i="1"/>
  <c r="GZ77" i="1"/>
  <c r="HA77" i="1"/>
  <c r="HB77" i="1"/>
  <c r="HC77" i="1"/>
  <c r="HD77" i="1"/>
  <c r="HE77" i="1"/>
  <c r="HF77" i="1"/>
  <c r="HG77" i="1"/>
  <c r="HH77" i="1"/>
  <c r="HI77" i="1"/>
  <c r="HJ77" i="1"/>
  <c r="HK77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F78" i="1"/>
  <c r="HG78" i="1"/>
  <c r="HH78" i="1"/>
  <c r="HI78" i="1"/>
  <c r="HJ78" i="1"/>
  <c r="HK78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GY83" i="1"/>
  <c r="GZ83" i="1"/>
  <c r="HA83" i="1"/>
  <c r="HB83" i="1"/>
  <c r="HC83" i="1"/>
  <c r="HD83" i="1"/>
  <c r="HE83" i="1"/>
  <c r="HF83" i="1"/>
  <c r="HG83" i="1"/>
  <c r="HH83" i="1"/>
  <c r="HI83" i="1"/>
  <c r="HJ83" i="1"/>
  <c r="HK83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GY86" i="1"/>
  <c r="GZ86" i="1"/>
  <c r="HA86" i="1"/>
  <c r="HB86" i="1"/>
  <c r="HC86" i="1"/>
  <c r="HD86" i="1"/>
  <c r="HE86" i="1"/>
  <c r="HF86" i="1"/>
  <c r="HG86" i="1"/>
  <c r="HH86" i="1"/>
  <c r="HI86" i="1"/>
  <c r="HJ86" i="1"/>
  <c r="HK86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HI90" i="1"/>
  <c r="HJ90" i="1"/>
  <c r="HK90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HI91" i="1"/>
  <c r="HJ91" i="1"/>
  <c r="HK91" i="1"/>
  <c r="GL92" i="1"/>
  <c r="GM92" i="1"/>
  <c r="GN92" i="1"/>
  <c r="GO92" i="1"/>
  <c r="GP92" i="1"/>
  <c r="GQ92" i="1"/>
  <c r="GR92" i="1"/>
  <c r="GS92" i="1"/>
  <c r="GT92" i="1"/>
  <c r="GU92" i="1"/>
  <c r="GV92" i="1"/>
  <c r="GW92" i="1"/>
  <c r="GX92" i="1"/>
  <c r="GY92" i="1"/>
  <c r="GZ92" i="1"/>
  <c r="HA92" i="1"/>
  <c r="HB92" i="1"/>
  <c r="HC92" i="1"/>
  <c r="HD92" i="1"/>
  <c r="HE92" i="1"/>
  <c r="HF92" i="1"/>
  <c r="HG92" i="1"/>
  <c r="HH92" i="1"/>
  <c r="HI92" i="1"/>
  <c r="HJ92" i="1"/>
  <c r="HK92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HI94" i="1"/>
  <c r="HJ94" i="1"/>
  <c r="HK94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HI97" i="1"/>
  <c r="HJ97" i="1"/>
  <c r="HK97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X98" i="1"/>
  <c r="GY98" i="1"/>
  <c r="GZ98" i="1"/>
  <c r="HA98" i="1"/>
  <c r="HB98" i="1"/>
  <c r="HC98" i="1"/>
  <c r="HD98" i="1"/>
  <c r="HE98" i="1"/>
  <c r="HF98" i="1"/>
  <c r="HG98" i="1"/>
  <c r="HH98" i="1"/>
  <c r="HI98" i="1"/>
  <c r="HJ98" i="1"/>
  <c r="HK98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HI99" i="1"/>
  <c r="HJ99" i="1"/>
  <c r="HK99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HI100" i="1"/>
  <c r="HJ100" i="1"/>
  <c r="HK100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X101" i="1"/>
  <c r="GY101" i="1"/>
  <c r="GZ101" i="1"/>
  <c r="HA101" i="1"/>
  <c r="HB101" i="1"/>
  <c r="HC101" i="1"/>
  <c r="HD101" i="1"/>
  <c r="HE101" i="1"/>
  <c r="HF101" i="1"/>
  <c r="HG101" i="1"/>
  <c r="HH101" i="1"/>
  <c r="HI101" i="1"/>
  <c r="HJ101" i="1"/>
  <c r="HK101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HI103" i="1"/>
  <c r="HJ103" i="1"/>
  <c r="HK103" i="1"/>
  <c r="GL104" i="1"/>
  <c r="GM104" i="1"/>
  <c r="GN104" i="1"/>
  <c r="GO104" i="1"/>
  <c r="GP104" i="1"/>
  <c r="GQ104" i="1"/>
  <c r="GR104" i="1"/>
  <c r="GS104" i="1"/>
  <c r="GT104" i="1"/>
  <c r="GU104" i="1"/>
  <c r="GV104" i="1"/>
  <c r="GW104" i="1"/>
  <c r="GX104" i="1"/>
  <c r="GY104" i="1"/>
  <c r="GZ104" i="1"/>
  <c r="HA104" i="1"/>
  <c r="HB104" i="1"/>
  <c r="HC104" i="1"/>
  <c r="HD104" i="1"/>
  <c r="HE104" i="1"/>
  <c r="HF104" i="1"/>
  <c r="HG104" i="1"/>
  <c r="HH104" i="1"/>
  <c r="HI104" i="1"/>
  <c r="HJ104" i="1"/>
  <c r="HK104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GY105" i="1"/>
  <c r="GZ105" i="1"/>
  <c r="HA105" i="1"/>
  <c r="HB105" i="1"/>
  <c r="HC105" i="1"/>
  <c r="HD105" i="1"/>
  <c r="HE105" i="1"/>
  <c r="HF105" i="1"/>
  <c r="HG105" i="1"/>
  <c r="HH105" i="1"/>
  <c r="HI105" i="1"/>
  <c r="HJ105" i="1"/>
  <c r="HK105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J107" i="1"/>
  <c r="HK107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X109" i="1"/>
  <c r="GY109" i="1"/>
  <c r="GZ109" i="1"/>
  <c r="HA109" i="1"/>
  <c r="HB109" i="1"/>
  <c r="HC109" i="1"/>
  <c r="HD109" i="1"/>
  <c r="HE109" i="1"/>
  <c r="HF109" i="1"/>
  <c r="HG109" i="1"/>
  <c r="HH109" i="1"/>
  <c r="HI109" i="1"/>
  <c r="HJ109" i="1"/>
  <c r="HK109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X110" i="1"/>
  <c r="GY110" i="1"/>
  <c r="GZ110" i="1"/>
  <c r="HA110" i="1"/>
  <c r="HB110" i="1"/>
  <c r="HC110" i="1"/>
  <c r="HD110" i="1"/>
  <c r="HE110" i="1"/>
  <c r="HF110" i="1"/>
  <c r="HG110" i="1"/>
  <c r="HH110" i="1"/>
  <c r="HI110" i="1"/>
  <c r="HJ110" i="1"/>
  <c r="HK110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GL113" i="1"/>
  <c r="GM113" i="1"/>
  <c r="GN113" i="1"/>
  <c r="GO113" i="1"/>
  <c r="GP113" i="1"/>
  <c r="GQ113" i="1"/>
  <c r="GR113" i="1"/>
  <c r="GS113" i="1"/>
  <c r="GT113" i="1"/>
  <c r="GU113" i="1"/>
  <c r="GV113" i="1"/>
  <c r="GW113" i="1"/>
  <c r="GX113" i="1"/>
  <c r="GY113" i="1"/>
  <c r="GZ113" i="1"/>
  <c r="HA113" i="1"/>
  <c r="HB113" i="1"/>
  <c r="HC113" i="1"/>
  <c r="HD113" i="1"/>
  <c r="HE113" i="1"/>
  <c r="HF113" i="1"/>
  <c r="HG113" i="1"/>
  <c r="HH113" i="1"/>
  <c r="HI113" i="1"/>
  <c r="HJ113" i="1"/>
  <c r="HK113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GX114" i="1"/>
  <c r="GY114" i="1"/>
  <c r="GZ114" i="1"/>
  <c r="HA114" i="1"/>
  <c r="HB114" i="1"/>
  <c r="HC114" i="1"/>
  <c r="HD114" i="1"/>
  <c r="HE114" i="1"/>
  <c r="HF114" i="1"/>
  <c r="HG114" i="1"/>
  <c r="HH114" i="1"/>
  <c r="HI114" i="1"/>
  <c r="HJ114" i="1"/>
  <c r="HK114" i="1"/>
  <c r="GL115" i="1"/>
  <c r="GM115" i="1"/>
  <c r="GN115" i="1"/>
  <c r="GO115" i="1"/>
  <c r="GP115" i="1"/>
  <c r="GQ115" i="1"/>
  <c r="GR115" i="1"/>
  <c r="GS115" i="1"/>
  <c r="GT115" i="1"/>
  <c r="GU115" i="1"/>
  <c r="GV115" i="1"/>
  <c r="GW115" i="1"/>
  <c r="GX115" i="1"/>
  <c r="GY115" i="1"/>
  <c r="GZ115" i="1"/>
  <c r="HA115" i="1"/>
  <c r="HB115" i="1"/>
  <c r="HC115" i="1"/>
  <c r="HD115" i="1"/>
  <c r="HE115" i="1"/>
  <c r="HF115" i="1"/>
  <c r="HG115" i="1"/>
  <c r="HH115" i="1"/>
  <c r="HI115" i="1"/>
  <c r="HJ115" i="1"/>
  <c r="HK115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GY116" i="1"/>
  <c r="GZ116" i="1"/>
  <c r="HA116" i="1"/>
  <c r="HB116" i="1"/>
  <c r="HC116" i="1"/>
  <c r="HD116" i="1"/>
  <c r="HE116" i="1"/>
  <c r="HF116" i="1"/>
  <c r="HG116" i="1"/>
  <c r="HH116" i="1"/>
  <c r="HI116" i="1"/>
  <c r="HJ116" i="1"/>
  <c r="HK116" i="1"/>
  <c r="GL117" i="1"/>
  <c r="GM117" i="1"/>
  <c r="GN117" i="1"/>
  <c r="GO117" i="1"/>
  <c r="GP117" i="1"/>
  <c r="GQ117" i="1"/>
  <c r="GR117" i="1"/>
  <c r="GS117" i="1"/>
  <c r="GT117" i="1"/>
  <c r="GU117" i="1"/>
  <c r="GV117" i="1"/>
  <c r="GW117" i="1"/>
  <c r="GX117" i="1"/>
  <c r="GY117" i="1"/>
  <c r="GZ117" i="1"/>
  <c r="HA117" i="1"/>
  <c r="HB117" i="1"/>
  <c r="HC117" i="1"/>
  <c r="HD117" i="1"/>
  <c r="HE117" i="1"/>
  <c r="HF117" i="1"/>
  <c r="HG117" i="1"/>
  <c r="HH117" i="1"/>
  <c r="HI117" i="1"/>
  <c r="HJ117" i="1"/>
  <c r="HK117" i="1"/>
  <c r="GL118" i="1"/>
  <c r="GM118" i="1"/>
  <c r="GN118" i="1"/>
  <c r="GO118" i="1"/>
  <c r="GP118" i="1"/>
  <c r="GQ118" i="1"/>
  <c r="GR118" i="1"/>
  <c r="GS118" i="1"/>
  <c r="GT118" i="1"/>
  <c r="GU118" i="1"/>
  <c r="GV118" i="1"/>
  <c r="GW118" i="1"/>
  <c r="GX118" i="1"/>
  <c r="GY118" i="1"/>
  <c r="GZ118" i="1"/>
  <c r="HA118" i="1"/>
  <c r="HB118" i="1"/>
  <c r="HC118" i="1"/>
  <c r="HD118" i="1"/>
  <c r="HE118" i="1"/>
  <c r="HF118" i="1"/>
  <c r="HG118" i="1"/>
  <c r="HH118" i="1"/>
  <c r="HI118" i="1"/>
  <c r="HJ118" i="1"/>
  <c r="HK118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GY119" i="1"/>
  <c r="GZ119" i="1"/>
  <c r="HA119" i="1"/>
  <c r="HB119" i="1"/>
  <c r="HC119" i="1"/>
  <c r="HD119" i="1"/>
  <c r="HE119" i="1"/>
  <c r="HF119" i="1"/>
  <c r="HG119" i="1"/>
  <c r="HH119" i="1"/>
  <c r="HI119" i="1"/>
  <c r="HJ119" i="1"/>
  <c r="HK119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GY120" i="1"/>
  <c r="GZ120" i="1"/>
  <c r="HA120" i="1"/>
  <c r="HB120" i="1"/>
  <c r="HC120" i="1"/>
  <c r="HD120" i="1"/>
  <c r="HE120" i="1"/>
  <c r="HF120" i="1"/>
  <c r="HG120" i="1"/>
  <c r="HH120" i="1"/>
  <c r="HI120" i="1"/>
  <c r="HJ120" i="1"/>
  <c r="HK120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GL122" i="1"/>
  <c r="GM122" i="1"/>
  <c r="GN122" i="1"/>
  <c r="GO122" i="1"/>
  <c r="GP122" i="1"/>
  <c r="GQ122" i="1"/>
  <c r="GR122" i="1"/>
  <c r="GS122" i="1"/>
  <c r="GT122" i="1"/>
  <c r="GU122" i="1"/>
  <c r="GV122" i="1"/>
  <c r="GW122" i="1"/>
  <c r="GX122" i="1"/>
  <c r="GY122" i="1"/>
  <c r="GZ122" i="1"/>
  <c r="HA122" i="1"/>
  <c r="HB122" i="1"/>
  <c r="HC122" i="1"/>
  <c r="HD122" i="1"/>
  <c r="HE122" i="1"/>
  <c r="HF122" i="1"/>
  <c r="HG122" i="1"/>
  <c r="HH122" i="1"/>
  <c r="HI122" i="1"/>
  <c r="HJ122" i="1"/>
  <c r="HK122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GY123" i="1"/>
  <c r="GZ123" i="1"/>
  <c r="HA123" i="1"/>
  <c r="HB123" i="1"/>
  <c r="HC123" i="1"/>
  <c r="HD123" i="1"/>
  <c r="HE123" i="1"/>
  <c r="HF123" i="1"/>
  <c r="HG123" i="1"/>
  <c r="HH123" i="1"/>
  <c r="HI123" i="1"/>
  <c r="HJ123" i="1"/>
  <c r="HK123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GY124" i="1"/>
  <c r="GZ124" i="1"/>
  <c r="HA124" i="1"/>
  <c r="HB124" i="1"/>
  <c r="HC124" i="1"/>
  <c r="HD124" i="1"/>
  <c r="HE124" i="1"/>
  <c r="HF124" i="1"/>
  <c r="HG124" i="1"/>
  <c r="HH124" i="1"/>
  <c r="HI124" i="1"/>
  <c r="HJ124" i="1"/>
  <c r="HK124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GY125" i="1"/>
  <c r="GZ125" i="1"/>
  <c r="HA125" i="1"/>
  <c r="HB125" i="1"/>
  <c r="HC125" i="1"/>
  <c r="HD125" i="1"/>
  <c r="HE125" i="1"/>
  <c r="HF125" i="1"/>
  <c r="HG125" i="1"/>
  <c r="HH125" i="1"/>
  <c r="HI125" i="1"/>
  <c r="HJ125" i="1"/>
  <c r="HK125" i="1"/>
  <c r="GL126" i="1"/>
  <c r="GM126" i="1"/>
  <c r="GN126" i="1"/>
  <c r="GO126" i="1"/>
  <c r="GP126" i="1"/>
  <c r="GQ126" i="1"/>
  <c r="GR126" i="1"/>
  <c r="GS126" i="1"/>
  <c r="GT126" i="1"/>
  <c r="GU126" i="1"/>
  <c r="GV126" i="1"/>
  <c r="GW126" i="1"/>
  <c r="GX126" i="1"/>
  <c r="GY126" i="1"/>
  <c r="GZ126" i="1"/>
  <c r="HA126" i="1"/>
  <c r="HB126" i="1"/>
  <c r="HC126" i="1"/>
  <c r="HD126" i="1"/>
  <c r="HE126" i="1"/>
  <c r="HF126" i="1"/>
  <c r="HG126" i="1"/>
  <c r="HH126" i="1"/>
  <c r="HI126" i="1"/>
  <c r="HJ126" i="1"/>
  <c r="HK126" i="1"/>
  <c r="GL127" i="1"/>
  <c r="GM127" i="1"/>
  <c r="GN127" i="1"/>
  <c r="GO127" i="1"/>
  <c r="GO10" i="1" s="1"/>
  <c r="GP127" i="1"/>
  <c r="GQ127" i="1"/>
  <c r="GR127" i="1"/>
  <c r="GS127" i="1"/>
  <c r="GT127" i="1"/>
  <c r="GU127" i="1"/>
  <c r="GV127" i="1"/>
  <c r="GW127" i="1"/>
  <c r="GW10" i="1" s="1"/>
  <c r="GX127" i="1"/>
  <c r="GY127" i="1"/>
  <c r="GZ127" i="1"/>
  <c r="HA127" i="1"/>
  <c r="HA10" i="1" s="1"/>
  <c r="HB127" i="1"/>
  <c r="HC127" i="1"/>
  <c r="HD127" i="1"/>
  <c r="HE127" i="1"/>
  <c r="HE10" i="1" s="1"/>
  <c r="HF127" i="1"/>
  <c r="HG127" i="1"/>
  <c r="HH127" i="1"/>
  <c r="HI127" i="1"/>
  <c r="HJ127" i="1"/>
  <c r="HK127" i="1"/>
  <c r="GL128" i="1"/>
  <c r="GM128" i="1"/>
  <c r="GM10" i="1" s="1"/>
  <c r="GN128" i="1"/>
  <c r="GO128" i="1"/>
  <c r="GP128" i="1"/>
  <c r="GQ128" i="1"/>
  <c r="GQ10" i="1" s="1"/>
  <c r="GR128" i="1"/>
  <c r="GS128" i="1"/>
  <c r="GT128" i="1"/>
  <c r="GU128" i="1"/>
  <c r="GU10" i="1" s="1"/>
  <c r="GV128" i="1"/>
  <c r="GW128" i="1"/>
  <c r="GX128" i="1"/>
  <c r="GY128" i="1"/>
  <c r="GZ128" i="1"/>
  <c r="HA128" i="1"/>
  <c r="HB128" i="1"/>
  <c r="HC128" i="1"/>
  <c r="HC10" i="1" s="1"/>
  <c r="HD128" i="1"/>
  <c r="HE128" i="1"/>
  <c r="HF128" i="1"/>
  <c r="HG128" i="1"/>
  <c r="HG10" i="1" s="1"/>
  <c r="HH128" i="1"/>
  <c r="HI128" i="1"/>
  <c r="HJ128" i="1"/>
  <c r="HK128" i="1"/>
  <c r="HK10" i="1" s="1"/>
  <c r="GL129" i="1"/>
  <c r="GM129" i="1"/>
  <c r="GN129" i="1"/>
  <c r="GO129" i="1"/>
  <c r="GP129" i="1"/>
  <c r="GQ129" i="1"/>
  <c r="GR129" i="1"/>
  <c r="GS129" i="1"/>
  <c r="GT129" i="1"/>
  <c r="GU129" i="1"/>
  <c r="GV129" i="1"/>
  <c r="GW129" i="1"/>
  <c r="GX129" i="1"/>
  <c r="GY129" i="1"/>
  <c r="GZ129" i="1"/>
  <c r="HA129" i="1"/>
  <c r="HB129" i="1"/>
  <c r="HC129" i="1"/>
  <c r="HD129" i="1"/>
  <c r="HE129" i="1"/>
  <c r="HF129" i="1"/>
  <c r="HG129" i="1"/>
  <c r="HH129" i="1"/>
  <c r="HI129" i="1"/>
  <c r="HJ129" i="1"/>
  <c r="HK129" i="1"/>
  <c r="GL130" i="1"/>
  <c r="GM130" i="1"/>
  <c r="GM11" i="1" s="1"/>
  <c r="GN130" i="1"/>
  <c r="GO130" i="1"/>
  <c r="GP130" i="1"/>
  <c r="GQ130" i="1"/>
  <c r="GQ11" i="1" s="1"/>
  <c r="GR130" i="1"/>
  <c r="GS130" i="1"/>
  <c r="GT130" i="1"/>
  <c r="GU130" i="1"/>
  <c r="GU11" i="1" s="1"/>
  <c r="GV130" i="1"/>
  <c r="GW130" i="1"/>
  <c r="GX130" i="1"/>
  <c r="GY130" i="1"/>
  <c r="GZ130" i="1"/>
  <c r="HA130" i="1"/>
  <c r="HB130" i="1"/>
  <c r="HC130" i="1"/>
  <c r="HC11" i="1" s="1"/>
  <c r="HD130" i="1"/>
  <c r="HE130" i="1"/>
  <c r="HF130" i="1"/>
  <c r="HG130" i="1"/>
  <c r="HG11" i="1" s="1"/>
  <c r="HH130" i="1"/>
  <c r="HI130" i="1"/>
  <c r="HJ130" i="1"/>
  <c r="HK130" i="1"/>
  <c r="HK11" i="1" s="1"/>
  <c r="GL131" i="1"/>
  <c r="GM131" i="1"/>
  <c r="GN131" i="1"/>
  <c r="GO131" i="1"/>
  <c r="GP131" i="1"/>
  <c r="GQ131" i="1"/>
  <c r="GR131" i="1"/>
  <c r="GS131" i="1"/>
  <c r="GS11" i="1" s="1"/>
  <c r="GT131" i="1"/>
  <c r="GU131" i="1"/>
  <c r="GV131" i="1"/>
  <c r="GW131" i="1"/>
  <c r="GW11" i="1" s="1"/>
  <c r="GX131" i="1"/>
  <c r="GY131" i="1"/>
  <c r="GZ131" i="1"/>
  <c r="HA131" i="1"/>
  <c r="HA11" i="1" s="1"/>
  <c r="HB131" i="1"/>
  <c r="HC131" i="1"/>
  <c r="HD131" i="1"/>
  <c r="HE131" i="1"/>
  <c r="HF131" i="1"/>
  <c r="HG131" i="1"/>
  <c r="HH131" i="1"/>
  <c r="HI131" i="1"/>
  <c r="HJ131" i="1"/>
  <c r="HK131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GY132" i="1"/>
  <c r="GZ132" i="1"/>
  <c r="HA132" i="1"/>
  <c r="HB132" i="1"/>
  <c r="HC132" i="1"/>
  <c r="HD132" i="1"/>
  <c r="HE132" i="1"/>
  <c r="HF132" i="1"/>
  <c r="HG132" i="1"/>
  <c r="HH132" i="1"/>
  <c r="HI132" i="1"/>
  <c r="HJ132" i="1"/>
  <c r="HK132" i="1"/>
  <c r="GL133" i="1"/>
  <c r="GM133" i="1"/>
  <c r="GN133" i="1"/>
  <c r="GO133" i="1"/>
  <c r="GP133" i="1"/>
  <c r="GQ133" i="1"/>
  <c r="GR133" i="1"/>
  <c r="GS133" i="1"/>
  <c r="GT133" i="1"/>
  <c r="GU133" i="1"/>
  <c r="GV133" i="1"/>
  <c r="GW133" i="1"/>
  <c r="GX133" i="1"/>
  <c r="GY133" i="1"/>
  <c r="GZ133" i="1"/>
  <c r="HA133" i="1"/>
  <c r="HB133" i="1"/>
  <c r="HC133" i="1"/>
  <c r="HD133" i="1"/>
  <c r="HE133" i="1"/>
  <c r="HF133" i="1"/>
  <c r="HG133" i="1"/>
  <c r="HH133" i="1"/>
  <c r="HI133" i="1"/>
  <c r="HJ133" i="1"/>
  <c r="HK133" i="1"/>
  <c r="GL134" i="1"/>
  <c r="GM134" i="1"/>
  <c r="GN134" i="1"/>
  <c r="GO134" i="1"/>
  <c r="GP134" i="1"/>
  <c r="GQ134" i="1"/>
  <c r="GR134" i="1"/>
  <c r="GS134" i="1"/>
  <c r="GT134" i="1"/>
  <c r="GU134" i="1"/>
  <c r="GV134" i="1"/>
  <c r="GW134" i="1"/>
  <c r="GX134" i="1"/>
  <c r="GY134" i="1"/>
  <c r="GZ134" i="1"/>
  <c r="HA134" i="1"/>
  <c r="HB134" i="1"/>
  <c r="HC134" i="1"/>
  <c r="HD134" i="1"/>
  <c r="HE134" i="1"/>
  <c r="HF134" i="1"/>
  <c r="HG134" i="1"/>
  <c r="HH134" i="1"/>
  <c r="HI134" i="1"/>
  <c r="HJ134" i="1"/>
  <c r="HK134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GX135" i="1"/>
  <c r="GY135" i="1"/>
  <c r="GZ135" i="1"/>
  <c r="HA135" i="1"/>
  <c r="HB135" i="1"/>
  <c r="HC135" i="1"/>
  <c r="HD135" i="1"/>
  <c r="HE135" i="1"/>
  <c r="HF135" i="1"/>
  <c r="HG135" i="1"/>
  <c r="HH135" i="1"/>
  <c r="HI135" i="1"/>
  <c r="HJ135" i="1"/>
  <c r="HK135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GX136" i="1"/>
  <c r="GY136" i="1"/>
  <c r="GZ136" i="1"/>
  <c r="HA136" i="1"/>
  <c r="HB136" i="1"/>
  <c r="HC136" i="1"/>
  <c r="HD136" i="1"/>
  <c r="HE136" i="1"/>
  <c r="HF136" i="1"/>
  <c r="HG136" i="1"/>
  <c r="HH136" i="1"/>
  <c r="HI136" i="1"/>
  <c r="HJ136" i="1"/>
  <c r="HK136" i="1"/>
  <c r="GL137" i="1"/>
  <c r="GM137" i="1"/>
  <c r="GN137" i="1"/>
  <c r="GO137" i="1"/>
  <c r="GP137" i="1"/>
  <c r="GQ137" i="1"/>
  <c r="GR137" i="1"/>
  <c r="GS137" i="1"/>
  <c r="GT137" i="1"/>
  <c r="GU137" i="1"/>
  <c r="GV137" i="1"/>
  <c r="GW137" i="1"/>
  <c r="GX137" i="1"/>
  <c r="GY137" i="1"/>
  <c r="GZ137" i="1"/>
  <c r="HA137" i="1"/>
  <c r="HB137" i="1"/>
  <c r="HC137" i="1"/>
  <c r="HD137" i="1"/>
  <c r="HE137" i="1"/>
  <c r="HF137" i="1"/>
  <c r="HG137" i="1"/>
  <c r="HH137" i="1"/>
  <c r="HI137" i="1"/>
  <c r="HJ137" i="1"/>
  <c r="HK137" i="1"/>
  <c r="GL138" i="1"/>
  <c r="GM138" i="1"/>
  <c r="GN138" i="1"/>
  <c r="GO138" i="1"/>
  <c r="GP138" i="1"/>
  <c r="GQ138" i="1"/>
  <c r="GR138" i="1"/>
  <c r="GS138" i="1"/>
  <c r="GT138" i="1"/>
  <c r="GU138" i="1"/>
  <c r="GV138" i="1"/>
  <c r="GW138" i="1"/>
  <c r="GX138" i="1"/>
  <c r="GY138" i="1"/>
  <c r="GZ138" i="1"/>
  <c r="HA138" i="1"/>
  <c r="HB138" i="1"/>
  <c r="HC138" i="1"/>
  <c r="HD138" i="1"/>
  <c r="HE138" i="1"/>
  <c r="HF138" i="1"/>
  <c r="HG138" i="1"/>
  <c r="HH138" i="1"/>
  <c r="HI138" i="1"/>
  <c r="HJ138" i="1"/>
  <c r="HK138" i="1"/>
  <c r="GL139" i="1"/>
  <c r="GM139" i="1"/>
  <c r="GN139" i="1"/>
  <c r="GO139" i="1"/>
  <c r="GO12" i="1" s="1"/>
  <c r="GP139" i="1"/>
  <c r="GQ139" i="1"/>
  <c r="GR139" i="1"/>
  <c r="GS139" i="1"/>
  <c r="GS12" i="1" s="1"/>
  <c r="GT139" i="1"/>
  <c r="GU139" i="1"/>
  <c r="GV139" i="1"/>
  <c r="GW139" i="1"/>
  <c r="GW12" i="1" s="1"/>
  <c r="GX139" i="1"/>
  <c r="GY139" i="1"/>
  <c r="GZ139" i="1"/>
  <c r="HA139" i="1"/>
  <c r="HA12" i="1" s="1"/>
  <c r="HB139" i="1"/>
  <c r="HC139" i="1"/>
  <c r="HD139" i="1"/>
  <c r="HE139" i="1"/>
  <c r="HF139" i="1"/>
  <c r="HG139" i="1"/>
  <c r="HH139" i="1"/>
  <c r="HI139" i="1"/>
  <c r="HJ139" i="1"/>
  <c r="HK139" i="1"/>
  <c r="GL140" i="1"/>
  <c r="GM140" i="1"/>
  <c r="GM12" i="1" s="1"/>
  <c r="GN140" i="1"/>
  <c r="GO140" i="1"/>
  <c r="GP140" i="1"/>
  <c r="GQ140" i="1"/>
  <c r="GQ12" i="1" s="1"/>
  <c r="GR140" i="1"/>
  <c r="GS140" i="1"/>
  <c r="GT140" i="1"/>
  <c r="GU140" i="1"/>
  <c r="GU12" i="1" s="1"/>
  <c r="GV140" i="1"/>
  <c r="GW140" i="1"/>
  <c r="GX140" i="1"/>
  <c r="GY140" i="1"/>
  <c r="GY12" i="1" s="1"/>
  <c r="GZ140" i="1"/>
  <c r="HA140" i="1"/>
  <c r="HB140" i="1"/>
  <c r="HC140" i="1"/>
  <c r="HD140" i="1"/>
  <c r="HE140" i="1"/>
  <c r="HF140" i="1"/>
  <c r="HG140" i="1"/>
  <c r="HG12" i="1" s="1"/>
  <c r="HH140" i="1"/>
  <c r="HI140" i="1"/>
  <c r="HJ140" i="1"/>
  <c r="HK140" i="1"/>
  <c r="HK12" i="1" s="1"/>
  <c r="GL141" i="1"/>
  <c r="GM141" i="1"/>
  <c r="GN141" i="1"/>
  <c r="GO141" i="1"/>
  <c r="GP141" i="1"/>
  <c r="GQ141" i="1"/>
  <c r="GR141" i="1"/>
  <c r="GS141" i="1"/>
  <c r="GT141" i="1"/>
  <c r="GU141" i="1"/>
  <c r="GV141" i="1"/>
  <c r="GW141" i="1"/>
  <c r="GX141" i="1"/>
  <c r="GY141" i="1"/>
  <c r="GZ141" i="1"/>
  <c r="HA141" i="1"/>
  <c r="HB141" i="1"/>
  <c r="HC141" i="1"/>
  <c r="HD141" i="1"/>
  <c r="HE141" i="1"/>
  <c r="HF141" i="1"/>
  <c r="HG141" i="1"/>
  <c r="HH141" i="1"/>
  <c r="HI141" i="1"/>
  <c r="HJ141" i="1"/>
  <c r="HK141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GY142" i="1"/>
  <c r="GZ142" i="1"/>
  <c r="HA142" i="1"/>
  <c r="HB142" i="1"/>
  <c r="HC142" i="1"/>
  <c r="HD142" i="1"/>
  <c r="HE142" i="1"/>
  <c r="HF142" i="1"/>
  <c r="HG142" i="1"/>
  <c r="HH142" i="1"/>
  <c r="HI142" i="1"/>
  <c r="HJ142" i="1"/>
  <c r="HK142" i="1"/>
  <c r="GL143" i="1"/>
  <c r="GM143" i="1"/>
  <c r="GN143" i="1"/>
  <c r="GO143" i="1"/>
  <c r="GP143" i="1"/>
  <c r="GQ143" i="1"/>
  <c r="GR143" i="1"/>
  <c r="GS143" i="1"/>
  <c r="GT143" i="1"/>
  <c r="GU143" i="1"/>
  <c r="GV143" i="1"/>
  <c r="GW143" i="1"/>
  <c r="GX143" i="1"/>
  <c r="GY143" i="1"/>
  <c r="GZ143" i="1"/>
  <c r="HA143" i="1"/>
  <c r="HB143" i="1"/>
  <c r="HC143" i="1"/>
  <c r="HD143" i="1"/>
  <c r="HE143" i="1"/>
  <c r="HF143" i="1"/>
  <c r="HG143" i="1"/>
  <c r="HH143" i="1"/>
  <c r="HI143" i="1"/>
  <c r="HJ143" i="1"/>
  <c r="HK143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GY144" i="1"/>
  <c r="GZ144" i="1"/>
  <c r="HA144" i="1"/>
  <c r="HB144" i="1"/>
  <c r="HC144" i="1"/>
  <c r="HD144" i="1"/>
  <c r="HE144" i="1"/>
  <c r="HF144" i="1"/>
  <c r="HG144" i="1"/>
  <c r="HH144" i="1"/>
  <c r="HI144" i="1"/>
  <c r="HJ144" i="1"/>
  <c r="HK144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GY145" i="1"/>
  <c r="GZ145" i="1"/>
  <c r="HA145" i="1"/>
  <c r="HB145" i="1"/>
  <c r="HC145" i="1"/>
  <c r="HD145" i="1"/>
  <c r="HE145" i="1"/>
  <c r="HF145" i="1"/>
  <c r="HG145" i="1"/>
  <c r="HH145" i="1"/>
  <c r="HI145" i="1"/>
  <c r="HJ145" i="1"/>
  <c r="HK145" i="1"/>
  <c r="GL146" i="1"/>
  <c r="GM146" i="1"/>
  <c r="GN146" i="1"/>
  <c r="GO146" i="1"/>
  <c r="GP146" i="1"/>
  <c r="GQ146" i="1"/>
  <c r="GR146" i="1"/>
  <c r="GS146" i="1"/>
  <c r="GT146" i="1"/>
  <c r="GU146" i="1"/>
  <c r="GV146" i="1"/>
  <c r="GW146" i="1"/>
  <c r="GX146" i="1"/>
  <c r="GY146" i="1"/>
  <c r="GZ146" i="1"/>
  <c r="HA146" i="1"/>
  <c r="HB146" i="1"/>
  <c r="HC146" i="1"/>
  <c r="HD146" i="1"/>
  <c r="HE146" i="1"/>
  <c r="HF146" i="1"/>
  <c r="HG146" i="1"/>
  <c r="HH146" i="1"/>
  <c r="HI146" i="1"/>
  <c r="HJ146" i="1"/>
  <c r="HK146" i="1"/>
  <c r="GL147" i="1"/>
  <c r="GM147" i="1"/>
  <c r="GN147" i="1"/>
  <c r="GO147" i="1"/>
  <c r="GP147" i="1"/>
  <c r="GQ147" i="1"/>
  <c r="GR147" i="1"/>
  <c r="GS147" i="1"/>
  <c r="GT147" i="1"/>
  <c r="GU147" i="1"/>
  <c r="GV147" i="1"/>
  <c r="GW147" i="1"/>
  <c r="GX147" i="1"/>
  <c r="GY147" i="1"/>
  <c r="GZ147" i="1"/>
  <c r="HA147" i="1"/>
  <c r="HB147" i="1"/>
  <c r="HC147" i="1"/>
  <c r="HD147" i="1"/>
  <c r="HE147" i="1"/>
  <c r="HF147" i="1"/>
  <c r="HG147" i="1"/>
  <c r="HH147" i="1"/>
  <c r="HI147" i="1"/>
  <c r="HJ147" i="1"/>
  <c r="HK147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GY148" i="1"/>
  <c r="GZ148" i="1"/>
  <c r="HA148" i="1"/>
  <c r="HB148" i="1"/>
  <c r="HC148" i="1"/>
  <c r="HD148" i="1"/>
  <c r="HE148" i="1"/>
  <c r="HF148" i="1"/>
  <c r="HG148" i="1"/>
  <c r="HH148" i="1"/>
  <c r="HI148" i="1"/>
  <c r="HJ148" i="1"/>
  <c r="HK148" i="1"/>
  <c r="GL149" i="1"/>
  <c r="GM149" i="1"/>
  <c r="GN149" i="1"/>
  <c r="GO149" i="1"/>
  <c r="GP149" i="1"/>
  <c r="GQ149" i="1"/>
  <c r="GR149" i="1"/>
  <c r="GS149" i="1"/>
  <c r="GT149" i="1"/>
  <c r="GU149" i="1"/>
  <c r="GV149" i="1"/>
  <c r="GW149" i="1"/>
  <c r="GX149" i="1"/>
  <c r="GY149" i="1"/>
  <c r="GZ149" i="1"/>
  <c r="HA149" i="1"/>
  <c r="HB149" i="1"/>
  <c r="HC149" i="1"/>
  <c r="HD149" i="1"/>
  <c r="HE149" i="1"/>
  <c r="HF149" i="1"/>
  <c r="HG149" i="1"/>
  <c r="HH149" i="1"/>
  <c r="HI149" i="1"/>
  <c r="HJ149" i="1"/>
  <c r="HK149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GY150" i="1"/>
  <c r="GZ150" i="1"/>
  <c r="HA150" i="1"/>
  <c r="HB150" i="1"/>
  <c r="HC150" i="1"/>
  <c r="HD150" i="1"/>
  <c r="HE150" i="1"/>
  <c r="HF150" i="1"/>
  <c r="HG150" i="1"/>
  <c r="HH150" i="1"/>
  <c r="HI150" i="1"/>
  <c r="HJ150" i="1"/>
  <c r="HK150" i="1"/>
  <c r="GL151" i="1"/>
  <c r="GM151" i="1"/>
  <c r="GN151" i="1"/>
  <c r="GO151" i="1"/>
  <c r="GP151" i="1"/>
  <c r="GQ151" i="1"/>
  <c r="GR151" i="1"/>
  <c r="GS151" i="1"/>
  <c r="GT151" i="1"/>
  <c r="GU151" i="1"/>
  <c r="GV151" i="1"/>
  <c r="GW151" i="1"/>
  <c r="GX151" i="1"/>
  <c r="GY151" i="1"/>
  <c r="GZ151" i="1"/>
  <c r="HA151" i="1"/>
  <c r="HB151" i="1"/>
  <c r="HC151" i="1"/>
  <c r="HD151" i="1"/>
  <c r="HE151" i="1"/>
  <c r="HF151" i="1"/>
  <c r="HG151" i="1"/>
  <c r="HH151" i="1"/>
  <c r="HI151" i="1"/>
  <c r="HJ151" i="1"/>
  <c r="HK151" i="1"/>
  <c r="GL152" i="1"/>
  <c r="GM152" i="1"/>
  <c r="GN152" i="1"/>
  <c r="GO152" i="1"/>
  <c r="GP152" i="1"/>
  <c r="GQ152" i="1"/>
  <c r="GR152" i="1"/>
  <c r="GS152" i="1"/>
  <c r="GT152" i="1"/>
  <c r="GU152" i="1"/>
  <c r="GV152" i="1"/>
  <c r="GW152" i="1"/>
  <c r="GX152" i="1"/>
  <c r="GY152" i="1"/>
  <c r="GZ152" i="1"/>
  <c r="HA152" i="1"/>
  <c r="HB152" i="1"/>
  <c r="HC152" i="1"/>
  <c r="HD152" i="1"/>
  <c r="HE152" i="1"/>
  <c r="HF152" i="1"/>
  <c r="HG152" i="1"/>
  <c r="HH152" i="1"/>
  <c r="HI152" i="1"/>
  <c r="HJ152" i="1"/>
  <c r="HK152" i="1"/>
  <c r="GL153" i="1"/>
  <c r="GM153" i="1"/>
  <c r="GN153" i="1"/>
  <c r="GO153" i="1"/>
  <c r="GP153" i="1"/>
  <c r="GQ153" i="1"/>
  <c r="GR153" i="1"/>
  <c r="GS153" i="1"/>
  <c r="GT153" i="1"/>
  <c r="GU153" i="1"/>
  <c r="GV153" i="1"/>
  <c r="GW153" i="1"/>
  <c r="GX153" i="1"/>
  <c r="GY153" i="1"/>
  <c r="GZ153" i="1"/>
  <c r="HA153" i="1"/>
  <c r="HB153" i="1"/>
  <c r="HC153" i="1"/>
  <c r="HD153" i="1"/>
  <c r="HE153" i="1"/>
  <c r="HF153" i="1"/>
  <c r="HG153" i="1"/>
  <c r="HH153" i="1"/>
  <c r="HI153" i="1"/>
  <c r="HJ153" i="1"/>
  <c r="HK153" i="1"/>
  <c r="GL154" i="1"/>
  <c r="GM154" i="1"/>
  <c r="GN154" i="1"/>
  <c r="GO154" i="1"/>
  <c r="GP154" i="1"/>
  <c r="GQ154" i="1"/>
  <c r="GR154" i="1"/>
  <c r="GS154" i="1"/>
  <c r="GT154" i="1"/>
  <c r="GU154" i="1"/>
  <c r="GV154" i="1"/>
  <c r="GW154" i="1"/>
  <c r="GX154" i="1"/>
  <c r="GY154" i="1"/>
  <c r="GZ154" i="1"/>
  <c r="HA154" i="1"/>
  <c r="HB154" i="1"/>
  <c r="HC154" i="1"/>
  <c r="HD154" i="1"/>
  <c r="HE154" i="1"/>
  <c r="HF154" i="1"/>
  <c r="HG154" i="1"/>
  <c r="HH154" i="1"/>
  <c r="HI154" i="1"/>
  <c r="HJ154" i="1"/>
  <c r="HK154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GL156" i="1"/>
  <c r="GM156" i="1"/>
  <c r="GN156" i="1"/>
  <c r="GO156" i="1"/>
  <c r="GP156" i="1"/>
  <c r="GQ156" i="1"/>
  <c r="GR156" i="1"/>
  <c r="GS156" i="1"/>
  <c r="GT156" i="1"/>
  <c r="GU156" i="1"/>
  <c r="GV156" i="1"/>
  <c r="GW156" i="1"/>
  <c r="GX156" i="1"/>
  <c r="GY156" i="1"/>
  <c r="GZ156" i="1"/>
  <c r="HA156" i="1"/>
  <c r="HB156" i="1"/>
  <c r="HC156" i="1"/>
  <c r="HD156" i="1"/>
  <c r="HE156" i="1"/>
  <c r="HF156" i="1"/>
  <c r="HG156" i="1"/>
  <c r="HH156" i="1"/>
  <c r="HI156" i="1"/>
  <c r="HJ156" i="1"/>
  <c r="HK156" i="1"/>
  <c r="GL157" i="1"/>
  <c r="GM157" i="1"/>
  <c r="GN157" i="1"/>
  <c r="GO157" i="1"/>
  <c r="GP157" i="1"/>
  <c r="GQ157" i="1"/>
  <c r="GR157" i="1"/>
  <c r="GS157" i="1"/>
  <c r="GT157" i="1"/>
  <c r="GU157" i="1"/>
  <c r="GV157" i="1"/>
  <c r="GW157" i="1"/>
  <c r="GX157" i="1"/>
  <c r="GY157" i="1"/>
  <c r="GZ157" i="1"/>
  <c r="HA157" i="1"/>
  <c r="HB157" i="1"/>
  <c r="HC157" i="1"/>
  <c r="HD157" i="1"/>
  <c r="HE157" i="1"/>
  <c r="HF157" i="1"/>
  <c r="HG157" i="1"/>
  <c r="HH157" i="1"/>
  <c r="HI157" i="1"/>
  <c r="HJ157" i="1"/>
  <c r="HK157" i="1"/>
  <c r="GL158" i="1"/>
  <c r="GM158" i="1"/>
  <c r="GN158" i="1"/>
  <c r="GO158" i="1"/>
  <c r="GP158" i="1"/>
  <c r="GQ158" i="1"/>
  <c r="GR158" i="1"/>
  <c r="GS158" i="1"/>
  <c r="GT158" i="1"/>
  <c r="GU158" i="1"/>
  <c r="GV158" i="1"/>
  <c r="GW158" i="1"/>
  <c r="GX158" i="1"/>
  <c r="GY158" i="1"/>
  <c r="GZ158" i="1"/>
  <c r="HA158" i="1"/>
  <c r="HB158" i="1"/>
  <c r="HC158" i="1"/>
  <c r="HD158" i="1"/>
  <c r="HE158" i="1"/>
  <c r="HF158" i="1"/>
  <c r="HG158" i="1"/>
  <c r="HH158" i="1"/>
  <c r="HI158" i="1"/>
  <c r="HJ158" i="1"/>
  <c r="HK158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GY159" i="1"/>
  <c r="GZ159" i="1"/>
  <c r="HA159" i="1"/>
  <c r="HB159" i="1"/>
  <c r="HC159" i="1"/>
  <c r="HD159" i="1"/>
  <c r="HE159" i="1"/>
  <c r="HF159" i="1"/>
  <c r="HG159" i="1"/>
  <c r="HH159" i="1"/>
  <c r="HI159" i="1"/>
  <c r="HJ159" i="1"/>
  <c r="HK159" i="1"/>
  <c r="GL160" i="1"/>
  <c r="GM160" i="1"/>
  <c r="GN160" i="1"/>
  <c r="GO160" i="1"/>
  <c r="GP160" i="1"/>
  <c r="GQ160" i="1"/>
  <c r="GR160" i="1"/>
  <c r="GS160" i="1"/>
  <c r="GT160" i="1"/>
  <c r="GU160" i="1"/>
  <c r="GV160" i="1"/>
  <c r="GW160" i="1"/>
  <c r="GX160" i="1"/>
  <c r="GY160" i="1"/>
  <c r="GZ160" i="1"/>
  <c r="HA160" i="1"/>
  <c r="HB160" i="1"/>
  <c r="HC160" i="1"/>
  <c r="HD160" i="1"/>
  <c r="HE160" i="1"/>
  <c r="HF160" i="1"/>
  <c r="HG160" i="1"/>
  <c r="HH160" i="1"/>
  <c r="HI160" i="1"/>
  <c r="HJ160" i="1"/>
  <c r="HK160" i="1"/>
  <c r="GL161" i="1"/>
  <c r="GM161" i="1"/>
  <c r="GN161" i="1"/>
  <c r="GO161" i="1"/>
  <c r="GP161" i="1"/>
  <c r="GQ161" i="1"/>
  <c r="GR161" i="1"/>
  <c r="GS161" i="1"/>
  <c r="GT161" i="1"/>
  <c r="GU161" i="1"/>
  <c r="GV161" i="1"/>
  <c r="GW161" i="1"/>
  <c r="GX161" i="1"/>
  <c r="GY161" i="1"/>
  <c r="GZ161" i="1"/>
  <c r="HA161" i="1"/>
  <c r="HB161" i="1"/>
  <c r="HC161" i="1"/>
  <c r="HD161" i="1"/>
  <c r="HE161" i="1"/>
  <c r="HF161" i="1"/>
  <c r="HG161" i="1"/>
  <c r="HH161" i="1"/>
  <c r="HI161" i="1"/>
  <c r="HJ161" i="1"/>
  <c r="HK161" i="1"/>
  <c r="GL162" i="1"/>
  <c r="GM162" i="1"/>
  <c r="GN162" i="1"/>
  <c r="GO162" i="1"/>
  <c r="GP162" i="1"/>
  <c r="GQ162" i="1"/>
  <c r="GR162" i="1"/>
  <c r="GS162" i="1"/>
  <c r="GT162" i="1"/>
  <c r="GU162" i="1"/>
  <c r="GV162" i="1"/>
  <c r="GW162" i="1"/>
  <c r="GX162" i="1"/>
  <c r="GY162" i="1"/>
  <c r="GZ162" i="1"/>
  <c r="HA162" i="1"/>
  <c r="HB162" i="1"/>
  <c r="HC162" i="1"/>
  <c r="HD162" i="1"/>
  <c r="HE162" i="1"/>
  <c r="HF162" i="1"/>
  <c r="HG162" i="1"/>
  <c r="HH162" i="1"/>
  <c r="HI162" i="1"/>
  <c r="HJ162" i="1"/>
  <c r="HK162" i="1"/>
  <c r="GL163" i="1"/>
  <c r="GM163" i="1"/>
  <c r="GN163" i="1"/>
  <c r="GO163" i="1"/>
  <c r="GP163" i="1"/>
  <c r="GQ163" i="1"/>
  <c r="GR163" i="1"/>
  <c r="GS163" i="1"/>
  <c r="GT163" i="1"/>
  <c r="GU163" i="1"/>
  <c r="GV163" i="1"/>
  <c r="GW163" i="1"/>
  <c r="GX163" i="1"/>
  <c r="GY163" i="1"/>
  <c r="GZ163" i="1"/>
  <c r="HA163" i="1"/>
  <c r="HB163" i="1"/>
  <c r="HC163" i="1"/>
  <c r="HD163" i="1"/>
  <c r="HE163" i="1"/>
  <c r="HF163" i="1"/>
  <c r="HG163" i="1"/>
  <c r="HH163" i="1"/>
  <c r="HI163" i="1"/>
  <c r="HJ163" i="1"/>
  <c r="HK163" i="1"/>
  <c r="GL164" i="1"/>
  <c r="GM164" i="1"/>
  <c r="GN164" i="1"/>
  <c r="GO164" i="1"/>
  <c r="GP164" i="1"/>
  <c r="GQ164" i="1"/>
  <c r="GR164" i="1"/>
  <c r="GS164" i="1"/>
  <c r="GT164" i="1"/>
  <c r="GU164" i="1"/>
  <c r="GV164" i="1"/>
  <c r="GW164" i="1"/>
  <c r="GX164" i="1"/>
  <c r="GY164" i="1"/>
  <c r="GZ164" i="1"/>
  <c r="HA164" i="1"/>
  <c r="HB164" i="1"/>
  <c r="HC164" i="1"/>
  <c r="HD164" i="1"/>
  <c r="HE164" i="1"/>
  <c r="HF164" i="1"/>
  <c r="HG164" i="1"/>
  <c r="HH164" i="1"/>
  <c r="HI164" i="1"/>
  <c r="HJ164" i="1"/>
  <c r="HK164" i="1"/>
  <c r="GL165" i="1"/>
  <c r="GM165" i="1"/>
  <c r="GN165" i="1"/>
  <c r="GO165" i="1"/>
  <c r="GP165" i="1"/>
  <c r="GQ165" i="1"/>
  <c r="GR165" i="1"/>
  <c r="GS165" i="1"/>
  <c r="GT165" i="1"/>
  <c r="GU165" i="1"/>
  <c r="GV165" i="1"/>
  <c r="GW165" i="1"/>
  <c r="GX165" i="1"/>
  <c r="GY165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GY166" i="1"/>
  <c r="GZ166" i="1"/>
  <c r="HA166" i="1"/>
  <c r="HB166" i="1"/>
  <c r="HC166" i="1"/>
  <c r="HD166" i="1"/>
  <c r="HE166" i="1"/>
  <c r="HF166" i="1"/>
  <c r="HG166" i="1"/>
  <c r="HH166" i="1"/>
  <c r="HI166" i="1"/>
  <c r="HJ166" i="1"/>
  <c r="HK166" i="1"/>
  <c r="GL167" i="1"/>
  <c r="GM167" i="1"/>
  <c r="GN167" i="1"/>
  <c r="GO167" i="1"/>
  <c r="GP167" i="1"/>
  <c r="GQ167" i="1"/>
  <c r="GR167" i="1"/>
  <c r="GS167" i="1"/>
  <c r="GT167" i="1"/>
  <c r="GU167" i="1"/>
  <c r="GV167" i="1"/>
  <c r="GW167" i="1"/>
  <c r="GX167" i="1"/>
  <c r="GY167" i="1"/>
  <c r="GZ167" i="1"/>
  <c r="HA167" i="1"/>
  <c r="HB167" i="1"/>
  <c r="HC167" i="1"/>
  <c r="HD167" i="1"/>
  <c r="HE167" i="1"/>
  <c r="HF167" i="1"/>
  <c r="HG167" i="1"/>
  <c r="HH167" i="1"/>
  <c r="HI167" i="1"/>
  <c r="HJ167" i="1"/>
  <c r="HK167" i="1"/>
  <c r="GL168" i="1"/>
  <c r="GM168" i="1"/>
  <c r="GN168" i="1"/>
  <c r="GO168" i="1"/>
  <c r="GP168" i="1"/>
  <c r="GQ168" i="1"/>
  <c r="GR168" i="1"/>
  <c r="GS168" i="1"/>
  <c r="GT168" i="1"/>
  <c r="GU168" i="1"/>
  <c r="GV168" i="1"/>
  <c r="GW168" i="1"/>
  <c r="GX168" i="1"/>
  <c r="GY168" i="1"/>
  <c r="GZ168" i="1"/>
  <c r="HA168" i="1"/>
  <c r="HB168" i="1"/>
  <c r="HC168" i="1"/>
  <c r="HD168" i="1"/>
  <c r="HE168" i="1"/>
  <c r="HF168" i="1"/>
  <c r="HG168" i="1"/>
  <c r="HH168" i="1"/>
  <c r="HI168" i="1"/>
  <c r="HJ168" i="1"/>
  <c r="HK168" i="1"/>
  <c r="GL169" i="1"/>
  <c r="GM169" i="1"/>
  <c r="GN169" i="1"/>
  <c r="GO169" i="1"/>
  <c r="GP169" i="1"/>
  <c r="GQ169" i="1"/>
  <c r="GR169" i="1"/>
  <c r="GS169" i="1"/>
  <c r="GT169" i="1"/>
  <c r="GU169" i="1"/>
  <c r="GV169" i="1"/>
  <c r="GW169" i="1"/>
  <c r="GX169" i="1"/>
  <c r="GY169" i="1"/>
  <c r="GZ169" i="1"/>
  <c r="HA169" i="1"/>
  <c r="HB169" i="1"/>
  <c r="HC169" i="1"/>
  <c r="HD169" i="1"/>
  <c r="HE169" i="1"/>
  <c r="HF169" i="1"/>
  <c r="HG169" i="1"/>
  <c r="HH169" i="1"/>
  <c r="HI169" i="1"/>
  <c r="HJ169" i="1"/>
  <c r="HK169" i="1"/>
  <c r="GL170" i="1"/>
  <c r="GM170" i="1"/>
  <c r="GN170" i="1"/>
  <c r="GO170" i="1"/>
  <c r="GP170" i="1"/>
  <c r="GQ170" i="1"/>
  <c r="GR170" i="1"/>
  <c r="GS170" i="1"/>
  <c r="GT170" i="1"/>
  <c r="GU170" i="1"/>
  <c r="GV170" i="1"/>
  <c r="GW170" i="1"/>
  <c r="GX170" i="1"/>
  <c r="GY170" i="1"/>
  <c r="GZ170" i="1"/>
  <c r="HA170" i="1"/>
  <c r="HB170" i="1"/>
  <c r="HC170" i="1"/>
  <c r="HD170" i="1"/>
  <c r="HE170" i="1"/>
  <c r="HF170" i="1"/>
  <c r="HG170" i="1"/>
  <c r="HH170" i="1"/>
  <c r="HI170" i="1"/>
  <c r="HJ170" i="1"/>
  <c r="HK170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GY171" i="1"/>
  <c r="GZ171" i="1"/>
  <c r="HA171" i="1"/>
  <c r="HB171" i="1"/>
  <c r="HC171" i="1"/>
  <c r="HD171" i="1"/>
  <c r="HE171" i="1"/>
  <c r="HF171" i="1"/>
  <c r="HG171" i="1"/>
  <c r="HH171" i="1"/>
  <c r="HI171" i="1"/>
  <c r="HJ171" i="1"/>
  <c r="HK171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GY172" i="1"/>
  <c r="GZ172" i="1"/>
  <c r="HA172" i="1"/>
  <c r="HB172" i="1"/>
  <c r="HC172" i="1"/>
  <c r="HD172" i="1"/>
  <c r="HE172" i="1"/>
  <c r="HF172" i="1"/>
  <c r="HG172" i="1"/>
  <c r="HH172" i="1"/>
  <c r="HI172" i="1"/>
  <c r="HJ172" i="1"/>
  <c r="HK172" i="1"/>
  <c r="GL173" i="1"/>
  <c r="GM173" i="1"/>
  <c r="GN173" i="1"/>
  <c r="GO173" i="1"/>
  <c r="GP173" i="1"/>
  <c r="GQ173" i="1"/>
  <c r="GR173" i="1"/>
  <c r="GS173" i="1"/>
  <c r="GT173" i="1"/>
  <c r="GU173" i="1"/>
  <c r="GV173" i="1"/>
  <c r="GW173" i="1"/>
  <c r="GX173" i="1"/>
  <c r="GY173" i="1"/>
  <c r="GZ173" i="1"/>
  <c r="HA173" i="1"/>
  <c r="HB173" i="1"/>
  <c r="HC173" i="1"/>
  <c r="HD173" i="1"/>
  <c r="HE173" i="1"/>
  <c r="HF173" i="1"/>
  <c r="HG173" i="1"/>
  <c r="HH173" i="1"/>
  <c r="HI173" i="1"/>
  <c r="HJ173" i="1"/>
  <c r="HK173" i="1"/>
  <c r="GL174" i="1"/>
  <c r="GM174" i="1"/>
  <c r="GN174" i="1"/>
  <c r="GO174" i="1"/>
  <c r="GP174" i="1"/>
  <c r="GQ174" i="1"/>
  <c r="GR174" i="1"/>
  <c r="GS174" i="1"/>
  <c r="GT174" i="1"/>
  <c r="GU174" i="1"/>
  <c r="GV174" i="1"/>
  <c r="GW174" i="1"/>
  <c r="GX174" i="1"/>
  <c r="GY174" i="1"/>
  <c r="GZ174" i="1"/>
  <c r="HA174" i="1"/>
  <c r="HB174" i="1"/>
  <c r="HC174" i="1"/>
  <c r="HD174" i="1"/>
  <c r="HE174" i="1"/>
  <c r="HF174" i="1"/>
  <c r="HG174" i="1"/>
  <c r="HH174" i="1"/>
  <c r="HI174" i="1"/>
  <c r="HJ174" i="1"/>
  <c r="HK174" i="1"/>
  <c r="GL175" i="1"/>
  <c r="GM175" i="1"/>
  <c r="GN175" i="1"/>
  <c r="GO175" i="1"/>
  <c r="GP175" i="1"/>
  <c r="GQ175" i="1"/>
  <c r="GR175" i="1"/>
  <c r="GS175" i="1"/>
  <c r="GT175" i="1"/>
  <c r="GU175" i="1"/>
  <c r="GV175" i="1"/>
  <c r="GW175" i="1"/>
  <c r="GX175" i="1"/>
  <c r="GY175" i="1"/>
  <c r="GZ175" i="1"/>
  <c r="HA175" i="1"/>
  <c r="HB175" i="1"/>
  <c r="HC175" i="1"/>
  <c r="HD175" i="1"/>
  <c r="HE175" i="1"/>
  <c r="HF175" i="1"/>
  <c r="HG175" i="1"/>
  <c r="HH175" i="1"/>
  <c r="HI175" i="1"/>
  <c r="HJ175" i="1"/>
  <c r="HK175" i="1"/>
  <c r="GL176" i="1"/>
  <c r="GM176" i="1"/>
  <c r="GN176" i="1"/>
  <c r="GO176" i="1"/>
  <c r="GP176" i="1"/>
  <c r="GQ176" i="1"/>
  <c r="GR176" i="1"/>
  <c r="GS176" i="1"/>
  <c r="GT176" i="1"/>
  <c r="GU176" i="1"/>
  <c r="GV176" i="1"/>
  <c r="GW176" i="1"/>
  <c r="GX176" i="1"/>
  <c r="GY176" i="1"/>
  <c r="GZ176" i="1"/>
  <c r="HA176" i="1"/>
  <c r="HB176" i="1"/>
  <c r="HC176" i="1"/>
  <c r="HD176" i="1"/>
  <c r="HE176" i="1"/>
  <c r="HF176" i="1"/>
  <c r="HG176" i="1"/>
  <c r="HH176" i="1"/>
  <c r="HI176" i="1"/>
  <c r="HJ176" i="1"/>
  <c r="HK176" i="1"/>
  <c r="GL177" i="1"/>
  <c r="GM177" i="1"/>
  <c r="GN177" i="1"/>
  <c r="GO177" i="1"/>
  <c r="GP177" i="1"/>
  <c r="GQ177" i="1"/>
  <c r="GR177" i="1"/>
  <c r="GS177" i="1"/>
  <c r="GT177" i="1"/>
  <c r="GU177" i="1"/>
  <c r="GV177" i="1"/>
  <c r="GW177" i="1"/>
  <c r="GX177" i="1"/>
  <c r="GY177" i="1"/>
  <c r="GZ177" i="1"/>
  <c r="HA177" i="1"/>
  <c r="HB177" i="1"/>
  <c r="HC177" i="1"/>
  <c r="HD177" i="1"/>
  <c r="HE177" i="1"/>
  <c r="HF177" i="1"/>
  <c r="HG177" i="1"/>
  <c r="HH177" i="1"/>
  <c r="HI177" i="1"/>
  <c r="HJ177" i="1"/>
  <c r="HK177" i="1"/>
  <c r="GL178" i="1"/>
  <c r="GM178" i="1"/>
  <c r="GN178" i="1"/>
  <c r="GO178" i="1"/>
  <c r="GP178" i="1"/>
  <c r="GQ178" i="1"/>
  <c r="GR178" i="1"/>
  <c r="GS178" i="1"/>
  <c r="GT178" i="1"/>
  <c r="GU178" i="1"/>
  <c r="GV178" i="1"/>
  <c r="GW178" i="1"/>
  <c r="GX178" i="1"/>
  <c r="GY178" i="1"/>
  <c r="GZ178" i="1"/>
  <c r="HA178" i="1"/>
  <c r="HB178" i="1"/>
  <c r="HC178" i="1"/>
  <c r="HD178" i="1"/>
  <c r="HE178" i="1"/>
  <c r="HF178" i="1"/>
  <c r="HG178" i="1"/>
  <c r="HH178" i="1"/>
  <c r="HI178" i="1"/>
  <c r="HJ178" i="1"/>
  <c r="HK178" i="1"/>
  <c r="GL179" i="1"/>
  <c r="GM179" i="1"/>
  <c r="GN179" i="1"/>
  <c r="GO179" i="1"/>
  <c r="GP179" i="1"/>
  <c r="GQ179" i="1"/>
  <c r="GR179" i="1"/>
  <c r="GS179" i="1"/>
  <c r="GT179" i="1"/>
  <c r="GU179" i="1"/>
  <c r="GV179" i="1"/>
  <c r="GW179" i="1"/>
  <c r="GX179" i="1"/>
  <c r="GY179" i="1"/>
  <c r="GZ179" i="1"/>
  <c r="HA179" i="1"/>
  <c r="HB179" i="1"/>
  <c r="HC179" i="1"/>
  <c r="HD179" i="1"/>
  <c r="HE179" i="1"/>
  <c r="HF179" i="1"/>
  <c r="HG179" i="1"/>
  <c r="HH179" i="1"/>
  <c r="HI179" i="1"/>
  <c r="HJ179" i="1"/>
  <c r="HK179" i="1"/>
  <c r="GL180" i="1"/>
  <c r="GM180" i="1"/>
  <c r="GN180" i="1"/>
  <c r="GO180" i="1"/>
  <c r="GP180" i="1"/>
  <c r="GQ180" i="1"/>
  <c r="GR180" i="1"/>
  <c r="GS180" i="1"/>
  <c r="GT180" i="1"/>
  <c r="GU180" i="1"/>
  <c r="GV180" i="1"/>
  <c r="GW180" i="1"/>
  <c r="GX180" i="1"/>
  <c r="GY180" i="1"/>
  <c r="GZ180" i="1"/>
  <c r="HA180" i="1"/>
  <c r="HB180" i="1"/>
  <c r="HC180" i="1"/>
  <c r="HD180" i="1"/>
  <c r="HE180" i="1"/>
  <c r="HF180" i="1"/>
  <c r="HG180" i="1"/>
  <c r="HH180" i="1"/>
  <c r="HI180" i="1"/>
  <c r="HJ180" i="1"/>
  <c r="HK180" i="1"/>
  <c r="GL181" i="1"/>
  <c r="GM181" i="1"/>
  <c r="GN181" i="1"/>
  <c r="GO181" i="1"/>
  <c r="GP181" i="1"/>
  <c r="GQ181" i="1"/>
  <c r="GR181" i="1"/>
  <c r="GS181" i="1"/>
  <c r="GT181" i="1"/>
  <c r="GU181" i="1"/>
  <c r="GV181" i="1"/>
  <c r="GW181" i="1"/>
  <c r="GX181" i="1"/>
  <c r="GY181" i="1"/>
  <c r="GZ181" i="1"/>
  <c r="HA181" i="1"/>
  <c r="HB181" i="1"/>
  <c r="HC181" i="1"/>
  <c r="HD181" i="1"/>
  <c r="HE181" i="1"/>
  <c r="HF181" i="1"/>
  <c r="HG181" i="1"/>
  <c r="HH181" i="1"/>
  <c r="HI181" i="1"/>
  <c r="HJ181" i="1"/>
  <c r="HK181" i="1"/>
  <c r="GL182" i="1"/>
  <c r="GM182" i="1"/>
  <c r="GN182" i="1"/>
  <c r="GO182" i="1"/>
  <c r="GP182" i="1"/>
  <c r="GQ182" i="1"/>
  <c r="GR182" i="1"/>
  <c r="GS182" i="1"/>
  <c r="GT182" i="1"/>
  <c r="GU182" i="1"/>
  <c r="GV182" i="1"/>
  <c r="GW182" i="1"/>
  <c r="GX182" i="1"/>
  <c r="GY182" i="1"/>
  <c r="GZ182" i="1"/>
  <c r="HA182" i="1"/>
  <c r="HB182" i="1"/>
  <c r="HC182" i="1"/>
  <c r="HD182" i="1"/>
  <c r="HE182" i="1"/>
  <c r="HF182" i="1"/>
  <c r="HG182" i="1"/>
  <c r="HH182" i="1"/>
  <c r="HI182" i="1"/>
  <c r="HJ182" i="1"/>
  <c r="HK182" i="1"/>
  <c r="GL183" i="1"/>
  <c r="GM183" i="1"/>
  <c r="GN183" i="1"/>
  <c r="GO183" i="1"/>
  <c r="GP183" i="1"/>
  <c r="GQ183" i="1"/>
  <c r="GR183" i="1"/>
  <c r="GS183" i="1"/>
  <c r="GT183" i="1"/>
  <c r="GU183" i="1"/>
  <c r="GV183" i="1"/>
  <c r="GW183" i="1"/>
  <c r="GX183" i="1"/>
  <c r="GY183" i="1"/>
  <c r="GZ183" i="1"/>
  <c r="HA183" i="1"/>
  <c r="HB183" i="1"/>
  <c r="HC183" i="1"/>
  <c r="HD183" i="1"/>
  <c r="HE183" i="1"/>
  <c r="HF183" i="1"/>
  <c r="HG183" i="1"/>
  <c r="HH183" i="1"/>
  <c r="HI183" i="1"/>
  <c r="HJ183" i="1"/>
  <c r="HK183" i="1"/>
  <c r="GL184" i="1"/>
  <c r="GM184" i="1"/>
  <c r="GN184" i="1"/>
  <c r="GO184" i="1"/>
  <c r="GP184" i="1"/>
  <c r="GQ184" i="1"/>
  <c r="GR184" i="1"/>
  <c r="GS184" i="1"/>
  <c r="GT184" i="1"/>
  <c r="GU184" i="1"/>
  <c r="GV184" i="1"/>
  <c r="GW184" i="1"/>
  <c r="GX184" i="1"/>
  <c r="GY184" i="1"/>
  <c r="GZ184" i="1"/>
  <c r="HA184" i="1"/>
  <c r="HB184" i="1"/>
  <c r="HC184" i="1"/>
  <c r="HD184" i="1"/>
  <c r="HE184" i="1"/>
  <c r="HF184" i="1"/>
  <c r="HG184" i="1"/>
  <c r="HH184" i="1"/>
  <c r="HI184" i="1"/>
  <c r="HJ184" i="1"/>
  <c r="HK184" i="1"/>
  <c r="GL185" i="1"/>
  <c r="GM185" i="1"/>
  <c r="GN185" i="1"/>
  <c r="GO185" i="1"/>
  <c r="GP185" i="1"/>
  <c r="GQ185" i="1"/>
  <c r="GR185" i="1"/>
  <c r="GS185" i="1"/>
  <c r="GT185" i="1"/>
  <c r="GU185" i="1"/>
  <c r="GV185" i="1"/>
  <c r="GW185" i="1"/>
  <c r="GX185" i="1"/>
  <c r="GY185" i="1"/>
  <c r="GZ185" i="1"/>
  <c r="HA185" i="1"/>
  <c r="HB185" i="1"/>
  <c r="HC185" i="1"/>
  <c r="HD185" i="1"/>
  <c r="HE185" i="1"/>
  <c r="HF185" i="1"/>
  <c r="HG185" i="1"/>
  <c r="HH185" i="1"/>
  <c r="HI185" i="1"/>
  <c r="HJ185" i="1"/>
  <c r="HK185" i="1"/>
  <c r="GL186" i="1"/>
  <c r="GM186" i="1"/>
  <c r="GN186" i="1"/>
  <c r="GO186" i="1"/>
  <c r="GP186" i="1"/>
  <c r="GQ186" i="1"/>
  <c r="GR186" i="1"/>
  <c r="GS186" i="1"/>
  <c r="GT186" i="1"/>
  <c r="GU186" i="1"/>
  <c r="GV186" i="1"/>
  <c r="GW186" i="1"/>
  <c r="GX186" i="1"/>
  <c r="GY186" i="1"/>
  <c r="GZ186" i="1"/>
  <c r="HA186" i="1"/>
  <c r="HB186" i="1"/>
  <c r="HC186" i="1"/>
  <c r="HD186" i="1"/>
  <c r="HE186" i="1"/>
  <c r="HF186" i="1"/>
  <c r="HG186" i="1"/>
  <c r="HH186" i="1"/>
  <c r="HI186" i="1"/>
  <c r="HJ186" i="1"/>
  <c r="HK186" i="1"/>
  <c r="GL187" i="1"/>
  <c r="GM187" i="1"/>
  <c r="GN187" i="1"/>
  <c r="GO187" i="1"/>
  <c r="GP187" i="1"/>
  <c r="GQ187" i="1"/>
  <c r="GR187" i="1"/>
  <c r="GS187" i="1"/>
  <c r="GT187" i="1"/>
  <c r="GU187" i="1"/>
  <c r="GV187" i="1"/>
  <c r="GW187" i="1"/>
  <c r="GX187" i="1"/>
  <c r="GY187" i="1"/>
  <c r="GZ187" i="1"/>
  <c r="HA187" i="1"/>
  <c r="HB187" i="1"/>
  <c r="HC187" i="1"/>
  <c r="HD187" i="1"/>
  <c r="HE187" i="1"/>
  <c r="HF187" i="1"/>
  <c r="HG187" i="1"/>
  <c r="HH187" i="1"/>
  <c r="HI187" i="1"/>
  <c r="HJ187" i="1"/>
  <c r="HK187" i="1"/>
  <c r="GL188" i="1"/>
  <c r="GM188" i="1"/>
  <c r="GN188" i="1"/>
  <c r="GO188" i="1"/>
  <c r="GP188" i="1"/>
  <c r="GQ188" i="1"/>
  <c r="GR188" i="1"/>
  <c r="GS188" i="1"/>
  <c r="GT188" i="1"/>
  <c r="GU188" i="1"/>
  <c r="GV188" i="1"/>
  <c r="GW188" i="1"/>
  <c r="GX188" i="1"/>
  <c r="GY188" i="1"/>
  <c r="GZ188" i="1"/>
  <c r="HA188" i="1"/>
  <c r="HB188" i="1"/>
  <c r="HC188" i="1"/>
  <c r="HD188" i="1"/>
  <c r="HE188" i="1"/>
  <c r="HF188" i="1"/>
  <c r="HG188" i="1"/>
  <c r="HH188" i="1"/>
  <c r="HI188" i="1"/>
  <c r="HJ188" i="1"/>
  <c r="HK188" i="1"/>
  <c r="GL189" i="1"/>
  <c r="GM189" i="1"/>
  <c r="GN189" i="1"/>
  <c r="GO189" i="1"/>
  <c r="GP189" i="1"/>
  <c r="GQ189" i="1"/>
  <c r="GR189" i="1"/>
  <c r="GS189" i="1"/>
  <c r="GT189" i="1"/>
  <c r="GU189" i="1"/>
  <c r="GV189" i="1"/>
  <c r="GW189" i="1"/>
  <c r="GX189" i="1"/>
  <c r="GY189" i="1"/>
  <c r="GZ189" i="1"/>
  <c r="HA189" i="1"/>
  <c r="HB189" i="1"/>
  <c r="HC189" i="1"/>
  <c r="HD189" i="1"/>
  <c r="HE189" i="1"/>
  <c r="HF189" i="1"/>
  <c r="HG189" i="1"/>
  <c r="HH189" i="1"/>
  <c r="HI189" i="1"/>
  <c r="HJ189" i="1"/>
  <c r="HK189" i="1"/>
  <c r="GL190" i="1"/>
  <c r="GM190" i="1"/>
  <c r="GN190" i="1"/>
  <c r="GO190" i="1"/>
  <c r="GP190" i="1"/>
  <c r="GQ190" i="1"/>
  <c r="GR190" i="1"/>
  <c r="GS190" i="1"/>
  <c r="GT190" i="1"/>
  <c r="GU190" i="1"/>
  <c r="GV190" i="1"/>
  <c r="GW190" i="1"/>
  <c r="GX190" i="1"/>
  <c r="GY190" i="1"/>
  <c r="GZ190" i="1"/>
  <c r="HA190" i="1"/>
  <c r="HB190" i="1"/>
  <c r="HC190" i="1"/>
  <c r="HD190" i="1"/>
  <c r="HE190" i="1"/>
  <c r="HF190" i="1"/>
  <c r="HG190" i="1"/>
  <c r="HH190" i="1"/>
  <c r="HI190" i="1"/>
  <c r="HJ190" i="1"/>
  <c r="HK190" i="1"/>
  <c r="GL191" i="1"/>
  <c r="GM191" i="1"/>
  <c r="GN191" i="1"/>
  <c r="GO191" i="1"/>
  <c r="GP191" i="1"/>
  <c r="GQ191" i="1"/>
  <c r="GR191" i="1"/>
  <c r="GS191" i="1"/>
  <c r="GT191" i="1"/>
  <c r="GU191" i="1"/>
  <c r="GV191" i="1"/>
  <c r="GW191" i="1"/>
  <c r="GX191" i="1"/>
  <c r="GY191" i="1"/>
  <c r="GZ191" i="1"/>
  <c r="HA191" i="1"/>
  <c r="HB191" i="1"/>
  <c r="HC191" i="1"/>
  <c r="HD191" i="1"/>
  <c r="HE191" i="1"/>
  <c r="HF191" i="1"/>
  <c r="HG191" i="1"/>
  <c r="HH191" i="1"/>
  <c r="HI191" i="1"/>
  <c r="HJ191" i="1"/>
  <c r="HK191" i="1"/>
  <c r="HO20" i="1"/>
  <c r="HP20" i="1"/>
  <c r="HQ20" i="1"/>
  <c r="HR20" i="1"/>
  <c r="HR3" i="1" s="1"/>
  <c r="HS20" i="1"/>
  <c r="HT20" i="1"/>
  <c r="HU20" i="1"/>
  <c r="HV20" i="1"/>
  <c r="HV14" i="1" s="1"/>
  <c r="HW20" i="1"/>
  <c r="HX20" i="1"/>
  <c r="HY20" i="1"/>
  <c r="HZ20" i="1"/>
  <c r="HZ3" i="1" s="1"/>
  <c r="IA20" i="1"/>
  <c r="IB20" i="1"/>
  <c r="IC20" i="1"/>
  <c r="ID20" i="1"/>
  <c r="ID3" i="1" s="1"/>
  <c r="IE20" i="1"/>
  <c r="IF20" i="1"/>
  <c r="IG20" i="1"/>
  <c r="IH20" i="1"/>
  <c r="IH14" i="1" s="1"/>
  <c r="II20" i="1"/>
  <c r="IJ20" i="1"/>
  <c r="IK20" i="1"/>
  <c r="IL20" i="1"/>
  <c r="IL3" i="1" s="1"/>
  <c r="IM20" i="1"/>
  <c r="GL20" i="1"/>
  <c r="IM14" i="1"/>
  <c r="II14" i="1"/>
  <c r="IE14" i="1"/>
  <c r="HZ14" i="1"/>
  <c r="IK14" i="1"/>
  <c r="IJ14" i="1"/>
  <c r="IG14" i="1"/>
  <c r="IF14" i="1"/>
  <c r="IC14" i="1"/>
  <c r="IB14" i="1"/>
  <c r="IA14" i="1"/>
  <c r="HY14" i="1"/>
  <c r="HX14" i="1"/>
  <c r="HW14" i="1"/>
  <c r="HU14" i="1"/>
  <c r="HT14" i="1"/>
  <c r="HS14" i="1"/>
  <c r="HQ14" i="1"/>
  <c r="HP14" i="1"/>
  <c r="HO14" i="1"/>
  <c r="HN14" i="1"/>
  <c r="IL13" i="1"/>
  <c r="IJ13" i="1"/>
  <c r="IH13" i="1"/>
  <c r="IF13" i="1"/>
  <c r="ID13" i="1"/>
  <c r="IB13" i="1"/>
  <c r="HZ13" i="1"/>
  <c r="HX13" i="1"/>
  <c r="HV13" i="1"/>
  <c r="HT13" i="1"/>
  <c r="HR13" i="1"/>
  <c r="HP13" i="1"/>
  <c r="HN13" i="1"/>
  <c r="IL12" i="1"/>
  <c r="IJ12" i="1"/>
  <c r="IH12" i="1"/>
  <c r="IF12" i="1"/>
  <c r="ID12" i="1"/>
  <c r="IB12" i="1"/>
  <c r="HZ12" i="1"/>
  <c r="HX12" i="1"/>
  <c r="HV12" i="1"/>
  <c r="HT12" i="1"/>
  <c r="HR12" i="1"/>
  <c r="HP12" i="1"/>
  <c r="HN12" i="1"/>
  <c r="IL11" i="1"/>
  <c r="IJ11" i="1"/>
  <c r="IH11" i="1"/>
  <c r="IF11" i="1"/>
  <c r="ID11" i="1"/>
  <c r="IB11" i="1"/>
  <c r="HZ11" i="1"/>
  <c r="HX11" i="1"/>
  <c r="HV11" i="1"/>
  <c r="HT11" i="1"/>
  <c r="HR11" i="1"/>
  <c r="HP11" i="1"/>
  <c r="HN11" i="1"/>
  <c r="IL10" i="1"/>
  <c r="IJ10" i="1"/>
  <c r="IH10" i="1"/>
  <c r="IF10" i="1"/>
  <c r="ID10" i="1"/>
  <c r="IB10" i="1"/>
  <c r="HZ10" i="1"/>
  <c r="HX10" i="1"/>
  <c r="HV10" i="1"/>
  <c r="HT10" i="1"/>
  <c r="HR10" i="1"/>
  <c r="HP10" i="1"/>
  <c r="HN10" i="1"/>
  <c r="IL9" i="1"/>
  <c r="IJ9" i="1"/>
  <c r="IH9" i="1"/>
  <c r="IF9" i="1"/>
  <c r="ID9" i="1"/>
  <c r="IB9" i="1"/>
  <c r="HZ9" i="1"/>
  <c r="HX9" i="1"/>
  <c r="HV9" i="1"/>
  <c r="HT9" i="1"/>
  <c r="HR9" i="1"/>
  <c r="HP9" i="1"/>
  <c r="HN9" i="1"/>
  <c r="IK7" i="1"/>
  <c r="IJ7" i="1"/>
  <c r="IF7" i="1"/>
  <c r="IC7" i="1"/>
  <c r="IB7" i="1"/>
  <c r="HX7" i="1"/>
  <c r="HT7" i="1"/>
  <c r="HP7" i="1"/>
  <c r="HN7" i="1"/>
  <c r="IL6" i="1"/>
  <c r="IJ6" i="1"/>
  <c r="IH6" i="1"/>
  <c r="IF6" i="1"/>
  <c r="ID6" i="1"/>
  <c r="IB6" i="1"/>
  <c r="HZ6" i="1"/>
  <c r="HX6" i="1"/>
  <c r="HV6" i="1"/>
  <c r="HT6" i="1"/>
  <c r="HR6" i="1"/>
  <c r="HP6" i="1"/>
  <c r="HN6" i="1"/>
  <c r="IL5" i="1"/>
  <c r="IJ5" i="1"/>
  <c r="IH5" i="1"/>
  <c r="IF5" i="1"/>
  <c r="ID5" i="1"/>
  <c r="IB5" i="1"/>
  <c r="HZ5" i="1"/>
  <c r="HX5" i="1"/>
  <c r="HV5" i="1"/>
  <c r="HT5" i="1"/>
  <c r="HR5" i="1"/>
  <c r="HP5" i="1"/>
  <c r="HN5" i="1"/>
  <c r="IJ3" i="1"/>
  <c r="II3" i="1"/>
  <c r="IF3" i="1"/>
  <c r="IB3" i="1"/>
  <c r="IA3" i="1"/>
  <c r="HX3" i="1"/>
  <c r="HT3" i="1"/>
  <c r="HS3" i="1"/>
  <c r="HP3" i="1"/>
  <c r="HN3" i="1"/>
  <c r="GW7" i="1"/>
  <c r="GQ7" i="1"/>
  <c r="GQ13" i="1"/>
  <c r="HK13" i="1"/>
  <c r="HA6" i="1"/>
  <c r="GM9" i="1"/>
  <c r="HC9" i="1"/>
  <c r="GS10" i="1"/>
  <c r="HI10" i="1"/>
  <c r="GY11" i="1"/>
  <c r="HI11" i="1"/>
  <c r="HI12" i="1"/>
  <c r="HC12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GP7" i="1"/>
  <c r="GT7" i="1"/>
  <c r="GX7" i="1"/>
  <c r="HB7" i="1"/>
  <c r="HF7" i="1"/>
  <c r="HJ7" i="1"/>
  <c r="HH12" i="1"/>
  <c r="HD12" i="1"/>
  <c r="HE12" i="1"/>
  <c r="HH11" i="1"/>
  <c r="HC13" i="1"/>
  <c r="HJ13" i="1"/>
  <c r="HF13" i="1"/>
  <c r="HB13" i="1"/>
  <c r="GX13" i="1"/>
  <c r="GT13" i="1"/>
  <c r="GP13" i="1"/>
  <c r="GL13" i="1"/>
  <c r="HK14" i="1"/>
  <c r="HG14" i="1"/>
  <c r="HF14" i="1"/>
  <c r="HC14" i="1"/>
  <c r="GY14" i="1"/>
  <c r="GX14" i="1"/>
  <c r="GU14" i="1"/>
  <c r="GQ14" i="1"/>
  <c r="GP14" i="1"/>
  <c r="GM14" i="1"/>
  <c r="GL14" i="1"/>
  <c r="HI14" i="1"/>
  <c r="HH14" i="1"/>
  <c r="HE14" i="1"/>
  <c r="HD14" i="1"/>
  <c r="HA14" i="1"/>
  <c r="GZ14" i="1"/>
  <c r="GW14" i="1"/>
  <c r="GV14" i="1"/>
  <c r="GS14" i="1"/>
  <c r="GR14" i="1"/>
  <c r="GO14" i="1"/>
  <c r="GN14" i="1"/>
  <c r="HH13" i="1"/>
  <c r="HD13" i="1"/>
  <c r="GZ13" i="1"/>
  <c r="GV13" i="1"/>
  <c r="GR13" i="1"/>
  <c r="GN13" i="1"/>
  <c r="HJ12" i="1"/>
  <c r="HF12" i="1"/>
  <c r="HB12" i="1"/>
  <c r="GZ12" i="1"/>
  <c r="GX12" i="1"/>
  <c r="GV12" i="1"/>
  <c r="GT12" i="1"/>
  <c r="GR12" i="1"/>
  <c r="GP12" i="1"/>
  <c r="GN12" i="1"/>
  <c r="GL12" i="1"/>
  <c r="HJ11" i="1"/>
  <c r="HF11" i="1"/>
  <c r="HE11" i="1"/>
  <c r="HD11" i="1"/>
  <c r="HB11" i="1"/>
  <c r="GZ11" i="1"/>
  <c r="GX11" i="1"/>
  <c r="GV11" i="1"/>
  <c r="GT11" i="1"/>
  <c r="GR11" i="1"/>
  <c r="GP11" i="1"/>
  <c r="GO11" i="1"/>
  <c r="GN11" i="1"/>
  <c r="GL11" i="1"/>
  <c r="HJ10" i="1"/>
  <c r="HH10" i="1"/>
  <c r="HF10" i="1"/>
  <c r="HD10" i="1"/>
  <c r="HB10" i="1"/>
  <c r="GZ10" i="1"/>
  <c r="GY10" i="1"/>
  <c r="GX10" i="1"/>
  <c r="GV10" i="1"/>
  <c r="GT10" i="1"/>
  <c r="GR10" i="1"/>
  <c r="GP10" i="1"/>
  <c r="GN10" i="1"/>
  <c r="GL10" i="1"/>
  <c r="HJ9" i="1"/>
  <c r="HI9" i="1"/>
  <c r="HH9" i="1"/>
  <c r="HF9" i="1"/>
  <c r="HD9" i="1"/>
  <c r="HB9" i="1"/>
  <c r="GZ9" i="1"/>
  <c r="GX9" i="1"/>
  <c r="GV9" i="1"/>
  <c r="GT9" i="1"/>
  <c r="GS9" i="1"/>
  <c r="GR9" i="1"/>
  <c r="GP9" i="1"/>
  <c r="GN9" i="1"/>
  <c r="GL9" i="1"/>
  <c r="HH7" i="1"/>
  <c r="HE7" i="1"/>
  <c r="HD7" i="1"/>
  <c r="GZ7" i="1"/>
  <c r="GV7" i="1"/>
  <c r="GU7" i="1"/>
  <c r="GR7" i="1"/>
  <c r="GN7" i="1"/>
  <c r="GL7" i="1"/>
  <c r="HJ6" i="1"/>
  <c r="HH6" i="1"/>
  <c r="HG6" i="1"/>
  <c r="HF6" i="1"/>
  <c r="HD6" i="1"/>
  <c r="HB6" i="1"/>
  <c r="GZ6" i="1"/>
  <c r="GX6" i="1"/>
  <c r="GV6" i="1"/>
  <c r="GT6" i="1"/>
  <c r="GR6" i="1"/>
  <c r="GQ6" i="1"/>
  <c r="GP6" i="1"/>
  <c r="GN6" i="1"/>
  <c r="GL6" i="1"/>
  <c r="HJ5" i="1"/>
  <c r="HH5" i="1"/>
  <c r="HF5" i="1"/>
  <c r="HD5" i="1"/>
  <c r="HB5" i="1"/>
  <c r="HA5" i="1"/>
  <c r="GZ5" i="1"/>
  <c r="GX5" i="1"/>
  <c r="GV5" i="1"/>
  <c r="GT5" i="1"/>
  <c r="GR5" i="1"/>
  <c r="GP5" i="1"/>
  <c r="GN5" i="1"/>
  <c r="GL5" i="1"/>
  <c r="HK3" i="1"/>
  <c r="HH3" i="1"/>
  <c r="HD3" i="1"/>
  <c r="GZ3" i="1"/>
  <c r="GV3" i="1"/>
  <c r="GS3" i="1"/>
  <c r="GR3" i="1"/>
  <c r="GN3" i="1"/>
  <c r="GL3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GH13" i="1"/>
  <c r="GF13" i="1"/>
  <c r="GD13" i="1"/>
  <c r="GB13" i="1"/>
  <c r="FZ13" i="1"/>
  <c r="FX13" i="1"/>
  <c r="FV13" i="1"/>
  <c r="FT13" i="1"/>
  <c r="FR13" i="1"/>
  <c r="FP13" i="1"/>
  <c r="FN13" i="1"/>
  <c r="FL13" i="1"/>
  <c r="FJ13" i="1"/>
  <c r="GH12" i="1"/>
  <c r="GD12" i="1"/>
  <c r="FZ12" i="1"/>
  <c r="FV12" i="1"/>
  <c r="FR12" i="1"/>
  <c r="FN12" i="1"/>
  <c r="FJ12" i="1"/>
  <c r="GF11" i="1"/>
  <c r="GB11" i="1"/>
  <c r="FX11" i="1"/>
  <c r="FT11" i="1"/>
  <c r="FP11" i="1"/>
  <c r="FL11" i="1"/>
  <c r="GI10" i="1"/>
  <c r="GH10" i="1"/>
  <c r="GD10" i="1"/>
  <c r="FZ10" i="1"/>
  <c r="FV10" i="1"/>
  <c r="FR10" i="1"/>
  <c r="FN10" i="1"/>
  <c r="FJ10" i="1"/>
  <c r="GF9" i="1"/>
  <c r="GB9" i="1"/>
  <c r="FX9" i="1"/>
  <c r="FT9" i="1"/>
  <c r="FP9" i="1"/>
  <c r="FL9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14" i="1"/>
  <c r="BM13" i="1"/>
  <c r="BM12" i="1"/>
  <c r="BM11" i="1"/>
  <c r="BM10" i="1"/>
  <c r="BM9" i="1"/>
  <c r="BI10" i="1"/>
  <c r="FD172" i="1"/>
  <c r="FE172" i="1"/>
  <c r="FF172" i="1"/>
  <c r="FH172" i="1" s="1"/>
  <c r="FG172" i="1"/>
  <c r="FD173" i="1"/>
  <c r="FE173" i="1"/>
  <c r="FH173" i="1" s="1"/>
  <c r="FF173" i="1"/>
  <c r="FG173" i="1"/>
  <c r="FD174" i="1"/>
  <c r="FE174" i="1"/>
  <c r="FH174" i="1" s="1"/>
  <c r="FF174" i="1"/>
  <c r="FG174" i="1"/>
  <c r="FD175" i="1"/>
  <c r="FE175" i="1"/>
  <c r="FF175" i="1"/>
  <c r="FG175" i="1"/>
  <c r="FH175" i="1"/>
  <c r="FD176" i="1"/>
  <c r="FE176" i="1"/>
  <c r="FF176" i="1"/>
  <c r="FH176" i="1" s="1"/>
  <c r="FG176" i="1"/>
  <c r="FD177" i="1"/>
  <c r="FE177" i="1"/>
  <c r="FH177" i="1" s="1"/>
  <c r="FF177" i="1"/>
  <c r="FG177" i="1"/>
  <c r="FD178" i="1"/>
  <c r="FE178" i="1"/>
  <c r="FH178" i="1" s="1"/>
  <c r="FF178" i="1"/>
  <c r="FG178" i="1"/>
  <c r="FD179" i="1"/>
  <c r="FE179" i="1"/>
  <c r="FF179" i="1"/>
  <c r="FG179" i="1"/>
  <c r="FH179" i="1"/>
  <c r="FD180" i="1"/>
  <c r="FE180" i="1"/>
  <c r="FF180" i="1"/>
  <c r="FH180" i="1" s="1"/>
  <c r="FG180" i="1"/>
  <c r="FD181" i="1"/>
  <c r="FE181" i="1"/>
  <c r="FH181" i="1" s="1"/>
  <c r="FF181" i="1"/>
  <c r="FG181" i="1"/>
  <c r="FD182" i="1"/>
  <c r="FE182" i="1"/>
  <c r="FH182" i="1" s="1"/>
  <c r="FF182" i="1"/>
  <c r="FG182" i="1"/>
  <c r="FD183" i="1"/>
  <c r="FE183" i="1"/>
  <c r="FF183" i="1"/>
  <c r="FG183" i="1"/>
  <c r="FH183" i="1"/>
  <c r="FD184" i="1"/>
  <c r="FE184" i="1"/>
  <c r="FF184" i="1"/>
  <c r="FH184" i="1" s="1"/>
  <c r="FG184" i="1"/>
  <c r="FD185" i="1"/>
  <c r="FE185" i="1"/>
  <c r="FH185" i="1" s="1"/>
  <c r="FF185" i="1"/>
  <c r="FG185" i="1"/>
  <c r="FD186" i="1"/>
  <c r="FE186" i="1"/>
  <c r="FH186" i="1" s="1"/>
  <c r="FF186" i="1"/>
  <c r="FG186" i="1"/>
  <c r="FD187" i="1"/>
  <c r="FE187" i="1"/>
  <c r="FF187" i="1"/>
  <c r="FG187" i="1"/>
  <c r="FH187" i="1"/>
  <c r="FD188" i="1"/>
  <c r="FE188" i="1"/>
  <c r="FF188" i="1"/>
  <c r="FH188" i="1" s="1"/>
  <c r="FG188" i="1"/>
  <c r="FD189" i="1"/>
  <c r="FE189" i="1"/>
  <c r="FH189" i="1" s="1"/>
  <c r="FF189" i="1"/>
  <c r="FG189" i="1"/>
  <c r="FD190" i="1"/>
  <c r="FE190" i="1"/>
  <c r="FH190" i="1" s="1"/>
  <c r="FF190" i="1"/>
  <c r="FG190" i="1"/>
  <c r="FD191" i="1"/>
  <c r="FE191" i="1"/>
  <c r="FF191" i="1"/>
  <c r="FG191" i="1"/>
  <c r="FH191" i="1"/>
  <c r="FJ7" i="1"/>
  <c r="FO7" i="1"/>
  <c r="FL7" i="1"/>
  <c r="FM7" i="1"/>
  <c r="FL6" i="1"/>
  <c r="FT6" i="1"/>
  <c r="FX6" i="1"/>
  <c r="GB6" i="1"/>
  <c r="GC6" i="1"/>
  <c r="FJ6" i="1"/>
  <c r="FZ6" i="1"/>
  <c r="FU6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FD21" i="1"/>
  <c r="FE21" i="1"/>
  <c r="FF21" i="1"/>
  <c r="FG21" i="1"/>
  <c r="FD22" i="1"/>
  <c r="FE22" i="1"/>
  <c r="FF22" i="1"/>
  <c r="FG22" i="1"/>
  <c r="FD23" i="1"/>
  <c r="FE23" i="1"/>
  <c r="FF23" i="1"/>
  <c r="FG23" i="1"/>
  <c r="FD24" i="1"/>
  <c r="FE24" i="1"/>
  <c r="FF24" i="1"/>
  <c r="FG24" i="1"/>
  <c r="FD25" i="1"/>
  <c r="FE25" i="1"/>
  <c r="FF25" i="1"/>
  <c r="FG25" i="1"/>
  <c r="FD26" i="1"/>
  <c r="FE26" i="1"/>
  <c r="FF26" i="1"/>
  <c r="FG26" i="1"/>
  <c r="FD27" i="1"/>
  <c r="FE27" i="1"/>
  <c r="FF27" i="1"/>
  <c r="FG27" i="1"/>
  <c r="FD28" i="1"/>
  <c r="FE28" i="1"/>
  <c r="FF28" i="1"/>
  <c r="FG28" i="1"/>
  <c r="FD29" i="1"/>
  <c r="FE29" i="1"/>
  <c r="FF29" i="1"/>
  <c r="FG29" i="1"/>
  <c r="FD30" i="1"/>
  <c r="FE30" i="1"/>
  <c r="FF30" i="1"/>
  <c r="FG30" i="1"/>
  <c r="FD31" i="1"/>
  <c r="FE31" i="1"/>
  <c r="FF31" i="1"/>
  <c r="FG31" i="1"/>
  <c r="FD32" i="1"/>
  <c r="FE32" i="1"/>
  <c r="FF32" i="1"/>
  <c r="FG32" i="1"/>
  <c r="FD33" i="1"/>
  <c r="FE33" i="1"/>
  <c r="FF33" i="1"/>
  <c r="FG33" i="1"/>
  <c r="FD34" i="1"/>
  <c r="FE34" i="1"/>
  <c r="FF34" i="1"/>
  <c r="FG34" i="1"/>
  <c r="FD35" i="1"/>
  <c r="FE35" i="1"/>
  <c r="FF35" i="1"/>
  <c r="FG35" i="1"/>
  <c r="FD36" i="1"/>
  <c r="FE36" i="1"/>
  <c r="FF36" i="1"/>
  <c r="FG36" i="1"/>
  <c r="FD37" i="1"/>
  <c r="FE37" i="1"/>
  <c r="FF37" i="1"/>
  <c r="FG37" i="1"/>
  <c r="FD38" i="1"/>
  <c r="FE38" i="1"/>
  <c r="FF38" i="1"/>
  <c r="FG38" i="1"/>
  <c r="FD39" i="1"/>
  <c r="FE39" i="1"/>
  <c r="FF39" i="1"/>
  <c r="FG39" i="1"/>
  <c r="FD40" i="1"/>
  <c r="FE40" i="1"/>
  <c r="FF40" i="1"/>
  <c r="FG40" i="1"/>
  <c r="FD41" i="1"/>
  <c r="FE41" i="1"/>
  <c r="FF41" i="1"/>
  <c r="FG41" i="1"/>
  <c r="FD42" i="1"/>
  <c r="FE42" i="1"/>
  <c r="FF42" i="1"/>
  <c r="FG42" i="1"/>
  <c r="FD43" i="1"/>
  <c r="FE43" i="1"/>
  <c r="FF43" i="1"/>
  <c r="FG43" i="1"/>
  <c r="FD44" i="1"/>
  <c r="FE44" i="1"/>
  <c r="FF44" i="1"/>
  <c r="FG44" i="1"/>
  <c r="FD45" i="1"/>
  <c r="FE45" i="1"/>
  <c r="FF45" i="1"/>
  <c r="FG45" i="1"/>
  <c r="FD46" i="1"/>
  <c r="FE46" i="1"/>
  <c r="FF46" i="1"/>
  <c r="FG46" i="1"/>
  <c r="FD47" i="1"/>
  <c r="FE47" i="1"/>
  <c r="FF47" i="1"/>
  <c r="FG47" i="1"/>
  <c r="FD48" i="1"/>
  <c r="FE48" i="1"/>
  <c r="FF48" i="1"/>
  <c r="FG48" i="1"/>
  <c r="FD49" i="1"/>
  <c r="FE49" i="1"/>
  <c r="FF49" i="1"/>
  <c r="FG49" i="1"/>
  <c r="FD50" i="1"/>
  <c r="FE50" i="1"/>
  <c r="FF50" i="1"/>
  <c r="FG50" i="1"/>
  <c r="FD51" i="1"/>
  <c r="FE51" i="1"/>
  <c r="FF51" i="1"/>
  <c r="FG51" i="1"/>
  <c r="FD52" i="1"/>
  <c r="FE52" i="1"/>
  <c r="FF52" i="1"/>
  <c r="FG52" i="1"/>
  <c r="FD53" i="1"/>
  <c r="FE53" i="1"/>
  <c r="FF53" i="1"/>
  <c r="FG53" i="1"/>
  <c r="FD54" i="1"/>
  <c r="FE54" i="1"/>
  <c r="FF54" i="1"/>
  <c r="FG54" i="1"/>
  <c r="FD55" i="1"/>
  <c r="FE55" i="1"/>
  <c r="FF55" i="1"/>
  <c r="FG55" i="1"/>
  <c r="FD56" i="1"/>
  <c r="FE56" i="1"/>
  <c r="FF56" i="1"/>
  <c r="FG56" i="1"/>
  <c r="FD57" i="1"/>
  <c r="FE57" i="1"/>
  <c r="FF57" i="1"/>
  <c r="FG57" i="1"/>
  <c r="FD58" i="1"/>
  <c r="FE58" i="1"/>
  <c r="FF58" i="1"/>
  <c r="FG58" i="1"/>
  <c r="FD59" i="1"/>
  <c r="FE59" i="1"/>
  <c r="FF59" i="1"/>
  <c r="FG59" i="1"/>
  <c r="FD60" i="1"/>
  <c r="FE60" i="1"/>
  <c r="FF60" i="1"/>
  <c r="FG60" i="1"/>
  <c r="FD61" i="1"/>
  <c r="FE61" i="1"/>
  <c r="FF61" i="1"/>
  <c r="FG61" i="1"/>
  <c r="FD62" i="1"/>
  <c r="FE62" i="1"/>
  <c r="FF62" i="1"/>
  <c r="FG62" i="1"/>
  <c r="FD63" i="1"/>
  <c r="FE63" i="1"/>
  <c r="FF63" i="1"/>
  <c r="FG63" i="1"/>
  <c r="FD64" i="1"/>
  <c r="FE64" i="1"/>
  <c r="FF64" i="1"/>
  <c r="FG64" i="1"/>
  <c r="FD65" i="1"/>
  <c r="FE65" i="1"/>
  <c r="FF65" i="1"/>
  <c r="FG65" i="1"/>
  <c r="FD66" i="1"/>
  <c r="FE66" i="1"/>
  <c r="FF66" i="1"/>
  <c r="FG66" i="1"/>
  <c r="FD67" i="1"/>
  <c r="FE67" i="1"/>
  <c r="FF67" i="1"/>
  <c r="FG67" i="1"/>
  <c r="FD68" i="1"/>
  <c r="FE68" i="1"/>
  <c r="FF68" i="1"/>
  <c r="FG68" i="1"/>
  <c r="FD69" i="1"/>
  <c r="FE69" i="1"/>
  <c r="FF69" i="1"/>
  <c r="FG69" i="1"/>
  <c r="FD70" i="1"/>
  <c r="FE70" i="1"/>
  <c r="FF70" i="1"/>
  <c r="FG70" i="1"/>
  <c r="FD71" i="1"/>
  <c r="FE71" i="1"/>
  <c r="FF71" i="1"/>
  <c r="FG71" i="1"/>
  <c r="FD72" i="1"/>
  <c r="FE72" i="1"/>
  <c r="FF72" i="1"/>
  <c r="FG72" i="1"/>
  <c r="FD73" i="1"/>
  <c r="FE73" i="1"/>
  <c r="FF73" i="1"/>
  <c r="FG73" i="1"/>
  <c r="FD74" i="1"/>
  <c r="FE74" i="1"/>
  <c r="FF74" i="1"/>
  <c r="FG74" i="1"/>
  <c r="FD75" i="1"/>
  <c r="FE75" i="1"/>
  <c r="FF75" i="1"/>
  <c r="FG75" i="1"/>
  <c r="FD76" i="1"/>
  <c r="FE76" i="1"/>
  <c r="FF76" i="1"/>
  <c r="FG76" i="1"/>
  <c r="FD77" i="1"/>
  <c r="FE77" i="1"/>
  <c r="FF77" i="1"/>
  <c r="FG77" i="1"/>
  <c r="FD78" i="1"/>
  <c r="FE78" i="1"/>
  <c r="FF78" i="1"/>
  <c r="FG78" i="1"/>
  <c r="FD79" i="1"/>
  <c r="FE79" i="1"/>
  <c r="FF79" i="1"/>
  <c r="FG79" i="1"/>
  <c r="FD80" i="1"/>
  <c r="FE80" i="1"/>
  <c r="FF80" i="1"/>
  <c r="FG80" i="1"/>
  <c r="FD81" i="1"/>
  <c r="FE81" i="1"/>
  <c r="FF81" i="1"/>
  <c r="FG81" i="1"/>
  <c r="FD82" i="1"/>
  <c r="FE82" i="1"/>
  <c r="FF82" i="1"/>
  <c r="FG82" i="1"/>
  <c r="FD83" i="1"/>
  <c r="FE83" i="1"/>
  <c r="FF83" i="1"/>
  <c r="FG83" i="1"/>
  <c r="FD84" i="1"/>
  <c r="FE84" i="1"/>
  <c r="FF84" i="1"/>
  <c r="FG84" i="1"/>
  <c r="FD85" i="1"/>
  <c r="FE85" i="1"/>
  <c r="FF85" i="1"/>
  <c r="FG85" i="1"/>
  <c r="FD86" i="1"/>
  <c r="FE86" i="1"/>
  <c r="FF86" i="1"/>
  <c r="FG86" i="1"/>
  <c r="FD87" i="1"/>
  <c r="FE87" i="1"/>
  <c r="FF87" i="1"/>
  <c r="FG87" i="1"/>
  <c r="FD88" i="1"/>
  <c r="FE88" i="1"/>
  <c r="FF88" i="1"/>
  <c r="FG88" i="1"/>
  <c r="FD89" i="1"/>
  <c r="FE89" i="1"/>
  <c r="FF89" i="1"/>
  <c r="FG89" i="1"/>
  <c r="FD90" i="1"/>
  <c r="FE90" i="1"/>
  <c r="FF90" i="1"/>
  <c r="FG90" i="1"/>
  <c r="FD91" i="1"/>
  <c r="FE91" i="1"/>
  <c r="FF91" i="1"/>
  <c r="FG91" i="1"/>
  <c r="FD92" i="1"/>
  <c r="FE92" i="1"/>
  <c r="FF92" i="1"/>
  <c r="FG92" i="1"/>
  <c r="FD93" i="1"/>
  <c r="FE93" i="1"/>
  <c r="FF93" i="1"/>
  <c r="FG93" i="1"/>
  <c r="FD94" i="1"/>
  <c r="FE94" i="1"/>
  <c r="FF94" i="1"/>
  <c r="FG94" i="1"/>
  <c r="FD95" i="1"/>
  <c r="FE95" i="1"/>
  <c r="FF95" i="1"/>
  <c r="FG95" i="1"/>
  <c r="FD96" i="1"/>
  <c r="FE96" i="1"/>
  <c r="FF96" i="1"/>
  <c r="FG96" i="1"/>
  <c r="FD97" i="1"/>
  <c r="FE97" i="1"/>
  <c r="FF97" i="1"/>
  <c r="FG97" i="1"/>
  <c r="FD98" i="1"/>
  <c r="FE98" i="1"/>
  <c r="FF98" i="1"/>
  <c r="FG98" i="1"/>
  <c r="FD99" i="1"/>
  <c r="FE99" i="1"/>
  <c r="FF99" i="1"/>
  <c r="FG99" i="1"/>
  <c r="FD100" i="1"/>
  <c r="FE100" i="1"/>
  <c r="FF100" i="1"/>
  <c r="FG100" i="1"/>
  <c r="FD101" i="1"/>
  <c r="FE101" i="1"/>
  <c r="FF101" i="1"/>
  <c r="FG101" i="1"/>
  <c r="FD102" i="1"/>
  <c r="FE102" i="1"/>
  <c r="FF102" i="1"/>
  <c r="FG102" i="1"/>
  <c r="FD103" i="1"/>
  <c r="FE103" i="1"/>
  <c r="FF103" i="1"/>
  <c r="FG103" i="1"/>
  <c r="FD104" i="1"/>
  <c r="FE104" i="1"/>
  <c r="FF104" i="1"/>
  <c r="FG104" i="1"/>
  <c r="FD105" i="1"/>
  <c r="FE105" i="1"/>
  <c r="FF105" i="1"/>
  <c r="FG105" i="1"/>
  <c r="FD106" i="1"/>
  <c r="FE106" i="1"/>
  <c r="FF106" i="1"/>
  <c r="FG106" i="1"/>
  <c r="FD107" i="1"/>
  <c r="FE107" i="1"/>
  <c r="FF107" i="1"/>
  <c r="FG107" i="1"/>
  <c r="FD108" i="1"/>
  <c r="FE108" i="1"/>
  <c r="FF108" i="1"/>
  <c r="FG108" i="1"/>
  <c r="FD109" i="1"/>
  <c r="FE109" i="1"/>
  <c r="FF109" i="1"/>
  <c r="FG109" i="1"/>
  <c r="FD110" i="1"/>
  <c r="FE110" i="1"/>
  <c r="FF110" i="1"/>
  <c r="FG110" i="1"/>
  <c r="FD111" i="1"/>
  <c r="FE111" i="1"/>
  <c r="FF111" i="1"/>
  <c r="FG111" i="1"/>
  <c r="FD112" i="1"/>
  <c r="FE112" i="1"/>
  <c r="FF112" i="1"/>
  <c r="FG112" i="1"/>
  <c r="FD113" i="1"/>
  <c r="FE113" i="1"/>
  <c r="FF113" i="1"/>
  <c r="FG113" i="1"/>
  <c r="FD114" i="1"/>
  <c r="FE114" i="1"/>
  <c r="FF114" i="1"/>
  <c r="FG114" i="1"/>
  <c r="FD115" i="1"/>
  <c r="FE115" i="1"/>
  <c r="FF115" i="1"/>
  <c r="FG115" i="1"/>
  <c r="FD116" i="1"/>
  <c r="FE116" i="1"/>
  <c r="FF116" i="1"/>
  <c r="FG116" i="1"/>
  <c r="FD117" i="1"/>
  <c r="FE117" i="1"/>
  <c r="FF117" i="1"/>
  <c r="FG117" i="1"/>
  <c r="FD118" i="1"/>
  <c r="FE118" i="1"/>
  <c r="FF118" i="1"/>
  <c r="FG118" i="1"/>
  <c r="FD119" i="1"/>
  <c r="FE119" i="1"/>
  <c r="FF119" i="1"/>
  <c r="FG119" i="1"/>
  <c r="FD120" i="1"/>
  <c r="FE120" i="1"/>
  <c r="FF120" i="1"/>
  <c r="FG120" i="1"/>
  <c r="FD121" i="1"/>
  <c r="FE121" i="1"/>
  <c r="FF121" i="1"/>
  <c r="FG121" i="1"/>
  <c r="FD122" i="1"/>
  <c r="FE122" i="1"/>
  <c r="FF122" i="1"/>
  <c r="FG122" i="1"/>
  <c r="FD123" i="1"/>
  <c r="FE123" i="1"/>
  <c r="FF123" i="1"/>
  <c r="FG123" i="1"/>
  <c r="FD124" i="1"/>
  <c r="FE124" i="1"/>
  <c r="FF124" i="1"/>
  <c r="FG124" i="1"/>
  <c r="FD125" i="1"/>
  <c r="FE125" i="1"/>
  <c r="FF125" i="1"/>
  <c r="FG125" i="1"/>
  <c r="FD126" i="1"/>
  <c r="FE126" i="1"/>
  <c r="FF126" i="1"/>
  <c r="FG126" i="1"/>
  <c r="FD127" i="1"/>
  <c r="FE127" i="1"/>
  <c r="FF127" i="1"/>
  <c r="FG127" i="1"/>
  <c r="FD128" i="1"/>
  <c r="FE128" i="1"/>
  <c r="FF128" i="1"/>
  <c r="FG128" i="1"/>
  <c r="FD129" i="1"/>
  <c r="FE129" i="1"/>
  <c r="FF129" i="1"/>
  <c r="FG129" i="1"/>
  <c r="FD130" i="1"/>
  <c r="FE130" i="1"/>
  <c r="FF130" i="1"/>
  <c r="FG130" i="1"/>
  <c r="FD131" i="1"/>
  <c r="FE131" i="1"/>
  <c r="FF131" i="1"/>
  <c r="FG131" i="1"/>
  <c r="FD132" i="1"/>
  <c r="FE132" i="1"/>
  <c r="FF132" i="1"/>
  <c r="FG132" i="1"/>
  <c r="FD133" i="1"/>
  <c r="FE133" i="1"/>
  <c r="FF133" i="1"/>
  <c r="FG133" i="1"/>
  <c r="FD134" i="1"/>
  <c r="FE134" i="1"/>
  <c r="FF134" i="1"/>
  <c r="FG134" i="1"/>
  <c r="FD135" i="1"/>
  <c r="FE135" i="1"/>
  <c r="FF135" i="1"/>
  <c r="FG135" i="1"/>
  <c r="FD136" i="1"/>
  <c r="FE136" i="1"/>
  <c r="FF136" i="1"/>
  <c r="FG136" i="1"/>
  <c r="FD137" i="1"/>
  <c r="FE137" i="1"/>
  <c r="FF137" i="1"/>
  <c r="FG137" i="1"/>
  <c r="FD138" i="1"/>
  <c r="FE138" i="1"/>
  <c r="FF138" i="1"/>
  <c r="FG138" i="1"/>
  <c r="FD139" i="1"/>
  <c r="FE139" i="1"/>
  <c r="FF139" i="1"/>
  <c r="FG139" i="1"/>
  <c r="FD140" i="1"/>
  <c r="FE140" i="1"/>
  <c r="FF140" i="1"/>
  <c r="FG140" i="1"/>
  <c r="FD141" i="1"/>
  <c r="FE141" i="1"/>
  <c r="FF141" i="1"/>
  <c r="FG141" i="1"/>
  <c r="FD142" i="1"/>
  <c r="FE142" i="1"/>
  <c r="FF142" i="1"/>
  <c r="FG142" i="1"/>
  <c r="FD143" i="1"/>
  <c r="FE143" i="1"/>
  <c r="FF143" i="1"/>
  <c r="FG143" i="1"/>
  <c r="FD144" i="1"/>
  <c r="FE144" i="1"/>
  <c r="FF144" i="1"/>
  <c r="FG144" i="1"/>
  <c r="FD145" i="1"/>
  <c r="FE145" i="1"/>
  <c r="FF145" i="1"/>
  <c r="FG145" i="1"/>
  <c r="FD146" i="1"/>
  <c r="FE146" i="1"/>
  <c r="FF146" i="1"/>
  <c r="FG146" i="1"/>
  <c r="FD147" i="1"/>
  <c r="FE147" i="1"/>
  <c r="FF147" i="1"/>
  <c r="FG147" i="1"/>
  <c r="FD148" i="1"/>
  <c r="FE148" i="1"/>
  <c r="FF148" i="1"/>
  <c r="FG148" i="1"/>
  <c r="FD149" i="1"/>
  <c r="FE149" i="1"/>
  <c r="FF149" i="1"/>
  <c r="FG149" i="1"/>
  <c r="FD150" i="1"/>
  <c r="FE150" i="1"/>
  <c r="FF150" i="1"/>
  <c r="FG150" i="1"/>
  <c r="FD151" i="1"/>
  <c r="FE151" i="1"/>
  <c r="FF151" i="1"/>
  <c r="FG151" i="1"/>
  <c r="FD152" i="1"/>
  <c r="FE152" i="1"/>
  <c r="FF152" i="1"/>
  <c r="FG152" i="1"/>
  <c r="FD153" i="1"/>
  <c r="FE153" i="1"/>
  <c r="FF153" i="1"/>
  <c r="FG153" i="1"/>
  <c r="FD154" i="1"/>
  <c r="FE154" i="1"/>
  <c r="FF154" i="1"/>
  <c r="FG154" i="1"/>
  <c r="FD155" i="1"/>
  <c r="FE155" i="1"/>
  <c r="FF155" i="1"/>
  <c r="FG155" i="1"/>
  <c r="FD156" i="1"/>
  <c r="FE156" i="1"/>
  <c r="FF156" i="1"/>
  <c r="FG156" i="1"/>
  <c r="FD157" i="1"/>
  <c r="FE157" i="1"/>
  <c r="FF157" i="1"/>
  <c r="FG157" i="1"/>
  <c r="FD158" i="1"/>
  <c r="FE158" i="1"/>
  <c r="FF158" i="1"/>
  <c r="FG158" i="1"/>
  <c r="FD159" i="1"/>
  <c r="FE159" i="1"/>
  <c r="FF159" i="1"/>
  <c r="FG159" i="1"/>
  <c r="FD160" i="1"/>
  <c r="FE160" i="1"/>
  <c r="FF160" i="1"/>
  <c r="FG160" i="1"/>
  <c r="FD161" i="1"/>
  <c r="FE161" i="1"/>
  <c r="FF161" i="1"/>
  <c r="FG161" i="1"/>
  <c r="FD162" i="1"/>
  <c r="FE162" i="1"/>
  <c r="FF162" i="1"/>
  <c r="FG162" i="1"/>
  <c r="FD163" i="1"/>
  <c r="FE163" i="1"/>
  <c r="FF163" i="1"/>
  <c r="FG163" i="1"/>
  <c r="FD164" i="1"/>
  <c r="FE164" i="1"/>
  <c r="FF164" i="1"/>
  <c r="FG164" i="1"/>
  <c r="FD165" i="1"/>
  <c r="FE165" i="1"/>
  <c r="FF165" i="1"/>
  <c r="FG165" i="1"/>
  <c r="FD166" i="1"/>
  <c r="FE166" i="1"/>
  <c r="FF166" i="1"/>
  <c r="FG166" i="1"/>
  <c r="FD167" i="1"/>
  <c r="FE167" i="1"/>
  <c r="FF167" i="1"/>
  <c r="FG167" i="1"/>
  <c r="FD168" i="1"/>
  <c r="FE168" i="1"/>
  <c r="FF168" i="1"/>
  <c r="FG168" i="1"/>
  <c r="FD169" i="1"/>
  <c r="FE169" i="1"/>
  <c r="FF169" i="1"/>
  <c r="FG169" i="1"/>
  <c r="FD170" i="1"/>
  <c r="FE170" i="1"/>
  <c r="FF170" i="1"/>
  <c r="FG170" i="1"/>
  <c r="FD171" i="1"/>
  <c r="FE171" i="1"/>
  <c r="FF171" i="1"/>
  <c r="FG171" i="1"/>
  <c r="FJ20" i="1"/>
  <c r="FS7" i="1"/>
  <c r="GF6" i="1"/>
  <c r="FV6" i="1"/>
  <c r="FP6" i="1"/>
  <c r="BM8" i="1"/>
  <c r="G3" i="1"/>
  <c r="H3" i="1"/>
  <c r="I14" i="1"/>
  <c r="I13" i="1"/>
  <c r="I12" i="1"/>
  <c r="I11" i="1"/>
  <c r="I10" i="1"/>
  <c r="I9" i="1"/>
  <c r="I7" i="1"/>
  <c r="I6" i="1"/>
  <c r="I5" i="1"/>
  <c r="G5" i="1"/>
  <c r="H5" i="1"/>
  <c r="G6" i="1"/>
  <c r="H6" i="1"/>
  <c r="G7" i="1"/>
  <c r="H7" i="1"/>
  <c r="G9" i="1"/>
  <c r="H9" i="1"/>
  <c r="G10" i="1"/>
  <c r="H10" i="1"/>
  <c r="G11" i="1"/>
  <c r="H11" i="1"/>
  <c r="G12" i="1"/>
  <c r="H12" i="1"/>
  <c r="G13" i="1"/>
  <c r="H13" i="1"/>
  <c r="G14" i="1"/>
  <c r="H14" i="1"/>
  <c r="FC21" i="1"/>
  <c r="FC22" i="1"/>
  <c r="FC23" i="1"/>
  <c r="FC24" i="1"/>
  <c r="FC25" i="1"/>
  <c r="FC26" i="1"/>
  <c r="FC27" i="1"/>
  <c r="FC28" i="1"/>
  <c r="FC29" i="1"/>
  <c r="FC30" i="1"/>
  <c r="FC31" i="1"/>
  <c r="FC32" i="1"/>
  <c r="FC33" i="1"/>
  <c r="FC34" i="1"/>
  <c r="FC35" i="1"/>
  <c r="FC36" i="1"/>
  <c r="FC37" i="1"/>
  <c r="FC38" i="1"/>
  <c r="FC39" i="1"/>
  <c r="FC40" i="1"/>
  <c r="FC41" i="1"/>
  <c r="FC42" i="1"/>
  <c r="FC43" i="1"/>
  <c r="FC44" i="1"/>
  <c r="FC45" i="1"/>
  <c r="FC46" i="1"/>
  <c r="FC47" i="1"/>
  <c r="FC48" i="1"/>
  <c r="FC49" i="1"/>
  <c r="FC50" i="1"/>
  <c r="FC51" i="1"/>
  <c r="FC52" i="1"/>
  <c r="FC53" i="1"/>
  <c r="FC54" i="1"/>
  <c r="FC55" i="1"/>
  <c r="FC56" i="1"/>
  <c r="FC57" i="1"/>
  <c r="FC58" i="1"/>
  <c r="FC59" i="1"/>
  <c r="FC60" i="1"/>
  <c r="FC61" i="1"/>
  <c r="FC62" i="1"/>
  <c r="FC63" i="1"/>
  <c r="FC64" i="1"/>
  <c r="FC65" i="1"/>
  <c r="FC66" i="1"/>
  <c r="FC67" i="1"/>
  <c r="FC68" i="1"/>
  <c r="FC69" i="1"/>
  <c r="FC70" i="1"/>
  <c r="FC71" i="1"/>
  <c r="FC72" i="1"/>
  <c r="FC73" i="1"/>
  <c r="FC74" i="1"/>
  <c r="FC75" i="1"/>
  <c r="FC76" i="1"/>
  <c r="FC77" i="1"/>
  <c r="FC78" i="1"/>
  <c r="FC79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94" i="1"/>
  <c r="FC95" i="1"/>
  <c r="FC96" i="1"/>
  <c r="FC97" i="1"/>
  <c r="FC98" i="1"/>
  <c r="FC99" i="1"/>
  <c r="FC100" i="1"/>
  <c r="FC101" i="1"/>
  <c r="FC102" i="1"/>
  <c r="FC103" i="1"/>
  <c r="FC104" i="1"/>
  <c r="FC105" i="1"/>
  <c r="FC106" i="1"/>
  <c r="FC107" i="1"/>
  <c r="FC108" i="1"/>
  <c r="FC109" i="1"/>
  <c r="FC110" i="1"/>
  <c r="FC111" i="1"/>
  <c r="FC112" i="1"/>
  <c r="FC113" i="1"/>
  <c r="FC114" i="1"/>
  <c r="FC115" i="1"/>
  <c r="FC116" i="1"/>
  <c r="FC117" i="1"/>
  <c r="FC118" i="1"/>
  <c r="FC119" i="1"/>
  <c r="FC120" i="1"/>
  <c r="FC121" i="1"/>
  <c r="FC122" i="1"/>
  <c r="FC123" i="1"/>
  <c r="FC124" i="1"/>
  <c r="FC125" i="1"/>
  <c r="FC126" i="1"/>
  <c r="FC127" i="1"/>
  <c r="FC128" i="1"/>
  <c r="FC129" i="1"/>
  <c r="FC130" i="1"/>
  <c r="FC131" i="1"/>
  <c r="FC132" i="1"/>
  <c r="FC133" i="1"/>
  <c r="FC134" i="1"/>
  <c r="FC135" i="1"/>
  <c r="FC136" i="1"/>
  <c r="FC137" i="1"/>
  <c r="FC138" i="1"/>
  <c r="FC139" i="1"/>
  <c r="FC140" i="1"/>
  <c r="FC141" i="1"/>
  <c r="FC142" i="1"/>
  <c r="FC143" i="1"/>
  <c r="FC144" i="1"/>
  <c r="FC145" i="1"/>
  <c r="FC146" i="1"/>
  <c r="FC147" i="1"/>
  <c r="FC148" i="1"/>
  <c r="FC149" i="1"/>
  <c r="FC150" i="1"/>
  <c r="FC151" i="1"/>
  <c r="FC152" i="1"/>
  <c r="FC153" i="1"/>
  <c r="FC154" i="1"/>
  <c r="FC155" i="1"/>
  <c r="FC156" i="1"/>
  <c r="FC157" i="1"/>
  <c r="FC158" i="1"/>
  <c r="FC159" i="1"/>
  <c r="FC160" i="1"/>
  <c r="FC161" i="1"/>
  <c r="FC162" i="1"/>
  <c r="FC163" i="1"/>
  <c r="FC164" i="1"/>
  <c r="FC165" i="1"/>
  <c r="FC166" i="1"/>
  <c r="FC167" i="1"/>
  <c r="FC168" i="1"/>
  <c r="FC169" i="1"/>
  <c r="FC170" i="1"/>
  <c r="FC171" i="1"/>
  <c r="FC172" i="1"/>
  <c r="FC173" i="1"/>
  <c r="FC174" i="1"/>
  <c r="FC175" i="1"/>
  <c r="FC176" i="1"/>
  <c r="FC177" i="1"/>
  <c r="FC178" i="1"/>
  <c r="FC179" i="1"/>
  <c r="FC180" i="1"/>
  <c r="FC181" i="1"/>
  <c r="FC182" i="1"/>
  <c r="FC183" i="1"/>
  <c r="FC184" i="1"/>
  <c r="FC185" i="1"/>
  <c r="FC186" i="1"/>
  <c r="FC187" i="1"/>
  <c r="FC188" i="1"/>
  <c r="FC189" i="1"/>
  <c r="FC190" i="1"/>
  <c r="FC191" i="1"/>
  <c r="FC20" i="1"/>
  <c r="FH24" i="1"/>
  <c r="FH28" i="1"/>
  <c r="FD20" i="1"/>
  <c r="FH20" i="1" s="1"/>
  <c r="FE20" i="1"/>
  <c r="FG20" i="1"/>
  <c r="FF20" i="1"/>
  <c r="FH33" i="1"/>
  <c r="FH34" i="1"/>
  <c r="FH35" i="1"/>
  <c r="FH37" i="1"/>
  <c r="FH38" i="1"/>
  <c r="FH39" i="1"/>
  <c r="FH41" i="1"/>
  <c r="FH42" i="1"/>
  <c r="FH43" i="1"/>
  <c r="FH44" i="1"/>
  <c r="FH45" i="1"/>
  <c r="FH46" i="1"/>
  <c r="FH47" i="1"/>
  <c r="FH49" i="1"/>
  <c r="FH50" i="1"/>
  <c r="FH51" i="1"/>
  <c r="FH53" i="1"/>
  <c r="FH54" i="1"/>
  <c r="FH55" i="1"/>
  <c r="FH57" i="1"/>
  <c r="FH58" i="1"/>
  <c r="FH59" i="1"/>
  <c r="FH60" i="1"/>
  <c r="FH61" i="1"/>
  <c r="FH62" i="1"/>
  <c r="FH63" i="1"/>
  <c r="FH65" i="1"/>
  <c r="FH66" i="1"/>
  <c r="FH67" i="1"/>
  <c r="FH69" i="1"/>
  <c r="FH70" i="1"/>
  <c r="FH71" i="1"/>
  <c r="FH73" i="1"/>
  <c r="FH74" i="1"/>
  <c r="FH75" i="1"/>
  <c r="FH76" i="1"/>
  <c r="FH77" i="1"/>
  <c r="FH78" i="1"/>
  <c r="FH79" i="1"/>
  <c r="FH80" i="1"/>
  <c r="FH81" i="1"/>
  <c r="FH82" i="1"/>
  <c r="FH83" i="1"/>
  <c r="FH85" i="1"/>
  <c r="FH86" i="1"/>
  <c r="FH87" i="1"/>
  <c r="FH89" i="1"/>
  <c r="FH90" i="1"/>
  <c r="FH91" i="1"/>
  <c r="FH93" i="1"/>
  <c r="FH94" i="1"/>
  <c r="FH95" i="1"/>
  <c r="FH97" i="1"/>
  <c r="FH98" i="1"/>
  <c r="FH99" i="1"/>
  <c r="FH101" i="1"/>
  <c r="FH102" i="1"/>
  <c r="FH103" i="1"/>
  <c r="FH105" i="1"/>
  <c r="FH106" i="1"/>
  <c r="FH107" i="1"/>
  <c r="FH108" i="1"/>
  <c r="FH109" i="1"/>
  <c r="FH110" i="1"/>
  <c r="FH111" i="1"/>
  <c r="FH113" i="1"/>
  <c r="FH114" i="1"/>
  <c r="FH115" i="1"/>
  <c r="FH117" i="1"/>
  <c r="FH118" i="1"/>
  <c r="FH119" i="1"/>
  <c r="FH121" i="1"/>
  <c r="FH122" i="1"/>
  <c r="FH123" i="1"/>
  <c r="FH124" i="1"/>
  <c r="FH125" i="1"/>
  <c r="FH126" i="1"/>
  <c r="FH127" i="1"/>
  <c r="FH129" i="1"/>
  <c r="FH130" i="1"/>
  <c r="FH131" i="1"/>
  <c r="FH133" i="1"/>
  <c r="FH134" i="1"/>
  <c r="FH135" i="1"/>
  <c r="FH137" i="1"/>
  <c r="FH138" i="1"/>
  <c r="FH139" i="1"/>
  <c r="FH140" i="1"/>
  <c r="FH141" i="1"/>
  <c r="FH142" i="1"/>
  <c r="FH143" i="1"/>
  <c r="FH145" i="1"/>
  <c r="FH146" i="1"/>
  <c r="FH147" i="1"/>
  <c r="FH149" i="1"/>
  <c r="FH150" i="1"/>
  <c r="FH151" i="1"/>
  <c r="FH153" i="1"/>
  <c r="FH154" i="1"/>
  <c r="FH155" i="1"/>
  <c r="FH156" i="1"/>
  <c r="FH157" i="1"/>
  <c r="FH158" i="1"/>
  <c r="FH159" i="1"/>
  <c r="FH161" i="1"/>
  <c r="FH162" i="1"/>
  <c r="FH163" i="1"/>
  <c r="FH165" i="1"/>
  <c r="FH166" i="1"/>
  <c r="FH167" i="1"/>
  <c r="FH169" i="1"/>
  <c r="FH170" i="1"/>
  <c r="FH171" i="1"/>
  <c r="FH21" i="1"/>
  <c r="FH22" i="1"/>
  <c r="FH23" i="1"/>
  <c r="FH25" i="1"/>
  <c r="FH26" i="1"/>
  <c r="FH27" i="1"/>
  <c r="FH29" i="1"/>
  <c r="FH30" i="1"/>
  <c r="FH31" i="1"/>
  <c r="AJ33" i="1"/>
  <c r="F13" i="1"/>
  <c r="F14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J33" i="1"/>
  <c r="BJ13" i="1" s="1"/>
  <c r="BI33" i="1"/>
  <c r="BI6" i="1" s="1"/>
  <c r="BH33" i="1"/>
  <c r="BG33" i="1"/>
  <c r="BF33" i="1"/>
  <c r="BF13" i="1" s="1"/>
  <c r="BE33" i="1"/>
  <c r="BE6" i="1" s="1"/>
  <c r="BD33" i="1"/>
  <c r="BC33" i="1"/>
  <c r="BB33" i="1"/>
  <c r="BB13" i="1" s="1"/>
  <c r="BA33" i="1"/>
  <c r="BA6" i="1" s="1"/>
  <c r="AZ33" i="1"/>
  <c r="AY33" i="1"/>
  <c r="AX33" i="1"/>
  <c r="AX13" i="1" s="1"/>
  <c r="AW33" i="1"/>
  <c r="AW6" i="1" s="1"/>
  <c r="AV33" i="1"/>
  <c r="AU33" i="1"/>
  <c r="AT33" i="1"/>
  <c r="AT13" i="1" s="1"/>
  <c r="AS33" i="1"/>
  <c r="AS6" i="1" s="1"/>
  <c r="AR33" i="1"/>
  <c r="AQ33" i="1"/>
  <c r="AP33" i="1"/>
  <c r="AP13" i="1" s="1"/>
  <c r="AO33" i="1"/>
  <c r="AO6" i="1" s="1"/>
  <c r="AN33" i="1"/>
  <c r="AM33" i="1"/>
  <c r="AL33" i="1"/>
  <c r="AL13" i="1" s="1"/>
  <c r="AK33" i="1"/>
  <c r="AK6" i="1" s="1"/>
  <c r="BJ32" i="1"/>
  <c r="BI32" i="1"/>
  <c r="BH32" i="1"/>
  <c r="BH13" i="1" s="1"/>
  <c r="BG32" i="1"/>
  <c r="BF32" i="1"/>
  <c r="BE32" i="1"/>
  <c r="BD32" i="1"/>
  <c r="BD13" i="1" s="1"/>
  <c r="BC32" i="1"/>
  <c r="BB32" i="1"/>
  <c r="BA32" i="1"/>
  <c r="AZ32" i="1"/>
  <c r="AZ13" i="1" s="1"/>
  <c r="AY32" i="1"/>
  <c r="AX32" i="1"/>
  <c r="AW32" i="1"/>
  <c r="AV32" i="1"/>
  <c r="AV13" i="1" s="1"/>
  <c r="AU32" i="1"/>
  <c r="AT32" i="1"/>
  <c r="AS32" i="1"/>
  <c r="AR32" i="1"/>
  <c r="AR13" i="1" s="1"/>
  <c r="AQ32" i="1"/>
  <c r="AP32" i="1"/>
  <c r="AO32" i="1"/>
  <c r="AN32" i="1"/>
  <c r="AN13" i="1" s="1"/>
  <c r="AM32" i="1"/>
  <c r="AL32" i="1"/>
  <c r="AK32" i="1"/>
  <c r="BJ20" i="1"/>
  <c r="BJ14" i="1" s="1"/>
  <c r="BI20" i="1"/>
  <c r="BI7" i="1" s="1"/>
  <c r="BH20" i="1"/>
  <c r="BG20" i="1"/>
  <c r="BG14" i="1" s="1"/>
  <c r="BF20" i="1"/>
  <c r="BF14" i="1" s="1"/>
  <c r="BE20" i="1"/>
  <c r="BE14" i="1" s="1"/>
  <c r="BD20" i="1"/>
  <c r="BC20" i="1"/>
  <c r="BC14" i="1" s="1"/>
  <c r="BB20" i="1"/>
  <c r="BB14" i="1" s="1"/>
  <c r="BA20" i="1"/>
  <c r="BA14" i="1" s="1"/>
  <c r="AZ20" i="1"/>
  <c r="AY20" i="1"/>
  <c r="AY14" i="1" s="1"/>
  <c r="AX20" i="1"/>
  <c r="AX14" i="1" s="1"/>
  <c r="AW20" i="1"/>
  <c r="AW7" i="1" s="1"/>
  <c r="AV20" i="1"/>
  <c r="AU20" i="1"/>
  <c r="AU14" i="1" s="1"/>
  <c r="AT20" i="1"/>
  <c r="AT14" i="1" s="1"/>
  <c r="AS20" i="1"/>
  <c r="AS7" i="1" s="1"/>
  <c r="AR20" i="1"/>
  <c r="AQ20" i="1"/>
  <c r="AQ14" i="1" s="1"/>
  <c r="AP20" i="1"/>
  <c r="AP14" i="1" s="1"/>
  <c r="AO20" i="1"/>
  <c r="AO14" i="1" s="1"/>
  <c r="AN20" i="1"/>
  <c r="AM20" i="1"/>
  <c r="AM14" i="1" s="1"/>
  <c r="AL20" i="1"/>
  <c r="AL14" i="1" s="1"/>
  <c r="AK20" i="1"/>
  <c r="AK14" i="1" s="1"/>
  <c r="AN14" i="1"/>
  <c r="AR14" i="1"/>
  <c r="AV14" i="1"/>
  <c r="AZ14" i="1"/>
  <c r="BD14" i="1"/>
  <c r="BH1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J7" i="1"/>
  <c r="BH7" i="1"/>
  <c r="BG7" i="1"/>
  <c r="BF7" i="1"/>
  <c r="BD7" i="1"/>
  <c r="BC7" i="1"/>
  <c r="AZ7" i="1"/>
  <c r="AY7" i="1"/>
  <c r="AV7" i="1"/>
  <c r="AU7" i="1"/>
  <c r="AT7" i="1"/>
  <c r="AR7" i="1"/>
  <c r="AQ7" i="1"/>
  <c r="AP7" i="1"/>
  <c r="AN7" i="1"/>
  <c r="AM7" i="1"/>
  <c r="BJ6" i="1"/>
  <c r="BH6" i="1"/>
  <c r="BF6" i="1"/>
  <c r="BD6" i="1"/>
  <c r="BB6" i="1"/>
  <c r="AZ6" i="1"/>
  <c r="AX6" i="1"/>
  <c r="AV6" i="1"/>
  <c r="AT6" i="1"/>
  <c r="AR6" i="1"/>
  <c r="AP6" i="1"/>
  <c r="AN6" i="1"/>
  <c r="AL6" i="1"/>
  <c r="AO91" i="1"/>
  <c r="AU95" i="1"/>
  <c r="AM99" i="1"/>
  <c r="AM107" i="1"/>
  <c r="AU111" i="1"/>
  <c r="AT115" i="1"/>
  <c r="AL119" i="1"/>
  <c r="AT123" i="1"/>
  <c r="AL127" i="1"/>
  <c r="AT131" i="1"/>
  <c r="AL135" i="1"/>
  <c r="AM139" i="1"/>
  <c r="AL143" i="1"/>
  <c r="F6" i="1"/>
  <c r="F7" i="1"/>
  <c r="JF3" i="1" l="1"/>
  <c r="JB14" i="1"/>
  <c r="JN3" i="1"/>
  <c r="IX14" i="1"/>
  <c r="JP14" i="1" s="1"/>
  <c r="IQ3" i="1"/>
  <c r="IW3" i="1"/>
  <c r="JG3" i="1"/>
  <c r="JG8" i="1" s="1"/>
  <c r="JM3" i="1"/>
  <c r="IS5" i="1"/>
  <c r="JI5" i="1"/>
  <c r="IQ6" i="1"/>
  <c r="IW6" i="1"/>
  <c r="JC6" i="1"/>
  <c r="JC8" i="1" s="1"/>
  <c r="JM6" i="1"/>
  <c r="JC7" i="1"/>
  <c r="IW9" i="1"/>
  <c r="JC9" i="1"/>
  <c r="JM9" i="1"/>
  <c r="JA8" i="1"/>
  <c r="IU5" i="1"/>
  <c r="IU8" i="1" s="1"/>
  <c r="JK5" i="1"/>
  <c r="JK8" i="1" s="1"/>
  <c r="IY6" i="1"/>
  <c r="JI6" i="1"/>
  <c r="JO6" i="1"/>
  <c r="JE7" i="1"/>
  <c r="IY3" i="1"/>
  <c r="IY8" i="1" s="1"/>
  <c r="JO3" i="1"/>
  <c r="JE5" i="1"/>
  <c r="IS6" i="1"/>
  <c r="JP13" i="1"/>
  <c r="HU3" i="1"/>
  <c r="JP10" i="1"/>
  <c r="JP11" i="1"/>
  <c r="JP12" i="1"/>
  <c r="IP7" i="1"/>
  <c r="IT7" i="1"/>
  <c r="IX7" i="1"/>
  <c r="JB7" i="1"/>
  <c r="JF7" i="1"/>
  <c r="JJ7" i="1"/>
  <c r="JN7" i="1"/>
  <c r="IR3" i="1"/>
  <c r="IR8" i="1" s="1"/>
  <c r="IV3" i="1"/>
  <c r="IV8" i="1" s="1"/>
  <c r="IZ3" i="1"/>
  <c r="IZ8" i="1" s="1"/>
  <c r="JD3" i="1"/>
  <c r="JD8" i="1" s="1"/>
  <c r="JH3" i="1"/>
  <c r="JH8" i="1" s="1"/>
  <c r="JL3" i="1"/>
  <c r="JL8" i="1" s="1"/>
  <c r="IP6" i="1"/>
  <c r="IT6" i="1"/>
  <c r="IX6" i="1"/>
  <c r="JB6" i="1"/>
  <c r="JF6" i="1"/>
  <c r="JJ6" i="1"/>
  <c r="JN6" i="1"/>
  <c r="IP9" i="1"/>
  <c r="IT9" i="1"/>
  <c r="IX9" i="1"/>
  <c r="JB9" i="1"/>
  <c r="JF9" i="1"/>
  <c r="JJ9" i="1"/>
  <c r="JN9" i="1"/>
  <c r="HO3" i="1"/>
  <c r="HY3" i="1"/>
  <c r="IE3" i="1"/>
  <c r="HO5" i="1"/>
  <c r="HS5" i="1"/>
  <c r="HS8" i="1" s="1"/>
  <c r="HW5" i="1"/>
  <c r="IA5" i="1"/>
  <c r="IA8" i="1" s="1"/>
  <c r="IE5" i="1"/>
  <c r="II5" i="1"/>
  <c r="II8" i="1" s="1"/>
  <c r="IM5" i="1"/>
  <c r="HQ6" i="1"/>
  <c r="HU6" i="1"/>
  <c r="HY6" i="1"/>
  <c r="IC6" i="1"/>
  <c r="IG6" i="1"/>
  <c r="IK6" i="1"/>
  <c r="HO13" i="1"/>
  <c r="HS13" i="1"/>
  <c r="HW13" i="1"/>
  <c r="IN13" i="1" s="1"/>
  <c r="IA13" i="1"/>
  <c r="IE13" i="1"/>
  <c r="II13" i="1"/>
  <c r="IM13" i="1"/>
  <c r="IF8" i="1"/>
  <c r="HQ3" i="1"/>
  <c r="HW3" i="1"/>
  <c r="IG3" i="1"/>
  <c r="IM3" i="1"/>
  <c r="HQ5" i="1"/>
  <c r="HU5" i="1"/>
  <c r="HU8" i="1" s="1"/>
  <c r="HY5" i="1"/>
  <c r="IC5" i="1"/>
  <c r="IG5" i="1"/>
  <c r="IK5" i="1"/>
  <c r="IK8" i="1" s="1"/>
  <c r="FY6" i="1"/>
  <c r="FM13" i="1"/>
  <c r="FQ6" i="1"/>
  <c r="GA6" i="1"/>
  <c r="GG13" i="1"/>
  <c r="FK6" i="1"/>
  <c r="FW6" i="1"/>
  <c r="GW5" i="1"/>
  <c r="GM6" i="1"/>
  <c r="GO9" i="1"/>
  <c r="HL9" i="1" s="1"/>
  <c r="HE9" i="1"/>
  <c r="HI3" i="1"/>
  <c r="GO3" i="1"/>
  <c r="GY6" i="1"/>
  <c r="GY3" i="1"/>
  <c r="GU6" i="1"/>
  <c r="HX8" i="1"/>
  <c r="HT8" i="1"/>
  <c r="IJ8" i="1"/>
  <c r="HP8" i="1"/>
  <c r="IB8" i="1"/>
  <c r="HR7" i="1"/>
  <c r="HV7" i="1"/>
  <c r="HZ7" i="1"/>
  <c r="HZ8" i="1" s="1"/>
  <c r="ID7" i="1"/>
  <c r="ID8" i="1" s="1"/>
  <c r="IH7" i="1"/>
  <c r="IL7" i="1"/>
  <c r="IL8" i="1" s="1"/>
  <c r="IN10" i="1"/>
  <c r="IN12" i="1"/>
  <c r="HR14" i="1"/>
  <c r="ID14" i="1"/>
  <c r="IL14" i="1"/>
  <c r="HV3" i="1"/>
  <c r="HV8" i="1" s="1"/>
  <c r="IH3" i="1"/>
  <c r="IN9" i="1"/>
  <c r="IN11" i="1"/>
  <c r="HN8" i="1"/>
  <c r="GQ3" i="1"/>
  <c r="HA3" i="1"/>
  <c r="HG3" i="1"/>
  <c r="GO13" i="1"/>
  <c r="HE13" i="1"/>
  <c r="HL13" i="1" s="1"/>
  <c r="GM3" i="1"/>
  <c r="GW3" i="1"/>
  <c r="HC3" i="1"/>
  <c r="GM5" i="1"/>
  <c r="HL5" i="1" s="1"/>
  <c r="GQ5" i="1"/>
  <c r="GU5" i="1"/>
  <c r="GY5" i="1"/>
  <c r="GY8" i="1" s="1"/>
  <c r="HC5" i="1"/>
  <c r="HC8" i="1" s="1"/>
  <c r="HG5" i="1"/>
  <c r="HG8" i="1" s="1"/>
  <c r="HK5" i="1"/>
  <c r="GS6" i="1"/>
  <c r="GS8" i="1" s="1"/>
  <c r="GW6" i="1"/>
  <c r="HL6" i="1" s="1"/>
  <c r="HI6" i="1"/>
  <c r="HI8" i="1" s="1"/>
  <c r="GO8" i="1"/>
  <c r="HE8" i="1"/>
  <c r="HA8" i="1"/>
  <c r="GP3" i="1"/>
  <c r="GP8" i="1" s="1"/>
  <c r="GT3" i="1"/>
  <c r="GT8" i="1" s="1"/>
  <c r="GX3" i="1"/>
  <c r="GX8" i="1" s="1"/>
  <c r="HB3" i="1"/>
  <c r="HB8" i="1" s="1"/>
  <c r="HF3" i="1"/>
  <c r="HF8" i="1" s="1"/>
  <c r="HJ3" i="1"/>
  <c r="HJ8" i="1" s="1"/>
  <c r="GQ8" i="1"/>
  <c r="GU8" i="1"/>
  <c r="HK8" i="1"/>
  <c r="HL12" i="1"/>
  <c r="GT14" i="1"/>
  <c r="HB14" i="1"/>
  <c r="HJ14" i="1"/>
  <c r="GN8" i="1"/>
  <c r="GR8" i="1"/>
  <c r="GV8" i="1"/>
  <c r="GZ8" i="1"/>
  <c r="HD8" i="1"/>
  <c r="HH8" i="1"/>
  <c r="HL7" i="1"/>
  <c r="HL10" i="1"/>
  <c r="HL11" i="1"/>
  <c r="GL8" i="1"/>
  <c r="FU5" i="1"/>
  <c r="FK3" i="1"/>
  <c r="FJ5" i="1"/>
  <c r="FV3" i="1"/>
  <c r="GH5" i="1"/>
  <c r="FR3" i="1"/>
  <c r="FZ5" i="1"/>
  <c r="FN5" i="1"/>
  <c r="FJ3" i="1"/>
  <c r="FQ3" i="1"/>
  <c r="FM5" i="1"/>
  <c r="GC5" i="1"/>
  <c r="FY5" i="1"/>
  <c r="FT5" i="1"/>
  <c r="FR6" i="1"/>
  <c r="GH6" i="1"/>
  <c r="GD5" i="1"/>
  <c r="FL3" i="1"/>
  <c r="FK5" i="1"/>
  <c r="FO5" i="1"/>
  <c r="FS5" i="1"/>
  <c r="FW5" i="1"/>
  <c r="GA5" i="1"/>
  <c r="GE5" i="1"/>
  <c r="GI5" i="1"/>
  <c r="FN6" i="1"/>
  <c r="FS6" i="1"/>
  <c r="GD6" i="1"/>
  <c r="GI6" i="1"/>
  <c r="FR5" i="1"/>
  <c r="FO3" i="1"/>
  <c r="FL5" i="1"/>
  <c r="FL8" i="1" s="1"/>
  <c r="FP5" i="1"/>
  <c r="FX5" i="1"/>
  <c r="GB5" i="1"/>
  <c r="GF5" i="1"/>
  <c r="FO6" i="1"/>
  <c r="GE6" i="1"/>
  <c r="FM3" i="1"/>
  <c r="FP7" i="1"/>
  <c r="FP3" i="1"/>
  <c r="FY7" i="1"/>
  <c r="FU7" i="1"/>
  <c r="FU3" i="1"/>
  <c r="FQ7" i="1"/>
  <c r="FN3" i="1"/>
  <c r="FK8" i="1"/>
  <c r="FO8" i="1"/>
  <c r="FN7" i="1"/>
  <c r="FR7" i="1"/>
  <c r="FV7" i="1"/>
  <c r="GJ6" i="1"/>
  <c r="FH168" i="1"/>
  <c r="FH136" i="1"/>
  <c r="FH120" i="1"/>
  <c r="FH104" i="1"/>
  <c r="FH92" i="1"/>
  <c r="FH88" i="1"/>
  <c r="FH72" i="1"/>
  <c r="FH56" i="1"/>
  <c r="FH40" i="1"/>
  <c r="FH164" i="1"/>
  <c r="FH152" i="1"/>
  <c r="FH148" i="1"/>
  <c r="FH132" i="1"/>
  <c r="FH116" i="1"/>
  <c r="FH100" i="1"/>
  <c r="FH84" i="1"/>
  <c r="FH68" i="1"/>
  <c r="FH52" i="1"/>
  <c r="FH36" i="1"/>
  <c r="FH160" i="1"/>
  <c r="FH144" i="1"/>
  <c r="FH128" i="1"/>
  <c r="FH112" i="1"/>
  <c r="FH96" i="1"/>
  <c r="FH64" i="1"/>
  <c r="FH48" i="1"/>
  <c r="FH32" i="1"/>
  <c r="F11" i="1"/>
  <c r="F9" i="1"/>
  <c r="AL7" i="1"/>
  <c r="BB7" i="1"/>
  <c r="AS14" i="1"/>
  <c r="AX7" i="1"/>
  <c r="BI14" i="1"/>
  <c r="F10" i="1"/>
  <c r="AW14" i="1"/>
  <c r="AM6" i="1"/>
  <c r="AQ6" i="1"/>
  <c r="AU6" i="1"/>
  <c r="AY6" i="1"/>
  <c r="BC6" i="1"/>
  <c r="BG6" i="1"/>
  <c r="AK7" i="1"/>
  <c r="BK7" i="1" s="1"/>
  <c r="AO7" i="1"/>
  <c r="BA7" i="1"/>
  <c r="BE7" i="1"/>
  <c r="F12" i="1"/>
  <c r="AM13" i="1"/>
  <c r="AQ13" i="1"/>
  <c r="AU13" i="1"/>
  <c r="AY13" i="1"/>
  <c r="BC13" i="1"/>
  <c r="BG13" i="1"/>
  <c r="AK13" i="1"/>
  <c r="AO13" i="1"/>
  <c r="AS13" i="1"/>
  <c r="AW13" i="1"/>
  <c r="BA13" i="1"/>
  <c r="BE13" i="1"/>
  <c r="BI13" i="1"/>
  <c r="BB123" i="1"/>
  <c r="BA139" i="1"/>
  <c r="AK139" i="1"/>
  <c r="BB115" i="1"/>
  <c r="BE143" i="1"/>
  <c r="AW135" i="1"/>
  <c r="AO143" i="1"/>
  <c r="BB131" i="1"/>
  <c r="BA143" i="1"/>
  <c r="AK143" i="1"/>
  <c r="AW139" i="1"/>
  <c r="BI135" i="1"/>
  <c r="AS135" i="1"/>
  <c r="AL131" i="1"/>
  <c r="AL123" i="1"/>
  <c r="AL115" i="1"/>
  <c r="BK14" i="1"/>
  <c r="AW143" i="1"/>
  <c r="BI139" i="1"/>
  <c r="AS139" i="1"/>
  <c r="BE135" i="1"/>
  <c r="AO135" i="1"/>
  <c r="BJ127" i="1"/>
  <c r="BJ119" i="1"/>
  <c r="BC107" i="1"/>
  <c r="BI143" i="1"/>
  <c r="AS143" i="1"/>
  <c r="BE139" i="1"/>
  <c r="AO139" i="1"/>
  <c r="BA135" i="1"/>
  <c r="AK135" i="1"/>
  <c r="AT127" i="1"/>
  <c r="AT119" i="1"/>
  <c r="AM71" i="1"/>
  <c r="AQ71" i="1"/>
  <c r="AU71" i="1"/>
  <c r="AY71" i="1"/>
  <c r="BC71" i="1"/>
  <c r="BG71" i="1"/>
  <c r="AK71" i="1"/>
  <c r="AN71" i="1"/>
  <c r="AR71" i="1"/>
  <c r="AV71" i="1"/>
  <c r="AZ71" i="1"/>
  <c r="BD71" i="1"/>
  <c r="BH71" i="1"/>
  <c r="AO71" i="1"/>
  <c r="AS71" i="1"/>
  <c r="AW71" i="1"/>
  <c r="BA71" i="1"/>
  <c r="BE71" i="1"/>
  <c r="BI71" i="1"/>
  <c r="AL71" i="1"/>
  <c r="AP71" i="1"/>
  <c r="AT71" i="1"/>
  <c r="AX71" i="1"/>
  <c r="BB71" i="1"/>
  <c r="BF71" i="1"/>
  <c r="BJ71" i="1"/>
  <c r="AK132" i="1"/>
  <c r="AO132" i="1"/>
  <c r="AS132" i="1"/>
  <c r="AW132" i="1"/>
  <c r="BA132" i="1"/>
  <c r="BE132" i="1"/>
  <c r="BI132" i="1"/>
  <c r="AL132" i="1"/>
  <c r="AP132" i="1"/>
  <c r="AT132" i="1"/>
  <c r="AX132" i="1"/>
  <c r="BB132" i="1"/>
  <c r="BF132" i="1"/>
  <c r="BJ132" i="1"/>
  <c r="AM132" i="1"/>
  <c r="AQ132" i="1"/>
  <c r="AU132" i="1"/>
  <c r="AY132" i="1"/>
  <c r="BC132" i="1"/>
  <c r="BG132" i="1"/>
  <c r="AV132" i="1"/>
  <c r="AZ132" i="1"/>
  <c r="AN132" i="1"/>
  <c r="BD132" i="1"/>
  <c r="AR132" i="1"/>
  <c r="BH132" i="1"/>
  <c r="AK116" i="1"/>
  <c r="AO116" i="1"/>
  <c r="AS116" i="1"/>
  <c r="AW116" i="1"/>
  <c r="BA116" i="1"/>
  <c r="BE116" i="1"/>
  <c r="BI116" i="1"/>
  <c r="AL116" i="1"/>
  <c r="AP116" i="1"/>
  <c r="AT116" i="1"/>
  <c r="AX116" i="1"/>
  <c r="BB116" i="1"/>
  <c r="BF116" i="1"/>
  <c r="BJ116" i="1"/>
  <c r="AM116" i="1"/>
  <c r="AQ116" i="1"/>
  <c r="AU116" i="1"/>
  <c r="AY116" i="1"/>
  <c r="BC116" i="1"/>
  <c r="BG116" i="1"/>
  <c r="AV116" i="1"/>
  <c r="AZ116" i="1"/>
  <c r="AN116" i="1"/>
  <c r="BD116" i="1"/>
  <c r="AR116" i="1"/>
  <c r="BH116" i="1"/>
  <c r="AL100" i="1"/>
  <c r="AP100" i="1"/>
  <c r="AT100" i="1"/>
  <c r="AX100" i="1"/>
  <c r="BB100" i="1"/>
  <c r="BF100" i="1"/>
  <c r="BJ100" i="1"/>
  <c r="AM100" i="1"/>
  <c r="AQ100" i="1"/>
  <c r="AU100" i="1"/>
  <c r="AY100" i="1"/>
  <c r="BC100" i="1"/>
  <c r="BG100" i="1"/>
  <c r="AN100" i="1"/>
  <c r="AR100" i="1"/>
  <c r="AV100" i="1"/>
  <c r="AZ100" i="1"/>
  <c r="BD100" i="1"/>
  <c r="BH100" i="1"/>
  <c r="AW100" i="1"/>
  <c r="AK100" i="1"/>
  <c r="BA100" i="1"/>
  <c r="AO100" i="1"/>
  <c r="BE100" i="1"/>
  <c r="BI100" i="1"/>
  <c r="AS100" i="1"/>
  <c r="AN136" i="1"/>
  <c r="AR136" i="1"/>
  <c r="AV136" i="1"/>
  <c r="AZ136" i="1"/>
  <c r="BD136" i="1"/>
  <c r="BH136" i="1"/>
  <c r="AK136" i="1"/>
  <c r="AO136" i="1"/>
  <c r="AS136" i="1"/>
  <c r="AW136" i="1"/>
  <c r="BA136" i="1"/>
  <c r="BE136" i="1"/>
  <c r="BI136" i="1"/>
  <c r="AL136" i="1"/>
  <c r="AP136" i="1"/>
  <c r="AT136" i="1"/>
  <c r="AX136" i="1"/>
  <c r="BB136" i="1"/>
  <c r="BF136" i="1"/>
  <c r="BJ136" i="1"/>
  <c r="AM136" i="1"/>
  <c r="AQ136" i="1"/>
  <c r="AU136" i="1"/>
  <c r="AY136" i="1"/>
  <c r="BC136" i="1"/>
  <c r="BG136" i="1"/>
  <c r="AK124" i="1"/>
  <c r="AO124" i="1"/>
  <c r="AS124" i="1"/>
  <c r="AW124" i="1"/>
  <c r="BA124" i="1"/>
  <c r="BE124" i="1"/>
  <c r="BI124" i="1"/>
  <c r="AL124" i="1"/>
  <c r="AP124" i="1"/>
  <c r="AT124" i="1"/>
  <c r="AX124" i="1"/>
  <c r="BB124" i="1"/>
  <c r="BF124" i="1"/>
  <c r="BJ124" i="1"/>
  <c r="AM124" i="1"/>
  <c r="AQ124" i="1"/>
  <c r="AU124" i="1"/>
  <c r="AY124" i="1"/>
  <c r="BC124" i="1"/>
  <c r="BG124" i="1"/>
  <c r="AV124" i="1"/>
  <c r="AZ124" i="1"/>
  <c r="AN124" i="1"/>
  <c r="BD124" i="1"/>
  <c r="AR124" i="1"/>
  <c r="BH124" i="1"/>
  <c r="AL112" i="1"/>
  <c r="AP112" i="1"/>
  <c r="AT112" i="1"/>
  <c r="AX112" i="1"/>
  <c r="BB112" i="1"/>
  <c r="BF112" i="1"/>
  <c r="BJ112" i="1"/>
  <c r="AM112" i="1"/>
  <c r="AQ112" i="1"/>
  <c r="AU112" i="1"/>
  <c r="AY112" i="1"/>
  <c r="BC112" i="1"/>
  <c r="BG112" i="1"/>
  <c r="AN112" i="1"/>
  <c r="AR112" i="1"/>
  <c r="AV112" i="1"/>
  <c r="AZ112" i="1"/>
  <c r="BD112" i="1"/>
  <c r="BH112" i="1"/>
  <c r="AO112" i="1"/>
  <c r="BE112" i="1"/>
  <c r="AS112" i="1"/>
  <c r="BI112" i="1"/>
  <c r="AW112" i="1"/>
  <c r="AK112" i="1"/>
  <c r="BA112" i="1"/>
  <c r="AL104" i="1"/>
  <c r="AP104" i="1"/>
  <c r="AT104" i="1"/>
  <c r="AX104" i="1"/>
  <c r="BB104" i="1"/>
  <c r="BF104" i="1"/>
  <c r="BJ104" i="1"/>
  <c r="AM104" i="1"/>
  <c r="AQ104" i="1"/>
  <c r="AU104" i="1"/>
  <c r="AY104" i="1"/>
  <c r="BC104" i="1"/>
  <c r="BG104" i="1"/>
  <c r="AN104" i="1"/>
  <c r="AR104" i="1"/>
  <c r="AV104" i="1"/>
  <c r="AZ104" i="1"/>
  <c r="BD104" i="1"/>
  <c r="BH104" i="1"/>
  <c r="AO104" i="1"/>
  <c r="BE104" i="1"/>
  <c r="AS104" i="1"/>
  <c r="BI104" i="1"/>
  <c r="AW104" i="1"/>
  <c r="AK104" i="1"/>
  <c r="BA104" i="1"/>
  <c r="AN92" i="1"/>
  <c r="AR92" i="1"/>
  <c r="AV92" i="1"/>
  <c r="AZ92" i="1"/>
  <c r="BD92" i="1"/>
  <c r="BH92" i="1"/>
  <c r="AK92" i="1"/>
  <c r="AO92" i="1"/>
  <c r="AS92" i="1"/>
  <c r="AW92" i="1"/>
  <c r="BA92" i="1"/>
  <c r="BE92" i="1"/>
  <c r="BI92" i="1"/>
  <c r="AP92" i="1"/>
  <c r="AX92" i="1"/>
  <c r="BF92" i="1"/>
  <c r="AQ92" i="1"/>
  <c r="AY92" i="1"/>
  <c r="BG92" i="1"/>
  <c r="AL92" i="1"/>
  <c r="AT92" i="1"/>
  <c r="BB92" i="1"/>
  <c r="BJ92" i="1"/>
  <c r="BC92" i="1"/>
  <c r="AM92" i="1"/>
  <c r="AU92" i="1"/>
  <c r="AN88" i="1"/>
  <c r="AR88" i="1"/>
  <c r="AV88" i="1"/>
  <c r="AZ88" i="1"/>
  <c r="BD88" i="1"/>
  <c r="BH88" i="1"/>
  <c r="AK88" i="1"/>
  <c r="AO88" i="1"/>
  <c r="AS88" i="1"/>
  <c r="AW88" i="1"/>
  <c r="BA88" i="1"/>
  <c r="BE88" i="1"/>
  <c r="BI88" i="1"/>
  <c r="AP88" i="1"/>
  <c r="AX88" i="1"/>
  <c r="BF88" i="1"/>
  <c r="AQ88" i="1"/>
  <c r="AY88" i="1"/>
  <c r="BG88" i="1"/>
  <c r="AL88" i="1"/>
  <c r="AT88" i="1"/>
  <c r="BB88" i="1"/>
  <c r="BJ88" i="1"/>
  <c r="AM88" i="1"/>
  <c r="AU88" i="1"/>
  <c r="BC88" i="1"/>
  <c r="AK84" i="1"/>
  <c r="AO84" i="1"/>
  <c r="AS84" i="1"/>
  <c r="AW84" i="1"/>
  <c r="BA84" i="1"/>
  <c r="BE84" i="1"/>
  <c r="BI84" i="1"/>
  <c r="AL84" i="1"/>
  <c r="AP84" i="1"/>
  <c r="AT84" i="1"/>
  <c r="AX84" i="1"/>
  <c r="BB84" i="1"/>
  <c r="BF84" i="1"/>
  <c r="AQ84" i="1"/>
  <c r="AY84" i="1"/>
  <c r="BG84" i="1"/>
  <c r="AR84" i="1"/>
  <c r="AZ84" i="1"/>
  <c r="BH84" i="1"/>
  <c r="AM84" i="1"/>
  <c r="BC84" i="1"/>
  <c r="AN84" i="1"/>
  <c r="BD84" i="1"/>
  <c r="AU84" i="1"/>
  <c r="BJ84" i="1"/>
  <c r="AV84" i="1"/>
  <c r="AK80" i="1"/>
  <c r="AO80" i="1"/>
  <c r="AS80" i="1"/>
  <c r="AW80" i="1"/>
  <c r="BA80" i="1"/>
  <c r="BE80" i="1"/>
  <c r="BI80" i="1"/>
  <c r="AL80" i="1"/>
  <c r="AP80" i="1"/>
  <c r="AT80" i="1"/>
  <c r="AX80" i="1"/>
  <c r="BB80" i="1"/>
  <c r="BF80" i="1"/>
  <c r="BJ80" i="1"/>
  <c r="AM80" i="1"/>
  <c r="AQ80" i="1"/>
  <c r="AU80" i="1"/>
  <c r="AY80" i="1"/>
  <c r="BC80" i="1"/>
  <c r="BG80" i="1"/>
  <c r="AN80" i="1"/>
  <c r="BD80" i="1"/>
  <c r="AR80" i="1"/>
  <c r="BH80" i="1"/>
  <c r="AV80" i="1"/>
  <c r="AZ80" i="1"/>
  <c r="AK76" i="1"/>
  <c r="AO76" i="1"/>
  <c r="AS76" i="1"/>
  <c r="AW76" i="1"/>
  <c r="BA76" i="1"/>
  <c r="BE76" i="1"/>
  <c r="BI76" i="1"/>
  <c r="AL76" i="1"/>
  <c r="AP76" i="1"/>
  <c r="AT76" i="1"/>
  <c r="AX76" i="1"/>
  <c r="BB76" i="1"/>
  <c r="BF76" i="1"/>
  <c r="BJ76" i="1"/>
  <c r="AM76" i="1"/>
  <c r="AQ76" i="1"/>
  <c r="AU76" i="1"/>
  <c r="AY76" i="1"/>
  <c r="BC76" i="1"/>
  <c r="BG76" i="1"/>
  <c r="AV76" i="1"/>
  <c r="AZ76" i="1"/>
  <c r="AN76" i="1"/>
  <c r="AR76" i="1"/>
  <c r="BD76" i="1"/>
  <c r="BH76" i="1"/>
  <c r="AK72" i="1"/>
  <c r="AO72" i="1"/>
  <c r="AS72" i="1"/>
  <c r="AW72" i="1"/>
  <c r="BA72" i="1"/>
  <c r="BE72" i="1"/>
  <c r="BI72" i="1"/>
  <c r="AL72" i="1"/>
  <c r="AP72" i="1"/>
  <c r="AT72" i="1"/>
  <c r="AX72" i="1"/>
  <c r="BB72" i="1"/>
  <c r="BF72" i="1"/>
  <c r="BJ72" i="1"/>
  <c r="AM72" i="1"/>
  <c r="AQ72" i="1"/>
  <c r="AU72" i="1"/>
  <c r="AY72" i="1"/>
  <c r="BC72" i="1"/>
  <c r="BG72" i="1"/>
  <c r="AN72" i="1"/>
  <c r="BD72" i="1"/>
  <c r="AR72" i="1"/>
  <c r="BH72" i="1"/>
  <c r="AV72" i="1"/>
  <c r="AZ72" i="1"/>
  <c r="AN142" i="1"/>
  <c r="AR142" i="1"/>
  <c r="AV142" i="1"/>
  <c r="AZ142" i="1"/>
  <c r="BD142" i="1"/>
  <c r="BH142" i="1"/>
  <c r="AK142" i="1"/>
  <c r="AO142" i="1"/>
  <c r="AS142" i="1"/>
  <c r="AW142" i="1"/>
  <c r="BA142" i="1"/>
  <c r="BE142" i="1"/>
  <c r="BI142" i="1"/>
  <c r="AL142" i="1"/>
  <c r="AP142" i="1"/>
  <c r="AT142" i="1"/>
  <c r="AX142" i="1"/>
  <c r="BB142" i="1"/>
  <c r="BF142" i="1"/>
  <c r="BJ142" i="1"/>
  <c r="AM142" i="1"/>
  <c r="AQ142" i="1"/>
  <c r="AU142" i="1"/>
  <c r="AY142" i="1"/>
  <c r="BC142" i="1"/>
  <c r="BG142" i="1"/>
  <c r="AN138" i="1"/>
  <c r="AR138" i="1"/>
  <c r="AV138" i="1"/>
  <c r="AZ138" i="1"/>
  <c r="BD138" i="1"/>
  <c r="BH138" i="1"/>
  <c r="AK138" i="1"/>
  <c r="AO138" i="1"/>
  <c r="AS138" i="1"/>
  <c r="AW138" i="1"/>
  <c r="BA138" i="1"/>
  <c r="BE138" i="1"/>
  <c r="BI138" i="1"/>
  <c r="AL138" i="1"/>
  <c r="AP138" i="1"/>
  <c r="AT138" i="1"/>
  <c r="AX138" i="1"/>
  <c r="BB138" i="1"/>
  <c r="BF138" i="1"/>
  <c r="BJ138" i="1"/>
  <c r="AM138" i="1"/>
  <c r="AQ138" i="1"/>
  <c r="AU138" i="1"/>
  <c r="AY138" i="1"/>
  <c r="BC138" i="1"/>
  <c r="BG138" i="1"/>
  <c r="AN134" i="1"/>
  <c r="AR134" i="1"/>
  <c r="AV134" i="1"/>
  <c r="AZ134" i="1"/>
  <c r="BD134" i="1"/>
  <c r="BH134" i="1"/>
  <c r="AK134" i="1"/>
  <c r="AO134" i="1"/>
  <c r="AS134" i="1"/>
  <c r="AW134" i="1"/>
  <c r="BA134" i="1"/>
  <c r="BE134" i="1"/>
  <c r="BI134" i="1"/>
  <c r="AL134" i="1"/>
  <c r="AP134" i="1"/>
  <c r="AT134" i="1"/>
  <c r="AX134" i="1"/>
  <c r="BB134" i="1"/>
  <c r="BF134" i="1"/>
  <c r="BJ134" i="1"/>
  <c r="AM134" i="1"/>
  <c r="AQ134" i="1"/>
  <c r="AU134" i="1"/>
  <c r="AY134" i="1"/>
  <c r="BC134" i="1"/>
  <c r="BG134" i="1"/>
  <c r="AK130" i="1"/>
  <c r="AO130" i="1"/>
  <c r="AS130" i="1"/>
  <c r="AW130" i="1"/>
  <c r="BA130" i="1"/>
  <c r="BE130" i="1"/>
  <c r="BI130" i="1"/>
  <c r="AL130" i="1"/>
  <c r="AP130" i="1"/>
  <c r="AT130" i="1"/>
  <c r="AX130" i="1"/>
  <c r="BB130" i="1"/>
  <c r="BF130" i="1"/>
  <c r="BJ130" i="1"/>
  <c r="AM130" i="1"/>
  <c r="AQ130" i="1"/>
  <c r="AU130" i="1"/>
  <c r="AY130" i="1"/>
  <c r="BC130" i="1"/>
  <c r="BG130" i="1"/>
  <c r="AZ130" i="1"/>
  <c r="AN130" i="1"/>
  <c r="BD130" i="1"/>
  <c r="AR130" i="1"/>
  <c r="BH130" i="1"/>
  <c r="AV130" i="1"/>
  <c r="AK126" i="1"/>
  <c r="AO126" i="1"/>
  <c r="AS126" i="1"/>
  <c r="AW126" i="1"/>
  <c r="BA126" i="1"/>
  <c r="BE126" i="1"/>
  <c r="BI126" i="1"/>
  <c r="AL126" i="1"/>
  <c r="AP126" i="1"/>
  <c r="AT126" i="1"/>
  <c r="AX126" i="1"/>
  <c r="BB126" i="1"/>
  <c r="BF126" i="1"/>
  <c r="BJ126" i="1"/>
  <c r="AM126" i="1"/>
  <c r="AQ126" i="1"/>
  <c r="AU126" i="1"/>
  <c r="AY126" i="1"/>
  <c r="BC126" i="1"/>
  <c r="BG126" i="1"/>
  <c r="AR126" i="1"/>
  <c r="BH126" i="1"/>
  <c r="AV126" i="1"/>
  <c r="AZ126" i="1"/>
  <c r="AN126" i="1"/>
  <c r="BD126" i="1"/>
  <c r="AK122" i="1"/>
  <c r="AO122" i="1"/>
  <c r="AS122" i="1"/>
  <c r="AW122" i="1"/>
  <c r="BA122" i="1"/>
  <c r="BE122" i="1"/>
  <c r="BI122" i="1"/>
  <c r="AL122" i="1"/>
  <c r="AP122" i="1"/>
  <c r="AT122" i="1"/>
  <c r="AX122" i="1"/>
  <c r="BB122" i="1"/>
  <c r="BF122" i="1"/>
  <c r="BJ122" i="1"/>
  <c r="AM122" i="1"/>
  <c r="AQ122" i="1"/>
  <c r="AU122" i="1"/>
  <c r="AY122" i="1"/>
  <c r="BC122" i="1"/>
  <c r="BG122" i="1"/>
  <c r="AZ122" i="1"/>
  <c r="AN122" i="1"/>
  <c r="BD122" i="1"/>
  <c r="AR122" i="1"/>
  <c r="BH122" i="1"/>
  <c r="AV122" i="1"/>
  <c r="AK118" i="1"/>
  <c r="AO118" i="1"/>
  <c r="AS118" i="1"/>
  <c r="AW118" i="1"/>
  <c r="BA118" i="1"/>
  <c r="BE118" i="1"/>
  <c r="BI118" i="1"/>
  <c r="AL118" i="1"/>
  <c r="AP118" i="1"/>
  <c r="AT118" i="1"/>
  <c r="AX118" i="1"/>
  <c r="BB118" i="1"/>
  <c r="BF118" i="1"/>
  <c r="BJ118" i="1"/>
  <c r="AM118" i="1"/>
  <c r="AQ118" i="1"/>
  <c r="AU118" i="1"/>
  <c r="AY118" i="1"/>
  <c r="BC118" i="1"/>
  <c r="BG118" i="1"/>
  <c r="AR118" i="1"/>
  <c r="BH118" i="1"/>
  <c r="AV118" i="1"/>
  <c r="AZ118" i="1"/>
  <c r="AN118" i="1"/>
  <c r="BD118" i="1"/>
  <c r="AL114" i="1"/>
  <c r="AO114" i="1"/>
  <c r="AS114" i="1"/>
  <c r="AW114" i="1"/>
  <c r="BA114" i="1"/>
  <c r="BE114" i="1"/>
  <c r="BI114" i="1"/>
  <c r="AK114" i="1"/>
  <c r="AP114" i="1"/>
  <c r="AT114" i="1"/>
  <c r="AX114" i="1"/>
  <c r="BB114" i="1"/>
  <c r="BF114" i="1"/>
  <c r="BJ114" i="1"/>
  <c r="AM114" i="1"/>
  <c r="AQ114" i="1"/>
  <c r="AU114" i="1"/>
  <c r="AY114" i="1"/>
  <c r="BC114" i="1"/>
  <c r="BG114" i="1"/>
  <c r="AZ114" i="1"/>
  <c r="AN114" i="1"/>
  <c r="BD114" i="1"/>
  <c r="AR114" i="1"/>
  <c r="BH114" i="1"/>
  <c r="AV114" i="1"/>
  <c r="AL110" i="1"/>
  <c r="AP110" i="1"/>
  <c r="AT110" i="1"/>
  <c r="AX110" i="1"/>
  <c r="BB110" i="1"/>
  <c r="BF110" i="1"/>
  <c r="BJ110" i="1"/>
  <c r="AM110" i="1"/>
  <c r="AQ110" i="1"/>
  <c r="AU110" i="1"/>
  <c r="AY110" i="1"/>
  <c r="BC110" i="1"/>
  <c r="BG110" i="1"/>
  <c r="AN110" i="1"/>
  <c r="AR110" i="1"/>
  <c r="AV110" i="1"/>
  <c r="AZ110" i="1"/>
  <c r="BD110" i="1"/>
  <c r="BH110" i="1"/>
  <c r="AS110" i="1"/>
  <c r="BI110" i="1"/>
  <c r="AW110" i="1"/>
  <c r="AK110" i="1"/>
  <c r="BA110" i="1"/>
  <c r="BE110" i="1"/>
  <c r="AO110" i="1"/>
  <c r="AL106" i="1"/>
  <c r="AP106" i="1"/>
  <c r="AT106" i="1"/>
  <c r="AX106" i="1"/>
  <c r="BB106" i="1"/>
  <c r="BF106" i="1"/>
  <c r="BJ106" i="1"/>
  <c r="AM106" i="1"/>
  <c r="AQ106" i="1"/>
  <c r="AU106" i="1"/>
  <c r="AY106" i="1"/>
  <c r="BC106" i="1"/>
  <c r="BG106" i="1"/>
  <c r="AN106" i="1"/>
  <c r="AR106" i="1"/>
  <c r="AV106" i="1"/>
  <c r="AZ106" i="1"/>
  <c r="BD106" i="1"/>
  <c r="BH106" i="1"/>
  <c r="AK106" i="1"/>
  <c r="BA106" i="1"/>
  <c r="AO106" i="1"/>
  <c r="BE106" i="1"/>
  <c r="AS106" i="1"/>
  <c r="BI106" i="1"/>
  <c r="AW106" i="1"/>
  <c r="AL102" i="1"/>
  <c r="AP102" i="1"/>
  <c r="AT102" i="1"/>
  <c r="AX102" i="1"/>
  <c r="BB102" i="1"/>
  <c r="BF102" i="1"/>
  <c r="BJ102" i="1"/>
  <c r="AM102" i="1"/>
  <c r="AQ102" i="1"/>
  <c r="AU102" i="1"/>
  <c r="AY102" i="1"/>
  <c r="BC102" i="1"/>
  <c r="BG102" i="1"/>
  <c r="AN102" i="1"/>
  <c r="AR102" i="1"/>
  <c r="AV102" i="1"/>
  <c r="AZ102" i="1"/>
  <c r="BD102" i="1"/>
  <c r="BH102" i="1"/>
  <c r="AS102" i="1"/>
  <c r="BI102" i="1"/>
  <c r="AW102" i="1"/>
  <c r="AK102" i="1"/>
  <c r="BA102" i="1"/>
  <c r="AO102" i="1"/>
  <c r="BE102" i="1"/>
  <c r="AL98" i="1"/>
  <c r="AP98" i="1"/>
  <c r="AT98" i="1"/>
  <c r="AX98" i="1"/>
  <c r="BB98" i="1"/>
  <c r="BF98" i="1"/>
  <c r="BJ98" i="1"/>
  <c r="AM98" i="1"/>
  <c r="AQ98" i="1"/>
  <c r="AU98" i="1"/>
  <c r="AY98" i="1"/>
  <c r="BC98" i="1"/>
  <c r="BG98" i="1"/>
  <c r="AN98" i="1"/>
  <c r="AR98" i="1"/>
  <c r="AV98" i="1"/>
  <c r="AZ98" i="1"/>
  <c r="BD98" i="1"/>
  <c r="BH98" i="1"/>
  <c r="AK98" i="1"/>
  <c r="BA98" i="1"/>
  <c r="AO98" i="1"/>
  <c r="BE98" i="1"/>
  <c r="AS98" i="1"/>
  <c r="BI98" i="1"/>
  <c r="AW98" i="1"/>
  <c r="AN94" i="1"/>
  <c r="AR94" i="1"/>
  <c r="AV94" i="1"/>
  <c r="AZ94" i="1"/>
  <c r="BD94" i="1"/>
  <c r="BH94" i="1"/>
  <c r="AK94" i="1"/>
  <c r="AO94" i="1"/>
  <c r="AS94" i="1"/>
  <c r="AL94" i="1"/>
  <c r="AT94" i="1"/>
  <c r="AY94" i="1"/>
  <c r="BE94" i="1"/>
  <c r="BJ94" i="1"/>
  <c r="AM94" i="1"/>
  <c r="AU94" i="1"/>
  <c r="BA94" i="1"/>
  <c r="BF94" i="1"/>
  <c r="AP94" i="1"/>
  <c r="AW94" i="1"/>
  <c r="BB94" i="1"/>
  <c r="BG94" i="1"/>
  <c r="BI94" i="1"/>
  <c r="AQ94" i="1"/>
  <c r="AX94" i="1"/>
  <c r="BC94" i="1"/>
  <c r="AN90" i="1"/>
  <c r="AR90" i="1"/>
  <c r="AV90" i="1"/>
  <c r="AZ90" i="1"/>
  <c r="BD90" i="1"/>
  <c r="BH90" i="1"/>
  <c r="AK90" i="1"/>
  <c r="AO90" i="1"/>
  <c r="AS90" i="1"/>
  <c r="AW90" i="1"/>
  <c r="BA90" i="1"/>
  <c r="BE90" i="1"/>
  <c r="BI90" i="1"/>
  <c r="AL90" i="1"/>
  <c r="AT90" i="1"/>
  <c r="BB90" i="1"/>
  <c r="BJ90" i="1"/>
  <c r="AM90" i="1"/>
  <c r="AU90" i="1"/>
  <c r="BC90" i="1"/>
  <c r="AP90" i="1"/>
  <c r="AX90" i="1"/>
  <c r="BF90" i="1"/>
  <c r="AQ90" i="1"/>
  <c r="AY90" i="1"/>
  <c r="BG90" i="1"/>
  <c r="AN86" i="1"/>
  <c r="AR86" i="1"/>
  <c r="AV86" i="1"/>
  <c r="AZ86" i="1"/>
  <c r="BD86" i="1"/>
  <c r="BH86" i="1"/>
  <c r="AK86" i="1"/>
  <c r="AO86" i="1"/>
  <c r="AS86" i="1"/>
  <c r="AW86" i="1"/>
  <c r="BA86" i="1"/>
  <c r="BE86" i="1"/>
  <c r="BI86" i="1"/>
  <c r="AL86" i="1"/>
  <c r="AT86" i="1"/>
  <c r="BB86" i="1"/>
  <c r="BJ86" i="1"/>
  <c r="AM86" i="1"/>
  <c r="AU86" i="1"/>
  <c r="BC86" i="1"/>
  <c r="AP86" i="1"/>
  <c r="AX86" i="1"/>
  <c r="BF86" i="1"/>
  <c r="AY86" i="1"/>
  <c r="BG86" i="1"/>
  <c r="AQ86" i="1"/>
  <c r="AK82" i="1"/>
  <c r="AO82" i="1"/>
  <c r="AS82" i="1"/>
  <c r="AW82" i="1"/>
  <c r="BA82" i="1"/>
  <c r="BE82" i="1"/>
  <c r="BI82" i="1"/>
  <c r="AL82" i="1"/>
  <c r="AP82" i="1"/>
  <c r="AT82" i="1"/>
  <c r="AX82" i="1"/>
  <c r="BB82" i="1"/>
  <c r="BF82" i="1"/>
  <c r="BJ82" i="1"/>
  <c r="AM82" i="1"/>
  <c r="AQ82" i="1"/>
  <c r="AU82" i="1"/>
  <c r="AY82" i="1"/>
  <c r="BC82" i="1"/>
  <c r="BG82" i="1"/>
  <c r="AZ82" i="1"/>
  <c r="AN82" i="1"/>
  <c r="BD82" i="1"/>
  <c r="AR82" i="1"/>
  <c r="AV82" i="1"/>
  <c r="BH82" i="1"/>
  <c r="AK78" i="1"/>
  <c r="AO78" i="1"/>
  <c r="AS78" i="1"/>
  <c r="AW78" i="1"/>
  <c r="BA78" i="1"/>
  <c r="BE78" i="1"/>
  <c r="BI78" i="1"/>
  <c r="AL78" i="1"/>
  <c r="AP78" i="1"/>
  <c r="AT78" i="1"/>
  <c r="AX78" i="1"/>
  <c r="BB78" i="1"/>
  <c r="BF78" i="1"/>
  <c r="BJ78" i="1"/>
  <c r="AM78" i="1"/>
  <c r="AQ78" i="1"/>
  <c r="AU78" i="1"/>
  <c r="AY78" i="1"/>
  <c r="BC78" i="1"/>
  <c r="BG78" i="1"/>
  <c r="AR78" i="1"/>
  <c r="BH78" i="1"/>
  <c r="AV78" i="1"/>
  <c r="AZ78" i="1"/>
  <c r="BD78" i="1"/>
  <c r="AN78" i="1"/>
  <c r="AK74" i="1"/>
  <c r="AO74" i="1"/>
  <c r="AS74" i="1"/>
  <c r="AW74" i="1"/>
  <c r="BA74" i="1"/>
  <c r="BE74" i="1"/>
  <c r="BI74" i="1"/>
  <c r="AL74" i="1"/>
  <c r="AP74" i="1"/>
  <c r="AT74" i="1"/>
  <c r="AX74" i="1"/>
  <c r="BB74" i="1"/>
  <c r="BF74" i="1"/>
  <c r="BJ74" i="1"/>
  <c r="AM74" i="1"/>
  <c r="AQ74" i="1"/>
  <c r="AU74" i="1"/>
  <c r="AY74" i="1"/>
  <c r="BC74" i="1"/>
  <c r="BG74" i="1"/>
  <c r="AZ74" i="1"/>
  <c r="AN74" i="1"/>
  <c r="BD74" i="1"/>
  <c r="BH74" i="1"/>
  <c r="AR74" i="1"/>
  <c r="AV74" i="1"/>
  <c r="AN140" i="1"/>
  <c r="AR140" i="1"/>
  <c r="AV140" i="1"/>
  <c r="AZ140" i="1"/>
  <c r="BD140" i="1"/>
  <c r="BH140" i="1"/>
  <c r="AK140" i="1"/>
  <c r="AO140" i="1"/>
  <c r="AS140" i="1"/>
  <c r="AW140" i="1"/>
  <c r="BA140" i="1"/>
  <c r="BE140" i="1"/>
  <c r="BI140" i="1"/>
  <c r="AL140" i="1"/>
  <c r="AP140" i="1"/>
  <c r="AT140" i="1"/>
  <c r="AX140" i="1"/>
  <c r="BB140" i="1"/>
  <c r="BF140" i="1"/>
  <c r="BJ140" i="1"/>
  <c r="AM140" i="1"/>
  <c r="AQ140" i="1"/>
  <c r="AU140" i="1"/>
  <c r="AY140" i="1"/>
  <c r="BC140" i="1"/>
  <c r="BG140" i="1"/>
  <c r="AK128" i="1"/>
  <c r="AO128" i="1"/>
  <c r="AS128" i="1"/>
  <c r="AW128" i="1"/>
  <c r="BA128" i="1"/>
  <c r="BE128" i="1"/>
  <c r="BI128" i="1"/>
  <c r="AL128" i="1"/>
  <c r="AL10" i="1" s="1"/>
  <c r="AP128" i="1"/>
  <c r="AT128" i="1"/>
  <c r="AX128" i="1"/>
  <c r="BB128" i="1"/>
  <c r="BF128" i="1"/>
  <c r="BJ128" i="1"/>
  <c r="AM128" i="1"/>
  <c r="AQ128" i="1"/>
  <c r="AU128" i="1"/>
  <c r="AY128" i="1"/>
  <c r="BC128" i="1"/>
  <c r="BG128" i="1"/>
  <c r="AN128" i="1"/>
  <c r="BD128" i="1"/>
  <c r="AR128" i="1"/>
  <c r="BH128" i="1"/>
  <c r="AV128" i="1"/>
  <c r="AZ128" i="1"/>
  <c r="AK120" i="1"/>
  <c r="AO120" i="1"/>
  <c r="AS120" i="1"/>
  <c r="AW120" i="1"/>
  <c r="BA120" i="1"/>
  <c r="BE120" i="1"/>
  <c r="BI120" i="1"/>
  <c r="AL120" i="1"/>
  <c r="AP120" i="1"/>
  <c r="AT120" i="1"/>
  <c r="AX120" i="1"/>
  <c r="BB120" i="1"/>
  <c r="BF120" i="1"/>
  <c r="BJ120" i="1"/>
  <c r="AM120" i="1"/>
  <c r="AQ120" i="1"/>
  <c r="AU120" i="1"/>
  <c r="AY120" i="1"/>
  <c r="BC120" i="1"/>
  <c r="BG120" i="1"/>
  <c r="AN120" i="1"/>
  <c r="BD120" i="1"/>
  <c r="AR120" i="1"/>
  <c r="BH120" i="1"/>
  <c r="AV120" i="1"/>
  <c r="AZ120" i="1"/>
  <c r="AL108" i="1"/>
  <c r="AP108" i="1"/>
  <c r="AT108" i="1"/>
  <c r="AX108" i="1"/>
  <c r="BB108" i="1"/>
  <c r="BF108" i="1"/>
  <c r="BJ108" i="1"/>
  <c r="AM108" i="1"/>
  <c r="AQ108" i="1"/>
  <c r="AU108" i="1"/>
  <c r="AY108" i="1"/>
  <c r="BC108" i="1"/>
  <c r="BG108" i="1"/>
  <c r="AN108" i="1"/>
  <c r="AR108" i="1"/>
  <c r="AV108" i="1"/>
  <c r="AZ108" i="1"/>
  <c r="BD108" i="1"/>
  <c r="BH108" i="1"/>
  <c r="AW108" i="1"/>
  <c r="AK108" i="1"/>
  <c r="BA108" i="1"/>
  <c r="AO108" i="1"/>
  <c r="BE108" i="1"/>
  <c r="AS108" i="1"/>
  <c r="BI108" i="1"/>
  <c r="AL96" i="1"/>
  <c r="AP96" i="1"/>
  <c r="AT96" i="1"/>
  <c r="AX96" i="1"/>
  <c r="BB96" i="1"/>
  <c r="BF96" i="1"/>
  <c r="BJ96" i="1"/>
  <c r="AM96" i="1"/>
  <c r="AQ96" i="1"/>
  <c r="AU96" i="1"/>
  <c r="AY96" i="1"/>
  <c r="BC96" i="1"/>
  <c r="BG96" i="1"/>
  <c r="AN96" i="1"/>
  <c r="AR96" i="1"/>
  <c r="AV96" i="1"/>
  <c r="AZ96" i="1"/>
  <c r="BD96" i="1"/>
  <c r="BH96" i="1"/>
  <c r="AO96" i="1"/>
  <c r="BE96" i="1"/>
  <c r="AS96" i="1"/>
  <c r="BI96" i="1"/>
  <c r="AW96" i="1"/>
  <c r="AK96" i="1"/>
  <c r="BA96" i="1"/>
  <c r="AL141" i="1"/>
  <c r="AP141" i="1"/>
  <c r="AT141" i="1"/>
  <c r="AX141" i="1"/>
  <c r="BB141" i="1"/>
  <c r="BF141" i="1"/>
  <c r="BJ141" i="1"/>
  <c r="AM141" i="1"/>
  <c r="AQ141" i="1"/>
  <c r="AU141" i="1"/>
  <c r="AY141" i="1"/>
  <c r="BC141" i="1"/>
  <c r="BG141" i="1"/>
  <c r="AN141" i="1"/>
  <c r="AR141" i="1"/>
  <c r="AV141" i="1"/>
  <c r="AZ141" i="1"/>
  <c r="BD141" i="1"/>
  <c r="BH141" i="1"/>
  <c r="AK141" i="1"/>
  <c r="AO141" i="1"/>
  <c r="AS141" i="1"/>
  <c r="AW141" i="1"/>
  <c r="BA141" i="1"/>
  <c r="BE141" i="1"/>
  <c r="BI141" i="1"/>
  <c r="AL137" i="1"/>
  <c r="AP137" i="1"/>
  <c r="AT137" i="1"/>
  <c r="AX137" i="1"/>
  <c r="BB137" i="1"/>
  <c r="BF137" i="1"/>
  <c r="BJ137" i="1"/>
  <c r="AM137" i="1"/>
  <c r="AQ137" i="1"/>
  <c r="AU137" i="1"/>
  <c r="AY137" i="1"/>
  <c r="BC137" i="1"/>
  <c r="BG137" i="1"/>
  <c r="AN137" i="1"/>
  <c r="AR137" i="1"/>
  <c r="AV137" i="1"/>
  <c r="AZ137" i="1"/>
  <c r="BD137" i="1"/>
  <c r="BH137" i="1"/>
  <c r="AK137" i="1"/>
  <c r="AO137" i="1"/>
  <c r="AS137" i="1"/>
  <c r="AW137" i="1"/>
  <c r="BA137" i="1"/>
  <c r="BE137" i="1"/>
  <c r="BI137" i="1"/>
  <c r="AM133" i="1"/>
  <c r="AQ133" i="1"/>
  <c r="AN133" i="1"/>
  <c r="AK133" i="1"/>
  <c r="AO133" i="1"/>
  <c r="AL133" i="1"/>
  <c r="AT133" i="1"/>
  <c r="AX133" i="1"/>
  <c r="BB133" i="1"/>
  <c r="BF133" i="1"/>
  <c r="BJ133" i="1"/>
  <c r="AP133" i="1"/>
  <c r="AU133" i="1"/>
  <c r="AY133" i="1"/>
  <c r="BC133" i="1"/>
  <c r="BG133" i="1"/>
  <c r="AR133" i="1"/>
  <c r="AV133" i="1"/>
  <c r="AZ133" i="1"/>
  <c r="BD133" i="1"/>
  <c r="BH133" i="1"/>
  <c r="AS133" i="1"/>
  <c r="AW133" i="1"/>
  <c r="BA133" i="1"/>
  <c r="BE133" i="1"/>
  <c r="BI133" i="1"/>
  <c r="AM129" i="1"/>
  <c r="AQ129" i="1"/>
  <c r="AU129" i="1"/>
  <c r="AY129" i="1"/>
  <c r="BC129" i="1"/>
  <c r="BG129" i="1"/>
  <c r="AN129" i="1"/>
  <c r="AR129" i="1"/>
  <c r="AV129" i="1"/>
  <c r="AZ129" i="1"/>
  <c r="BD129" i="1"/>
  <c r="BH129" i="1"/>
  <c r="AK129" i="1"/>
  <c r="AO129" i="1"/>
  <c r="AS129" i="1"/>
  <c r="AW129" i="1"/>
  <c r="BA129" i="1"/>
  <c r="BE129" i="1"/>
  <c r="BI129" i="1"/>
  <c r="AT129" i="1"/>
  <c r="BJ129" i="1"/>
  <c r="AX129" i="1"/>
  <c r="AL129" i="1"/>
  <c r="BB129" i="1"/>
  <c r="AP129" i="1"/>
  <c r="BF129" i="1"/>
  <c r="AM125" i="1"/>
  <c r="AQ125" i="1"/>
  <c r="AU125" i="1"/>
  <c r="AY125" i="1"/>
  <c r="BC125" i="1"/>
  <c r="BG125" i="1"/>
  <c r="AN125" i="1"/>
  <c r="AR125" i="1"/>
  <c r="AV125" i="1"/>
  <c r="AZ125" i="1"/>
  <c r="BD125" i="1"/>
  <c r="BH125" i="1"/>
  <c r="AK125" i="1"/>
  <c r="AO125" i="1"/>
  <c r="AS125" i="1"/>
  <c r="AW125" i="1"/>
  <c r="BA125" i="1"/>
  <c r="BE125" i="1"/>
  <c r="BI125" i="1"/>
  <c r="AL125" i="1"/>
  <c r="BB125" i="1"/>
  <c r="AP125" i="1"/>
  <c r="BF125" i="1"/>
  <c r="AT125" i="1"/>
  <c r="BJ125" i="1"/>
  <c r="AX125" i="1"/>
  <c r="AM121" i="1"/>
  <c r="AQ121" i="1"/>
  <c r="AU121" i="1"/>
  <c r="AY121" i="1"/>
  <c r="BC121" i="1"/>
  <c r="BG121" i="1"/>
  <c r="AN121" i="1"/>
  <c r="AR121" i="1"/>
  <c r="AV121" i="1"/>
  <c r="AZ121" i="1"/>
  <c r="BD121" i="1"/>
  <c r="BH121" i="1"/>
  <c r="AK121" i="1"/>
  <c r="AO121" i="1"/>
  <c r="AS121" i="1"/>
  <c r="AW121" i="1"/>
  <c r="BA121" i="1"/>
  <c r="BE121" i="1"/>
  <c r="BI121" i="1"/>
  <c r="AT121" i="1"/>
  <c r="BJ121" i="1"/>
  <c r="AX121" i="1"/>
  <c r="AL121" i="1"/>
  <c r="BB121" i="1"/>
  <c r="AP121" i="1"/>
  <c r="BF121" i="1"/>
  <c r="AM117" i="1"/>
  <c r="AQ117" i="1"/>
  <c r="AU117" i="1"/>
  <c r="AY117" i="1"/>
  <c r="BC117" i="1"/>
  <c r="BG117" i="1"/>
  <c r="AN117" i="1"/>
  <c r="AR117" i="1"/>
  <c r="AV117" i="1"/>
  <c r="AZ117" i="1"/>
  <c r="BD117" i="1"/>
  <c r="BH117" i="1"/>
  <c r="AK117" i="1"/>
  <c r="AO117" i="1"/>
  <c r="AS117" i="1"/>
  <c r="AW117" i="1"/>
  <c r="BA117" i="1"/>
  <c r="BE117" i="1"/>
  <c r="BI117" i="1"/>
  <c r="AL117" i="1"/>
  <c r="BB117" i="1"/>
  <c r="AP117" i="1"/>
  <c r="BF117" i="1"/>
  <c r="AT117" i="1"/>
  <c r="BJ117" i="1"/>
  <c r="AX117" i="1"/>
  <c r="AN113" i="1"/>
  <c r="AR113" i="1"/>
  <c r="AV113" i="1"/>
  <c r="AZ113" i="1"/>
  <c r="BD113" i="1"/>
  <c r="BH113" i="1"/>
  <c r="AK113" i="1"/>
  <c r="AO113" i="1"/>
  <c r="AT113" i="1"/>
  <c r="AY113" i="1"/>
  <c r="BE113" i="1"/>
  <c r="BJ113" i="1"/>
  <c r="AP113" i="1"/>
  <c r="AU113" i="1"/>
  <c r="BA113" i="1"/>
  <c r="BF113" i="1"/>
  <c r="AL113" i="1"/>
  <c r="AQ113" i="1"/>
  <c r="AW113" i="1"/>
  <c r="BB113" i="1"/>
  <c r="BG113" i="1"/>
  <c r="AM113" i="1"/>
  <c r="BI113" i="1"/>
  <c r="AS113" i="1"/>
  <c r="AX113" i="1"/>
  <c r="BC113" i="1"/>
  <c r="AN109" i="1"/>
  <c r="AR109" i="1"/>
  <c r="AV109" i="1"/>
  <c r="AZ109" i="1"/>
  <c r="BD109" i="1"/>
  <c r="BH109" i="1"/>
  <c r="AK109" i="1"/>
  <c r="AO109" i="1"/>
  <c r="AS109" i="1"/>
  <c r="AW109" i="1"/>
  <c r="BA109" i="1"/>
  <c r="BE109" i="1"/>
  <c r="BI109" i="1"/>
  <c r="AL109" i="1"/>
  <c r="AP109" i="1"/>
  <c r="AT109" i="1"/>
  <c r="AX109" i="1"/>
  <c r="BB109" i="1"/>
  <c r="BF109" i="1"/>
  <c r="BJ109" i="1"/>
  <c r="AM109" i="1"/>
  <c r="BC109" i="1"/>
  <c r="AQ109" i="1"/>
  <c r="BG109" i="1"/>
  <c r="AU109" i="1"/>
  <c r="AY109" i="1"/>
  <c r="AN105" i="1"/>
  <c r="AR105" i="1"/>
  <c r="AV105" i="1"/>
  <c r="AZ105" i="1"/>
  <c r="BD105" i="1"/>
  <c r="BH105" i="1"/>
  <c r="AK105" i="1"/>
  <c r="AO105" i="1"/>
  <c r="AS105" i="1"/>
  <c r="AW105" i="1"/>
  <c r="BA105" i="1"/>
  <c r="BE105" i="1"/>
  <c r="BI105" i="1"/>
  <c r="AL105" i="1"/>
  <c r="AP105" i="1"/>
  <c r="AT105" i="1"/>
  <c r="AX105" i="1"/>
  <c r="BB105" i="1"/>
  <c r="BF105" i="1"/>
  <c r="BJ105" i="1"/>
  <c r="AU105" i="1"/>
  <c r="AY105" i="1"/>
  <c r="AM105" i="1"/>
  <c r="BC105" i="1"/>
  <c r="BG105" i="1"/>
  <c r="AQ105" i="1"/>
  <c r="AN101" i="1"/>
  <c r="AR101" i="1"/>
  <c r="AV101" i="1"/>
  <c r="AZ101" i="1"/>
  <c r="BD101" i="1"/>
  <c r="BH101" i="1"/>
  <c r="AK101" i="1"/>
  <c r="AO101" i="1"/>
  <c r="AS101" i="1"/>
  <c r="AW101" i="1"/>
  <c r="BA101" i="1"/>
  <c r="BE101" i="1"/>
  <c r="BI101" i="1"/>
  <c r="AL101" i="1"/>
  <c r="AP101" i="1"/>
  <c r="AT101" i="1"/>
  <c r="AX101" i="1"/>
  <c r="BB101" i="1"/>
  <c r="BF101" i="1"/>
  <c r="BJ101" i="1"/>
  <c r="AM101" i="1"/>
  <c r="BC101" i="1"/>
  <c r="AQ101" i="1"/>
  <c r="BG101" i="1"/>
  <c r="AU101" i="1"/>
  <c r="AY101" i="1"/>
  <c r="AN97" i="1"/>
  <c r="AR97" i="1"/>
  <c r="AV97" i="1"/>
  <c r="AZ97" i="1"/>
  <c r="BD97" i="1"/>
  <c r="BH97" i="1"/>
  <c r="AK97" i="1"/>
  <c r="AO97" i="1"/>
  <c r="AS97" i="1"/>
  <c r="AW97" i="1"/>
  <c r="BA97" i="1"/>
  <c r="BE97" i="1"/>
  <c r="BI97" i="1"/>
  <c r="AL97" i="1"/>
  <c r="AP97" i="1"/>
  <c r="AT97" i="1"/>
  <c r="AX97" i="1"/>
  <c r="BB97" i="1"/>
  <c r="BF97" i="1"/>
  <c r="BJ97" i="1"/>
  <c r="AU97" i="1"/>
  <c r="AY97" i="1"/>
  <c r="AM97" i="1"/>
  <c r="BC97" i="1"/>
  <c r="AQ97" i="1"/>
  <c r="BG97" i="1"/>
  <c r="AL93" i="1"/>
  <c r="AP93" i="1"/>
  <c r="AT93" i="1"/>
  <c r="AX93" i="1"/>
  <c r="BB93" i="1"/>
  <c r="BF93" i="1"/>
  <c r="BJ93" i="1"/>
  <c r="AM93" i="1"/>
  <c r="AQ93" i="1"/>
  <c r="AU93" i="1"/>
  <c r="AY93" i="1"/>
  <c r="BC93" i="1"/>
  <c r="BG93" i="1"/>
  <c r="AN93" i="1"/>
  <c r="AV93" i="1"/>
  <c r="BD93" i="1"/>
  <c r="AO93" i="1"/>
  <c r="AW93" i="1"/>
  <c r="BE93" i="1"/>
  <c r="AR93" i="1"/>
  <c r="AZ93" i="1"/>
  <c r="BH93" i="1"/>
  <c r="BI93" i="1"/>
  <c r="AK93" i="1"/>
  <c r="AS93" i="1"/>
  <c r="BA93" i="1"/>
  <c r="AL89" i="1"/>
  <c r="AP89" i="1"/>
  <c r="AT89" i="1"/>
  <c r="AX89" i="1"/>
  <c r="BB89" i="1"/>
  <c r="BF89" i="1"/>
  <c r="BJ89" i="1"/>
  <c r="AM89" i="1"/>
  <c r="AQ89" i="1"/>
  <c r="AU89" i="1"/>
  <c r="AY89" i="1"/>
  <c r="BC89" i="1"/>
  <c r="BG89" i="1"/>
  <c r="AN89" i="1"/>
  <c r="AV89" i="1"/>
  <c r="BD89" i="1"/>
  <c r="AO89" i="1"/>
  <c r="AW89" i="1"/>
  <c r="BE89" i="1"/>
  <c r="AR89" i="1"/>
  <c r="AZ89" i="1"/>
  <c r="BH89" i="1"/>
  <c r="AK89" i="1"/>
  <c r="AS89" i="1"/>
  <c r="BA89" i="1"/>
  <c r="BI89" i="1"/>
  <c r="AL85" i="1"/>
  <c r="AP85" i="1"/>
  <c r="AT85" i="1"/>
  <c r="AX85" i="1"/>
  <c r="BB85" i="1"/>
  <c r="BF85" i="1"/>
  <c r="BJ85" i="1"/>
  <c r="AM85" i="1"/>
  <c r="AQ85" i="1"/>
  <c r="AU85" i="1"/>
  <c r="AY85" i="1"/>
  <c r="BC85" i="1"/>
  <c r="BG85" i="1"/>
  <c r="AN85" i="1"/>
  <c r="AV85" i="1"/>
  <c r="BD85" i="1"/>
  <c r="AO85" i="1"/>
  <c r="AW85" i="1"/>
  <c r="BE85" i="1"/>
  <c r="AR85" i="1"/>
  <c r="AZ85" i="1"/>
  <c r="BH85" i="1"/>
  <c r="AS85" i="1"/>
  <c r="BA85" i="1"/>
  <c r="BI85" i="1"/>
  <c r="AK85" i="1"/>
  <c r="AM81" i="1"/>
  <c r="AQ81" i="1"/>
  <c r="AU81" i="1"/>
  <c r="AY81" i="1"/>
  <c r="BC81" i="1"/>
  <c r="BG81" i="1"/>
  <c r="AN81" i="1"/>
  <c r="AR81" i="1"/>
  <c r="AV81" i="1"/>
  <c r="AZ81" i="1"/>
  <c r="BD81" i="1"/>
  <c r="BH81" i="1"/>
  <c r="AK81" i="1"/>
  <c r="AO81" i="1"/>
  <c r="AS81" i="1"/>
  <c r="AW81" i="1"/>
  <c r="BA81" i="1"/>
  <c r="BE81" i="1"/>
  <c r="BI81" i="1"/>
  <c r="AT81" i="1"/>
  <c r="BJ81" i="1"/>
  <c r="AX81" i="1"/>
  <c r="AL81" i="1"/>
  <c r="AP81" i="1"/>
  <c r="BB81" i="1"/>
  <c r="BF81" i="1"/>
  <c r="AM77" i="1"/>
  <c r="AQ77" i="1"/>
  <c r="AU77" i="1"/>
  <c r="AY77" i="1"/>
  <c r="BC77" i="1"/>
  <c r="BG77" i="1"/>
  <c r="AN77" i="1"/>
  <c r="AR77" i="1"/>
  <c r="AV77" i="1"/>
  <c r="AZ77" i="1"/>
  <c r="BD77" i="1"/>
  <c r="BH77" i="1"/>
  <c r="AK77" i="1"/>
  <c r="AO77" i="1"/>
  <c r="AS77" i="1"/>
  <c r="AW77" i="1"/>
  <c r="BA77" i="1"/>
  <c r="BE77" i="1"/>
  <c r="BI77" i="1"/>
  <c r="AL77" i="1"/>
  <c r="BB77" i="1"/>
  <c r="AP77" i="1"/>
  <c r="BF77" i="1"/>
  <c r="AT77" i="1"/>
  <c r="AX77" i="1"/>
  <c r="BJ77" i="1"/>
  <c r="AM73" i="1"/>
  <c r="AQ73" i="1"/>
  <c r="AU73" i="1"/>
  <c r="AY73" i="1"/>
  <c r="BC73" i="1"/>
  <c r="BG73" i="1"/>
  <c r="AN73" i="1"/>
  <c r="AR73" i="1"/>
  <c r="AV73" i="1"/>
  <c r="AZ73" i="1"/>
  <c r="BD73" i="1"/>
  <c r="BH73" i="1"/>
  <c r="AK73" i="1"/>
  <c r="AO73" i="1"/>
  <c r="AS73" i="1"/>
  <c r="AW73" i="1"/>
  <c r="BA73" i="1"/>
  <c r="BE73" i="1"/>
  <c r="BI73" i="1"/>
  <c r="AT73" i="1"/>
  <c r="BJ73" i="1"/>
  <c r="AX73" i="1"/>
  <c r="BB73" i="1"/>
  <c r="BF73" i="1"/>
  <c r="AL73" i="1"/>
  <c r="AP73" i="1"/>
  <c r="BH143" i="1"/>
  <c r="BD143" i="1"/>
  <c r="AZ143" i="1"/>
  <c r="AV143" i="1"/>
  <c r="AR143" i="1"/>
  <c r="AN143" i="1"/>
  <c r="BH139" i="1"/>
  <c r="BD139" i="1"/>
  <c r="AZ139" i="1"/>
  <c r="AV139" i="1"/>
  <c r="AR139" i="1"/>
  <c r="AN139" i="1"/>
  <c r="BH135" i="1"/>
  <c r="BD135" i="1"/>
  <c r="AZ135" i="1"/>
  <c r="AV135" i="1"/>
  <c r="AR135" i="1"/>
  <c r="AN135" i="1"/>
  <c r="AX131" i="1"/>
  <c r="BF127" i="1"/>
  <c r="AP127" i="1"/>
  <c r="AP10" i="1" s="1"/>
  <c r="AX123" i="1"/>
  <c r="BF119" i="1"/>
  <c r="AP119" i="1"/>
  <c r="AX115" i="1"/>
  <c r="BC99" i="1"/>
  <c r="BG143" i="1"/>
  <c r="BC143" i="1"/>
  <c r="AY143" i="1"/>
  <c r="AU143" i="1"/>
  <c r="AQ143" i="1"/>
  <c r="AM143" i="1"/>
  <c r="BG139" i="1"/>
  <c r="BC139" i="1"/>
  <c r="AY139" i="1"/>
  <c r="AU139" i="1"/>
  <c r="AQ139" i="1"/>
  <c r="BG135" i="1"/>
  <c r="BC135" i="1"/>
  <c r="AY135" i="1"/>
  <c r="AU135" i="1"/>
  <c r="AQ135" i="1"/>
  <c r="AM135" i="1"/>
  <c r="BJ131" i="1"/>
  <c r="BB127" i="1"/>
  <c r="BJ123" i="1"/>
  <c r="BB119" i="1"/>
  <c r="BJ115" i="1"/>
  <c r="AM131" i="1"/>
  <c r="AQ131" i="1"/>
  <c r="AU131" i="1"/>
  <c r="AY131" i="1"/>
  <c r="BC131" i="1"/>
  <c r="BG131" i="1"/>
  <c r="AN131" i="1"/>
  <c r="AR131" i="1"/>
  <c r="AV131" i="1"/>
  <c r="AZ131" i="1"/>
  <c r="BD131" i="1"/>
  <c r="BH131" i="1"/>
  <c r="AK131" i="1"/>
  <c r="AO131" i="1"/>
  <c r="AS131" i="1"/>
  <c r="AW131" i="1"/>
  <c r="BA131" i="1"/>
  <c r="BE131" i="1"/>
  <c r="BI131" i="1"/>
  <c r="AM127" i="1"/>
  <c r="AQ127" i="1"/>
  <c r="AU127" i="1"/>
  <c r="AY127" i="1"/>
  <c r="BC127" i="1"/>
  <c r="BG127" i="1"/>
  <c r="AN127" i="1"/>
  <c r="AR127" i="1"/>
  <c r="AV127" i="1"/>
  <c r="AZ127" i="1"/>
  <c r="BD127" i="1"/>
  <c r="BH127" i="1"/>
  <c r="AK127" i="1"/>
  <c r="AO127" i="1"/>
  <c r="AS127" i="1"/>
  <c r="AW127" i="1"/>
  <c r="BA127" i="1"/>
  <c r="BE127" i="1"/>
  <c r="BI127" i="1"/>
  <c r="AM123" i="1"/>
  <c r="AQ123" i="1"/>
  <c r="AU123" i="1"/>
  <c r="AY123" i="1"/>
  <c r="BC123" i="1"/>
  <c r="BG123" i="1"/>
  <c r="AN123" i="1"/>
  <c r="AR123" i="1"/>
  <c r="AV123" i="1"/>
  <c r="AZ123" i="1"/>
  <c r="BD123" i="1"/>
  <c r="BH123" i="1"/>
  <c r="AK123" i="1"/>
  <c r="AO123" i="1"/>
  <c r="AS123" i="1"/>
  <c r="AW123" i="1"/>
  <c r="BA123" i="1"/>
  <c r="BE123" i="1"/>
  <c r="BI123" i="1"/>
  <c r="AM119" i="1"/>
  <c r="AQ119" i="1"/>
  <c r="AU119" i="1"/>
  <c r="AY119" i="1"/>
  <c r="BC119" i="1"/>
  <c r="BG119" i="1"/>
  <c r="AN119" i="1"/>
  <c r="AR119" i="1"/>
  <c r="AV119" i="1"/>
  <c r="AZ119" i="1"/>
  <c r="BD119" i="1"/>
  <c r="BH119" i="1"/>
  <c r="AK119" i="1"/>
  <c r="AO119" i="1"/>
  <c r="AS119" i="1"/>
  <c r="AW119" i="1"/>
  <c r="BA119" i="1"/>
  <c r="BE119" i="1"/>
  <c r="BI119" i="1"/>
  <c r="AM115" i="1"/>
  <c r="AQ115" i="1"/>
  <c r="AU115" i="1"/>
  <c r="AY115" i="1"/>
  <c r="BC115" i="1"/>
  <c r="BG115" i="1"/>
  <c r="AN115" i="1"/>
  <c r="AR115" i="1"/>
  <c r="AV115" i="1"/>
  <c r="AZ115" i="1"/>
  <c r="BD115" i="1"/>
  <c r="BH115" i="1"/>
  <c r="AK115" i="1"/>
  <c r="AO115" i="1"/>
  <c r="AS115" i="1"/>
  <c r="AW115" i="1"/>
  <c r="BA115" i="1"/>
  <c r="BE115" i="1"/>
  <c r="BI115" i="1"/>
  <c r="AN111" i="1"/>
  <c r="AR111" i="1"/>
  <c r="AV111" i="1"/>
  <c r="AZ111" i="1"/>
  <c r="BD111" i="1"/>
  <c r="BH111" i="1"/>
  <c r="AK111" i="1"/>
  <c r="AO111" i="1"/>
  <c r="AS111" i="1"/>
  <c r="AW111" i="1"/>
  <c r="BA111" i="1"/>
  <c r="BE111" i="1"/>
  <c r="BI111" i="1"/>
  <c r="AL111" i="1"/>
  <c r="AP111" i="1"/>
  <c r="AT111" i="1"/>
  <c r="AX111" i="1"/>
  <c r="BB111" i="1"/>
  <c r="BF111" i="1"/>
  <c r="BJ111" i="1"/>
  <c r="AY111" i="1"/>
  <c r="AM111" i="1"/>
  <c r="BC111" i="1"/>
  <c r="AQ111" i="1"/>
  <c r="BG111" i="1"/>
  <c r="AN107" i="1"/>
  <c r="AR107" i="1"/>
  <c r="AV107" i="1"/>
  <c r="AZ107" i="1"/>
  <c r="BD107" i="1"/>
  <c r="BH107" i="1"/>
  <c r="AK107" i="1"/>
  <c r="AO107" i="1"/>
  <c r="AS107" i="1"/>
  <c r="AW107" i="1"/>
  <c r="BA107" i="1"/>
  <c r="BE107" i="1"/>
  <c r="BI107" i="1"/>
  <c r="AL107" i="1"/>
  <c r="AP107" i="1"/>
  <c r="AT107" i="1"/>
  <c r="AX107" i="1"/>
  <c r="BB107" i="1"/>
  <c r="BF107" i="1"/>
  <c r="BJ107" i="1"/>
  <c r="AQ107" i="1"/>
  <c r="BG107" i="1"/>
  <c r="AU107" i="1"/>
  <c r="AY107" i="1"/>
  <c r="AN103" i="1"/>
  <c r="AR103" i="1"/>
  <c r="AV103" i="1"/>
  <c r="AZ103" i="1"/>
  <c r="BD103" i="1"/>
  <c r="BH103" i="1"/>
  <c r="AK103" i="1"/>
  <c r="AO103" i="1"/>
  <c r="AS103" i="1"/>
  <c r="AW103" i="1"/>
  <c r="BA103" i="1"/>
  <c r="BE103" i="1"/>
  <c r="BI103" i="1"/>
  <c r="AL103" i="1"/>
  <c r="AP103" i="1"/>
  <c r="AT103" i="1"/>
  <c r="AX103" i="1"/>
  <c r="BB103" i="1"/>
  <c r="BF103" i="1"/>
  <c r="BJ103" i="1"/>
  <c r="AY103" i="1"/>
  <c r="AM103" i="1"/>
  <c r="BC103" i="1"/>
  <c r="AQ103" i="1"/>
  <c r="BG103" i="1"/>
  <c r="AN99" i="1"/>
  <c r="AR99" i="1"/>
  <c r="AV99" i="1"/>
  <c r="AZ99" i="1"/>
  <c r="BD99" i="1"/>
  <c r="BH99" i="1"/>
  <c r="AK99" i="1"/>
  <c r="AO99" i="1"/>
  <c r="AS99" i="1"/>
  <c r="AW99" i="1"/>
  <c r="BA99" i="1"/>
  <c r="BE99" i="1"/>
  <c r="BI99" i="1"/>
  <c r="AL99" i="1"/>
  <c r="AP99" i="1"/>
  <c r="AT99" i="1"/>
  <c r="AX99" i="1"/>
  <c r="BB99" i="1"/>
  <c r="BF99" i="1"/>
  <c r="BJ99" i="1"/>
  <c r="AQ99" i="1"/>
  <c r="BG99" i="1"/>
  <c r="AU99" i="1"/>
  <c r="AY99" i="1"/>
  <c r="AN95" i="1"/>
  <c r="AR95" i="1"/>
  <c r="AV95" i="1"/>
  <c r="AZ95" i="1"/>
  <c r="BD95" i="1"/>
  <c r="BH95" i="1"/>
  <c r="AK95" i="1"/>
  <c r="AO95" i="1"/>
  <c r="AS95" i="1"/>
  <c r="AW95" i="1"/>
  <c r="BA95" i="1"/>
  <c r="BE95" i="1"/>
  <c r="BI95" i="1"/>
  <c r="AL95" i="1"/>
  <c r="AP95" i="1"/>
  <c r="AT95" i="1"/>
  <c r="AX95" i="1"/>
  <c r="BB95" i="1"/>
  <c r="BF95" i="1"/>
  <c r="BJ95" i="1"/>
  <c r="AY95" i="1"/>
  <c r="AM95" i="1"/>
  <c r="BC95" i="1"/>
  <c r="AQ95" i="1"/>
  <c r="BG95" i="1"/>
  <c r="AL91" i="1"/>
  <c r="AP91" i="1"/>
  <c r="AT91" i="1"/>
  <c r="AX91" i="1"/>
  <c r="BB91" i="1"/>
  <c r="BF91" i="1"/>
  <c r="BJ91" i="1"/>
  <c r="AM91" i="1"/>
  <c r="AQ91" i="1"/>
  <c r="AU91" i="1"/>
  <c r="AY91" i="1"/>
  <c r="BC91" i="1"/>
  <c r="BG91" i="1"/>
  <c r="AR91" i="1"/>
  <c r="AZ91" i="1"/>
  <c r="BH91" i="1"/>
  <c r="AK91" i="1"/>
  <c r="AS91" i="1"/>
  <c r="BA91" i="1"/>
  <c r="BI91" i="1"/>
  <c r="AN91" i="1"/>
  <c r="AV91" i="1"/>
  <c r="BD91" i="1"/>
  <c r="AW91" i="1"/>
  <c r="BE91" i="1"/>
  <c r="AL87" i="1"/>
  <c r="AP87" i="1"/>
  <c r="AT87" i="1"/>
  <c r="AX87" i="1"/>
  <c r="BB87" i="1"/>
  <c r="BF87" i="1"/>
  <c r="BJ87" i="1"/>
  <c r="AM87" i="1"/>
  <c r="AQ87" i="1"/>
  <c r="AU87" i="1"/>
  <c r="AY87" i="1"/>
  <c r="BC87" i="1"/>
  <c r="BG87" i="1"/>
  <c r="AR87" i="1"/>
  <c r="AZ87" i="1"/>
  <c r="BH87" i="1"/>
  <c r="AK87" i="1"/>
  <c r="AS87" i="1"/>
  <c r="BA87" i="1"/>
  <c r="BI87" i="1"/>
  <c r="AN87" i="1"/>
  <c r="AV87" i="1"/>
  <c r="BD87" i="1"/>
  <c r="BE87" i="1"/>
  <c r="AO87" i="1"/>
  <c r="AM83" i="1"/>
  <c r="AQ83" i="1"/>
  <c r="AU83" i="1"/>
  <c r="AY83" i="1"/>
  <c r="BC83" i="1"/>
  <c r="BG83" i="1"/>
  <c r="AN83" i="1"/>
  <c r="AR83" i="1"/>
  <c r="AV83" i="1"/>
  <c r="AZ83" i="1"/>
  <c r="BD83" i="1"/>
  <c r="BH83" i="1"/>
  <c r="AK83" i="1"/>
  <c r="AO83" i="1"/>
  <c r="AS83" i="1"/>
  <c r="AP83" i="1"/>
  <c r="BA83" i="1"/>
  <c r="BI83" i="1"/>
  <c r="AT83" i="1"/>
  <c r="BB83" i="1"/>
  <c r="BJ83" i="1"/>
  <c r="AW83" i="1"/>
  <c r="AX83" i="1"/>
  <c r="BE83" i="1"/>
  <c r="AL83" i="1"/>
  <c r="BF83" i="1"/>
  <c r="AM79" i="1"/>
  <c r="AQ79" i="1"/>
  <c r="AU79" i="1"/>
  <c r="AY79" i="1"/>
  <c r="BC79" i="1"/>
  <c r="BG79" i="1"/>
  <c r="AN79" i="1"/>
  <c r="AR79" i="1"/>
  <c r="AV79" i="1"/>
  <c r="AZ79" i="1"/>
  <c r="BD79" i="1"/>
  <c r="BH79" i="1"/>
  <c r="AK79" i="1"/>
  <c r="AO79" i="1"/>
  <c r="AS79" i="1"/>
  <c r="AW79" i="1"/>
  <c r="BA79" i="1"/>
  <c r="BE79" i="1"/>
  <c r="BI79" i="1"/>
  <c r="AX79" i="1"/>
  <c r="AL79" i="1"/>
  <c r="BB79" i="1"/>
  <c r="BF79" i="1"/>
  <c r="BJ79" i="1"/>
  <c r="AP79" i="1"/>
  <c r="AT79" i="1"/>
  <c r="AM75" i="1"/>
  <c r="AQ75" i="1"/>
  <c r="AU75" i="1"/>
  <c r="AY75" i="1"/>
  <c r="BC75" i="1"/>
  <c r="BG75" i="1"/>
  <c r="AN75" i="1"/>
  <c r="AR75" i="1"/>
  <c r="AV75" i="1"/>
  <c r="AZ75" i="1"/>
  <c r="BD75" i="1"/>
  <c r="BH75" i="1"/>
  <c r="AK75" i="1"/>
  <c r="AO75" i="1"/>
  <c r="AS75" i="1"/>
  <c r="AW75" i="1"/>
  <c r="BA75" i="1"/>
  <c r="BE75" i="1"/>
  <c r="BI75" i="1"/>
  <c r="AP75" i="1"/>
  <c r="BF75" i="1"/>
  <c r="AT75" i="1"/>
  <c r="BJ75" i="1"/>
  <c r="AL75" i="1"/>
  <c r="AX75" i="1"/>
  <c r="BB75" i="1"/>
  <c r="BJ143" i="1"/>
  <c r="BF143" i="1"/>
  <c r="BB143" i="1"/>
  <c r="AX143" i="1"/>
  <c r="AT143" i="1"/>
  <c r="AP143" i="1"/>
  <c r="BJ139" i="1"/>
  <c r="BF139" i="1"/>
  <c r="BB139" i="1"/>
  <c r="AX139" i="1"/>
  <c r="AT139" i="1"/>
  <c r="AP139" i="1"/>
  <c r="AL139" i="1"/>
  <c r="BJ135" i="1"/>
  <c r="BF135" i="1"/>
  <c r="BB135" i="1"/>
  <c r="AX135" i="1"/>
  <c r="AT135" i="1"/>
  <c r="AP135" i="1"/>
  <c r="BF131" i="1"/>
  <c r="AP131" i="1"/>
  <c r="AX127" i="1"/>
  <c r="BF123" i="1"/>
  <c r="AP123" i="1"/>
  <c r="AX119" i="1"/>
  <c r="BF115" i="1"/>
  <c r="AP115" i="1"/>
  <c r="AU103" i="1"/>
  <c r="AW87" i="1"/>
  <c r="F5" i="1"/>
  <c r="JE8" i="1" l="1"/>
  <c r="JB8" i="1"/>
  <c r="JN8" i="1"/>
  <c r="IX8" i="1"/>
  <c r="JJ8" i="1"/>
  <c r="IT8" i="1"/>
  <c r="JI8" i="1"/>
  <c r="IW8" i="1"/>
  <c r="JP5" i="1"/>
  <c r="IQ8" i="1"/>
  <c r="JM8" i="1"/>
  <c r="IS8" i="1"/>
  <c r="JF8" i="1"/>
  <c r="JO8" i="1"/>
  <c r="IG8" i="1"/>
  <c r="IC8" i="1"/>
  <c r="IN6" i="1"/>
  <c r="HO8" i="1"/>
  <c r="IN5" i="1"/>
  <c r="JP7" i="1"/>
  <c r="JP6" i="1"/>
  <c r="IP8" i="1"/>
  <c r="JP9" i="1"/>
  <c r="JP3" i="1"/>
  <c r="IM8" i="1"/>
  <c r="HQ8" i="1"/>
  <c r="HY8" i="1"/>
  <c r="HW8" i="1"/>
  <c r="IE8" i="1"/>
  <c r="FJ8" i="1"/>
  <c r="GM8" i="1"/>
  <c r="IN14" i="1"/>
  <c r="IN7" i="1"/>
  <c r="IN3" i="1"/>
  <c r="HR8" i="1"/>
  <c r="IH8" i="1"/>
  <c r="GW8" i="1"/>
  <c r="HL14" i="1"/>
  <c r="HL3" i="1"/>
  <c r="FV5" i="1"/>
  <c r="FV8" i="1" s="1"/>
  <c r="GJ10" i="1"/>
  <c r="FQ5" i="1"/>
  <c r="GG5" i="1"/>
  <c r="GJ5" i="1" s="1"/>
  <c r="FM8" i="1"/>
  <c r="FY3" i="1"/>
  <c r="FY8" i="1" s="1"/>
  <c r="FS8" i="1"/>
  <c r="GJ9" i="1"/>
  <c r="GJ13" i="1"/>
  <c r="GJ12" i="1"/>
  <c r="GJ11" i="1"/>
  <c r="FN8" i="1"/>
  <c r="FU8" i="1"/>
  <c r="FP8" i="1"/>
  <c r="FQ8" i="1"/>
  <c r="FT3" i="1"/>
  <c r="FT7" i="1"/>
  <c r="FR8" i="1"/>
  <c r="FX3" i="1"/>
  <c r="FX7" i="1"/>
  <c r="GB3" i="1"/>
  <c r="GB7" i="1"/>
  <c r="FW7" i="1"/>
  <c r="FW3" i="1"/>
  <c r="GA7" i="1"/>
  <c r="GA3" i="1"/>
  <c r="GE7" i="1"/>
  <c r="GE3" i="1"/>
  <c r="BK6" i="1"/>
  <c r="AW10" i="1"/>
  <c r="BK13" i="1"/>
  <c r="BA10" i="1"/>
  <c r="BH10" i="1"/>
  <c r="AK10" i="1"/>
  <c r="AV10" i="1"/>
  <c r="AK12" i="1"/>
  <c r="AX10" i="1"/>
  <c r="AL12" i="1"/>
  <c r="AR10" i="1"/>
  <c r="BC10" i="1"/>
  <c r="BB12" i="1"/>
  <c r="AZ11" i="1"/>
  <c r="AS10" i="1"/>
  <c r="BG10" i="1"/>
  <c r="AQ10" i="1"/>
  <c r="AM12" i="1"/>
  <c r="AX12" i="1"/>
  <c r="BC12" i="1"/>
  <c r="AV12" i="1"/>
  <c r="BE11" i="1"/>
  <c r="AO11" i="1"/>
  <c r="BB10" i="1"/>
  <c r="AQ12" i="1"/>
  <c r="BG12" i="1"/>
  <c r="BA12" i="1"/>
  <c r="AW12" i="1"/>
  <c r="AV11" i="1"/>
  <c r="AY11" i="1"/>
  <c r="AT11" i="1"/>
  <c r="AS12" i="1"/>
  <c r="AY10" i="1"/>
  <c r="AZ12" i="1"/>
  <c r="BF11" i="1"/>
  <c r="BA11" i="1"/>
  <c r="BI12" i="1"/>
  <c r="BF12" i="1"/>
  <c r="BD10" i="1"/>
  <c r="AN10" i="1"/>
  <c r="AU10" i="1"/>
  <c r="AU12" i="1"/>
  <c r="BF10" i="1"/>
  <c r="AN12" i="1"/>
  <c r="BD12" i="1"/>
  <c r="AR11" i="1"/>
  <c r="BG11" i="1"/>
  <c r="AQ11" i="1"/>
  <c r="BB11" i="1"/>
  <c r="AL11" i="1"/>
  <c r="AW11" i="1"/>
  <c r="AO12" i="1"/>
  <c r="AN11" i="1"/>
  <c r="BJ11" i="1"/>
  <c r="BH11" i="1"/>
  <c r="AU11" i="1"/>
  <c r="AP11" i="1"/>
  <c r="AK11" i="1"/>
  <c r="BJ10" i="1"/>
  <c r="AP12" i="1"/>
  <c r="AT12" i="1"/>
  <c r="BJ12" i="1"/>
  <c r="BE10" i="1"/>
  <c r="AO10" i="1"/>
  <c r="AZ10" i="1"/>
  <c r="AY12" i="1"/>
  <c r="AR12" i="1"/>
  <c r="BH12" i="1"/>
  <c r="BD11" i="1"/>
  <c r="BC11" i="1"/>
  <c r="AM11" i="1"/>
  <c r="AX11" i="1"/>
  <c r="BI11" i="1"/>
  <c r="AS11" i="1"/>
  <c r="AT10" i="1"/>
  <c r="BE12" i="1"/>
  <c r="AX5" i="1"/>
  <c r="AX3" i="1"/>
  <c r="AX9" i="1"/>
  <c r="BI5" i="1"/>
  <c r="BI3" i="1"/>
  <c r="BI9" i="1"/>
  <c r="AZ5" i="1"/>
  <c r="AZ9" i="1"/>
  <c r="AZ3" i="1"/>
  <c r="AU9" i="1"/>
  <c r="AU5" i="1"/>
  <c r="AU3" i="1"/>
  <c r="BJ5" i="1"/>
  <c r="BJ9" i="1"/>
  <c r="BJ3" i="1"/>
  <c r="AT3" i="1"/>
  <c r="AT9" i="1"/>
  <c r="AT5" i="1"/>
  <c r="BE5" i="1"/>
  <c r="BE3" i="1"/>
  <c r="BE9" i="1"/>
  <c r="AO5" i="1"/>
  <c r="AO3" i="1"/>
  <c r="AO9" i="1"/>
  <c r="AV5" i="1"/>
  <c r="AV3" i="1"/>
  <c r="AV9" i="1"/>
  <c r="BG9" i="1"/>
  <c r="BG3" i="1"/>
  <c r="BG5" i="1"/>
  <c r="AQ9" i="1"/>
  <c r="AQ3" i="1"/>
  <c r="AQ5" i="1"/>
  <c r="AS5" i="1"/>
  <c r="AS3" i="1"/>
  <c r="AS9" i="1"/>
  <c r="AK3" i="1"/>
  <c r="AK9" i="1"/>
  <c r="AK5" i="1"/>
  <c r="BF5" i="1"/>
  <c r="BF3" i="1"/>
  <c r="BF9" i="1"/>
  <c r="AP5" i="1"/>
  <c r="AP3" i="1"/>
  <c r="AP9" i="1"/>
  <c r="BA5" i="1"/>
  <c r="BA3" i="1"/>
  <c r="BA9" i="1"/>
  <c r="BH5" i="1"/>
  <c r="BH9" i="1"/>
  <c r="BH3" i="1"/>
  <c r="AR5" i="1"/>
  <c r="AR9" i="1"/>
  <c r="AR3" i="1"/>
  <c r="BC9" i="1"/>
  <c r="BC5" i="1"/>
  <c r="BC3" i="1"/>
  <c r="AM9" i="1"/>
  <c r="AM5" i="1"/>
  <c r="AM3" i="1"/>
  <c r="BB3" i="1"/>
  <c r="BB9" i="1"/>
  <c r="BB5" i="1"/>
  <c r="AL5" i="1"/>
  <c r="AL9" i="1"/>
  <c r="AL3" i="1"/>
  <c r="AW5" i="1"/>
  <c r="AW3" i="1"/>
  <c r="AW9" i="1"/>
  <c r="BD3" i="1"/>
  <c r="BD9" i="1"/>
  <c r="BD5" i="1"/>
  <c r="AN5" i="1"/>
  <c r="AN3" i="1"/>
  <c r="AN9" i="1"/>
  <c r="AY9" i="1"/>
  <c r="AY3" i="1"/>
  <c r="AY5" i="1"/>
  <c r="GA8" i="1" l="1"/>
  <c r="FW8" i="1"/>
  <c r="GE8" i="1"/>
  <c r="GB8" i="1"/>
  <c r="FX8" i="1"/>
  <c r="FZ7" i="1"/>
  <c r="FZ3" i="1"/>
  <c r="GG7" i="1"/>
  <c r="GG3" i="1"/>
  <c r="GC7" i="1"/>
  <c r="GC3" i="1"/>
  <c r="GH7" i="1"/>
  <c r="GH3" i="1"/>
  <c r="GD7" i="1"/>
  <c r="GD3" i="1"/>
  <c r="FT8" i="1"/>
  <c r="AQ8" i="1"/>
  <c r="AO8" i="1"/>
  <c r="AY8" i="1"/>
  <c r="AT8" i="1"/>
  <c r="BK11" i="1"/>
  <c r="BK10" i="1"/>
  <c r="BD8" i="1"/>
  <c r="BF8" i="1"/>
  <c r="BI8" i="1"/>
  <c r="BK12" i="1"/>
  <c r="BG8" i="1"/>
  <c r="BC8" i="1"/>
  <c r="AR8" i="1"/>
  <c r="BA8" i="1"/>
  <c r="BK3" i="1"/>
  <c r="AS8" i="1"/>
  <c r="AV8" i="1"/>
  <c r="AU8" i="1"/>
  <c r="BB8" i="1"/>
  <c r="BK5" i="1"/>
  <c r="AK8" i="1"/>
  <c r="AN8" i="1"/>
  <c r="AW8" i="1"/>
  <c r="AL8" i="1"/>
  <c r="AM8" i="1"/>
  <c r="BH8" i="1"/>
  <c r="AP8" i="1"/>
  <c r="BK9" i="1"/>
  <c r="BE8" i="1"/>
  <c r="BJ8" i="1"/>
  <c r="AZ8" i="1"/>
  <c r="AX8" i="1"/>
  <c r="GD8" i="1" l="1"/>
  <c r="FZ8" i="1"/>
  <c r="GG8" i="1"/>
  <c r="GC8" i="1"/>
  <c r="GH8" i="1"/>
  <c r="GF3" i="1"/>
  <c r="GF7" i="1"/>
  <c r="GI7" i="1"/>
  <c r="GI3" i="1"/>
  <c r="GJ14" i="1"/>
  <c r="GI8" i="1" l="1"/>
  <c r="GF8" i="1"/>
  <c r="GJ7" i="1"/>
  <c r="GJ3" i="1"/>
  <c r="CN24" i="1" l="1"/>
  <c r="G62" i="1" l="1"/>
  <c r="H62" i="1" s="1"/>
  <c r="I44" i="1"/>
  <c r="CN25" i="1" l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CN21" i="1"/>
  <c r="CN22" i="1"/>
  <c r="CN23" i="1"/>
  <c r="CN20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BM23" i="1"/>
  <c r="BN23" i="1"/>
  <c r="DP23" i="1" s="1"/>
  <c r="BO23" i="1"/>
  <c r="BP23" i="1"/>
  <c r="BQ23" i="1"/>
  <c r="BR23" i="1"/>
  <c r="DT23" i="1" s="1"/>
  <c r="BS23" i="1"/>
  <c r="BT23" i="1"/>
  <c r="BU23" i="1"/>
  <c r="BV23" i="1"/>
  <c r="DX23" i="1" s="1"/>
  <c r="BW23" i="1"/>
  <c r="BX23" i="1"/>
  <c r="BY23" i="1"/>
  <c r="BZ23" i="1"/>
  <c r="EB23" i="1" s="1"/>
  <c r="CA23" i="1"/>
  <c r="CB23" i="1"/>
  <c r="CC23" i="1"/>
  <c r="CD23" i="1"/>
  <c r="EF23" i="1" s="1"/>
  <c r="CE23" i="1"/>
  <c r="CF23" i="1"/>
  <c r="CG23" i="1"/>
  <c r="CH23" i="1"/>
  <c r="EJ23" i="1" s="1"/>
  <c r="CI23" i="1"/>
  <c r="CJ23" i="1"/>
  <c r="CK23" i="1"/>
  <c r="CL23" i="1"/>
  <c r="EN23" i="1" s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BM156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BM20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86" i="1"/>
  <c r="AJ187" i="1"/>
  <c r="AJ188" i="1"/>
  <c r="AJ189" i="1"/>
  <c r="AJ190" i="1"/>
  <c r="AJ191" i="1"/>
  <c r="CM20" i="1" l="1"/>
  <c r="EM23" i="1"/>
  <c r="EI23" i="1"/>
  <c r="EE23" i="1"/>
  <c r="EA23" i="1"/>
  <c r="DW23" i="1"/>
  <c r="DS23" i="1"/>
  <c r="DN21" i="1"/>
  <c r="DN62" i="1"/>
  <c r="CM63" i="1"/>
  <c r="CM61" i="1"/>
  <c r="CM53" i="1"/>
  <c r="CM39" i="1"/>
  <c r="DN61" i="1"/>
  <c r="DN59" i="1"/>
  <c r="DN37" i="1"/>
  <c r="DN35" i="1"/>
  <c r="CM141" i="1"/>
  <c r="CM131" i="1"/>
  <c r="CM65" i="1"/>
  <c r="CM59" i="1"/>
  <c r="CM57" i="1"/>
  <c r="CM51" i="1"/>
  <c r="CM49" i="1"/>
  <c r="CM47" i="1"/>
  <c r="CM41" i="1"/>
  <c r="CM29" i="1"/>
  <c r="CM25" i="1"/>
  <c r="CM21" i="1"/>
  <c r="DN65" i="1"/>
  <c r="DN63" i="1"/>
  <c r="DN57" i="1"/>
  <c r="DN55" i="1"/>
  <c r="DN51" i="1"/>
  <c r="DN47" i="1"/>
  <c r="DN45" i="1"/>
  <c r="DN33" i="1"/>
  <c r="DN28" i="1"/>
  <c r="CM187" i="1"/>
  <c r="CM133" i="1"/>
  <c r="CM129" i="1"/>
  <c r="CM125" i="1"/>
  <c r="EH23" i="1"/>
  <c r="DZ23" i="1"/>
  <c r="DR23" i="1"/>
  <c r="DN24" i="1"/>
  <c r="DN67" i="1"/>
  <c r="CM64" i="1"/>
  <c r="CM62" i="1"/>
  <c r="CM60" i="1"/>
  <c r="CM58" i="1"/>
  <c r="CM56" i="1"/>
  <c r="CM54" i="1"/>
  <c r="CM52" i="1"/>
  <c r="CM50" i="1"/>
  <c r="CM48" i="1"/>
  <c r="CM46" i="1"/>
  <c r="CM44" i="1"/>
  <c r="CM42" i="1"/>
  <c r="CM40" i="1"/>
  <c r="CM38" i="1"/>
  <c r="CM36" i="1"/>
  <c r="CM34" i="1"/>
  <c r="CM32" i="1"/>
  <c r="CM30" i="1"/>
  <c r="CM28" i="1"/>
  <c r="CM26" i="1"/>
  <c r="DO24" i="1"/>
  <c r="CM24" i="1"/>
  <c r="EK23" i="1"/>
  <c r="EG23" i="1"/>
  <c r="EC23" i="1"/>
  <c r="DY23" i="1"/>
  <c r="DU23" i="1"/>
  <c r="DQ23" i="1"/>
  <c r="CM22" i="1"/>
  <c r="DN23" i="1"/>
  <c r="DN64" i="1"/>
  <c r="DN60" i="1"/>
  <c r="DN58" i="1"/>
  <c r="DN56" i="1"/>
  <c r="DN54" i="1"/>
  <c r="DN52" i="1"/>
  <c r="DN50" i="1"/>
  <c r="DN48" i="1"/>
  <c r="DN46" i="1"/>
  <c r="DN44" i="1"/>
  <c r="DN42" i="1"/>
  <c r="DN40" i="1"/>
  <c r="DN38" i="1"/>
  <c r="DN36" i="1"/>
  <c r="DN34" i="1"/>
  <c r="DN31" i="1"/>
  <c r="DN29" i="1"/>
  <c r="DN27" i="1"/>
  <c r="DN25" i="1"/>
  <c r="CM55" i="1"/>
  <c r="CM45" i="1"/>
  <c r="CM43" i="1"/>
  <c r="CM37" i="1"/>
  <c r="CM35" i="1"/>
  <c r="CM33" i="1"/>
  <c r="CM31" i="1"/>
  <c r="CM27" i="1"/>
  <c r="CM23" i="1"/>
  <c r="DN53" i="1"/>
  <c r="DN49" i="1"/>
  <c r="DN43" i="1"/>
  <c r="DN41" i="1"/>
  <c r="DN39" i="1"/>
  <c r="DN30" i="1"/>
  <c r="DN26" i="1"/>
  <c r="CM189" i="1"/>
  <c r="CM143" i="1"/>
  <c r="CM139" i="1"/>
  <c r="CM137" i="1"/>
  <c r="CM135" i="1"/>
  <c r="CM127" i="1"/>
  <c r="CM123" i="1"/>
  <c r="CM121" i="1"/>
  <c r="CM119" i="1"/>
  <c r="CM117" i="1"/>
  <c r="CM115" i="1"/>
  <c r="CM113" i="1"/>
  <c r="CM111" i="1"/>
  <c r="CM109" i="1"/>
  <c r="CM107" i="1"/>
  <c r="CM105" i="1"/>
  <c r="CM103" i="1"/>
  <c r="CM101" i="1"/>
  <c r="CM99" i="1"/>
  <c r="CM97" i="1"/>
  <c r="CM95" i="1"/>
  <c r="CM93" i="1"/>
  <c r="CM91" i="1"/>
  <c r="CM89" i="1"/>
  <c r="CM87" i="1"/>
  <c r="CM85" i="1"/>
  <c r="CM83" i="1"/>
  <c r="CM81" i="1"/>
  <c r="CM79" i="1"/>
  <c r="CM77" i="1"/>
  <c r="CM75" i="1"/>
  <c r="CM73" i="1"/>
  <c r="CM71" i="1"/>
  <c r="CM69" i="1"/>
  <c r="CM67" i="1"/>
  <c r="EL23" i="1"/>
  <c r="ED23" i="1"/>
  <c r="DV23" i="1"/>
  <c r="DN20" i="1"/>
  <c r="DN69" i="1"/>
  <c r="CM191" i="1"/>
  <c r="CM190" i="1"/>
  <c r="CM188" i="1"/>
  <c r="CM186" i="1"/>
  <c r="CM144" i="1"/>
  <c r="CM142" i="1"/>
  <c r="CM140" i="1"/>
  <c r="CM138" i="1"/>
  <c r="CM136" i="1"/>
  <c r="CM134" i="1"/>
  <c r="CM132" i="1"/>
  <c r="CM130" i="1"/>
  <c r="CM128" i="1"/>
  <c r="CM126" i="1"/>
  <c r="CM124" i="1"/>
  <c r="CM122" i="1"/>
  <c r="CM120" i="1"/>
  <c r="CM118" i="1"/>
  <c r="CM116" i="1"/>
  <c r="CM114" i="1"/>
  <c r="CM112" i="1"/>
  <c r="CM110" i="1"/>
  <c r="CM108" i="1"/>
  <c r="CM106" i="1"/>
  <c r="CM104" i="1"/>
  <c r="CM102" i="1"/>
  <c r="CM100" i="1"/>
  <c r="CM98" i="1"/>
  <c r="CM96" i="1"/>
  <c r="CM94" i="1"/>
  <c r="CM92" i="1"/>
  <c r="CM90" i="1"/>
  <c r="CM88" i="1"/>
  <c r="CM86" i="1"/>
  <c r="CM84" i="1"/>
  <c r="CM82" i="1"/>
  <c r="CM80" i="1"/>
  <c r="CM78" i="1"/>
  <c r="CM76" i="1"/>
  <c r="CM74" i="1"/>
  <c r="CM72" i="1"/>
  <c r="CM70" i="1"/>
  <c r="CM68" i="1"/>
  <c r="DN22" i="1"/>
  <c r="DN70" i="1"/>
  <c r="DN68" i="1"/>
  <c r="EN70" i="1"/>
  <c r="EJ70" i="1"/>
  <c r="EF70" i="1"/>
  <c r="EB70" i="1"/>
  <c r="DX70" i="1"/>
  <c r="DT70" i="1"/>
  <c r="DP70" i="1"/>
  <c r="EL69" i="1"/>
  <c r="EH69" i="1"/>
  <c r="ED69" i="1"/>
  <c r="DZ69" i="1"/>
  <c r="DV69" i="1"/>
  <c r="DR69" i="1"/>
  <c r="EN68" i="1"/>
  <c r="EJ68" i="1"/>
  <c r="EF68" i="1"/>
  <c r="EB68" i="1"/>
  <c r="DX68" i="1"/>
  <c r="DT68" i="1"/>
  <c r="DP68" i="1"/>
  <c r="EK65" i="1"/>
  <c r="EG65" i="1"/>
  <c r="EC65" i="1"/>
  <c r="DY65" i="1"/>
  <c r="DU65" i="1"/>
  <c r="DQ65" i="1"/>
  <c r="EM64" i="1"/>
  <c r="EI64" i="1"/>
  <c r="EE64" i="1"/>
  <c r="EA64" i="1"/>
  <c r="DW64" i="1"/>
  <c r="DS64" i="1"/>
  <c r="DO64" i="1"/>
  <c r="EM62" i="1"/>
  <c r="EI62" i="1"/>
  <c r="EE62" i="1"/>
  <c r="EA62" i="1"/>
  <c r="DW62" i="1"/>
  <c r="DS62" i="1"/>
  <c r="DO62" i="1"/>
  <c r="EK61" i="1"/>
  <c r="EG61" i="1"/>
  <c r="EC61" i="1"/>
  <c r="DY61" i="1"/>
  <c r="DU61" i="1"/>
  <c r="DQ61" i="1"/>
  <c r="EM60" i="1"/>
  <c r="EI60" i="1"/>
  <c r="EE60" i="1"/>
  <c r="EA60" i="1"/>
  <c r="DW60" i="1"/>
  <c r="DS60" i="1"/>
  <c r="DO60" i="1"/>
  <c r="EK59" i="1"/>
  <c r="EG59" i="1"/>
  <c r="EC59" i="1"/>
  <c r="DY59" i="1"/>
  <c r="DU59" i="1"/>
  <c r="CL7" i="1"/>
  <c r="CH7" i="1"/>
  <c r="CD7" i="1"/>
  <c r="BZ7" i="1"/>
  <c r="BV7" i="1"/>
  <c r="BR7" i="1"/>
  <c r="BN7" i="1"/>
  <c r="EN31" i="1"/>
  <c r="EJ31" i="1"/>
  <c r="DX31" i="1"/>
  <c r="CC7" i="1"/>
  <c r="EM70" i="1"/>
  <c r="EI70" i="1"/>
  <c r="EE70" i="1"/>
  <c r="EA70" i="1"/>
  <c r="DW70" i="1"/>
  <c r="DS70" i="1"/>
  <c r="DO70" i="1"/>
  <c r="EK69" i="1"/>
  <c r="EG69" i="1"/>
  <c r="EC69" i="1"/>
  <c r="DY69" i="1"/>
  <c r="DU69" i="1"/>
  <c r="DQ69" i="1"/>
  <c r="EM68" i="1"/>
  <c r="EI68" i="1"/>
  <c r="EE68" i="1"/>
  <c r="EA68" i="1"/>
  <c r="DW68" i="1"/>
  <c r="DS68" i="1"/>
  <c r="DO68" i="1"/>
  <c r="EN65" i="1"/>
  <c r="EJ65" i="1"/>
  <c r="EF65" i="1"/>
  <c r="EB65" i="1"/>
  <c r="DX65" i="1"/>
  <c r="DT65" i="1"/>
  <c r="DP65" i="1"/>
  <c r="EL64" i="1"/>
  <c r="EH64" i="1"/>
  <c r="ED64" i="1"/>
  <c r="DZ64" i="1"/>
  <c r="DV64" i="1"/>
  <c r="DR64" i="1"/>
  <c r="EL62" i="1"/>
  <c r="EH62" i="1"/>
  <c r="ED62" i="1"/>
  <c r="DZ62" i="1"/>
  <c r="DV62" i="1"/>
  <c r="DR62" i="1"/>
  <c r="EN61" i="1"/>
  <c r="EJ61" i="1"/>
  <c r="EF61" i="1"/>
  <c r="EB61" i="1"/>
  <c r="DX61" i="1"/>
  <c r="DT61" i="1"/>
  <c r="DP61" i="1"/>
  <c r="EL60" i="1"/>
  <c r="EH60" i="1"/>
  <c r="ED60" i="1"/>
  <c r="DZ60" i="1"/>
  <c r="DV60" i="1"/>
  <c r="DR60" i="1"/>
  <c r="EN59" i="1"/>
  <c r="EJ59" i="1"/>
  <c r="EF59" i="1"/>
  <c r="EB59" i="1"/>
  <c r="DX59" i="1"/>
  <c r="DT59" i="1"/>
  <c r="DP59" i="1"/>
  <c r="EL58" i="1"/>
  <c r="EH58" i="1"/>
  <c r="ED58" i="1"/>
  <c r="DZ58" i="1"/>
  <c r="DV58" i="1"/>
  <c r="DR58" i="1"/>
  <c r="EN57" i="1"/>
  <c r="EJ57" i="1"/>
  <c r="EF57" i="1"/>
  <c r="EB57" i="1"/>
  <c r="DX57" i="1"/>
  <c r="DT57" i="1"/>
  <c r="DP57" i="1"/>
  <c r="EL56" i="1"/>
  <c r="EH56" i="1"/>
  <c r="ED56" i="1"/>
  <c r="DZ56" i="1"/>
  <c r="DV56" i="1"/>
  <c r="DR56" i="1"/>
  <c r="EN55" i="1"/>
  <c r="EJ55" i="1"/>
  <c r="EF55" i="1"/>
  <c r="EB55" i="1"/>
  <c r="DX55" i="1"/>
  <c r="DT55" i="1"/>
  <c r="DP55" i="1"/>
  <c r="EL54" i="1"/>
  <c r="EH54" i="1"/>
  <c r="ED54" i="1"/>
  <c r="DZ54" i="1"/>
  <c r="DV54" i="1"/>
  <c r="DR54" i="1"/>
  <c r="EN53" i="1"/>
  <c r="EJ53" i="1"/>
  <c r="EF53" i="1"/>
  <c r="EB53" i="1"/>
  <c r="DX53" i="1"/>
  <c r="DT53" i="1"/>
  <c r="DP53" i="1"/>
  <c r="EL52" i="1"/>
  <c r="EH52" i="1"/>
  <c r="ED52" i="1"/>
  <c r="DZ52" i="1"/>
  <c r="DV52" i="1"/>
  <c r="DR52" i="1"/>
  <c r="EN51" i="1"/>
  <c r="EJ51" i="1"/>
  <c r="EF51" i="1"/>
  <c r="EB51" i="1"/>
  <c r="DX51" i="1"/>
  <c r="DT51" i="1"/>
  <c r="DP51" i="1"/>
  <c r="EL50" i="1"/>
  <c r="EH50" i="1"/>
  <c r="ED50" i="1"/>
  <c r="DZ50" i="1"/>
  <c r="DV50" i="1"/>
  <c r="DR50" i="1"/>
  <c r="EN49" i="1"/>
  <c r="EJ49" i="1"/>
  <c r="EF49" i="1"/>
  <c r="EB49" i="1"/>
  <c r="DX49" i="1"/>
  <c r="DT49" i="1"/>
  <c r="DP49" i="1"/>
  <c r="EL48" i="1"/>
  <c r="EH48" i="1"/>
  <c r="ED48" i="1"/>
  <c r="DZ48" i="1"/>
  <c r="DV48" i="1"/>
  <c r="DR48" i="1"/>
  <c r="EN47" i="1"/>
  <c r="EJ47" i="1"/>
  <c r="EF47" i="1"/>
  <c r="EB47" i="1"/>
  <c r="DX47" i="1"/>
  <c r="DT47" i="1"/>
  <c r="DP47" i="1"/>
  <c r="EL46" i="1"/>
  <c r="EH46" i="1"/>
  <c r="ED46" i="1"/>
  <c r="DZ46" i="1"/>
  <c r="DV46" i="1"/>
  <c r="DR46" i="1"/>
  <c r="EF22" i="1"/>
  <c r="DO22" i="1"/>
  <c r="EN45" i="1"/>
  <c r="EJ45" i="1"/>
  <c r="EF45" i="1"/>
  <c r="EB45" i="1"/>
  <c r="DX45" i="1"/>
  <c r="DT45" i="1"/>
  <c r="DP45" i="1"/>
  <c r="EL44" i="1"/>
  <c r="EH44" i="1"/>
  <c r="ED44" i="1"/>
  <c r="DZ44" i="1"/>
  <c r="DV44" i="1"/>
  <c r="DR44" i="1"/>
  <c r="EN43" i="1"/>
  <c r="EJ43" i="1"/>
  <c r="EF43" i="1"/>
  <c r="EB43" i="1"/>
  <c r="DX43" i="1"/>
  <c r="DT43" i="1"/>
  <c r="DP43" i="1"/>
  <c r="EL42" i="1"/>
  <c r="EH42" i="1"/>
  <c r="ED42" i="1"/>
  <c r="DZ42" i="1"/>
  <c r="DV42" i="1"/>
  <c r="DR42" i="1"/>
  <c r="EN41" i="1"/>
  <c r="EJ41" i="1"/>
  <c r="EF41" i="1"/>
  <c r="EB41" i="1"/>
  <c r="DX41" i="1"/>
  <c r="DT41" i="1"/>
  <c r="DP41" i="1"/>
  <c r="EL40" i="1"/>
  <c r="EH40" i="1"/>
  <c r="ED40" i="1"/>
  <c r="DZ40" i="1"/>
  <c r="DV40" i="1"/>
  <c r="DR40" i="1"/>
  <c r="EN39" i="1"/>
  <c r="EJ39" i="1"/>
  <c r="EF39" i="1"/>
  <c r="EB39" i="1"/>
  <c r="DX39" i="1"/>
  <c r="DT39" i="1"/>
  <c r="DP39" i="1"/>
  <c r="EL38" i="1"/>
  <c r="EH38" i="1"/>
  <c r="ED38" i="1"/>
  <c r="DZ38" i="1"/>
  <c r="DV38" i="1"/>
  <c r="DR38" i="1"/>
  <c r="EN37" i="1"/>
  <c r="EJ37" i="1"/>
  <c r="EF37" i="1"/>
  <c r="EB37" i="1"/>
  <c r="DX37" i="1"/>
  <c r="DT37" i="1"/>
  <c r="DP37" i="1"/>
  <c r="EL36" i="1"/>
  <c r="EH36" i="1"/>
  <c r="ED36" i="1"/>
  <c r="DZ36" i="1"/>
  <c r="DV36" i="1"/>
  <c r="DR36" i="1"/>
  <c r="EN35" i="1"/>
  <c r="EJ35" i="1"/>
  <c r="EF35" i="1"/>
  <c r="EB35" i="1"/>
  <c r="DX35" i="1"/>
  <c r="DT35" i="1"/>
  <c r="DP35" i="1"/>
  <c r="EL34" i="1"/>
  <c r="EH34" i="1"/>
  <c r="ED34" i="1"/>
  <c r="DZ34" i="1"/>
  <c r="DV34" i="1"/>
  <c r="DR34" i="1"/>
  <c r="EN33" i="1"/>
  <c r="EJ33" i="1"/>
  <c r="EF33" i="1"/>
  <c r="EB33" i="1"/>
  <c r="DX33" i="1"/>
  <c r="DT33" i="1"/>
  <c r="DP33" i="1"/>
  <c r="DQ59" i="1"/>
  <c r="EM58" i="1"/>
  <c r="EI58" i="1"/>
  <c r="EE58" i="1"/>
  <c r="EA58" i="1"/>
  <c r="DW58" i="1"/>
  <c r="DS58" i="1"/>
  <c r="DO58" i="1"/>
  <c r="EK57" i="1"/>
  <c r="EG57" i="1"/>
  <c r="EC57" i="1"/>
  <c r="DY57" i="1"/>
  <c r="DU57" i="1"/>
  <c r="DQ57" i="1"/>
  <c r="EM56" i="1"/>
  <c r="EI56" i="1"/>
  <c r="EE56" i="1"/>
  <c r="EA56" i="1"/>
  <c r="DW56" i="1"/>
  <c r="DS56" i="1"/>
  <c r="DO56" i="1"/>
  <c r="EK55" i="1"/>
  <c r="EG55" i="1"/>
  <c r="EC55" i="1"/>
  <c r="DY55" i="1"/>
  <c r="DU55" i="1"/>
  <c r="DQ55" i="1"/>
  <c r="EM54" i="1"/>
  <c r="EI54" i="1"/>
  <c r="EE54" i="1"/>
  <c r="EA54" i="1"/>
  <c r="DW54" i="1"/>
  <c r="DS54" i="1"/>
  <c r="DO54" i="1"/>
  <c r="EK53" i="1"/>
  <c r="EG53" i="1"/>
  <c r="EC53" i="1"/>
  <c r="DY53" i="1"/>
  <c r="DU53" i="1"/>
  <c r="DQ53" i="1"/>
  <c r="EM52" i="1"/>
  <c r="EI52" i="1"/>
  <c r="EE52" i="1"/>
  <c r="EA52" i="1"/>
  <c r="DW52" i="1"/>
  <c r="DS52" i="1"/>
  <c r="DO52" i="1"/>
  <c r="EK51" i="1"/>
  <c r="EG51" i="1"/>
  <c r="EC51" i="1"/>
  <c r="DY51" i="1"/>
  <c r="DU51" i="1"/>
  <c r="DQ51" i="1"/>
  <c r="EM50" i="1"/>
  <c r="EI50" i="1"/>
  <c r="EE50" i="1"/>
  <c r="EA50" i="1"/>
  <c r="DW50" i="1"/>
  <c r="DS50" i="1"/>
  <c r="DO50" i="1"/>
  <c r="EK49" i="1"/>
  <c r="EG49" i="1"/>
  <c r="EC49" i="1"/>
  <c r="DY49" i="1"/>
  <c r="DU49" i="1"/>
  <c r="DQ49" i="1"/>
  <c r="EM48" i="1"/>
  <c r="EI48" i="1"/>
  <c r="EE48" i="1"/>
  <c r="EA48" i="1"/>
  <c r="DW48" i="1"/>
  <c r="DS48" i="1"/>
  <c r="DO48" i="1"/>
  <c r="EK47" i="1"/>
  <c r="EG47" i="1"/>
  <c r="EC47" i="1"/>
  <c r="DY47" i="1"/>
  <c r="DU47" i="1"/>
  <c r="DQ47" i="1"/>
  <c r="EM46" i="1"/>
  <c r="EI46" i="1"/>
  <c r="EE46" i="1"/>
  <c r="EA46" i="1"/>
  <c r="DW46" i="1"/>
  <c r="DS46" i="1"/>
  <c r="DO46" i="1"/>
  <c r="EK45" i="1"/>
  <c r="EG45" i="1"/>
  <c r="EC45" i="1"/>
  <c r="DY45" i="1"/>
  <c r="CJ7" i="1"/>
  <c r="CF7" i="1"/>
  <c r="CB7" i="1"/>
  <c r="BX7" i="1"/>
  <c r="BT7" i="1"/>
  <c r="BP7" i="1"/>
  <c r="EL70" i="1"/>
  <c r="EH70" i="1"/>
  <c r="ED70" i="1"/>
  <c r="DZ70" i="1"/>
  <c r="DV70" i="1"/>
  <c r="DR70" i="1"/>
  <c r="EN69" i="1"/>
  <c r="EJ69" i="1"/>
  <c r="EF69" i="1"/>
  <c r="EB69" i="1"/>
  <c r="DX69" i="1"/>
  <c r="DT69" i="1"/>
  <c r="DP69" i="1"/>
  <c r="EL68" i="1"/>
  <c r="EH68" i="1"/>
  <c r="ED68" i="1"/>
  <c r="DZ68" i="1"/>
  <c r="DV68" i="1"/>
  <c r="DR68" i="1"/>
  <c r="EM65" i="1"/>
  <c r="EI65" i="1"/>
  <c r="EE65" i="1"/>
  <c r="EA65" i="1"/>
  <c r="DW65" i="1"/>
  <c r="DS65" i="1"/>
  <c r="DO65" i="1"/>
  <c r="EK64" i="1"/>
  <c r="EG64" i="1"/>
  <c r="EC64" i="1"/>
  <c r="DY64" i="1"/>
  <c r="DU64" i="1"/>
  <c r="DQ64" i="1"/>
  <c r="EK62" i="1"/>
  <c r="EG62" i="1"/>
  <c r="EC62" i="1"/>
  <c r="DY62" i="1"/>
  <c r="DU62" i="1"/>
  <c r="DQ62" i="1"/>
  <c r="EM61" i="1"/>
  <c r="EI61" i="1"/>
  <c r="EE61" i="1"/>
  <c r="EA61" i="1"/>
  <c r="DW61" i="1"/>
  <c r="DS61" i="1"/>
  <c r="DO61" i="1"/>
  <c r="EK60" i="1"/>
  <c r="EG60" i="1"/>
  <c r="EC60" i="1"/>
  <c r="DY60" i="1"/>
  <c r="DU60" i="1"/>
  <c r="DQ60" i="1"/>
  <c r="EM59" i="1"/>
  <c r="EI59" i="1"/>
  <c r="EE59" i="1"/>
  <c r="EA59" i="1"/>
  <c r="DW59" i="1"/>
  <c r="DO59" i="1"/>
  <c r="DY58" i="1"/>
  <c r="EI57" i="1"/>
  <c r="EA57" i="1"/>
  <c r="EK56" i="1"/>
  <c r="EC56" i="1"/>
  <c r="DU56" i="1"/>
  <c r="DO55" i="1"/>
  <c r="DQ54" i="1"/>
  <c r="EK52" i="1"/>
  <c r="EC52" i="1"/>
  <c r="EE51" i="1"/>
  <c r="DW51" i="1"/>
  <c r="DQ50" i="1"/>
  <c r="DS49" i="1"/>
  <c r="EM47" i="1"/>
  <c r="EE47" i="1"/>
  <c r="DQ44" i="1"/>
  <c r="DW43" i="1"/>
  <c r="DU42" i="1"/>
  <c r="EM37" i="1"/>
  <c r="EA35" i="1"/>
  <c r="DO33" i="1"/>
  <c r="EM25" i="1"/>
  <c r="CK6" i="1"/>
  <c r="CG6" i="1"/>
  <c r="CC6" i="1"/>
  <c r="BY6" i="1"/>
  <c r="BU6" i="1"/>
  <c r="BQ6" i="1"/>
  <c r="BM6" i="1"/>
  <c r="CK7" i="1"/>
  <c r="CG7" i="1"/>
  <c r="BU7" i="1"/>
  <c r="CJ6" i="1"/>
  <c r="CF6" i="1"/>
  <c r="CB6" i="1"/>
  <c r="BX6" i="1"/>
  <c r="BT6" i="1"/>
  <c r="BP6" i="1"/>
  <c r="BM7" i="1"/>
  <c r="CI7" i="1"/>
  <c r="CE7" i="1"/>
  <c r="CA7" i="1"/>
  <c r="BW7" i="1"/>
  <c r="BS7" i="1"/>
  <c r="BO7" i="1"/>
  <c r="CL5" i="1"/>
  <c r="CI6" i="1"/>
  <c r="CE6" i="1"/>
  <c r="CA6" i="1"/>
  <c r="BW6" i="1"/>
  <c r="BS6" i="1"/>
  <c r="BO6" i="1"/>
  <c r="BY7" i="1"/>
  <c r="BQ7" i="1"/>
  <c r="CH6" i="1"/>
  <c r="CD6" i="1"/>
  <c r="BZ6" i="1"/>
  <c r="BV6" i="1"/>
  <c r="BR6" i="1"/>
  <c r="BN6" i="1"/>
  <c r="EC70" i="1"/>
  <c r="DY70" i="1"/>
  <c r="EM69" i="1"/>
  <c r="EI69" i="1"/>
  <c r="DW69" i="1"/>
  <c r="DS69" i="1"/>
  <c r="EG68" i="1"/>
  <c r="EC68" i="1"/>
  <c r="DQ68" i="1"/>
  <c r="EH65" i="1"/>
  <c r="ED65" i="1"/>
  <c r="DZ65" i="1"/>
  <c r="DV65" i="1"/>
  <c r="DR65" i="1"/>
  <c r="EN64" i="1"/>
  <c r="EJ64" i="1"/>
  <c r="EF64" i="1"/>
  <c r="EB64" i="1"/>
  <c r="DX64" i="1"/>
  <c r="DT64" i="1"/>
  <c r="DP64" i="1"/>
  <c r="EN62" i="1"/>
  <c r="EJ62" i="1"/>
  <c r="EF62" i="1"/>
  <c r="EB62" i="1"/>
  <c r="DX62" i="1"/>
  <c r="DT62" i="1"/>
  <c r="DP62" i="1"/>
  <c r="EL61" i="1"/>
  <c r="EH61" i="1"/>
  <c r="ED61" i="1"/>
  <c r="DZ61" i="1"/>
  <c r="DV61" i="1"/>
  <c r="DR61" i="1"/>
  <c r="EN60" i="1"/>
  <c r="EJ60" i="1"/>
  <c r="EF60" i="1"/>
  <c r="EB60" i="1"/>
  <c r="DX60" i="1"/>
  <c r="DT60" i="1"/>
  <c r="DP60" i="1"/>
  <c r="EL59" i="1"/>
  <c r="EH59" i="1"/>
  <c r="ED59" i="1"/>
  <c r="DZ59" i="1"/>
  <c r="DV59" i="1"/>
  <c r="DR59" i="1"/>
  <c r="EN58" i="1"/>
  <c r="EJ58" i="1"/>
  <c r="EF58" i="1"/>
  <c r="EB58" i="1"/>
  <c r="DX58" i="1"/>
  <c r="DT58" i="1"/>
  <c r="DP58" i="1"/>
  <c r="EL57" i="1"/>
  <c r="EH57" i="1"/>
  <c r="ED57" i="1"/>
  <c r="DZ57" i="1"/>
  <c r="DV57" i="1"/>
  <c r="DR57" i="1"/>
  <c r="EN56" i="1"/>
  <c r="EJ56" i="1"/>
  <c r="EF56" i="1"/>
  <c r="EB56" i="1"/>
  <c r="DX56" i="1"/>
  <c r="DT56" i="1"/>
  <c r="DP56" i="1"/>
  <c r="EL55" i="1"/>
  <c r="EH55" i="1"/>
  <c r="ED55" i="1"/>
  <c r="DZ55" i="1"/>
  <c r="DV55" i="1"/>
  <c r="DR55" i="1"/>
  <c r="EN54" i="1"/>
  <c r="EJ54" i="1"/>
  <c r="EF54" i="1"/>
  <c r="EB54" i="1"/>
  <c r="DX54" i="1"/>
  <c r="DT54" i="1"/>
  <c r="DP54" i="1"/>
  <c r="EL53" i="1"/>
  <c r="EH53" i="1"/>
  <c r="ED53" i="1"/>
  <c r="DZ53" i="1"/>
  <c r="DV53" i="1"/>
  <c r="DR53" i="1"/>
  <c r="EN52" i="1"/>
  <c r="EJ52" i="1"/>
  <c r="EF52" i="1"/>
  <c r="EB52" i="1"/>
  <c r="DX52" i="1"/>
  <c r="DT52" i="1"/>
  <c r="DP52" i="1"/>
  <c r="EL51" i="1"/>
  <c r="EH51" i="1"/>
  <c r="ED51" i="1"/>
  <c r="DZ51" i="1"/>
  <c r="DV51" i="1"/>
  <c r="DR51" i="1"/>
  <c r="EN50" i="1"/>
  <c r="EJ50" i="1"/>
  <c r="EF50" i="1"/>
  <c r="EB50" i="1"/>
  <c r="DX50" i="1"/>
  <c r="DT50" i="1"/>
  <c r="DP50" i="1"/>
  <c r="EL49" i="1"/>
  <c r="EH49" i="1"/>
  <c r="ED49" i="1"/>
  <c r="DZ49" i="1"/>
  <c r="DV49" i="1"/>
  <c r="DR49" i="1"/>
  <c r="EN48" i="1"/>
  <c r="EJ48" i="1"/>
  <c r="EF48" i="1"/>
  <c r="EB48" i="1"/>
  <c r="DX48" i="1"/>
  <c r="DT48" i="1"/>
  <c r="DP48" i="1"/>
  <c r="EL47" i="1"/>
  <c r="EH47" i="1"/>
  <c r="ED47" i="1"/>
  <c r="DZ47" i="1"/>
  <c r="DV47" i="1"/>
  <c r="DR47" i="1"/>
  <c r="EN46" i="1"/>
  <c r="EJ46" i="1"/>
  <c r="EF46" i="1"/>
  <c r="EB46" i="1"/>
  <c r="DX46" i="1"/>
  <c r="DT46" i="1"/>
  <c r="DP46" i="1"/>
  <c r="EL45" i="1"/>
  <c r="EH45" i="1"/>
  <c r="ED45" i="1"/>
  <c r="DZ45" i="1"/>
  <c r="DV45" i="1"/>
  <c r="DR45" i="1"/>
  <c r="EN44" i="1"/>
  <c r="EJ44" i="1"/>
  <c r="EF44" i="1"/>
  <c r="EB44" i="1"/>
  <c r="DX44" i="1"/>
  <c r="DT44" i="1"/>
  <c r="DP44" i="1"/>
  <c r="EL43" i="1"/>
  <c r="EH43" i="1"/>
  <c r="ED43" i="1"/>
  <c r="DZ43" i="1"/>
  <c r="DV43" i="1"/>
  <c r="DR43" i="1"/>
  <c r="EN42" i="1"/>
  <c r="EJ42" i="1"/>
  <c r="EF42" i="1"/>
  <c r="EB42" i="1"/>
  <c r="DX42" i="1"/>
  <c r="DT42" i="1"/>
  <c r="DP42" i="1"/>
  <c r="EL41" i="1"/>
  <c r="EH41" i="1"/>
  <c r="ED41" i="1"/>
  <c r="DZ41" i="1"/>
  <c r="DV41" i="1"/>
  <c r="DR41" i="1"/>
  <c r="EN40" i="1"/>
  <c r="EJ40" i="1"/>
  <c r="EF40" i="1"/>
  <c r="EB40" i="1"/>
  <c r="DX40" i="1"/>
  <c r="DT40" i="1"/>
  <c r="DP40" i="1"/>
  <c r="EL39" i="1"/>
  <c r="EH39" i="1"/>
  <c r="ED39" i="1"/>
  <c r="DZ39" i="1"/>
  <c r="DV39" i="1"/>
  <c r="DR39" i="1"/>
  <c r="EN38" i="1"/>
  <c r="EJ38" i="1"/>
  <c r="EF38" i="1"/>
  <c r="EB38" i="1"/>
  <c r="DX38" i="1"/>
  <c r="DT38" i="1"/>
  <c r="DP38" i="1"/>
  <c r="EL37" i="1"/>
  <c r="EH37" i="1"/>
  <c r="ED37" i="1"/>
  <c r="DZ37" i="1"/>
  <c r="DV37" i="1"/>
  <c r="DR37" i="1"/>
  <c r="EN36" i="1"/>
  <c r="EJ36" i="1"/>
  <c r="EF36" i="1"/>
  <c r="EB36" i="1"/>
  <c r="DX36" i="1"/>
  <c r="DT36" i="1"/>
  <c r="DP36" i="1"/>
  <c r="EL35" i="1"/>
  <c r="EH35" i="1"/>
  <c r="ED35" i="1"/>
  <c r="DZ35" i="1"/>
  <c r="DV35" i="1"/>
  <c r="DR35" i="1"/>
  <c r="EN34" i="1"/>
  <c r="EJ34" i="1"/>
  <c r="EF34" i="1"/>
  <c r="EB34" i="1"/>
  <c r="DX34" i="1"/>
  <c r="DT34" i="1"/>
  <c r="DP34" i="1"/>
  <c r="EL33" i="1"/>
  <c r="EH33" i="1"/>
  <c r="ED33" i="1"/>
  <c r="DZ33" i="1"/>
  <c r="DV33" i="1"/>
  <c r="DR33" i="1"/>
  <c r="EL31" i="1"/>
  <c r="EH31" i="1"/>
  <c r="ED31" i="1"/>
  <c r="DZ31" i="1"/>
  <c r="DV31" i="1"/>
  <c r="DR31" i="1"/>
  <c r="EN30" i="1"/>
  <c r="EJ30" i="1"/>
  <c r="EF30" i="1"/>
  <c r="EB30" i="1"/>
  <c r="DX30" i="1"/>
  <c r="DT30" i="1"/>
  <c r="DP30" i="1"/>
  <c r="EL29" i="1"/>
  <c r="EH29" i="1"/>
  <c r="ED29" i="1"/>
  <c r="DZ29" i="1"/>
  <c r="DV29" i="1"/>
  <c r="DR29" i="1"/>
  <c r="EN28" i="1"/>
  <c r="EJ28" i="1"/>
  <c r="EF28" i="1"/>
  <c r="EB28" i="1"/>
  <c r="DX28" i="1"/>
  <c r="DT28" i="1"/>
  <c r="DP28" i="1"/>
  <c r="EL27" i="1"/>
  <c r="EH27" i="1"/>
  <c r="ED27" i="1"/>
  <c r="DZ27" i="1"/>
  <c r="DV27" i="1"/>
  <c r="DR27" i="1"/>
  <c r="EL25" i="1"/>
  <c r="EH25" i="1"/>
  <c r="ED25" i="1"/>
  <c r="DZ25" i="1"/>
  <c r="DV25" i="1"/>
  <c r="DR25" i="1"/>
  <c r="EL65" i="1"/>
  <c r="EL67" i="1"/>
  <c r="DZ67" i="1"/>
  <c r="EM66" i="1"/>
  <c r="DW66" i="1"/>
  <c r="DO66" i="1"/>
  <c r="EG63" i="1"/>
  <c r="EK67" i="1"/>
  <c r="EG67" i="1"/>
  <c r="EC67" i="1"/>
  <c r="DY67" i="1"/>
  <c r="DU67" i="1"/>
  <c r="DQ67" i="1"/>
  <c r="EL66" i="1"/>
  <c r="EH66" i="1"/>
  <c r="ED66" i="1"/>
  <c r="DZ66" i="1"/>
  <c r="DV66" i="1"/>
  <c r="DR66" i="1"/>
  <c r="EN63" i="1"/>
  <c r="EJ63" i="1"/>
  <c r="EF63" i="1"/>
  <c r="EB63" i="1"/>
  <c r="DX63" i="1"/>
  <c r="DT63" i="1"/>
  <c r="DP63" i="1"/>
  <c r="DL7" i="1"/>
  <c r="DH7" i="1"/>
  <c r="DD7" i="1"/>
  <c r="CZ7" i="1"/>
  <c r="CV7" i="1"/>
  <c r="CR7" i="1"/>
  <c r="ED67" i="1"/>
  <c r="DR67" i="1"/>
  <c r="EI66" i="1"/>
  <c r="EA66" i="1"/>
  <c r="DS66" i="1"/>
  <c r="EK63" i="1"/>
  <c r="EC63" i="1"/>
  <c r="DU63" i="1"/>
  <c r="EH67" i="1"/>
  <c r="DV67" i="1"/>
  <c r="EE66" i="1"/>
  <c r="DY63" i="1"/>
  <c r="DQ63" i="1"/>
  <c r="EM67" i="1"/>
  <c r="EN67" i="1"/>
  <c r="EJ67" i="1"/>
  <c r="EF67" i="1"/>
  <c r="EB67" i="1"/>
  <c r="DX67" i="1"/>
  <c r="DT67" i="1"/>
  <c r="DP67" i="1"/>
  <c r="EK66" i="1"/>
  <c r="EG66" i="1"/>
  <c r="EC66" i="1"/>
  <c r="DY66" i="1"/>
  <c r="DU66" i="1"/>
  <c r="DQ66" i="1"/>
  <c r="EM63" i="1"/>
  <c r="EI63" i="1"/>
  <c r="EE63" i="1"/>
  <c r="EA63" i="1"/>
  <c r="DW63" i="1"/>
  <c r="DS63" i="1"/>
  <c r="DO63" i="1"/>
  <c r="DO23" i="1"/>
  <c r="DK7" i="1"/>
  <c r="DG7" i="1"/>
  <c r="DC7" i="1"/>
  <c r="CY7" i="1"/>
  <c r="CU7" i="1"/>
  <c r="CQ7" i="1"/>
  <c r="EA67" i="1"/>
  <c r="DW67" i="1"/>
  <c r="EJ66" i="1"/>
  <c r="EF66" i="1"/>
  <c r="EB66" i="1"/>
  <c r="DX66" i="1"/>
  <c r="DT66" i="1"/>
  <c r="DP66" i="1"/>
  <c r="EL63" i="1"/>
  <c r="EH63" i="1"/>
  <c r="ED63" i="1"/>
  <c r="DZ63" i="1"/>
  <c r="DV63" i="1"/>
  <c r="DR63" i="1"/>
  <c r="EN26" i="1"/>
  <c r="EJ26" i="1"/>
  <c r="EF26" i="1"/>
  <c r="EB26" i="1"/>
  <c r="DX26" i="1"/>
  <c r="DT26" i="1"/>
  <c r="DP26" i="1"/>
  <c r="CN7" i="1"/>
  <c r="DJ7" i="1"/>
  <c r="DF7" i="1"/>
  <c r="DB7" i="1"/>
  <c r="CX7" i="1"/>
  <c r="CT7" i="1"/>
  <c r="CP7" i="1"/>
  <c r="DU45" i="1"/>
  <c r="DQ45" i="1"/>
  <c r="EM44" i="1"/>
  <c r="EI44" i="1"/>
  <c r="EE44" i="1"/>
  <c r="EA44" i="1"/>
  <c r="DW44" i="1"/>
  <c r="DS44" i="1"/>
  <c r="DO44" i="1"/>
  <c r="EK43" i="1"/>
  <c r="EG43" i="1"/>
  <c r="EC43" i="1"/>
  <c r="DY43" i="1"/>
  <c r="DU43" i="1"/>
  <c r="DQ43" i="1"/>
  <c r="EM42" i="1"/>
  <c r="EI42" i="1"/>
  <c r="EE42" i="1"/>
  <c r="EA42" i="1"/>
  <c r="DW42" i="1"/>
  <c r="DS42" i="1"/>
  <c r="DO42" i="1"/>
  <c r="EK41" i="1"/>
  <c r="EG41" i="1"/>
  <c r="EC41" i="1"/>
  <c r="DY41" i="1"/>
  <c r="DU41" i="1"/>
  <c r="DQ41" i="1"/>
  <c r="EM40" i="1"/>
  <c r="EI40" i="1"/>
  <c r="EE40" i="1"/>
  <c r="EA40" i="1"/>
  <c r="DW40" i="1"/>
  <c r="DS40" i="1"/>
  <c r="DO40" i="1"/>
  <c r="EK39" i="1"/>
  <c r="EG39" i="1"/>
  <c r="EC39" i="1"/>
  <c r="DY39" i="1"/>
  <c r="DU39" i="1"/>
  <c r="DQ39" i="1"/>
  <c r="EM38" i="1"/>
  <c r="EI38" i="1"/>
  <c r="EE38" i="1"/>
  <c r="EA38" i="1"/>
  <c r="DW38" i="1"/>
  <c r="DS38" i="1"/>
  <c r="DO38" i="1"/>
  <c r="EK37" i="1"/>
  <c r="EG37" i="1"/>
  <c r="EC37" i="1"/>
  <c r="DY37" i="1"/>
  <c r="DU37" i="1"/>
  <c r="EK21" i="1"/>
  <c r="EG21" i="1"/>
  <c r="EC21" i="1"/>
  <c r="DY21" i="1"/>
  <c r="DU21" i="1"/>
  <c r="DQ21" i="1"/>
  <c r="EM21" i="1"/>
  <c r="DM7" i="1"/>
  <c r="DI7" i="1"/>
  <c r="DE7" i="1"/>
  <c r="DA7" i="1"/>
  <c r="CW7" i="1"/>
  <c r="CS7" i="1"/>
  <c r="CO7" i="1"/>
  <c r="EK20" i="1"/>
  <c r="DZ20" i="1"/>
  <c r="DT20" i="1"/>
  <c r="EM20" i="1"/>
  <c r="EI20" i="1"/>
  <c r="EA20" i="1"/>
  <c r="DW20" i="1"/>
  <c r="DS20" i="1"/>
  <c r="EF24" i="1"/>
  <c r="EL21" i="1"/>
  <c r="EH21" i="1"/>
  <c r="ED21" i="1"/>
  <c r="DZ21" i="1"/>
  <c r="DV21" i="1"/>
  <c r="DR21" i="1"/>
  <c r="EK24" i="1"/>
  <c r="DQ24" i="1"/>
  <c r="EG58" i="1"/>
  <c r="DQ58" i="1"/>
  <c r="DS57" i="1"/>
  <c r="EM55" i="1"/>
  <c r="EE55" i="1"/>
  <c r="DW55" i="1"/>
  <c r="EG54" i="1"/>
  <c r="DY54" i="1"/>
  <c r="EI53" i="1"/>
  <c r="EA53" i="1"/>
  <c r="DS53" i="1"/>
  <c r="DU52" i="1"/>
  <c r="EM51" i="1"/>
  <c r="DO51" i="1"/>
  <c r="EG50" i="1"/>
  <c r="DY50" i="1"/>
  <c r="EI49" i="1"/>
  <c r="EA49" i="1"/>
  <c r="EK48" i="1"/>
  <c r="EC48" i="1"/>
  <c r="DU48" i="1"/>
  <c r="DS47" i="1"/>
  <c r="DQ46" i="1"/>
  <c r="DU40" i="1"/>
  <c r="DO39" i="1"/>
  <c r="EC36" i="1"/>
  <c r="EE31" i="1"/>
  <c r="DQ37" i="1"/>
  <c r="EM36" i="1"/>
  <c r="EI36" i="1"/>
  <c r="EE36" i="1"/>
  <c r="EA36" i="1"/>
  <c r="DW36" i="1"/>
  <c r="DS36" i="1"/>
  <c r="DO36" i="1"/>
  <c r="EK35" i="1"/>
  <c r="EG35" i="1"/>
  <c r="EC35" i="1"/>
  <c r="DY35" i="1"/>
  <c r="DU35" i="1"/>
  <c r="DQ35" i="1"/>
  <c r="EM34" i="1"/>
  <c r="EI34" i="1"/>
  <c r="EE34" i="1"/>
  <c r="EA34" i="1"/>
  <c r="DW34" i="1"/>
  <c r="DS34" i="1"/>
  <c r="DO34" i="1"/>
  <c r="EK33" i="1"/>
  <c r="EG33" i="1"/>
  <c r="EC33" i="1"/>
  <c r="DY33" i="1"/>
  <c r="DU33" i="1"/>
  <c r="DQ33" i="1"/>
  <c r="EK31" i="1"/>
  <c r="EG31" i="1"/>
  <c r="EC31" i="1"/>
  <c r="DY31" i="1"/>
  <c r="DU31" i="1"/>
  <c r="DQ31" i="1"/>
  <c r="EM30" i="1"/>
  <c r="EI30" i="1"/>
  <c r="EE30" i="1"/>
  <c r="EA30" i="1"/>
  <c r="DW30" i="1"/>
  <c r="DS30" i="1"/>
  <c r="DO30" i="1"/>
  <c r="EK29" i="1"/>
  <c r="EG29" i="1"/>
  <c r="EC29" i="1"/>
  <c r="DY29" i="1"/>
  <c r="DU29" i="1"/>
  <c r="DQ29" i="1"/>
  <c r="EM28" i="1"/>
  <c r="EI28" i="1"/>
  <c r="EE28" i="1"/>
  <c r="EA28" i="1"/>
  <c r="DW28" i="1"/>
  <c r="DS28" i="1"/>
  <c r="DO28" i="1"/>
  <c r="EK27" i="1"/>
  <c r="EG27" i="1"/>
  <c r="EC27" i="1"/>
  <c r="DY27" i="1"/>
  <c r="DU27" i="1"/>
  <c r="DQ27" i="1"/>
  <c r="EM26" i="1"/>
  <c r="EI26" i="1"/>
  <c r="EE26" i="1"/>
  <c r="EA26" i="1"/>
  <c r="DW26" i="1"/>
  <c r="DS26" i="1"/>
  <c r="DO26" i="1"/>
  <c r="EK25" i="1"/>
  <c r="EG25" i="1"/>
  <c r="EC25" i="1"/>
  <c r="DY25" i="1"/>
  <c r="DU25" i="1"/>
  <c r="DQ25" i="1"/>
  <c r="EM24" i="1"/>
  <c r="EI24" i="1"/>
  <c r="EE24" i="1"/>
  <c r="EA24" i="1"/>
  <c r="DW24" i="1"/>
  <c r="DS24" i="1"/>
  <c r="EM22" i="1"/>
  <c r="EI22" i="1"/>
  <c r="EE22" i="1"/>
  <c r="EA22" i="1"/>
  <c r="DW22" i="1"/>
  <c r="DS22" i="1"/>
  <c r="EN20" i="1"/>
  <c r="EB20" i="1"/>
  <c r="DX20" i="1"/>
  <c r="EK70" i="1"/>
  <c r="EG70" i="1"/>
  <c r="DU70" i="1"/>
  <c r="DQ70" i="1"/>
  <c r="EE69" i="1"/>
  <c r="EA69" i="1"/>
  <c r="DO69" i="1"/>
  <c r="EK68" i="1"/>
  <c r="DY68" i="1"/>
  <c r="DU68" i="1"/>
  <c r="EI67" i="1"/>
  <c r="EE67" i="1"/>
  <c r="DS67" i="1"/>
  <c r="DO67" i="1"/>
  <c r="DS59" i="1"/>
  <c r="EK58" i="1"/>
  <c r="EC58" i="1"/>
  <c r="DU58" i="1"/>
  <c r="EM57" i="1"/>
  <c r="EE57" i="1"/>
  <c r="DW57" i="1"/>
  <c r="DO57" i="1"/>
  <c r="EG56" i="1"/>
  <c r="DY56" i="1"/>
  <c r="DQ56" i="1"/>
  <c r="EI55" i="1"/>
  <c r="EA55" i="1"/>
  <c r="DS55" i="1"/>
  <c r="EK54" i="1"/>
  <c r="EC54" i="1"/>
  <c r="DU54" i="1"/>
  <c r="EM53" i="1"/>
  <c r="EE53" i="1"/>
  <c r="DW53" i="1"/>
  <c r="DO53" i="1"/>
  <c r="EG52" i="1"/>
  <c r="DY52" i="1"/>
  <c r="DQ52" i="1"/>
  <c r="EI51" i="1"/>
  <c r="EA51" i="1"/>
  <c r="DS51" i="1"/>
  <c r="EK50" i="1"/>
  <c r="EC50" i="1"/>
  <c r="DU50" i="1"/>
  <c r="EM49" i="1"/>
  <c r="EE49" i="1"/>
  <c r="DW49" i="1"/>
  <c r="DO49" i="1"/>
  <c r="EG48" i="1"/>
  <c r="DY48" i="1"/>
  <c r="DQ48" i="1"/>
  <c r="EI47" i="1"/>
  <c r="EA47" i="1"/>
  <c r="DW47" i="1"/>
  <c r="DO47" i="1"/>
  <c r="EK46" i="1"/>
  <c r="EG46" i="1"/>
  <c r="EC46" i="1"/>
  <c r="DY46" i="1"/>
  <c r="DU46" i="1"/>
  <c r="EM45" i="1"/>
  <c r="EI45" i="1"/>
  <c r="EE45" i="1"/>
  <c r="EA45" i="1"/>
  <c r="DW45" i="1"/>
  <c r="DS45" i="1"/>
  <c r="DO45" i="1"/>
  <c r="EK44" i="1"/>
  <c r="EG44" i="1"/>
  <c r="EC44" i="1"/>
  <c r="DY44" i="1"/>
  <c r="DU44" i="1"/>
  <c r="EM43" i="1"/>
  <c r="EI43" i="1"/>
  <c r="EE43" i="1"/>
  <c r="EA43" i="1"/>
  <c r="DS43" i="1"/>
  <c r="DO43" i="1"/>
  <c r="EK42" i="1"/>
  <c r="EG42" i="1"/>
  <c r="EC42" i="1"/>
  <c r="DY42" i="1"/>
  <c r="DQ42" i="1"/>
  <c r="EM41" i="1"/>
  <c r="EI41" i="1"/>
  <c r="EE41" i="1"/>
  <c r="EA41" i="1"/>
  <c r="DW41" i="1"/>
  <c r="DS41" i="1"/>
  <c r="DO41" i="1"/>
  <c r="EK40" i="1"/>
  <c r="EG40" i="1"/>
  <c r="EC40" i="1"/>
  <c r="DY40" i="1"/>
  <c r="DQ40" i="1"/>
  <c r="EM39" i="1"/>
  <c r="EI39" i="1"/>
  <c r="EE39" i="1"/>
  <c r="EA39" i="1"/>
  <c r="DW39" i="1"/>
  <c r="DS39" i="1"/>
  <c r="EK38" i="1"/>
  <c r="EG38" i="1"/>
  <c r="EC38" i="1"/>
  <c r="DY38" i="1"/>
  <c r="DU38" i="1"/>
  <c r="DQ38" i="1"/>
  <c r="EI37" i="1"/>
  <c r="EE37" i="1"/>
  <c r="EA37" i="1"/>
  <c r="DW37" i="1"/>
  <c r="DS37" i="1"/>
  <c r="DO37" i="1"/>
  <c r="EK36" i="1"/>
  <c r="EG36" i="1"/>
  <c r="DY36" i="1"/>
  <c r="DU36" i="1"/>
  <c r="DQ36" i="1"/>
  <c r="EM35" i="1"/>
  <c r="EI35" i="1"/>
  <c r="EE35" i="1"/>
  <c r="DW35" i="1"/>
  <c r="DS35" i="1"/>
  <c r="DO35" i="1"/>
  <c r="EK34" i="1"/>
  <c r="EG34" i="1"/>
  <c r="EC34" i="1"/>
  <c r="DY34" i="1"/>
  <c r="DU34" i="1"/>
  <c r="DQ34" i="1"/>
  <c r="EM33" i="1"/>
  <c r="EI33" i="1"/>
  <c r="EE33" i="1"/>
  <c r="EA33" i="1"/>
  <c r="DW33" i="1"/>
  <c r="DS33" i="1"/>
  <c r="EM31" i="1"/>
  <c r="EI31" i="1"/>
  <c r="EA31" i="1"/>
  <c r="DW31" i="1"/>
  <c r="DS31" i="1"/>
  <c r="DO31" i="1"/>
  <c r="EK30" i="1"/>
  <c r="EG30" i="1"/>
  <c r="EC30" i="1"/>
  <c r="DY30" i="1"/>
  <c r="DU30" i="1"/>
  <c r="DQ30" i="1"/>
  <c r="EM29" i="1"/>
  <c r="EI29" i="1"/>
  <c r="EE29" i="1"/>
  <c r="EA29" i="1"/>
  <c r="DW29" i="1"/>
  <c r="DS29" i="1"/>
  <c r="DO29" i="1"/>
  <c r="EK28" i="1"/>
  <c r="EG28" i="1"/>
  <c r="EC28" i="1"/>
  <c r="DY28" i="1"/>
  <c r="DU28" i="1"/>
  <c r="DQ28" i="1"/>
  <c r="EM27" i="1"/>
  <c r="EI27" i="1"/>
  <c r="EE27" i="1"/>
  <c r="EA27" i="1"/>
  <c r="DW27" i="1"/>
  <c r="DS27" i="1"/>
  <c r="DO27" i="1"/>
  <c r="EK26" i="1"/>
  <c r="EG26" i="1"/>
  <c r="EC26" i="1"/>
  <c r="DY26" i="1"/>
  <c r="DU26" i="1"/>
  <c r="DQ26" i="1"/>
  <c r="EI25" i="1"/>
  <c r="EE25" i="1"/>
  <c r="EA25" i="1"/>
  <c r="DW25" i="1"/>
  <c r="DS25" i="1"/>
  <c r="DO25" i="1"/>
  <c r="EG24" i="1"/>
  <c r="EC24" i="1"/>
  <c r="DY24" i="1"/>
  <c r="DU24" i="1"/>
  <c r="EK22" i="1"/>
  <c r="EG22" i="1"/>
  <c r="EC22" i="1"/>
  <c r="DY22" i="1"/>
  <c r="DU22" i="1"/>
  <c r="DQ22" i="1"/>
  <c r="DO21" i="1"/>
  <c r="DT31" i="1"/>
  <c r="ED20" i="1"/>
  <c r="DO20" i="1"/>
  <c r="EG20" i="1"/>
  <c r="DY20" i="1"/>
  <c r="DQ20" i="1"/>
  <c r="EH20" i="1"/>
  <c r="EI21" i="1"/>
  <c r="EE21" i="1"/>
  <c r="EA21" i="1"/>
  <c r="DW21" i="1"/>
  <c r="DS21" i="1"/>
  <c r="EL20" i="1"/>
  <c r="EF20" i="1"/>
  <c r="DV20" i="1"/>
  <c r="DP20" i="1"/>
  <c r="EC20" i="1"/>
  <c r="DU20" i="1"/>
  <c r="DR20" i="1"/>
  <c r="EN24" i="1"/>
  <c r="EJ24" i="1"/>
  <c r="EB24" i="1"/>
  <c r="DX24" i="1"/>
  <c r="DT24" i="1"/>
  <c r="DP24" i="1"/>
  <c r="EN22" i="1"/>
  <c r="EJ22" i="1"/>
  <c r="EB22" i="1"/>
  <c r="DX22" i="1"/>
  <c r="DT22" i="1"/>
  <c r="DP22" i="1"/>
  <c r="EJ20" i="1"/>
  <c r="EE20" i="1"/>
  <c r="EF31" i="1"/>
  <c r="EB31" i="1"/>
  <c r="DP31" i="1"/>
  <c r="EL30" i="1"/>
  <c r="EH30" i="1"/>
  <c r="ED30" i="1"/>
  <c r="DZ30" i="1"/>
  <c r="DV30" i="1"/>
  <c r="DR30" i="1"/>
  <c r="EN29" i="1"/>
  <c r="EJ29" i="1"/>
  <c r="EF29" i="1"/>
  <c r="EB29" i="1"/>
  <c r="DX29" i="1"/>
  <c r="DT29" i="1"/>
  <c r="DP29" i="1"/>
  <c r="EL28" i="1"/>
  <c r="EH28" i="1"/>
  <c r="ED28" i="1"/>
  <c r="DZ28" i="1"/>
  <c r="DV28" i="1"/>
  <c r="DR28" i="1"/>
  <c r="EN27" i="1"/>
  <c r="EJ27" i="1"/>
  <c r="EF27" i="1"/>
  <c r="EB27" i="1"/>
  <c r="DX27" i="1"/>
  <c r="DT27" i="1"/>
  <c r="DP27" i="1"/>
  <c r="EL26" i="1"/>
  <c r="EH26" i="1"/>
  <c r="ED26" i="1"/>
  <c r="DZ26" i="1"/>
  <c r="DV26" i="1"/>
  <c r="DR26" i="1"/>
  <c r="EN25" i="1"/>
  <c r="EJ25" i="1"/>
  <c r="EF25" i="1"/>
  <c r="EB25" i="1"/>
  <c r="DX25" i="1"/>
  <c r="DT25" i="1"/>
  <c r="DP25" i="1"/>
  <c r="EL24" i="1"/>
  <c r="EH24" i="1"/>
  <c r="ED24" i="1"/>
  <c r="DZ24" i="1"/>
  <c r="DV24" i="1"/>
  <c r="DR24" i="1"/>
  <c r="EL22" i="1"/>
  <c r="EH22" i="1"/>
  <c r="ED22" i="1"/>
  <c r="DZ22" i="1"/>
  <c r="DV22" i="1"/>
  <c r="DR22" i="1"/>
  <c r="EN21" i="1"/>
  <c r="EJ21" i="1"/>
  <c r="EF21" i="1"/>
  <c r="EB21" i="1"/>
  <c r="DX21" i="1"/>
  <c r="DT21" i="1"/>
  <c r="DP21" i="1"/>
  <c r="AJ70" i="1"/>
  <c r="AI66" i="1"/>
  <c r="AJ69" i="1"/>
  <c r="AJ68" i="1"/>
  <c r="AJ67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4" i="1"/>
  <c r="AJ35" i="1"/>
  <c r="AJ36" i="1"/>
  <c r="AJ37" i="1"/>
  <c r="AJ32" i="1"/>
  <c r="DP7" i="1" l="1"/>
  <c r="DW7" i="1"/>
  <c r="DT7" i="1"/>
  <c r="EE7" i="1"/>
  <c r="DU7" i="1"/>
  <c r="DV7" i="1"/>
  <c r="EH7" i="1"/>
  <c r="DY7" i="1"/>
  <c r="DO7" i="1"/>
  <c r="EA7" i="1"/>
  <c r="DZ7" i="1"/>
  <c r="CM9" i="1"/>
  <c r="EF7" i="1"/>
  <c r="DX7" i="1"/>
  <c r="EI7" i="1"/>
  <c r="EK7" i="1"/>
  <c r="CM14" i="1"/>
  <c r="ED7" i="1"/>
  <c r="EN7" i="1"/>
  <c r="EJ7" i="1"/>
  <c r="DR7" i="1"/>
  <c r="EC7" i="1"/>
  <c r="EL7" i="1"/>
  <c r="DQ7" i="1"/>
  <c r="EG7" i="1"/>
  <c r="EB7" i="1"/>
  <c r="DS7" i="1"/>
  <c r="EM7" i="1"/>
  <c r="CM7" i="1"/>
  <c r="DN7" i="1"/>
  <c r="AJ66" i="1"/>
  <c r="DM66" i="1"/>
  <c r="DN66" i="1" s="1"/>
  <c r="CL66" i="1"/>
  <c r="CL6" i="1" l="1"/>
  <c r="CM6" i="1" s="1"/>
  <c r="CM66" i="1"/>
  <c r="EO7" i="1"/>
  <c r="EN66" i="1"/>
  <c r="CL3" i="1"/>
  <c r="CL8" i="1" l="1"/>
  <c r="CQ186" i="1" l="1"/>
  <c r="DB186" i="1"/>
  <c r="DL186" i="1"/>
  <c r="CS186" i="1"/>
  <c r="DI186" i="1"/>
  <c r="DC186" i="1"/>
  <c r="CY186" i="1"/>
  <c r="CW186" i="1"/>
  <c r="DM186" i="1"/>
  <c r="I186" i="1"/>
  <c r="CR186" i="1"/>
  <c r="CT186" i="1"/>
  <c r="CZ186" i="1"/>
  <c r="DE186" i="1"/>
  <c r="DD186" i="1"/>
  <c r="DG186" i="1"/>
  <c r="CX186" i="1"/>
  <c r="DJ186" i="1"/>
  <c r="DK186" i="1"/>
  <c r="CV186" i="1"/>
  <c r="DA186" i="1"/>
  <c r="CU186" i="1"/>
  <c r="CN186" i="1"/>
  <c r="DH186" i="1"/>
  <c r="CP186" i="1"/>
  <c r="DF186" i="1"/>
  <c r="CO186" i="1"/>
  <c r="DM154" i="1"/>
  <c r="EN154" i="1" s="1"/>
  <c r="I154" i="1"/>
  <c r="I106" i="1"/>
  <c r="DA106" i="1"/>
  <c r="EB106" i="1" s="1"/>
  <c r="CN106" i="1"/>
  <c r="DJ106" i="1"/>
  <c r="EK106" i="1" s="1"/>
  <c r="CU106" i="1"/>
  <c r="DV106" i="1" s="1"/>
  <c r="CV106" i="1"/>
  <c r="DW106" i="1" s="1"/>
  <c r="DF106" i="1"/>
  <c r="EG106" i="1" s="1"/>
  <c r="CW106" i="1"/>
  <c r="DX106" i="1" s="1"/>
  <c r="CT106" i="1"/>
  <c r="DU106" i="1" s="1"/>
  <c r="CZ106" i="1"/>
  <c r="EA106" i="1" s="1"/>
  <c r="CP106" i="1"/>
  <c r="DQ106" i="1" s="1"/>
  <c r="DL106" i="1"/>
  <c r="EM106" i="1" s="1"/>
  <c r="DE106" i="1"/>
  <c r="EF106" i="1" s="1"/>
  <c r="CY106" i="1"/>
  <c r="DZ106" i="1" s="1"/>
  <c r="DG106" i="1"/>
  <c r="EH106" i="1" s="1"/>
  <c r="DC106" i="1"/>
  <c r="ED106" i="1" s="1"/>
  <c r="CQ106" i="1"/>
  <c r="DR106" i="1" s="1"/>
  <c r="CS106" i="1"/>
  <c r="DT106" i="1" s="1"/>
  <c r="CR106" i="1"/>
  <c r="DS106" i="1" s="1"/>
  <c r="CX106" i="1"/>
  <c r="DY106" i="1" s="1"/>
  <c r="DM106" i="1"/>
  <c r="EN106" i="1" s="1"/>
  <c r="DH106" i="1"/>
  <c r="EI106" i="1" s="1"/>
  <c r="DI106" i="1"/>
  <c r="EJ106" i="1" s="1"/>
  <c r="DB106" i="1"/>
  <c r="EC106" i="1" s="1"/>
  <c r="DD106" i="1"/>
  <c r="EE106" i="1" s="1"/>
  <c r="DK106" i="1"/>
  <c r="EL106" i="1" s="1"/>
  <c r="CO106" i="1"/>
  <c r="DP106" i="1" s="1"/>
  <c r="CS80" i="1"/>
  <c r="DT80" i="1" s="1"/>
  <c r="DI80" i="1"/>
  <c r="EJ80" i="1" s="1"/>
  <c r="DC80" i="1"/>
  <c r="ED80" i="1" s="1"/>
  <c r="DG80" i="1"/>
  <c r="EH80" i="1" s="1"/>
  <c r="DJ80" i="1"/>
  <c r="EK80" i="1" s="1"/>
  <c r="DK80" i="1"/>
  <c r="EL80" i="1" s="1"/>
  <c r="DL80" i="1"/>
  <c r="EM80" i="1" s="1"/>
  <c r="CW80" i="1"/>
  <c r="DX80" i="1" s="1"/>
  <c r="CR80" i="1"/>
  <c r="DS80" i="1" s="1"/>
  <c r="CZ80" i="1"/>
  <c r="EA80" i="1" s="1"/>
  <c r="CP80" i="1"/>
  <c r="DQ80" i="1" s="1"/>
  <c r="CY80" i="1"/>
  <c r="DZ80" i="1" s="1"/>
  <c r="DA80" i="1"/>
  <c r="EB80" i="1" s="1"/>
  <c r="CX80" i="1"/>
  <c r="DY80" i="1" s="1"/>
  <c r="CN80" i="1"/>
  <c r="CV80" i="1"/>
  <c r="DW80" i="1" s="1"/>
  <c r="DF80" i="1"/>
  <c r="EG80" i="1" s="1"/>
  <c r="DM80" i="1"/>
  <c r="EN80" i="1" s="1"/>
  <c r="DB80" i="1"/>
  <c r="EC80" i="1" s="1"/>
  <c r="CO80" i="1"/>
  <c r="DP80" i="1" s="1"/>
  <c r="CT80" i="1"/>
  <c r="DU80" i="1" s="1"/>
  <c r="CQ80" i="1"/>
  <c r="DR80" i="1" s="1"/>
  <c r="I80" i="1"/>
  <c r="DH80" i="1"/>
  <c r="EI80" i="1" s="1"/>
  <c r="DD80" i="1"/>
  <c r="EE80" i="1" s="1"/>
  <c r="CU80" i="1"/>
  <c r="DV80" i="1" s="1"/>
  <c r="DE80" i="1"/>
  <c r="EF80" i="1" s="1"/>
  <c r="I169" i="1"/>
  <c r="DM169" i="1"/>
  <c r="EN169" i="1" s="1"/>
  <c r="CO137" i="1"/>
  <c r="DP137" i="1" s="1"/>
  <c r="CV137" i="1"/>
  <c r="DW137" i="1" s="1"/>
  <c r="CQ137" i="1"/>
  <c r="DR137" i="1" s="1"/>
  <c r="DG137" i="1"/>
  <c r="EH137" i="1" s="1"/>
  <c r="CX137" i="1"/>
  <c r="DY137" i="1" s="1"/>
  <c r="CW137" i="1"/>
  <c r="DX137" i="1" s="1"/>
  <c r="CZ137" i="1"/>
  <c r="EA137" i="1" s="1"/>
  <c r="DH137" i="1"/>
  <c r="EI137" i="1" s="1"/>
  <c r="CY137" i="1"/>
  <c r="DZ137" i="1" s="1"/>
  <c r="CS137" i="1"/>
  <c r="DT137" i="1" s="1"/>
  <c r="DE137" i="1"/>
  <c r="EF137" i="1" s="1"/>
  <c r="DM137" i="1"/>
  <c r="EN137" i="1" s="1"/>
  <c r="DC137" i="1"/>
  <c r="ED137" i="1" s="1"/>
  <c r="DD137" i="1"/>
  <c r="EE137" i="1" s="1"/>
  <c r="DL137" i="1"/>
  <c r="EM137" i="1" s="1"/>
  <c r="CT137" i="1"/>
  <c r="DU137" i="1" s="1"/>
  <c r="CN137" i="1"/>
  <c r="DF137" i="1"/>
  <c r="EG137" i="1" s="1"/>
  <c r="DB137" i="1"/>
  <c r="EC137" i="1" s="1"/>
  <c r="DA137" i="1"/>
  <c r="EB137" i="1" s="1"/>
  <c r="CU137" i="1"/>
  <c r="DV137" i="1" s="1"/>
  <c r="CP137" i="1"/>
  <c r="DQ137" i="1" s="1"/>
  <c r="I137" i="1"/>
  <c r="DI137" i="1"/>
  <c r="EJ137" i="1" s="1"/>
  <c r="DK137" i="1"/>
  <c r="EL137" i="1" s="1"/>
  <c r="DJ137" i="1"/>
  <c r="EK137" i="1" s="1"/>
  <c r="CR137" i="1"/>
  <c r="DS137" i="1" s="1"/>
  <c r="CP191" i="1"/>
  <c r="CU191" i="1"/>
  <c r="CT191" i="1"/>
  <c r="CZ191" i="1"/>
  <c r="DK191" i="1"/>
  <c r="I191" i="1"/>
  <c r="DA191" i="1"/>
  <c r="CQ191" i="1"/>
  <c r="DL191" i="1"/>
  <c r="DH191" i="1"/>
  <c r="DJ191" i="1"/>
  <c r="DD191" i="1"/>
  <c r="DI191" i="1"/>
  <c r="DB191" i="1"/>
  <c r="DF191" i="1"/>
  <c r="CO191" i="1"/>
  <c r="DE191" i="1"/>
  <c r="CV191" i="1"/>
  <c r="CR191" i="1"/>
  <c r="CY191" i="1"/>
  <c r="CS191" i="1"/>
  <c r="CX191" i="1"/>
  <c r="CN191" i="1"/>
  <c r="DC191" i="1"/>
  <c r="DM191" i="1"/>
  <c r="CW191" i="1"/>
  <c r="DG191" i="1"/>
  <c r="I176" i="1"/>
  <c r="DM176" i="1"/>
  <c r="EN176" i="1" s="1"/>
  <c r="I160" i="1"/>
  <c r="DM160" i="1"/>
  <c r="EN160" i="1" s="1"/>
  <c r="CQ144" i="1"/>
  <c r="DR144" i="1" s="1"/>
  <c r="CY144" i="1"/>
  <c r="DZ144" i="1" s="1"/>
  <c r="CS144" i="1"/>
  <c r="DT144" i="1" s="1"/>
  <c r="DI144" i="1"/>
  <c r="EJ144" i="1" s="1"/>
  <c r="DC144" i="1"/>
  <c r="ED144" i="1" s="1"/>
  <c r="DG144" i="1"/>
  <c r="EH144" i="1" s="1"/>
  <c r="DJ144" i="1"/>
  <c r="EK144" i="1" s="1"/>
  <c r="CP144" i="1"/>
  <c r="DQ144" i="1" s="1"/>
  <c r="DA144" i="1"/>
  <c r="EB144" i="1" s="1"/>
  <c r="CR144" i="1"/>
  <c r="DS144" i="1" s="1"/>
  <c r="CU144" i="1"/>
  <c r="DV144" i="1" s="1"/>
  <c r="DK144" i="1"/>
  <c r="EL144" i="1" s="1"/>
  <c r="CW144" i="1"/>
  <c r="DX144" i="1" s="1"/>
  <c r="DM144" i="1"/>
  <c r="EN144" i="1" s="1"/>
  <c r="DH144" i="1"/>
  <c r="EI144" i="1" s="1"/>
  <c r="CN144" i="1"/>
  <c r="CV144" i="1"/>
  <c r="DW144" i="1" s="1"/>
  <c r="I144" i="1"/>
  <c r="CT144" i="1"/>
  <c r="DU144" i="1" s="1"/>
  <c r="CZ144" i="1"/>
  <c r="EA144" i="1" s="1"/>
  <c r="DF144" i="1"/>
  <c r="EG144" i="1" s="1"/>
  <c r="DE144" i="1"/>
  <c r="EF144" i="1" s="1"/>
  <c r="CX144" i="1"/>
  <c r="DY144" i="1" s="1"/>
  <c r="DD144" i="1"/>
  <c r="EE144" i="1" s="1"/>
  <c r="DL144" i="1"/>
  <c r="EM144" i="1" s="1"/>
  <c r="CO144" i="1"/>
  <c r="DP144" i="1" s="1"/>
  <c r="DB144" i="1"/>
  <c r="EC144" i="1" s="1"/>
  <c r="CW128" i="1"/>
  <c r="DX128" i="1" s="1"/>
  <c r="DM128" i="1"/>
  <c r="EN128" i="1" s="1"/>
  <c r="DH128" i="1"/>
  <c r="EI128" i="1" s="1"/>
  <c r="DK128" i="1"/>
  <c r="EL128" i="1" s="1"/>
  <c r="DL128" i="1"/>
  <c r="EM128" i="1" s="1"/>
  <c r="CN128" i="1"/>
  <c r="DE128" i="1"/>
  <c r="EF128" i="1" s="1"/>
  <c r="CV128" i="1"/>
  <c r="DW128" i="1" s="1"/>
  <c r="CY128" i="1"/>
  <c r="DZ128" i="1" s="1"/>
  <c r="CT128" i="1"/>
  <c r="DU128" i="1" s="1"/>
  <c r="I128" i="1"/>
  <c r="DA128" i="1"/>
  <c r="EB128" i="1" s="1"/>
  <c r="CR128" i="1"/>
  <c r="DS128" i="1" s="1"/>
  <c r="CP128" i="1"/>
  <c r="DQ128" i="1" s="1"/>
  <c r="CQ128" i="1"/>
  <c r="DR128" i="1" s="1"/>
  <c r="CU128" i="1"/>
  <c r="DV128" i="1" s="1"/>
  <c r="DB128" i="1"/>
  <c r="EC128" i="1" s="1"/>
  <c r="CO128" i="1"/>
  <c r="DP128" i="1" s="1"/>
  <c r="CX128" i="1"/>
  <c r="DY128" i="1" s="1"/>
  <c r="DJ128" i="1"/>
  <c r="EK128" i="1" s="1"/>
  <c r="CS128" i="1"/>
  <c r="DT128" i="1" s="1"/>
  <c r="DF128" i="1"/>
  <c r="EG128" i="1" s="1"/>
  <c r="DC128" i="1"/>
  <c r="ED128" i="1" s="1"/>
  <c r="DG128" i="1"/>
  <c r="EH128" i="1" s="1"/>
  <c r="DD128" i="1"/>
  <c r="EE128" i="1" s="1"/>
  <c r="DI128" i="1"/>
  <c r="EJ128" i="1" s="1"/>
  <c r="CZ128" i="1"/>
  <c r="EA128" i="1" s="1"/>
  <c r="CW96" i="1"/>
  <c r="DX96" i="1" s="1"/>
  <c r="DM96" i="1"/>
  <c r="EN96" i="1" s="1"/>
  <c r="DH96" i="1"/>
  <c r="EI96" i="1" s="1"/>
  <c r="DK96" i="1"/>
  <c r="EL96" i="1" s="1"/>
  <c r="DL96" i="1"/>
  <c r="EM96" i="1" s="1"/>
  <c r="DB96" i="1"/>
  <c r="EC96" i="1" s="1"/>
  <c r="DE96" i="1"/>
  <c r="EF96" i="1" s="1"/>
  <c r="CV96" i="1"/>
  <c r="DW96" i="1" s="1"/>
  <c r="CZ96" i="1"/>
  <c r="EA96" i="1" s="1"/>
  <c r="CN96" i="1"/>
  <c r="I96" i="1"/>
  <c r="DA96" i="1"/>
  <c r="EB96" i="1" s="1"/>
  <c r="CR96" i="1"/>
  <c r="DS96" i="1" s="1"/>
  <c r="CP96" i="1"/>
  <c r="DQ96" i="1" s="1"/>
  <c r="CQ96" i="1"/>
  <c r="DR96" i="1" s="1"/>
  <c r="CT96" i="1"/>
  <c r="DU96" i="1" s="1"/>
  <c r="DJ96" i="1"/>
  <c r="EK96" i="1" s="1"/>
  <c r="CO96" i="1"/>
  <c r="DP96" i="1" s="1"/>
  <c r="CX96" i="1"/>
  <c r="DY96" i="1" s="1"/>
  <c r="CY96" i="1"/>
  <c r="DZ96" i="1" s="1"/>
  <c r="DC96" i="1"/>
  <c r="ED96" i="1" s="1"/>
  <c r="CU96" i="1"/>
  <c r="DV96" i="1" s="1"/>
  <c r="DD96" i="1"/>
  <c r="EE96" i="1" s="1"/>
  <c r="CS96" i="1"/>
  <c r="DT96" i="1" s="1"/>
  <c r="DF96" i="1"/>
  <c r="EG96" i="1" s="1"/>
  <c r="DI96" i="1"/>
  <c r="EJ96" i="1" s="1"/>
  <c r="DG96" i="1"/>
  <c r="EH96" i="1" s="1"/>
  <c r="CT190" i="1"/>
  <c r="DU190" i="1" s="1"/>
  <c r="I190" i="1"/>
  <c r="DA190" i="1"/>
  <c r="EB190" i="1" s="1"/>
  <c r="CP190" i="1"/>
  <c r="DQ190" i="1" s="1"/>
  <c r="DK190" i="1"/>
  <c r="EL190" i="1" s="1"/>
  <c r="DG190" i="1"/>
  <c r="EH190" i="1" s="1"/>
  <c r="CO190" i="1"/>
  <c r="DP190" i="1" s="1"/>
  <c r="DE190" i="1"/>
  <c r="EF190" i="1" s="1"/>
  <c r="CU190" i="1"/>
  <c r="DV190" i="1" s="1"/>
  <c r="CQ190" i="1"/>
  <c r="DR190" i="1" s="1"/>
  <c r="DL190" i="1"/>
  <c r="EM190" i="1" s="1"/>
  <c r="DD190" i="1"/>
  <c r="EE190" i="1" s="1"/>
  <c r="CS190" i="1"/>
  <c r="DT190" i="1" s="1"/>
  <c r="CZ190" i="1"/>
  <c r="EA190" i="1" s="1"/>
  <c r="CR190" i="1"/>
  <c r="DS190" i="1" s="1"/>
  <c r="CW190" i="1"/>
  <c r="DX190" i="1" s="1"/>
  <c r="CV190" i="1"/>
  <c r="DW190" i="1" s="1"/>
  <c r="CY190" i="1"/>
  <c r="DZ190" i="1" s="1"/>
  <c r="DI190" i="1"/>
  <c r="EJ190" i="1" s="1"/>
  <c r="DB190" i="1"/>
  <c r="EC190" i="1" s="1"/>
  <c r="CN190" i="1"/>
  <c r="DC190" i="1"/>
  <c r="ED190" i="1" s="1"/>
  <c r="DF190" i="1"/>
  <c r="EG190" i="1" s="1"/>
  <c r="DJ190" i="1"/>
  <c r="EK190" i="1" s="1"/>
  <c r="CX190" i="1"/>
  <c r="DY190" i="1" s="1"/>
  <c r="DM190" i="1"/>
  <c r="EN190" i="1" s="1"/>
  <c r="DH190" i="1"/>
  <c r="EI190" i="1" s="1"/>
  <c r="I158" i="1"/>
  <c r="DM158" i="1"/>
  <c r="EN158" i="1" s="1"/>
  <c r="CW134" i="1"/>
  <c r="DX134" i="1" s="1"/>
  <c r="DM134" i="1"/>
  <c r="EN134" i="1" s="1"/>
  <c r="DG134" i="1"/>
  <c r="EH134" i="1" s="1"/>
  <c r="DD134" i="1"/>
  <c r="EE134" i="1" s="1"/>
  <c r="DF134" i="1"/>
  <c r="EG134" i="1" s="1"/>
  <c r="CN134" i="1"/>
  <c r="DA134" i="1"/>
  <c r="EB134" i="1" s="1"/>
  <c r="CV134" i="1"/>
  <c r="DW134" i="1" s="1"/>
  <c r="CX134" i="1"/>
  <c r="DY134" i="1" s="1"/>
  <c r="CU134" i="1"/>
  <c r="DV134" i="1" s="1"/>
  <c r="CT134" i="1"/>
  <c r="DU134" i="1" s="1"/>
  <c r="CS134" i="1"/>
  <c r="DT134" i="1" s="1"/>
  <c r="DB134" i="1"/>
  <c r="EC134" i="1" s="1"/>
  <c r="CR134" i="1"/>
  <c r="DS134" i="1" s="1"/>
  <c r="DC134" i="1"/>
  <c r="ED134" i="1" s="1"/>
  <c r="DE134" i="1"/>
  <c r="EF134" i="1" s="1"/>
  <c r="DL134" i="1"/>
  <c r="EM134" i="1" s="1"/>
  <c r="CY134" i="1"/>
  <c r="DZ134" i="1" s="1"/>
  <c r="DH134" i="1"/>
  <c r="EI134" i="1" s="1"/>
  <c r="CQ134" i="1"/>
  <c r="DR134" i="1" s="1"/>
  <c r="CZ134" i="1"/>
  <c r="EA134" i="1" s="1"/>
  <c r="CO134" i="1"/>
  <c r="DP134" i="1" s="1"/>
  <c r="DK134" i="1"/>
  <c r="EL134" i="1" s="1"/>
  <c r="I134" i="1"/>
  <c r="CP134" i="1"/>
  <c r="DQ134" i="1" s="1"/>
  <c r="DI134" i="1"/>
  <c r="EJ134" i="1" s="1"/>
  <c r="DJ134" i="1"/>
  <c r="EK134" i="1" s="1"/>
  <c r="CO110" i="1"/>
  <c r="DP110" i="1" s="1"/>
  <c r="DE110" i="1"/>
  <c r="EF110" i="1" s="1"/>
  <c r="CV110" i="1"/>
  <c r="DW110" i="1" s="1"/>
  <c r="CN110" i="1"/>
  <c r="CP110" i="1"/>
  <c r="DQ110" i="1" s="1"/>
  <c r="CR110" i="1"/>
  <c r="DS110" i="1" s="1"/>
  <c r="CS110" i="1"/>
  <c r="DT110" i="1" s="1"/>
  <c r="DM110" i="1"/>
  <c r="EN110" i="1" s="1"/>
  <c r="DL110" i="1"/>
  <c r="EM110" i="1" s="1"/>
  <c r="CX110" i="1"/>
  <c r="DY110" i="1" s="1"/>
  <c r="DF110" i="1"/>
  <c r="EG110" i="1" s="1"/>
  <c r="DA110" i="1"/>
  <c r="EB110" i="1" s="1"/>
  <c r="DG110" i="1"/>
  <c r="EH110" i="1" s="1"/>
  <c r="DD110" i="1"/>
  <c r="EE110" i="1" s="1"/>
  <c r="CT110" i="1"/>
  <c r="DU110" i="1" s="1"/>
  <c r="DI110" i="1"/>
  <c r="EJ110" i="1" s="1"/>
  <c r="CU110" i="1"/>
  <c r="DV110" i="1" s="1"/>
  <c r="DK110" i="1"/>
  <c r="EL110" i="1" s="1"/>
  <c r="CZ110" i="1"/>
  <c r="EA110" i="1" s="1"/>
  <c r="CW110" i="1"/>
  <c r="DX110" i="1" s="1"/>
  <c r="DJ110" i="1"/>
  <c r="EK110" i="1" s="1"/>
  <c r="DB110" i="1"/>
  <c r="EC110" i="1" s="1"/>
  <c r="DH110" i="1"/>
  <c r="EI110" i="1" s="1"/>
  <c r="CQ110" i="1"/>
  <c r="DR110" i="1" s="1"/>
  <c r="CY110" i="1"/>
  <c r="DZ110" i="1" s="1"/>
  <c r="DC110" i="1"/>
  <c r="ED110" i="1" s="1"/>
  <c r="I110" i="1"/>
  <c r="CW189" i="1"/>
  <c r="DX189" i="1" s="1"/>
  <c r="DI189" i="1"/>
  <c r="EJ189" i="1" s="1"/>
  <c r="CN189" i="1"/>
  <c r="CQ189" i="1"/>
  <c r="DR189" i="1" s="1"/>
  <c r="DG189" i="1"/>
  <c r="EH189" i="1" s="1"/>
  <c r="CZ189" i="1"/>
  <c r="EA189" i="1" s="1"/>
  <c r="CV189" i="1"/>
  <c r="DW189" i="1" s="1"/>
  <c r="DH189" i="1"/>
  <c r="EI189" i="1" s="1"/>
  <c r="CU189" i="1"/>
  <c r="DV189" i="1" s="1"/>
  <c r="CO189" i="1"/>
  <c r="DP189" i="1" s="1"/>
  <c r="CP189" i="1"/>
  <c r="DQ189" i="1" s="1"/>
  <c r="CY189" i="1"/>
  <c r="DZ189" i="1" s="1"/>
  <c r="CT189" i="1"/>
  <c r="DU189" i="1" s="1"/>
  <c r="DA189" i="1"/>
  <c r="EB189" i="1" s="1"/>
  <c r="I189" i="1"/>
  <c r="DJ189" i="1"/>
  <c r="EK189" i="1" s="1"/>
  <c r="CS189" i="1"/>
  <c r="DT189" i="1" s="1"/>
  <c r="DB189" i="1"/>
  <c r="EC189" i="1" s="1"/>
  <c r="CX189" i="1"/>
  <c r="DY189" i="1" s="1"/>
  <c r="DK189" i="1"/>
  <c r="EL189" i="1" s="1"/>
  <c r="DL189" i="1"/>
  <c r="EM189" i="1" s="1"/>
  <c r="DC189" i="1"/>
  <c r="ED189" i="1" s="1"/>
  <c r="DF189" i="1"/>
  <c r="EG189" i="1" s="1"/>
  <c r="CR189" i="1"/>
  <c r="DS189" i="1" s="1"/>
  <c r="DE189" i="1"/>
  <c r="EF189" i="1" s="1"/>
  <c r="DD189" i="1"/>
  <c r="EE189" i="1" s="1"/>
  <c r="DM189" i="1"/>
  <c r="EN189" i="1" s="1"/>
  <c r="I157" i="1"/>
  <c r="DM157" i="1"/>
  <c r="EN157" i="1" s="1"/>
  <c r="I94" i="1"/>
  <c r="DA94" i="1"/>
  <c r="EB94" i="1" s="1"/>
  <c r="CQ94" i="1"/>
  <c r="DR94" i="1" s="1"/>
  <c r="DL94" i="1"/>
  <c r="EM94" i="1" s="1"/>
  <c r="CT94" i="1"/>
  <c r="DU94" i="1" s="1"/>
  <c r="CU94" i="1"/>
  <c r="DV94" i="1" s="1"/>
  <c r="DD94" i="1"/>
  <c r="EE94" i="1" s="1"/>
  <c r="DE94" i="1"/>
  <c r="EF94" i="1" s="1"/>
  <c r="DB94" i="1"/>
  <c r="EC94" i="1" s="1"/>
  <c r="DF94" i="1"/>
  <c r="EG94" i="1" s="1"/>
  <c r="DC94" i="1"/>
  <c r="ED94" i="1" s="1"/>
  <c r="CP94" i="1"/>
  <c r="DQ94" i="1" s="1"/>
  <c r="CO94" i="1"/>
  <c r="DP94" i="1" s="1"/>
  <c r="DI94" i="1"/>
  <c r="EJ94" i="1" s="1"/>
  <c r="DG94" i="1"/>
  <c r="EH94" i="1" s="1"/>
  <c r="CZ94" i="1"/>
  <c r="EA94" i="1" s="1"/>
  <c r="DJ94" i="1"/>
  <c r="EK94" i="1" s="1"/>
  <c r="CV94" i="1"/>
  <c r="DW94" i="1" s="1"/>
  <c r="CN94" i="1"/>
  <c r="CW94" i="1"/>
  <c r="DX94" i="1" s="1"/>
  <c r="CY94" i="1"/>
  <c r="DZ94" i="1" s="1"/>
  <c r="DK94" i="1"/>
  <c r="EL94" i="1" s="1"/>
  <c r="CS94" i="1"/>
  <c r="DT94" i="1" s="1"/>
  <c r="CR94" i="1"/>
  <c r="DS94" i="1" s="1"/>
  <c r="CX94" i="1"/>
  <c r="DY94" i="1" s="1"/>
  <c r="DM94" i="1"/>
  <c r="EN94" i="1" s="1"/>
  <c r="DH94" i="1"/>
  <c r="EI94" i="1" s="1"/>
  <c r="CO78" i="1"/>
  <c r="DP78" i="1" s="1"/>
  <c r="DE78" i="1"/>
  <c r="EF78" i="1" s="1"/>
  <c r="CV78" i="1"/>
  <c r="DW78" i="1" s="1"/>
  <c r="CN78" i="1"/>
  <c r="CP78" i="1"/>
  <c r="DQ78" i="1" s="1"/>
  <c r="CR78" i="1"/>
  <c r="DS78" i="1" s="1"/>
  <c r="CZ78" i="1"/>
  <c r="EA78" i="1" s="1"/>
  <c r="CS78" i="1"/>
  <c r="DT78" i="1" s="1"/>
  <c r="DI78" i="1"/>
  <c r="EJ78" i="1" s="1"/>
  <c r="DB78" i="1"/>
  <c r="EC78" i="1" s="1"/>
  <c r="CU78" i="1"/>
  <c r="DV78" i="1" s="1"/>
  <c r="CX78" i="1"/>
  <c r="DY78" i="1" s="1"/>
  <c r="CY78" i="1"/>
  <c r="DZ78" i="1" s="1"/>
  <c r="DH78" i="1"/>
  <c r="EI78" i="1" s="1"/>
  <c r="DM78" i="1"/>
  <c r="EN78" i="1" s="1"/>
  <c r="DC78" i="1"/>
  <c r="ED78" i="1" s="1"/>
  <c r="DF78" i="1"/>
  <c r="EG78" i="1" s="1"/>
  <c r="DA78" i="1"/>
  <c r="EB78" i="1" s="1"/>
  <c r="DJ78" i="1"/>
  <c r="EK78" i="1" s="1"/>
  <c r="CQ78" i="1"/>
  <c r="DR78" i="1" s="1"/>
  <c r="DD78" i="1"/>
  <c r="EE78" i="1" s="1"/>
  <c r="DL78" i="1"/>
  <c r="EM78" i="1" s="1"/>
  <c r="CW78" i="1"/>
  <c r="DX78" i="1" s="1"/>
  <c r="CT78" i="1"/>
  <c r="DU78" i="1" s="1"/>
  <c r="I78" i="1"/>
  <c r="DK78" i="1"/>
  <c r="EL78" i="1" s="1"/>
  <c r="DG78" i="1"/>
  <c r="EH78" i="1" s="1"/>
  <c r="I183" i="1"/>
  <c r="DM183" i="1"/>
  <c r="EN183" i="1" s="1"/>
  <c r="I167" i="1"/>
  <c r="DM167" i="1"/>
  <c r="EN167" i="1" s="1"/>
  <c r="I151" i="1"/>
  <c r="DM151" i="1"/>
  <c r="EN151" i="1" s="1"/>
  <c r="CU135" i="1"/>
  <c r="DV135" i="1" s="1"/>
  <c r="DK135" i="1"/>
  <c r="EL135" i="1" s="1"/>
  <c r="DH135" i="1"/>
  <c r="EI135" i="1" s="1"/>
  <c r="DF135" i="1"/>
  <c r="EG135" i="1" s="1"/>
  <c r="DI135" i="1"/>
  <c r="EJ135" i="1" s="1"/>
  <c r="CP135" i="1"/>
  <c r="DQ135" i="1" s="1"/>
  <c r="DC135" i="1"/>
  <c r="ED135" i="1" s="1"/>
  <c r="DB135" i="1"/>
  <c r="EC135" i="1" s="1"/>
  <c r="CN135" i="1"/>
  <c r="CO135" i="1"/>
  <c r="DP135" i="1" s="1"/>
  <c r="CQ135" i="1"/>
  <c r="DR135" i="1" s="1"/>
  <c r="CW135" i="1"/>
  <c r="DX135" i="1" s="1"/>
  <c r="CT135" i="1"/>
  <c r="DU135" i="1" s="1"/>
  <c r="CV135" i="1"/>
  <c r="DW135" i="1" s="1"/>
  <c r="CY135" i="1"/>
  <c r="DZ135" i="1" s="1"/>
  <c r="DM135" i="1"/>
  <c r="EN135" i="1" s="1"/>
  <c r="DA135" i="1"/>
  <c r="EB135" i="1" s="1"/>
  <c r="DG135" i="1"/>
  <c r="EH135" i="1" s="1"/>
  <c r="CX135" i="1"/>
  <c r="DY135" i="1" s="1"/>
  <c r="CZ135" i="1"/>
  <c r="EA135" i="1" s="1"/>
  <c r="DE135" i="1"/>
  <c r="EF135" i="1" s="1"/>
  <c r="I135" i="1"/>
  <c r="DD135" i="1"/>
  <c r="EE135" i="1" s="1"/>
  <c r="DJ135" i="1"/>
  <c r="EK135" i="1" s="1"/>
  <c r="CS135" i="1"/>
  <c r="DT135" i="1" s="1"/>
  <c r="CR135" i="1"/>
  <c r="DS135" i="1" s="1"/>
  <c r="DL135" i="1"/>
  <c r="EM135" i="1" s="1"/>
  <c r="CQ119" i="1"/>
  <c r="DR119" i="1" s="1"/>
  <c r="DG119" i="1"/>
  <c r="EH119" i="1" s="1"/>
  <c r="DB119" i="1"/>
  <c r="EC119" i="1" s="1"/>
  <c r="CV119" i="1"/>
  <c r="DW119" i="1" s="1"/>
  <c r="CX119" i="1"/>
  <c r="DY119" i="1" s="1"/>
  <c r="DA119" i="1"/>
  <c r="EB119" i="1" s="1"/>
  <c r="DI119" i="1"/>
  <c r="EJ119" i="1" s="1"/>
  <c r="I119" i="1"/>
  <c r="DK119" i="1"/>
  <c r="EL119" i="1" s="1"/>
  <c r="DM119" i="1"/>
  <c r="EN119" i="1" s="1"/>
  <c r="CP119" i="1"/>
  <c r="DQ119" i="1" s="1"/>
  <c r="CS119" i="1"/>
  <c r="DT119" i="1" s="1"/>
  <c r="CY119" i="1"/>
  <c r="DZ119" i="1" s="1"/>
  <c r="DH119" i="1"/>
  <c r="EI119" i="1" s="1"/>
  <c r="DE119" i="1"/>
  <c r="EF119" i="1" s="1"/>
  <c r="CT119" i="1"/>
  <c r="DU119" i="1" s="1"/>
  <c r="DC119" i="1"/>
  <c r="ED119" i="1" s="1"/>
  <c r="CO119" i="1"/>
  <c r="DP119" i="1" s="1"/>
  <c r="DL119" i="1"/>
  <c r="EM119" i="1" s="1"/>
  <c r="CZ119" i="1"/>
  <c r="EA119" i="1" s="1"/>
  <c r="DD119" i="1"/>
  <c r="EE119" i="1" s="1"/>
  <c r="CR119" i="1"/>
  <c r="DS119" i="1" s="1"/>
  <c r="DF119" i="1"/>
  <c r="EG119" i="1" s="1"/>
  <c r="CW119" i="1"/>
  <c r="DX119" i="1" s="1"/>
  <c r="CN119" i="1"/>
  <c r="CU119" i="1"/>
  <c r="DV119" i="1" s="1"/>
  <c r="DJ119" i="1"/>
  <c r="EK119" i="1" s="1"/>
  <c r="CU103" i="1"/>
  <c r="DV103" i="1" s="1"/>
  <c r="DK103" i="1"/>
  <c r="EL103" i="1" s="1"/>
  <c r="DH103" i="1"/>
  <c r="EI103" i="1" s="1"/>
  <c r="DF103" i="1"/>
  <c r="EG103" i="1" s="1"/>
  <c r="DI103" i="1"/>
  <c r="EJ103" i="1" s="1"/>
  <c r="DJ103" i="1"/>
  <c r="EK103" i="1" s="1"/>
  <c r="DL103" i="1"/>
  <c r="EM103" i="1" s="1"/>
  <c r="CY103" i="1"/>
  <c r="DZ103" i="1" s="1"/>
  <c r="CW103" i="1"/>
  <c r="DX103" i="1" s="1"/>
  <c r="CZ103" i="1"/>
  <c r="EA103" i="1" s="1"/>
  <c r="CO103" i="1"/>
  <c r="DP103" i="1" s="1"/>
  <c r="CX103" i="1"/>
  <c r="DY103" i="1" s="1"/>
  <c r="DC103" i="1"/>
  <c r="ED103" i="1" s="1"/>
  <c r="DB103" i="1"/>
  <c r="EC103" i="1" s="1"/>
  <c r="CN103" i="1"/>
  <c r="CV103" i="1"/>
  <c r="DW103" i="1" s="1"/>
  <c r="DE103" i="1"/>
  <c r="EF103" i="1" s="1"/>
  <c r="I103" i="1"/>
  <c r="DM103" i="1"/>
  <c r="EN103" i="1" s="1"/>
  <c r="DD103" i="1"/>
  <c r="EE103" i="1" s="1"/>
  <c r="DG103" i="1"/>
  <c r="EH103" i="1" s="1"/>
  <c r="DA103" i="1"/>
  <c r="EB103" i="1" s="1"/>
  <c r="CR103" i="1"/>
  <c r="DS103" i="1" s="1"/>
  <c r="CP103" i="1"/>
  <c r="DQ103" i="1" s="1"/>
  <c r="CT103" i="1"/>
  <c r="DU103" i="1" s="1"/>
  <c r="CQ103" i="1"/>
  <c r="DR103" i="1" s="1"/>
  <c r="CS103" i="1"/>
  <c r="DT103" i="1" s="1"/>
  <c r="CU93" i="1"/>
  <c r="DV93" i="1" s="1"/>
  <c r="DK93" i="1"/>
  <c r="EL93" i="1" s="1"/>
  <c r="DF93" i="1"/>
  <c r="EG93" i="1" s="1"/>
  <c r="DD93" i="1"/>
  <c r="EE93" i="1" s="1"/>
  <c r="DE93" i="1"/>
  <c r="EF93" i="1" s="1"/>
  <c r="DH93" i="1"/>
  <c r="EI93" i="1" s="1"/>
  <c r="CN93" i="1"/>
  <c r="CY93" i="1"/>
  <c r="DZ93" i="1" s="1"/>
  <c r="CP93" i="1"/>
  <c r="DQ93" i="1" s="1"/>
  <c r="DL93" i="1"/>
  <c r="EM93" i="1" s="1"/>
  <c r="DJ93" i="1"/>
  <c r="EK93" i="1" s="1"/>
  <c r="DM93" i="1"/>
  <c r="EN93" i="1" s="1"/>
  <c r="CT93" i="1"/>
  <c r="DU93" i="1" s="1"/>
  <c r="DC93" i="1"/>
  <c r="ED93" i="1" s="1"/>
  <c r="CO93" i="1"/>
  <c r="DP93" i="1" s="1"/>
  <c r="CS93" i="1"/>
  <c r="DT93" i="1" s="1"/>
  <c r="DG93" i="1"/>
  <c r="EH93" i="1" s="1"/>
  <c r="CR93" i="1"/>
  <c r="DS93" i="1" s="1"/>
  <c r="DI93" i="1"/>
  <c r="EJ93" i="1" s="1"/>
  <c r="CV93" i="1"/>
  <c r="DW93" i="1" s="1"/>
  <c r="CX93" i="1"/>
  <c r="DY93" i="1" s="1"/>
  <c r="CW93" i="1"/>
  <c r="DX93" i="1" s="1"/>
  <c r="CQ93" i="1"/>
  <c r="DR93" i="1" s="1"/>
  <c r="DB93" i="1"/>
  <c r="EC93" i="1" s="1"/>
  <c r="I93" i="1"/>
  <c r="CZ93" i="1"/>
  <c r="EA93" i="1" s="1"/>
  <c r="DA93" i="1"/>
  <c r="EB93" i="1" s="1"/>
  <c r="DM178" i="1"/>
  <c r="EN178" i="1" s="1"/>
  <c r="I178" i="1"/>
  <c r="DM146" i="1"/>
  <c r="EN146" i="1" s="1"/>
  <c r="I146" i="1"/>
  <c r="CO102" i="1"/>
  <c r="DP102" i="1" s="1"/>
  <c r="DE102" i="1"/>
  <c r="EF102" i="1" s="1"/>
  <c r="CV102" i="1"/>
  <c r="DW102" i="1" s="1"/>
  <c r="CP102" i="1"/>
  <c r="DQ102" i="1" s="1"/>
  <c r="CR102" i="1"/>
  <c r="DS102" i="1" s="1"/>
  <c r="CZ102" i="1"/>
  <c r="EA102" i="1" s="1"/>
  <c r="DC102" i="1"/>
  <c r="ED102" i="1" s="1"/>
  <c r="CW102" i="1"/>
  <c r="DX102" i="1" s="1"/>
  <c r="CQ102" i="1"/>
  <c r="DR102" i="1" s="1"/>
  <c r="CX102" i="1"/>
  <c r="DY102" i="1" s="1"/>
  <c r="DF102" i="1"/>
  <c r="EG102" i="1" s="1"/>
  <c r="CU102" i="1"/>
  <c r="DV102" i="1" s="1"/>
  <c r="DA102" i="1"/>
  <c r="EB102" i="1" s="1"/>
  <c r="DB102" i="1"/>
  <c r="EC102" i="1" s="1"/>
  <c r="DD102" i="1"/>
  <c r="EE102" i="1" s="1"/>
  <c r="CT102" i="1"/>
  <c r="DU102" i="1" s="1"/>
  <c r="DJ102" i="1"/>
  <c r="EK102" i="1" s="1"/>
  <c r="DM102" i="1"/>
  <c r="EN102" i="1" s="1"/>
  <c r="CY102" i="1"/>
  <c r="DZ102" i="1" s="1"/>
  <c r="CS102" i="1"/>
  <c r="DT102" i="1" s="1"/>
  <c r="DL102" i="1"/>
  <c r="EM102" i="1" s="1"/>
  <c r="CN102" i="1"/>
  <c r="I102" i="1"/>
  <c r="DG102" i="1"/>
  <c r="EH102" i="1" s="1"/>
  <c r="DH102" i="1"/>
  <c r="EI102" i="1" s="1"/>
  <c r="DI102" i="1"/>
  <c r="EJ102" i="1" s="1"/>
  <c r="DK102" i="1"/>
  <c r="EL102" i="1" s="1"/>
  <c r="I72" i="1"/>
  <c r="DB72" i="1"/>
  <c r="EC72" i="1" s="1"/>
  <c r="CV72" i="1"/>
  <c r="DW72" i="1" s="1"/>
  <c r="CN72" i="1"/>
  <c r="CS72" i="1"/>
  <c r="DT72" i="1" s="1"/>
  <c r="DE72" i="1"/>
  <c r="EF72" i="1" s="1"/>
  <c r="CZ72" i="1"/>
  <c r="EA72" i="1" s="1"/>
  <c r="CT72" i="1"/>
  <c r="DU72" i="1" s="1"/>
  <c r="CQ72" i="1"/>
  <c r="DR72" i="1" s="1"/>
  <c r="CU72" i="1"/>
  <c r="DV72" i="1" s="1"/>
  <c r="DM72" i="1"/>
  <c r="EN72" i="1" s="1"/>
  <c r="DH72" i="1"/>
  <c r="EI72" i="1" s="1"/>
  <c r="CX72" i="1"/>
  <c r="DY72" i="1" s="1"/>
  <c r="DA72" i="1"/>
  <c r="EB72" i="1" s="1"/>
  <c r="DC72" i="1"/>
  <c r="ED72" i="1" s="1"/>
  <c r="CW72" i="1"/>
  <c r="DX72" i="1" s="1"/>
  <c r="DK72" i="1"/>
  <c r="EL72" i="1" s="1"/>
  <c r="DJ72" i="1"/>
  <c r="EK72" i="1" s="1"/>
  <c r="DD72" i="1"/>
  <c r="EE72" i="1" s="1"/>
  <c r="CP72" i="1"/>
  <c r="DQ72" i="1" s="1"/>
  <c r="DL72" i="1"/>
  <c r="EM72" i="1" s="1"/>
  <c r="CY72" i="1"/>
  <c r="DZ72" i="1" s="1"/>
  <c r="DG72" i="1"/>
  <c r="EH72" i="1" s="1"/>
  <c r="CO72" i="1"/>
  <c r="DP72" i="1" s="1"/>
  <c r="CR72" i="1"/>
  <c r="DS72" i="1" s="1"/>
  <c r="DF72" i="1"/>
  <c r="EG72" i="1" s="1"/>
  <c r="DI72" i="1"/>
  <c r="EJ72" i="1" s="1"/>
  <c r="I161" i="1"/>
  <c r="DM161" i="1"/>
  <c r="EN161" i="1" s="1"/>
  <c r="I129" i="1"/>
  <c r="DC129" i="1"/>
  <c r="ED129" i="1" s="1"/>
  <c r="CS129" i="1"/>
  <c r="DT129" i="1" s="1"/>
  <c r="CR129" i="1"/>
  <c r="DS129" i="1" s="1"/>
  <c r="CU129" i="1"/>
  <c r="DV129" i="1" s="1"/>
  <c r="CN129" i="1"/>
  <c r="CZ129" i="1"/>
  <c r="EA129" i="1" s="1"/>
  <c r="DA129" i="1"/>
  <c r="EB129" i="1" s="1"/>
  <c r="CO129" i="1"/>
  <c r="DP129" i="1" s="1"/>
  <c r="CV129" i="1"/>
  <c r="DW129" i="1" s="1"/>
  <c r="CY129" i="1"/>
  <c r="DZ129" i="1" s="1"/>
  <c r="CX129" i="1"/>
  <c r="DY129" i="1" s="1"/>
  <c r="DF129" i="1"/>
  <c r="EG129" i="1" s="1"/>
  <c r="DH129" i="1"/>
  <c r="EI129" i="1" s="1"/>
  <c r="DB129" i="1"/>
  <c r="EC129" i="1" s="1"/>
  <c r="DJ129" i="1"/>
  <c r="EK129" i="1" s="1"/>
  <c r="CQ129" i="1"/>
  <c r="DR129" i="1" s="1"/>
  <c r="DI129" i="1"/>
  <c r="EJ129" i="1" s="1"/>
  <c r="DL129" i="1"/>
  <c r="EM129" i="1" s="1"/>
  <c r="DK129" i="1"/>
  <c r="EL129" i="1" s="1"/>
  <c r="CT129" i="1"/>
  <c r="DU129" i="1" s="1"/>
  <c r="DE129" i="1"/>
  <c r="EF129" i="1" s="1"/>
  <c r="DG129" i="1"/>
  <c r="EH129" i="1" s="1"/>
  <c r="DM129" i="1"/>
  <c r="EN129" i="1" s="1"/>
  <c r="CP129" i="1"/>
  <c r="DQ129" i="1" s="1"/>
  <c r="CW129" i="1"/>
  <c r="DX129" i="1" s="1"/>
  <c r="DD129" i="1"/>
  <c r="EE129" i="1" s="1"/>
  <c r="CQ97" i="1"/>
  <c r="DR97" i="1" s="1"/>
  <c r="DG97" i="1"/>
  <c r="EH97" i="1" s="1"/>
  <c r="CX97" i="1"/>
  <c r="DY97" i="1" s="1"/>
  <c r="CZ97" i="1"/>
  <c r="EA97" i="1" s="1"/>
  <c r="DA97" i="1"/>
  <c r="EB97" i="1" s="1"/>
  <c r="DB97" i="1"/>
  <c r="EC97" i="1" s="1"/>
  <c r="CP97" i="1"/>
  <c r="DQ97" i="1" s="1"/>
  <c r="CU97" i="1"/>
  <c r="DV97" i="1" s="1"/>
  <c r="DK97" i="1"/>
  <c r="EL97" i="1" s="1"/>
  <c r="DD97" i="1"/>
  <c r="EE97" i="1" s="1"/>
  <c r="DF97" i="1"/>
  <c r="EG97" i="1" s="1"/>
  <c r="DH97" i="1"/>
  <c r="EI97" i="1" s="1"/>
  <c r="DJ97" i="1"/>
  <c r="EK97" i="1" s="1"/>
  <c r="CW97" i="1"/>
  <c r="DX97" i="1" s="1"/>
  <c r="DC97" i="1"/>
  <c r="ED97" i="1" s="1"/>
  <c r="CR97" i="1"/>
  <c r="DS97" i="1" s="1"/>
  <c r="CV97" i="1"/>
  <c r="DW97" i="1" s="1"/>
  <c r="I97" i="1"/>
  <c r="CS97" i="1"/>
  <c r="DT97" i="1" s="1"/>
  <c r="CT97" i="1"/>
  <c r="DU97" i="1" s="1"/>
  <c r="DL97" i="1"/>
  <c r="EM97" i="1" s="1"/>
  <c r="CN97" i="1"/>
  <c r="DM97" i="1"/>
  <c r="EN97" i="1" s="1"/>
  <c r="DE97" i="1"/>
  <c r="EF97" i="1" s="1"/>
  <c r="DI97" i="1"/>
  <c r="EJ97" i="1" s="1"/>
  <c r="CO97" i="1"/>
  <c r="DP97" i="1" s="1"/>
  <c r="CY97" i="1"/>
  <c r="DZ97" i="1" s="1"/>
  <c r="CY83" i="1"/>
  <c r="DZ83" i="1" s="1"/>
  <c r="CO83" i="1"/>
  <c r="DP83" i="1" s="1"/>
  <c r="DJ83" i="1"/>
  <c r="EK83" i="1" s="1"/>
  <c r="CN83" i="1"/>
  <c r="CP83" i="1"/>
  <c r="DQ83" i="1" s="1"/>
  <c r="CX83" i="1"/>
  <c r="DY83" i="1" s="1"/>
  <c r="CU83" i="1"/>
  <c r="DV83" i="1" s="1"/>
  <c r="CT83" i="1"/>
  <c r="DU83" i="1" s="1"/>
  <c r="DA83" i="1"/>
  <c r="EB83" i="1" s="1"/>
  <c r="DI83" i="1"/>
  <c r="EJ83" i="1" s="1"/>
  <c r="DF83" i="1"/>
  <c r="EG83" i="1" s="1"/>
  <c r="I83" i="1"/>
  <c r="DG83" i="1"/>
  <c r="EH83" i="1" s="1"/>
  <c r="CV83" i="1"/>
  <c r="DW83" i="1" s="1"/>
  <c r="DD83" i="1"/>
  <c r="EE83" i="1" s="1"/>
  <c r="CR83" i="1"/>
  <c r="DS83" i="1" s="1"/>
  <c r="DC83" i="1"/>
  <c r="ED83" i="1" s="1"/>
  <c r="CZ83" i="1"/>
  <c r="EA83" i="1" s="1"/>
  <c r="DH83" i="1"/>
  <c r="EI83" i="1" s="1"/>
  <c r="CW83" i="1"/>
  <c r="DX83" i="1" s="1"/>
  <c r="DM83" i="1"/>
  <c r="EN83" i="1" s="1"/>
  <c r="DE83" i="1"/>
  <c r="EF83" i="1" s="1"/>
  <c r="CS83" i="1"/>
  <c r="DT83" i="1" s="1"/>
  <c r="CQ83" i="1"/>
  <c r="DR83" i="1" s="1"/>
  <c r="DL83" i="1"/>
  <c r="EM83" i="1" s="1"/>
  <c r="DK83" i="1"/>
  <c r="EL83" i="1" s="1"/>
  <c r="DB83" i="1"/>
  <c r="EC83" i="1" s="1"/>
  <c r="CX188" i="1"/>
  <c r="DY188" i="1" s="1"/>
  <c r="CR188" i="1"/>
  <c r="DS188" i="1" s="1"/>
  <c r="DC188" i="1"/>
  <c r="ED188" i="1" s="1"/>
  <c r="CQ188" i="1"/>
  <c r="DR188" i="1" s="1"/>
  <c r="DH188" i="1"/>
  <c r="EI188" i="1" s="1"/>
  <c r="DL188" i="1"/>
  <c r="EM188" i="1" s="1"/>
  <c r="CW188" i="1"/>
  <c r="DX188" i="1" s="1"/>
  <c r="DM188" i="1"/>
  <c r="EN188" i="1" s="1"/>
  <c r="DD188" i="1"/>
  <c r="EE188" i="1" s="1"/>
  <c r="CZ188" i="1"/>
  <c r="EA188" i="1" s="1"/>
  <c r="CO188" i="1"/>
  <c r="DP188" i="1" s="1"/>
  <c r="DE188" i="1"/>
  <c r="EF188" i="1" s="1"/>
  <c r="CP188" i="1"/>
  <c r="DQ188" i="1" s="1"/>
  <c r="DK188" i="1"/>
  <c r="EL188" i="1" s="1"/>
  <c r="DB188" i="1"/>
  <c r="EC188" i="1" s="1"/>
  <c r="I188" i="1"/>
  <c r="DA188" i="1"/>
  <c r="EB188" i="1" s="1"/>
  <c r="CN188" i="1"/>
  <c r="DJ188" i="1"/>
  <c r="EK188" i="1" s="1"/>
  <c r="DF188" i="1"/>
  <c r="EG188" i="1" s="1"/>
  <c r="CT188" i="1"/>
  <c r="DU188" i="1" s="1"/>
  <c r="DG188" i="1"/>
  <c r="EH188" i="1" s="1"/>
  <c r="CU188" i="1"/>
  <c r="DV188" i="1" s="1"/>
  <c r="DI188" i="1"/>
  <c r="EJ188" i="1" s="1"/>
  <c r="CY188" i="1"/>
  <c r="DZ188" i="1" s="1"/>
  <c r="CV188" i="1"/>
  <c r="DW188" i="1" s="1"/>
  <c r="CS188" i="1"/>
  <c r="DT188" i="1" s="1"/>
  <c r="DM172" i="1"/>
  <c r="EN172" i="1" s="1"/>
  <c r="I172" i="1"/>
  <c r="DM156" i="1"/>
  <c r="I156" i="1"/>
  <c r="CN156" i="1"/>
  <c r="DC140" i="1"/>
  <c r="ED140" i="1" s="1"/>
  <c r="CT140" i="1"/>
  <c r="DU140" i="1" s="1"/>
  <c r="CN140" i="1"/>
  <c r="DJ140" i="1"/>
  <c r="EK140" i="1" s="1"/>
  <c r="CO140" i="1"/>
  <c r="DP140" i="1" s="1"/>
  <c r="DE140" i="1"/>
  <c r="EF140" i="1" s="1"/>
  <c r="CU140" i="1"/>
  <c r="DV140" i="1" s="1"/>
  <c r="CQ140" i="1"/>
  <c r="DR140" i="1" s="1"/>
  <c r="CR140" i="1"/>
  <c r="DS140" i="1" s="1"/>
  <c r="DH140" i="1"/>
  <c r="EI140" i="1" s="1"/>
  <c r="DM140" i="1"/>
  <c r="EN140" i="1" s="1"/>
  <c r="DD140" i="1"/>
  <c r="EE140" i="1" s="1"/>
  <c r="CS140" i="1"/>
  <c r="DT140" i="1" s="1"/>
  <c r="DI140" i="1"/>
  <c r="EJ140" i="1" s="1"/>
  <c r="CZ140" i="1"/>
  <c r="EA140" i="1" s="1"/>
  <c r="CX140" i="1"/>
  <c r="DY140" i="1" s="1"/>
  <c r="CY140" i="1"/>
  <c r="DZ140" i="1" s="1"/>
  <c r="CV140" i="1"/>
  <c r="DW140" i="1" s="1"/>
  <c r="CW140" i="1"/>
  <c r="DX140" i="1" s="1"/>
  <c r="DF140" i="1"/>
  <c r="EG140" i="1" s="1"/>
  <c r="DG140" i="1"/>
  <c r="EH140" i="1" s="1"/>
  <c r="CP140" i="1"/>
  <c r="DQ140" i="1" s="1"/>
  <c r="DL140" i="1"/>
  <c r="EM140" i="1" s="1"/>
  <c r="DB140" i="1"/>
  <c r="EC140" i="1" s="1"/>
  <c r="DK140" i="1"/>
  <c r="EL140" i="1" s="1"/>
  <c r="I140" i="1"/>
  <c r="DA140" i="1"/>
  <c r="EB140" i="1" s="1"/>
  <c r="I124" i="1"/>
  <c r="DA124" i="1"/>
  <c r="EB124" i="1" s="1"/>
  <c r="CP124" i="1"/>
  <c r="DQ124" i="1" s="1"/>
  <c r="DK124" i="1"/>
  <c r="EL124" i="1" s="1"/>
  <c r="CN124" i="1"/>
  <c r="CY124" i="1"/>
  <c r="DZ124" i="1" s="1"/>
  <c r="DG124" i="1"/>
  <c r="EH124" i="1" s="1"/>
  <c r="DI124" i="1"/>
  <c r="EJ124" i="1" s="1"/>
  <c r="DB124" i="1"/>
  <c r="EC124" i="1" s="1"/>
  <c r="DD124" i="1"/>
  <c r="EE124" i="1" s="1"/>
  <c r="CO124" i="1"/>
  <c r="DP124" i="1" s="1"/>
  <c r="DE124" i="1"/>
  <c r="EF124" i="1" s="1"/>
  <c r="CU124" i="1"/>
  <c r="DV124" i="1" s="1"/>
  <c r="CT124" i="1"/>
  <c r="DU124" i="1" s="1"/>
  <c r="CV124" i="1"/>
  <c r="DW124" i="1" s="1"/>
  <c r="CQ124" i="1"/>
  <c r="DR124" i="1" s="1"/>
  <c r="CX124" i="1"/>
  <c r="DY124" i="1" s="1"/>
  <c r="CS124" i="1"/>
  <c r="DT124" i="1" s="1"/>
  <c r="CZ124" i="1"/>
  <c r="EA124" i="1" s="1"/>
  <c r="DC124" i="1"/>
  <c r="ED124" i="1" s="1"/>
  <c r="DL124" i="1"/>
  <c r="EM124" i="1" s="1"/>
  <c r="DM124" i="1"/>
  <c r="EN124" i="1" s="1"/>
  <c r="CR124" i="1"/>
  <c r="DS124" i="1" s="1"/>
  <c r="DH124" i="1"/>
  <c r="EI124" i="1" s="1"/>
  <c r="DJ124" i="1"/>
  <c r="EK124" i="1" s="1"/>
  <c r="DF124" i="1"/>
  <c r="EG124" i="1" s="1"/>
  <c r="CW124" i="1"/>
  <c r="DX124" i="1" s="1"/>
  <c r="CY89" i="1"/>
  <c r="DZ89" i="1" s="1"/>
  <c r="CN89" i="1"/>
  <c r="DI89" i="1"/>
  <c r="EJ89" i="1" s="1"/>
  <c r="CO89" i="1"/>
  <c r="DP89" i="1" s="1"/>
  <c r="CP89" i="1"/>
  <c r="DQ89" i="1" s="1"/>
  <c r="DM89" i="1"/>
  <c r="EN89" i="1" s="1"/>
  <c r="I89" i="1"/>
  <c r="DC89" i="1"/>
  <c r="ED89" i="1" s="1"/>
  <c r="CS89" i="1"/>
  <c r="DT89" i="1" s="1"/>
  <c r="CT89" i="1"/>
  <c r="DU89" i="1" s="1"/>
  <c r="CV89" i="1"/>
  <c r="DW89" i="1" s="1"/>
  <c r="CW89" i="1"/>
  <c r="DX89" i="1" s="1"/>
  <c r="CR89" i="1"/>
  <c r="DS89" i="1" s="1"/>
  <c r="CQ89" i="1"/>
  <c r="DR89" i="1" s="1"/>
  <c r="CX89" i="1"/>
  <c r="DY89" i="1" s="1"/>
  <c r="DB89" i="1"/>
  <c r="EC89" i="1" s="1"/>
  <c r="CZ89" i="1"/>
  <c r="EA89" i="1" s="1"/>
  <c r="DD89" i="1"/>
  <c r="EE89" i="1" s="1"/>
  <c r="DE89" i="1"/>
  <c r="EF89" i="1" s="1"/>
  <c r="CU89" i="1"/>
  <c r="DV89" i="1" s="1"/>
  <c r="DA89" i="1"/>
  <c r="EB89" i="1" s="1"/>
  <c r="DL89" i="1"/>
  <c r="EM89" i="1" s="1"/>
  <c r="DK89" i="1"/>
  <c r="EL89" i="1" s="1"/>
  <c r="DJ89" i="1"/>
  <c r="EK89" i="1" s="1"/>
  <c r="DH89" i="1"/>
  <c r="EI89" i="1" s="1"/>
  <c r="DG89" i="1"/>
  <c r="EH89" i="1" s="1"/>
  <c r="DF89" i="1"/>
  <c r="EG89" i="1" s="1"/>
  <c r="DM182" i="1"/>
  <c r="EN182" i="1" s="1"/>
  <c r="I182" i="1"/>
  <c r="I150" i="1"/>
  <c r="DM150" i="1"/>
  <c r="EN150" i="1" s="1"/>
  <c r="I130" i="1"/>
  <c r="DA130" i="1"/>
  <c r="EB130" i="1" s="1"/>
  <c r="CN130" i="1"/>
  <c r="DJ130" i="1"/>
  <c r="EK130" i="1" s="1"/>
  <c r="CP130" i="1"/>
  <c r="DQ130" i="1" s="1"/>
  <c r="CZ130" i="1"/>
  <c r="EA130" i="1" s="1"/>
  <c r="DG130" i="1"/>
  <c r="EH130" i="1" s="1"/>
  <c r="CW130" i="1"/>
  <c r="DX130" i="1" s="1"/>
  <c r="CT130" i="1"/>
  <c r="DU130" i="1" s="1"/>
  <c r="DB130" i="1"/>
  <c r="EC130" i="1" s="1"/>
  <c r="DK130" i="1"/>
  <c r="EL130" i="1" s="1"/>
  <c r="CX130" i="1"/>
  <c r="DY130" i="1" s="1"/>
  <c r="DE130" i="1"/>
  <c r="EF130" i="1" s="1"/>
  <c r="DD130" i="1"/>
  <c r="EE130" i="1" s="1"/>
  <c r="DC130" i="1"/>
  <c r="ED130" i="1" s="1"/>
  <c r="DL130" i="1"/>
  <c r="EM130" i="1" s="1"/>
  <c r="DI130" i="1"/>
  <c r="EJ130" i="1" s="1"/>
  <c r="CU130" i="1"/>
  <c r="DV130" i="1" s="1"/>
  <c r="CQ130" i="1"/>
  <c r="DR130" i="1" s="1"/>
  <c r="CY130" i="1"/>
  <c r="DZ130" i="1" s="1"/>
  <c r="CR130" i="1"/>
  <c r="DS130" i="1" s="1"/>
  <c r="CS130" i="1"/>
  <c r="DT130" i="1" s="1"/>
  <c r="CV130" i="1"/>
  <c r="DW130" i="1" s="1"/>
  <c r="CO130" i="1"/>
  <c r="DP130" i="1" s="1"/>
  <c r="DH130" i="1"/>
  <c r="EI130" i="1" s="1"/>
  <c r="DM130" i="1"/>
  <c r="EN130" i="1" s="1"/>
  <c r="DF130" i="1"/>
  <c r="EG130" i="1" s="1"/>
  <c r="CS98" i="1"/>
  <c r="DT98" i="1" s="1"/>
  <c r="DI98" i="1"/>
  <c r="EJ98" i="1" s="1"/>
  <c r="CY98" i="1"/>
  <c r="DZ98" i="1" s="1"/>
  <c r="DB98" i="1"/>
  <c r="EC98" i="1" s="1"/>
  <c r="DC98" i="1"/>
  <c r="ED98" i="1" s="1"/>
  <c r="DF98" i="1"/>
  <c r="EG98" i="1" s="1"/>
  <c r="CZ98" i="1"/>
  <c r="EA98" i="1" s="1"/>
  <c r="CW98" i="1"/>
  <c r="DX98" i="1" s="1"/>
  <c r="CN98" i="1"/>
  <c r="CU98" i="1"/>
  <c r="DV98" i="1" s="1"/>
  <c r="DK98" i="1"/>
  <c r="EL98" i="1" s="1"/>
  <c r="DG98" i="1"/>
  <c r="EH98" i="1" s="1"/>
  <c r="DA98" i="1"/>
  <c r="EB98" i="1" s="1"/>
  <c r="CT98" i="1"/>
  <c r="DU98" i="1" s="1"/>
  <c r="DH98" i="1"/>
  <c r="EI98" i="1" s="1"/>
  <c r="CQ98" i="1"/>
  <c r="DR98" i="1" s="1"/>
  <c r="CR98" i="1"/>
  <c r="DS98" i="1" s="1"/>
  <c r="CO98" i="1"/>
  <c r="DP98" i="1" s="1"/>
  <c r="DJ98" i="1"/>
  <c r="EK98" i="1" s="1"/>
  <c r="DL98" i="1"/>
  <c r="EM98" i="1" s="1"/>
  <c r="DM98" i="1"/>
  <c r="EN98" i="1" s="1"/>
  <c r="CV98" i="1"/>
  <c r="DW98" i="1" s="1"/>
  <c r="DE98" i="1"/>
  <c r="EF98" i="1" s="1"/>
  <c r="CP98" i="1"/>
  <c r="DQ98" i="1" s="1"/>
  <c r="I98" i="1"/>
  <c r="CX98" i="1"/>
  <c r="DY98" i="1" s="1"/>
  <c r="DD98" i="1"/>
  <c r="EE98" i="1" s="1"/>
  <c r="I181" i="1"/>
  <c r="DM181" i="1"/>
  <c r="EN181" i="1" s="1"/>
  <c r="DM149" i="1"/>
  <c r="EN149" i="1" s="1"/>
  <c r="I149" i="1"/>
  <c r="I117" i="1"/>
  <c r="DC117" i="1"/>
  <c r="ED117" i="1" s="1"/>
  <c r="CV117" i="1"/>
  <c r="DW117" i="1" s="1"/>
  <c r="CR117" i="1"/>
  <c r="DS117" i="1" s="1"/>
  <c r="CS117" i="1"/>
  <c r="DT117" i="1" s="1"/>
  <c r="DJ117" i="1"/>
  <c r="EK117" i="1" s="1"/>
  <c r="DD117" i="1"/>
  <c r="EE117" i="1" s="1"/>
  <c r="CQ117" i="1"/>
  <c r="DR117" i="1" s="1"/>
  <c r="DG117" i="1"/>
  <c r="EH117" i="1" s="1"/>
  <c r="DA117" i="1"/>
  <c r="EB117" i="1" s="1"/>
  <c r="CX117" i="1"/>
  <c r="DY117" i="1" s="1"/>
  <c r="CZ117" i="1"/>
  <c r="EA117" i="1" s="1"/>
  <c r="CN117" i="1"/>
  <c r="CT117" i="1"/>
  <c r="DU117" i="1" s="1"/>
  <c r="CY117" i="1"/>
  <c r="DZ117" i="1" s="1"/>
  <c r="DL117" i="1"/>
  <c r="EM117" i="1" s="1"/>
  <c r="CW117" i="1"/>
  <c r="DX117" i="1" s="1"/>
  <c r="CP117" i="1"/>
  <c r="DQ117" i="1" s="1"/>
  <c r="DM117" i="1"/>
  <c r="EN117" i="1" s="1"/>
  <c r="CO117" i="1"/>
  <c r="DP117" i="1" s="1"/>
  <c r="DK117" i="1"/>
  <c r="EL117" i="1" s="1"/>
  <c r="DE117" i="1"/>
  <c r="EF117" i="1" s="1"/>
  <c r="DB117" i="1"/>
  <c r="EC117" i="1" s="1"/>
  <c r="CU117" i="1"/>
  <c r="DV117" i="1" s="1"/>
  <c r="DH117" i="1"/>
  <c r="EI117" i="1" s="1"/>
  <c r="DF117" i="1"/>
  <c r="EG117" i="1" s="1"/>
  <c r="DI117" i="1"/>
  <c r="EJ117" i="1" s="1"/>
  <c r="I90" i="1"/>
  <c r="DA90" i="1"/>
  <c r="EB90" i="1" s="1"/>
  <c r="CN90" i="1"/>
  <c r="DJ90" i="1"/>
  <c r="EK90" i="1" s="1"/>
  <c r="DK90" i="1"/>
  <c r="EL90" i="1" s="1"/>
  <c r="DL90" i="1"/>
  <c r="EM90" i="1" s="1"/>
  <c r="CU90" i="1"/>
  <c r="DV90" i="1" s="1"/>
  <c r="CW90" i="1"/>
  <c r="DX90" i="1" s="1"/>
  <c r="CT90" i="1"/>
  <c r="DU90" i="1" s="1"/>
  <c r="CV90" i="1"/>
  <c r="DW90" i="1" s="1"/>
  <c r="DF90" i="1"/>
  <c r="EG90" i="1" s="1"/>
  <c r="DB90" i="1"/>
  <c r="EC90" i="1" s="1"/>
  <c r="DE90" i="1"/>
  <c r="EF90" i="1" s="1"/>
  <c r="DD90" i="1"/>
  <c r="EE90" i="1" s="1"/>
  <c r="CX90" i="1"/>
  <c r="DY90" i="1" s="1"/>
  <c r="DH90" i="1"/>
  <c r="EI90" i="1" s="1"/>
  <c r="DM90" i="1"/>
  <c r="EN90" i="1" s="1"/>
  <c r="CQ90" i="1"/>
  <c r="DR90" i="1" s="1"/>
  <c r="CO90" i="1"/>
  <c r="DP90" i="1" s="1"/>
  <c r="CY90" i="1"/>
  <c r="DZ90" i="1" s="1"/>
  <c r="CR90" i="1"/>
  <c r="DS90" i="1" s="1"/>
  <c r="CS90" i="1"/>
  <c r="DT90" i="1" s="1"/>
  <c r="CZ90" i="1"/>
  <c r="EA90" i="1" s="1"/>
  <c r="DI90" i="1"/>
  <c r="EJ90" i="1" s="1"/>
  <c r="CP90" i="1"/>
  <c r="DQ90" i="1" s="1"/>
  <c r="DG90" i="1"/>
  <c r="EH90" i="1" s="1"/>
  <c r="DC90" i="1"/>
  <c r="ED90" i="1" s="1"/>
  <c r="I179" i="1"/>
  <c r="DM179" i="1"/>
  <c r="EN179" i="1" s="1"/>
  <c r="I163" i="1"/>
  <c r="DM163" i="1"/>
  <c r="EN163" i="1" s="1"/>
  <c r="I147" i="1"/>
  <c r="DM147" i="1"/>
  <c r="EN147" i="1" s="1"/>
  <c r="CU131" i="1"/>
  <c r="DV131" i="1" s="1"/>
  <c r="DK131" i="1"/>
  <c r="EL131" i="1" s="1"/>
  <c r="DE131" i="1"/>
  <c r="EF131" i="1" s="1"/>
  <c r="DD131" i="1"/>
  <c r="EE131" i="1" s="1"/>
  <c r="DF131" i="1"/>
  <c r="EG131" i="1" s="1"/>
  <c r="CS131" i="1"/>
  <c r="DT131" i="1" s="1"/>
  <c r="DA131" i="1"/>
  <c r="EB131" i="1" s="1"/>
  <c r="CQ131" i="1"/>
  <c r="DR131" i="1" s="1"/>
  <c r="CO131" i="1"/>
  <c r="DP131" i="1" s="1"/>
  <c r="CP131" i="1"/>
  <c r="DQ131" i="1" s="1"/>
  <c r="CX131" i="1"/>
  <c r="DY131" i="1" s="1"/>
  <c r="DH131" i="1"/>
  <c r="EI131" i="1" s="1"/>
  <c r="DG131" i="1"/>
  <c r="EH131" i="1" s="1"/>
  <c r="CW131" i="1"/>
  <c r="DX131" i="1" s="1"/>
  <c r="CN131" i="1"/>
  <c r="I131" i="1"/>
  <c r="CT131" i="1"/>
  <c r="DU131" i="1" s="1"/>
  <c r="DL131" i="1"/>
  <c r="EM131" i="1" s="1"/>
  <c r="DB131" i="1"/>
  <c r="EC131" i="1" s="1"/>
  <c r="CZ131" i="1"/>
  <c r="EA131" i="1" s="1"/>
  <c r="CV131" i="1"/>
  <c r="DW131" i="1" s="1"/>
  <c r="DJ131" i="1"/>
  <c r="EK131" i="1" s="1"/>
  <c r="CR131" i="1"/>
  <c r="DS131" i="1" s="1"/>
  <c r="DI131" i="1"/>
  <c r="EJ131" i="1" s="1"/>
  <c r="DC131" i="1"/>
  <c r="ED131" i="1" s="1"/>
  <c r="CY131" i="1"/>
  <c r="DZ131" i="1" s="1"/>
  <c r="DM131" i="1"/>
  <c r="EN131" i="1" s="1"/>
  <c r="CU115" i="1"/>
  <c r="DV115" i="1" s="1"/>
  <c r="DK115" i="1"/>
  <c r="EL115" i="1" s="1"/>
  <c r="DE115" i="1"/>
  <c r="EF115" i="1" s="1"/>
  <c r="DH115" i="1"/>
  <c r="EI115" i="1" s="1"/>
  <c r="DI115" i="1"/>
  <c r="EJ115" i="1" s="1"/>
  <c r="DL115" i="1"/>
  <c r="EM115" i="1" s="1"/>
  <c r="DD115" i="1"/>
  <c r="EE115" i="1" s="1"/>
  <c r="I115" i="1"/>
  <c r="DG115" i="1"/>
  <c r="EH115" i="1" s="1"/>
  <c r="DJ115" i="1"/>
  <c r="EK115" i="1" s="1"/>
  <c r="CV115" i="1"/>
  <c r="DW115" i="1" s="1"/>
  <c r="CW115" i="1"/>
  <c r="DX115" i="1" s="1"/>
  <c r="DC115" i="1"/>
  <c r="ED115" i="1" s="1"/>
  <c r="CS115" i="1"/>
  <c r="DT115" i="1" s="1"/>
  <c r="CR115" i="1"/>
  <c r="DS115" i="1" s="1"/>
  <c r="CP115" i="1"/>
  <c r="DQ115" i="1" s="1"/>
  <c r="CO115" i="1"/>
  <c r="DP115" i="1" s="1"/>
  <c r="DA115" i="1"/>
  <c r="EB115" i="1" s="1"/>
  <c r="DF115" i="1"/>
  <c r="EG115" i="1" s="1"/>
  <c r="CQ115" i="1"/>
  <c r="DR115" i="1" s="1"/>
  <c r="CN115" i="1"/>
  <c r="DB115" i="1"/>
  <c r="EC115" i="1" s="1"/>
  <c r="CY115" i="1"/>
  <c r="DZ115" i="1" s="1"/>
  <c r="CX115" i="1"/>
  <c r="DY115" i="1" s="1"/>
  <c r="CZ115" i="1"/>
  <c r="EA115" i="1" s="1"/>
  <c r="CT115" i="1"/>
  <c r="DU115" i="1" s="1"/>
  <c r="DM115" i="1"/>
  <c r="EN115" i="1" s="1"/>
  <c r="CY99" i="1"/>
  <c r="DZ99" i="1" s="1"/>
  <c r="CO99" i="1"/>
  <c r="DP99" i="1" s="1"/>
  <c r="DJ99" i="1"/>
  <c r="EK99" i="1" s="1"/>
  <c r="DL99" i="1"/>
  <c r="EM99" i="1" s="1"/>
  <c r="DM99" i="1"/>
  <c r="EN99" i="1" s="1"/>
  <c r="DI99" i="1"/>
  <c r="EJ99" i="1" s="1"/>
  <c r="CU99" i="1"/>
  <c r="DV99" i="1" s="1"/>
  <c r="CT99" i="1"/>
  <c r="DU99" i="1" s="1"/>
  <c r="CW99" i="1"/>
  <c r="DX99" i="1" s="1"/>
  <c r="DF99" i="1"/>
  <c r="EG99" i="1" s="1"/>
  <c r="CN99" i="1"/>
  <c r="DC99" i="1"/>
  <c r="ED99" i="1" s="1"/>
  <c r="CZ99" i="1"/>
  <c r="EA99" i="1" s="1"/>
  <c r="DD99" i="1"/>
  <c r="EE99" i="1" s="1"/>
  <c r="CS99" i="1"/>
  <c r="DT99" i="1" s="1"/>
  <c r="CV99" i="1"/>
  <c r="DW99" i="1" s="1"/>
  <c r="DG99" i="1"/>
  <c r="EH99" i="1" s="1"/>
  <c r="CR99" i="1"/>
  <c r="DS99" i="1" s="1"/>
  <c r="DB99" i="1"/>
  <c r="EC99" i="1" s="1"/>
  <c r="DK99" i="1"/>
  <c r="EL99" i="1" s="1"/>
  <c r="DA99" i="1"/>
  <c r="EB99" i="1" s="1"/>
  <c r="DE99" i="1"/>
  <c r="EF99" i="1" s="1"/>
  <c r="DH99" i="1"/>
  <c r="EI99" i="1" s="1"/>
  <c r="CX99" i="1"/>
  <c r="DY99" i="1" s="1"/>
  <c r="CQ99" i="1"/>
  <c r="DR99" i="1" s="1"/>
  <c r="I99" i="1"/>
  <c r="CP99" i="1"/>
  <c r="DQ99" i="1" s="1"/>
  <c r="I85" i="1"/>
  <c r="DC85" i="1"/>
  <c r="ED85" i="1" s="1"/>
  <c r="CV85" i="1"/>
  <c r="DW85" i="1" s="1"/>
  <c r="CR85" i="1"/>
  <c r="DS85" i="1" s="1"/>
  <c r="CS85" i="1"/>
  <c r="DT85" i="1" s="1"/>
  <c r="CT85" i="1"/>
  <c r="DU85" i="1" s="1"/>
  <c r="DJ85" i="1"/>
  <c r="EK85" i="1" s="1"/>
  <c r="CQ85" i="1"/>
  <c r="DR85" i="1" s="1"/>
  <c r="DG85" i="1"/>
  <c r="EH85" i="1" s="1"/>
  <c r="DA85" i="1"/>
  <c r="EB85" i="1" s="1"/>
  <c r="CX85" i="1"/>
  <c r="DY85" i="1" s="1"/>
  <c r="CZ85" i="1"/>
  <c r="EA85" i="1" s="1"/>
  <c r="DB85" i="1"/>
  <c r="EC85" i="1" s="1"/>
  <c r="CO85" i="1"/>
  <c r="DP85" i="1" s="1"/>
  <c r="DK85" i="1"/>
  <c r="EL85" i="1" s="1"/>
  <c r="DE85" i="1"/>
  <c r="EF85" i="1" s="1"/>
  <c r="DI85" i="1"/>
  <c r="EJ85" i="1" s="1"/>
  <c r="CY85" i="1"/>
  <c r="DZ85" i="1" s="1"/>
  <c r="DM85" i="1"/>
  <c r="EN85" i="1" s="1"/>
  <c r="CW85" i="1"/>
  <c r="DX85" i="1" s="1"/>
  <c r="CP85" i="1"/>
  <c r="DQ85" i="1" s="1"/>
  <c r="DH85" i="1"/>
  <c r="EI85" i="1" s="1"/>
  <c r="CU85" i="1"/>
  <c r="DV85" i="1" s="1"/>
  <c r="DD85" i="1"/>
  <c r="EE85" i="1" s="1"/>
  <c r="DL85" i="1"/>
  <c r="EM85" i="1" s="1"/>
  <c r="DF85" i="1"/>
  <c r="EG85" i="1" s="1"/>
  <c r="CN85" i="1"/>
  <c r="I170" i="1"/>
  <c r="DM170" i="1"/>
  <c r="EN170" i="1" s="1"/>
  <c r="CS122" i="1"/>
  <c r="DT122" i="1" s="1"/>
  <c r="DI122" i="1"/>
  <c r="EJ122" i="1" s="1"/>
  <c r="CY122" i="1"/>
  <c r="DZ122" i="1" s="1"/>
  <c r="CV122" i="1"/>
  <c r="DW122" i="1" s="1"/>
  <c r="CX122" i="1"/>
  <c r="DY122" i="1" s="1"/>
  <c r="DH122" i="1"/>
  <c r="EI122" i="1" s="1"/>
  <c r="DG122" i="1"/>
  <c r="EH122" i="1" s="1"/>
  <c r="CW122" i="1"/>
  <c r="DX122" i="1" s="1"/>
  <c r="CN122" i="1"/>
  <c r="CP122" i="1"/>
  <c r="DQ122" i="1" s="1"/>
  <c r="DF122" i="1"/>
  <c r="EG122" i="1" s="1"/>
  <c r="DB122" i="1"/>
  <c r="EC122" i="1" s="1"/>
  <c r="I122" i="1"/>
  <c r="DM122" i="1"/>
  <c r="EN122" i="1" s="1"/>
  <c r="DC122" i="1"/>
  <c r="ED122" i="1" s="1"/>
  <c r="CU122" i="1"/>
  <c r="DV122" i="1" s="1"/>
  <c r="CO122" i="1"/>
  <c r="DP122" i="1" s="1"/>
  <c r="CT122" i="1"/>
  <c r="DU122" i="1" s="1"/>
  <c r="DK122" i="1"/>
  <c r="EL122" i="1" s="1"/>
  <c r="CZ122" i="1"/>
  <c r="EA122" i="1" s="1"/>
  <c r="DJ122" i="1"/>
  <c r="EK122" i="1" s="1"/>
  <c r="DE122" i="1"/>
  <c r="EF122" i="1" s="1"/>
  <c r="DL122" i="1"/>
  <c r="EM122" i="1" s="1"/>
  <c r="DA122" i="1"/>
  <c r="EB122" i="1" s="1"/>
  <c r="CQ122" i="1"/>
  <c r="DR122" i="1" s="1"/>
  <c r="DD122" i="1"/>
  <c r="EE122" i="1" s="1"/>
  <c r="CR122" i="1"/>
  <c r="DS122" i="1" s="1"/>
  <c r="CW92" i="1"/>
  <c r="DX92" i="1" s="1"/>
  <c r="DM92" i="1"/>
  <c r="EN92" i="1" s="1"/>
  <c r="DF92" i="1"/>
  <c r="EG92" i="1" s="1"/>
  <c r="DH92" i="1"/>
  <c r="EI92" i="1" s="1"/>
  <c r="DJ92" i="1"/>
  <c r="EK92" i="1" s="1"/>
  <c r="DL92" i="1"/>
  <c r="EM92" i="1" s="1"/>
  <c r="DA92" i="1"/>
  <c r="EB92" i="1" s="1"/>
  <c r="CU92" i="1"/>
  <c r="DV92" i="1" s="1"/>
  <c r="DB92" i="1"/>
  <c r="EC92" i="1" s="1"/>
  <c r="CQ92" i="1"/>
  <c r="DR92" i="1" s="1"/>
  <c r="CY92" i="1"/>
  <c r="DZ92" i="1" s="1"/>
  <c r="I92" i="1"/>
  <c r="DE92" i="1"/>
  <c r="EF92" i="1" s="1"/>
  <c r="CZ92" i="1"/>
  <c r="EA92" i="1" s="1"/>
  <c r="CN92" i="1"/>
  <c r="CX92" i="1"/>
  <c r="DY92" i="1" s="1"/>
  <c r="DG92" i="1"/>
  <c r="EH92" i="1" s="1"/>
  <c r="CS92" i="1"/>
  <c r="DT92" i="1" s="1"/>
  <c r="CT92" i="1"/>
  <c r="DU92" i="1" s="1"/>
  <c r="CR92" i="1"/>
  <c r="DS92" i="1" s="1"/>
  <c r="CP92" i="1"/>
  <c r="DQ92" i="1" s="1"/>
  <c r="DC92" i="1"/>
  <c r="ED92" i="1" s="1"/>
  <c r="DI92" i="1"/>
  <c r="EJ92" i="1" s="1"/>
  <c r="CV92" i="1"/>
  <c r="DW92" i="1" s="1"/>
  <c r="DK92" i="1"/>
  <c r="EL92" i="1" s="1"/>
  <c r="CO92" i="1"/>
  <c r="DP92" i="1" s="1"/>
  <c r="DD92" i="1"/>
  <c r="EE92" i="1" s="1"/>
  <c r="I185" i="1"/>
  <c r="DM185" i="1"/>
  <c r="EN185" i="1" s="1"/>
  <c r="I153" i="1"/>
  <c r="DM153" i="1"/>
  <c r="EN153" i="1" s="1"/>
  <c r="CY121" i="1"/>
  <c r="DZ121" i="1" s="1"/>
  <c r="CN121" i="1"/>
  <c r="DI121" i="1"/>
  <c r="EJ121" i="1" s="1"/>
  <c r="CO121" i="1"/>
  <c r="DP121" i="1" s="1"/>
  <c r="CR121" i="1"/>
  <c r="DS121" i="1" s="1"/>
  <c r="CZ121" i="1"/>
  <c r="EA121" i="1" s="1"/>
  <c r="I121" i="1"/>
  <c r="DC121" i="1"/>
  <c r="ED121" i="1" s="1"/>
  <c r="CS121" i="1"/>
  <c r="DT121" i="1" s="1"/>
  <c r="CT121" i="1"/>
  <c r="DU121" i="1" s="1"/>
  <c r="CV121" i="1"/>
  <c r="DW121" i="1" s="1"/>
  <c r="DF121" i="1"/>
  <c r="EG121" i="1" s="1"/>
  <c r="DM121" i="1"/>
  <c r="EN121" i="1" s="1"/>
  <c r="DK121" i="1"/>
  <c r="EL121" i="1" s="1"/>
  <c r="DH121" i="1"/>
  <c r="EI121" i="1" s="1"/>
  <c r="DL121" i="1"/>
  <c r="EM121" i="1" s="1"/>
  <c r="CU121" i="1"/>
  <c r="DV121" i="1" s="1"/>
  <c r="DD121" i="1"/>
  <c r="EE121" i="1" s="1"/>
  <c r="DJ121" i="1"/>
  <c r="EK121" i="1" s="1"/>
  <c r="DE121" i="1"/>
  <c r="EF121" i="1" s="1"/>
  <c r="CQ121" i="1"/>
  <c r="DR121" i="1" s="1"/>
  <c r="CX121" i="1"/>
  <c r="DY121" i="1" s="1"/>
  <c r="DB121" i="1"/>
  <c r="EC121" i="1" s="1"/>
  <c r="CP121" i="1"/>
  <c r="DQ121" i="1" s="1"/>
  <c r="DA121" i="1"/>
  <c r="EB121" i="1" s="1"/>
  <c r="CW121" i="1"/>
  <c r="DX121" i="1" s="1"/>
  <c r="DG121" i="1"/>
  <c r="EH121" i="1" s="1"/>
  <c r="I71" i="1"/>
  <c r="CZ71" i="1"/>
  <c r="CP71" i="1"/>
  <c r="DK71" i="1"/>
  <c r="CQ71" i="1"/>
  <c r="DC71" i="1"/>
  <c r="CO71" i="1"/>
  <c r="CV71" i="1"/>
  <c r="CU71" i="1"/>
  <c r="CY71" i="1"/>
  <c r="CT71" i="1"/>
  <c r="CX71" i="1"/>
  <c r="CN71" i="1"/>
  <c r="DH71" i="1"/>
  <c r="DF71" i="1"/>
  <c r="DB71" i="1"/>
  <c r="DD71" i="1"/>
  <c r="DA71" i="1"/>
  <c r="DG71" i="1"/>
  <c r="DM71" i="1"/>
  <c r="DI71" i="1"/>
  <c r="CW71" i="1"/>
  <c r="DL71" i="1"/>
  <c r="DJ71" i="1"/>
  <c r="DE71" i="1"/>
  <c r="CS71" i="1"/>
  <c r="CR71" i="1"/>
  <c r="DM184" i="1"/>
  <c r="EN184" i="1" s="1"/>
  <c r="I184" i="1"/>
  <c r="DM168" i="1"/>
  <c r="EN168" i="1" s="1"/>
  <c r="I168" i="1"/>
  <c r="DM152" i="1"/>
  <c r="EN152" i="1" s="1"/>
  <c r="I152" i="1"/>
  <c r="CT136" i="1"/>
  <c r="DU136" i="1" s="1"/>
  <c r="CZ136" i="1"/>
  <c r="EA136" i="1" s="1"/>
  <c r="CY136" i="1"/>
  <c r="DZ136" i="1" s="1"/>
  <c r="I136" i="1"/>
  <c r="DA136" i="1"/>
  <c r="EB136" i="1" s="1"/>
  <c r="CR136" i="1"/>
  <c r="DS136" i="1" s="1"/>
  <c r="CN136" i="1"/>
  <c r="CP136" i="1"/>
  <c r="DQ136" i="1" s="1"/>
  <c r="CQ136" i="1"/>
  <c r="DR136" i="1" s="1"/>
  <c r="CS136" i="1"/>
  <c r="DT136" i="1" s="1"/>
  <c r="DC136" i="1"/>
  <c r="ED136" i="1" s="1"/>
  <c r="DD136" i="1"/>
  <c r="EE136" i="1" s="1"/>
  <c r="DL136" i="1"/>
  <c r="EM136" i="1" s="1"/>
  <c r="CO136" i="1"/>
  <c r="DP136" i="1" s="1"/>
  <c r="DE136" i="1"/>
  <c r="EF136" i="1" s="1"/>
  <c r="CX136" i="1"/>
  <c r="DY136" i="1" s="1"/>
  <c r="CU136" i="1"/>
  <c r="DV136" i="1" s="1"/>
  <c r="CV136" i="1"/>
  <c r="DW136" i="1" s="1"/>
  <c r="DF136" i="1"/>
  <c r="EG136" i="1" s="1"/>
  <c r="DI136" i="1"/>
  <c r="EJ136" i="1" s="1"/>
  <c r="DB136" i="1"/>
  <c r="EC136" i="1" s="1"/>
  <c r="CW136" i="1"/>
  <c r="DX136" i="1" s="1"/>
  <c r="DK136" i="1"/>
  <c r="EL136" i="1" s="1"/>
  <c r="DH136" i="1"/>
  <c r="EI136" i="1" s="1"/>
  <c r="DG136" i="1"/>
  <c r="EH136" i="1" s="1"/>
  <c r="DM136" i="1"/>
  <c r="EN136" i="1" s="1"/>
  <c r="DJ136" i="1"/>
  <c r="EK136" i="1" s="1"/>
  <c r="CO104" i="1"/>
  <c r="DP104" i="1" s="1"/>
  <c r="DE104" i="1"/>
  <c r="EF104" i="1" s="1"/>
  <c r="CX104" i="1"/>
  <c r="DY104" i="1" s="1"/>
  <c r="CU104" i="1"/>
  <c r="DV104" i="1" s="1"/>
  <c r="CV104" i="1"/>
  <c r="DW104" i="1" s="1"/>
  <c r="CY104" i="1"/>
  <c r="DZ104" i="1" s="1"/>
  <c r="CZ104" i="1"/>
  <c r="EA104" i="1" s="1"/>
  <c r="DM104" i="1"/>
  <c r="EN104" i="1" s="1"/>
  <c r="DJ104" i="1"/>
  <c r="EK104" i="1" s="1"/>
  <c r="DL104" i="1"/>
  <c r="EM104" i="1" s="1"/>
  <c r="CS104" i="1"/>
  <c r="DT104" i="1" s="1"/>
  <c r="DI104" i="1"/>
  <c r="EJ104" i="1" s="1"/>
  <c r="DC104" i="1"/>
  <c r="ED104" i="1" s="1"/>
  <c r="DB104" i="1"/>
  <c r="EC104" i="1" s="1"/>
  <c r="DD104" i="1"/>
  <c r="EE104" i="1" s="1"/>
  <c r="DF104" i="1"/>
  <c r="EG104" i="1" s="1"/>
  <c r="DG104" i="1"/>
  <c r="EH104" i="1" s="1"/>
  <c r="CW104" i="1"/>
  <c r="DX104" i="1" s="1"/>
  <c r="DH104" i="1"/>
  <c r="EI104" i="1" s="1"/>
  <c r="DK104" i="1"/>
  <c r="EL104" i="1" s="1"/>
  <c r="I104" i="1"/>
  <c r="CP104" i="1"/>
  <c r="DQ104" i="1" s="1"/>
  <c r="CQ104" i="1"/>
  <c r="DR104" i="1" s="1"/>
  <c r="CR104" i="1"/>
  <c r="DS104" i="1" s="1"/>
  <c r="CT104" i="1"/>
  <c r="DU104" i="1" s="1"/>
  <c r="CN104" i="1"/>
  <c r="DA104" i="1"/>
  <c r="EB104" i="1" s="1"/>
  <c r="CQ81" i="1"/>
  <c r="DR81" i="1" s="1"/>
  <c r="DG81" i="1"/>
  <c r="EH81" i="1" s="1"/>
  <c r="CX81" i="1"/>
  <c r="DY81" i="1" s="1"/>
  <c r="CV81" i="1"/>
  <c r="DW81" i="1" s="1"/>
  <c r="CW81" i="1"/>
  <c r="DX81" i="1" s="1"/>
  <c r="CZ81" i="1"/>
  <c r="EA81" i="1" s="1"/>
  <c r="DA81" i="1"/>
  <c r="EB81" i="1" s="1"/>
  <c r="CU81" i="1"/>
  <c r="DV81" i="1" s="1"/>
  <c r="DK81" i="1"/>
  <c r="EL81" i="1" s="1"/>
  <c r="DD81" i="1"/>
  <c r="EE81" i="1" s="1"/>
  <c r="DB81" i="1"/>
  <c r="EC81" i="1" s="1"/>
  <c r="DE81" i="1"/>
  <c r="EF81" i="1" s="1"/>
  <c r="DF81" i="1"/>
  <c r="EG81" i="1" s="1"/>
  <c r="DH81" i="1"/>
  <c r="EI81" i="1" s="1"/>
  <c r="CY81" i="1"/>
  <c r="DZ81" i="1" s="1"/>
  <c r="DI81" i="1"/>
  <c r="EJ81" i="1" s="1"/>
  <c r="DL81" i="1"/>
  <c r="EM81" i="1" s="1"/>
  <c r="CS81" i="1"/>
  <c r="DT81" i="1" s="1"/>
  <c r="CR81" i="1"/>
  <c r="DS81" i="1" s="1"/>
  <c r="I81" i="1"/>
  <c r="CO81" i="1"/>
  <c r="DP81" i="1" s="1"/>
  <c r="DM81" i="1"/>
  <c r="EN81" i="1" s="1"/>
  <c r="CP81" i="1"/>
  <c r="DQ81" i="1" s="1"/>
  <c r="CN81" i="1"/>
  <c r="DC81" i="1"/>
  <c r="ED81" i="1" s="1"/>
  <c r="CT81" i="1"/>
  <c r="DU81" i="1" s="1"/>
  <c r="DJ81" i="1"/>
  <c r="EK81" i="1" s="1"/>
  <c r="I174" i="1"/>
  <c r="DM174" i="1"/>
  <c r="CY142" i="1"/>
  <c r="DZ142" i="1" s="1"/>
  <c r="CW142" i="1"/>
  <c r="DX142" i="1" s="1"/>
  <c r="DM142" i="1"/>
  <c r="EN142" i="1" s="1"/>
  <c r="DG142" i="1"/>
  <c r="EH142" i="1" s="1"/>
  <c r="DC142" i="1"/>
  <c r="ED142" i="1" s="1"/>
  <c r="DD142" i="1"/>
  <c r="EE142" i="1" s="1"/>
  <c r="I142" i="1"/>
  <c r="DE142" i="1"/>
  <c r="EF142" i="1" s="1"/>
  <c r="DB142" i="1"/>
  <c r="EC142" i="1" s="1"/>
  <c r="DJ142" i="1"/>
  <c r="EK142" i="1" s="1"/>
  <c r="CR142" i="1"/>
  <c r="DS142" i="1" s="1"/>
  <c r="CT142" i="1"/>
  <c r="DU142" i="1" s="1"/>
  <c r="DA142" i="1"/>
  <c r="EB142" i="1" s="1"/>
  <c r="DL142" i="1"/>
  <c r="EM142" i="1" s="1"/>
  <c r="CX142" i="1"/>
  <c r="DY142" i="1" s="1"/>
  <c r="DH142" i="1"/>
  <c r="EI142" i="1" s="1"/>
  <c r="DI142" i="1"/>
  <c r="EJ142" i="1" s="1"/>
  <c r="CN142" i="1"/>
  <c r="DK142" i="1"/>
  <c r="EL142" i="1" s="1"/>
  <c r="CV142" i="1"/>
  <c r="DW142" i="1" s="1"/>
  <c r="CS142" i="1"/>
  <c r="DT142" i="1" s="1"/>
  <c r="CP142" i="1"/>
  <c r="DQ142" i="1" s="1"/>
  <c r="CO142" i="1"/>
  <c r="DP142" i="1" s="1"/>
  <c r="CU142" i="1"/>
  <c r="DV142" i="1" s="1"/>
  <c r="DF142" i="1"/>
  <c r="EG142" i="1" s="1"/>
  <c r="CZ142" i="1"/>
  <c r="EA142" i="1" s="1"/>
  <c r="CQ142" i="1"/>
  <c r="DR142" i="1" s="1"/>
  <c r="CO126" i="1"/>
  <c r="DP126" i="1" s="1"/>
  <c r="DE126" i="1"/>
  <c r="EF126" i="1" s="1"/>
  <c r="CV126" i="1"/>
  <c r="DW126" i="1" s="1"/>
  <c r="CR126" i="1"/>
  <c r="DS126" i="1" s="1"/>
  <c r="CZ126" i="1"/>
  <c r="EA126" i="1" s="1"/>
  <c r="CU126" i="1"/>
  <c r="DV126" i="1" s="1"/>
  <c r="CN126" i="1"/>
  <c r="CW126" i="1"/>
  <c r="DX126" i="1" s="1"/>
  <c r="CQ126" i="1"/>
  <c r="DR126" i="1" s="1"/>
  <c r="CY126" i="1"/>
  <c r="DZ126" i="1" s="1"/>
  <c r="CP126" i="1"/>
  <c r="DQ126" i="1" s="1"/>
  <c r="DK126" i="1"/>
  <c r="EL126" i="1" s="1"/>
  <c r="DI126" i="1"/>
  <c r="EJ126" i="1" s="1"/>
  <c r="DL126" i="1"/>
  <c r="EM126" i="1" s="1"/>
  <c r="DD126" i="1"/>
  <c r="EE126" i="1" s="1"/>
  <c r="I126" i="1"/>
  <c r="DM126" i="1"/>
  <c r="EN126" i="1" s="1"/>
  <c r="DF126" i="1"/>
  <c r="EG126" i="1" s="1"/>
  <c r="DJ126" i="1"/>
  <c r="EK126" i="1" s="1"/>
  <c r="DG126" i="1"/>
  <c r="EH126" i="1" s="1"/>
  <c r="DC126" i="1"/>
  <c r="ED126" i="1" s="1"/>
  <c r="DA126" i="1"/>
  <c r="EB126" i="1" s="1"/>
  <c r="DH126" i="1"/>
  <c r="EI126" i="1" s="1"/>
  <c r="CS126" i="1"/>
  <c r="DT126" i="1" s="1"/>
  <c r="CT126" i="1"/>
  <c r="DU126" i="1" s="1"/>
  <c r="DB126" i="1"/>
  <c r="EC126" i="1" s="1"/>
  <c r="CX126" i="1"/>
  <c r="DY126" i="1" s="1"/>
  <c r="I88" i="1"/>
  <c r="DA88" i="1"/>
  <c r="EB88" i="1" s="1"/>
  <c r="CR88" i="1"/>
  <c r="DS88" i="1" s="1"/>
  <c r="CQ88" i="1"/>
  <c r="DR88" i="1" s="1"/>
  <c r="CT88" i="1"/>
  <c r="DU88" i="1" s="1"/>
  <c r="CU88" i="1"/>
  <c r="DV88" i="1" s="1"/>
  <c r="CP88" i="1"/>
  <c r="DQ88" i="1" s="1"/>
  <c r="CW88" i="1"/>
  <c r="DX88" i="1" s="1"/>
  <c r="CX88" i="1"/>
  <c r="DY88" i="1" s="1"/>
  <c r="DF88" i="1"/>
  <c r="EG88" i="1" s="1"/>
  <c r="CN88" i="1"/>
  <c r="CV88" i="1"/>
  <c r="DW88" i="1" s="1"/>
  <c r="DE88" i="1"/>
  <c r="EF88" i="1" s="1"/>
  <c r="DC88" i="1"/>
  <c r="ED88" i="1" s="1"/>
  <c r="DL88" i="1"/>
  <c r="EM88" i="1" s="1"/>
  <c r="DB88" i="1"/>
  <c r="EC88" i="1" s="1"/>
  <c r="DD88" i="1"/>
  <c r="EE88" i="1" s="1"/>
  <c r="DM88" i="1"/>
  <c r="EN88" i="1" s="1"/>
  <c r="DG88" i="1"/>
  <c r="EH88" i="1" s="1"/>
  <c r="CS88" i="1"/>
  <c r="DT88" i="1" s="1"/>
  <c r="CY88" i="1"/>
  <c r="DZ88" i="1" s="1"/>
  <c r="DK88" i="1"/>
  <c r="EL88" i="1" s="1"/>
  <c r="CO88" i="1"/>
  <c r="DP88" i="1" s="1"/>
  <c r="DH88" i="1"/>
  <c r="EI88" i="1" s="1"/>
  <c r="DJ88" i="1"/>
  <c r="EK88" i="1" s="1"/>
  <c r="DI88" i="1"/>
  <c r="EJ88" i="1" s="1"/>
  <c r="CZ88" i="1"/>
  <c r="EA88" i="1" s="1"/>
  <c r="DM173" i="1"/>
  <c r="EN173" i="1" s="1"/>
  <c r="I173" i="1"/>
  <c r="CX141" i="1"/>
  <c r="DY141" i="1" s="1"/>
  <c r="DE141" i="1"/>
  <c r="EF141" i="1" s="1"/>
  <c r="CU141" i="1"/>
  <c r="DV141" i="1" s="1"/>
  <c r="DK141" i="1"/>
  <c r="EL141" i="1" s="1"/>
  <c r="DF141" i="1"/>
  <c r="EG141" i="1" s="1"/>
  <c r="DH141" i="1"/>
  <c r="EI141" i="1" s="1"/>
  <c r="DI141" i="1"/>
  <c r="EJ141" i="1" s="1"/>
  <c r="CY141" i="1"/>
  <c r="DZ141" i="1" s="1"/>
  <c r="CV141" i="1"/>
  <c r="DW141" i="1" s="1"/>
  <c r="CZ141" i="1"/>
  <c r="EA141" i="1" s="1"/>
  <c r="CO141" i="1"/>
  <c r="DP141" i="1" s="1"/>
  <c r="DC141" i="1"/>
  <c r="ED141" i="1" s="1"/>
  <c r="DA141" i="1"/>
  <c r="EB141" i="1" s="1"/>
  <c r="CN141" i="1"/>
  <c r="DD141" i="1"/>
  <c r="EE141" i="1" s="1"/>
  <c r="DM141" i="1"/>
  <c r="EN141" i="1" s="1"/>
  <c r="CP141" i="1"/>
  <c r="DQ141" i="1" s="1"/>
  <c r="DB141" i="1"/>
  <c r="EC141" i="1" s="1"/>
  <c r="CR141" i="1"/>
  <c r="DS141" i="1" s="1"/>
  <c r="CQ141" i="1"/>
  <c r="DR141" i="1" s="1"/>
  <c r="CS141" i="1"/>
  <c r="DT141" i="1" s="1"/>
  <c r="I141" i="1"/>
  <c r="DL141" i="1"/>
  <c r="EM141" i="1" s="1"/>
  <c r="CW141" i="1"/>
  <c r="DX141" i="1" s="1"/>
  <c r="DG141" i="1"/>
  <c r="EH141" i="1" s="1"/>
  <c r="DJ141" i="1"/>
  <c r="EK141" i="1" s="1"/>
  <c r="CT141" i="1"/>
  <c r="DU141" i="1" s="1"/>
  <c r="CU109" i="1"/>
  <c r="DV109" i="1" s="1"/>
  <c r="DK109" i="1"/>
  <c r="EL109" i="1" s="1"/>
  <c r="DF109" i="1"/>
  <c r="EG109" i="1" s="1"/>
  <c r="DH109" i="1"/>
  <c r="EI109" i="1" s="1"/>
  <c r="DI109" i="1"/>
  <c r="EJ109" i="1" s="1"/>
  <c r="DJ109" i="1"/>
  <c r="EK109" i="1" s="1"/>
  <c r="CX109" i="1"/>
  <c r="DY109" i="1" s="1"/>
  <c r="CY109" i="1"/>
  <c r="DZ109" i="1" s="1"/>
  <c r="CP109" i="1"/>
  <c r="DQ109" i="1" s="1"/>
  <c r="DL109" i="1"/>
  <c r="EM109" i="1" s="1"/>
  <c r="CN109" i="1"/>
  <c r="CO109" i="1"/>
  <c r="DP109" i="1" s="1"/>
  <c r="DE109" i="1"/>
  <c r="EF109" i="1" s="1"/>
  <c r="DG109" i="1"/>
  <c r="EH109" i="1" s="1"/>
  <c r="CZ109" i="1"/>
  <c r="EA109" i="1" s="1"/>
  <c r="DD109" i="1"/>
  <c r="EE109" i="1" s="1"/>
  <c r="CQ109" i="1"/>
  <c r="DR109" i="1" s="1"/>
  <c r="DA109" i="1"/>
  <c r="EB109" i="1" s="1"/>
  <c r="DB109" i="1"/>
  <c r="EC109" i="1" s="1"/>
  <c r="CR109" i="1"/>
  <c r="DS109" i="1" s="1"/>
  <c r="I109" i="1"/>
  <c r="CV109" i="1"/>
  <c r="DW109" i="1" s="1"/>
  <c r="CT109" i="1"/>
  <c r="DU109" i="1" s="1"/>
  <c r="DM109" i="1"/>
  <c r="EN109" i="1" s="1"/>
  <c r="CS109" i="1"/>
  <c r="DT109" i="1" s="1"/>
  <c r="CW109" i="1"/>
  <c r="DX109" i="1" s="1"/>
  <c r="DC109" i="1"/>
  <c r="ED109" i="1" s="1"/>
  <c r="I86" i="1"/>
  <c r="DA86" i="1"/>
  <c r="EB86" i="1" s="1"/>
  <c r="CQ86" i="1"/>
  <c r="DR86" i="1" s="1"/>
  <c r="DL86" i="1"/>
  <c r="EM86" i="1" s="1"/>
  <c r="CO86" i="1"/>
  <c r="DP86" i="1" s="1"/>
  <c r="DI86" i="1"/>
  <c r="EJ86" i="1" s="1"/>
  <c r="DG86" i="1"/>
  <c r="EH86" i="1" s="1"/>
  <c r="CN86" i="1"/>
  <c r="CP86" i="1"/>
  <c r="DQ86" i="1" s="1"/>
  <c r="DF86" i="1"/>
  <c r="EG86" i="1" s="1"/>
  <c r="CS86" i="1"/>
  <c r="DT86" i="1" s="1"/>
  <c r="DM86" i="1"/>
  <c r="EN86" i="1" s="1"/>
  <c r="CT86" i="1"/>
  <c r="DU86" i="1" s="1"/>
  <c r="CU86" i="1"/>
  <c r="DV86" i="1" s="1"/>
  <c r="CX86" i="1"/>
  <c r="DY86" i="1" s="1"/>
  <c r="CR86" i="1"/>
  <c r="DS86" i="1" s="1"/>
  <c r="CV86" i="1"/>
  <c r="DW86" i="1" s="1"/>
  <c r="DC86" i="1"/>
  <c r="ED86" i="1" s="1"/>
  <c r="CY86" i="1"/>
  <c r="DZ86" i="1" s="1"/>
  <c r="DB86" i="1"/>
  <c r="EC86" i="1" s="1"/>
  <c r="DD86" i="1"/>
  <c r="EE86" i="1" s="1"/>
  <c r="CZ86" i="1"/>
  <c r="EA86" i="1" s="1"/>
  <c r="DK86" i="1"/>
  <c r="EL86" i="1" s="1"/>
  <c r="DJ86" i="1"/>
  <c r="EK86" i="1" s="1"/>
  <c r="DE86" i="1"/>
  <c r="EF86" i="1" s="1"/>
  <c r="CW86" i="1"/>
  <c r="DX86" i="1" s="1"/>
  <c r="DH86" i="1"/>
  <c r="EI86" i="1" s="1"/>
  <c r="I175" i="1"/>
  <c r="DM175" i="1"/>
  <c r="EN175" i="1" s="1"/>
  <c r="DM159" i="1"/>
  <c r="EN159" i="1" s="1"/>
  <c r="I159" i="1"/>
  <c r="CQ143" i="1"/>
  <c r="DR143" i="1" s="1"/>
  <c r="DG143" i="1"/>
  <c r="EH143" i="1" s="1"/>
  <c r="DB143" i="1"/>
  <c r="EC143" i="1" s="1"/>
  <c r="CX143" i="1"/>
  <c r="DY143" i="1" s="1"/>
  <c r="CZ143" i="1"/>
  <c r="EA143" i="1" s="1"/>
  <c r="CU143" i="1"/>
  <c r="DV143" i="1" s="1"/>
  <c r="CR143" i="1"/>
  <c r="DS143" i="1" s="1"/>
  <c r="CP143" i="1"/>
  <c r="DQ143" i="1" s="1"/>
  <c r="DF143" i="1"/>
  <c r="EG143" i="1" s="1"/>
  <c r="CY143" i="1"/>
  <c r="DZ143" i="1" s="1"/>
  <c r="DH143" i="1"/>
  <c r="EI143" i="1" s="1"/>
  <c r="CS143" i="1"/>
  <c r="DT143" i="1" s="1"/>
  <c r="I143" i="1"/>
  <c r="DM143" i="1"/>
  <c r="EN143" i="1" s="1"/>
  <c r="DI143" i="1"/>
  <c r="EJ143" i="1" s="1"/>
  <c r="DJ143" i="1"/>
  <c r="EK143" i="1" s="1"/>
  <c r="DC143" i="1"/>
  <c r="ED143" i="1" s="1"/>
  <c r="DE143" i="1"/>
  <c r="EF143" i="1" s="1"/>
  <c r="CO143" i="1"/>
  <c r="DP143" i="1" s="1"/>
  <c r="DL143" i="1"/>
  <c r="EM143" i="1" s="1"/>
  <c r="CT143" i="1"/>
  <c r="DU143" i="1" s="1"/>
  <c r="DD143" i="1"/>
  <c r="EE143" i="1" s="1"/>
  <c r="CW143" i="1"/>
  <c r="DX143" i="1" s="1"/>
  <c r="DA143" i="1"/>
  <c r="EB143" i="1" s="1"/>
  <c r="CV143" i="1"/>
  <c r="DW143" i="1" s="1"/>
  <c r="CN143" i="1"/>
  <c r="DK143" i="1"/>
  <c r="EL143" i="1" s="1"/>
  <c r="CY127" i="1"/>
  <c r="DZ127" i="1" s="1"/>
  <c r="CR127" i="1"/>
  <c r="DS127" i="1" s="1"/>
  <c r="DM127" i="1"/>
  <c r="EN127" i="1" s="1"/>
  <c r="DI127" i="1"/>
  <c r="EJ127" i="1" s="1"/>
  <c r="DJ127" i="1"/>
  <c r="EK127" i="1" s="1"/>
  <c r="DL127" i="1"/>
  <c r="EM127" i="1" s="1"/>
  <c r="CQ127" i="1"/>
  <c r="DR127" i="1" s="1"/>
  <c r="DK127" i="1"/>
  <c r="EL127" i="1" s="1"/>
  <c r="CN127" i="1"/>
  <c r="CV127" i="1"/>
  <c r="DW127" i="1" s="1"/>
  <c r="CX127" i="1"/>
  <c r="DY127" i="1" s="1"/>
  <c r="I127" i="1"/>
  <c r="CW127" i="1"/>
  <c r="DX127" i="1" s="1"/>
  <c r="DA127" i="1"/>
  <c r="EB127" i="1" s="1"/>
  <c r="DF127" i="1"/>
  <c r="EG127" i="1" s="1"/>
  <c r="CU127" i="1"/>
  <c r="DV127" i="1" s="1"/>
  <c r="DB127" i="1"/>
  <c r="EC127" i="1" s="1"/>
  <c r="CO127" i="1"/>
  <c r="DP127" i="1" s="1"/>
  <c r="CZ127" i="1"/>
  <c r="EA127" i="1" s="1"/>
  <c r="DH127" i="1"/>
  <c r="EI127" i="1" s="1"/>
  <c r="CP127" i="1"/>
  <c r="DQ127" i="1" s="1"/>
  <c r="DC127" i="1"/>
  <c r="ED127" i="1" s="1"/>
  <c r="CS127" i="1"/>
  <c r="DT127" i="1" s="1"/>
  <c r="DG127" i="1"/>
  <c r="EH127" i="1" s="1"/>
  <c r="DE127" i="1"/>
  <c r="EF127" i="1" s="1"/>
  <c r="DD127" i="1"/>
  <c r="EE127" i="1" s="1"/>
  <c r="CT127" i="1"/>
  <c r="DU127" i="1" s="1"/>
  <c r="CY111" i="1"/>
  <c r="DZ111" i="1" s="1"/>
  <c r="CR111" i="1"/>
  <c r="DS111" i="1" s="1"/>
  <c r="DM111" i="1"/>
  <c r="EN111" i="1" s="1"/>
  <c r="DL111" i="1"/>
  <c r="EM111" i="1" s="1"/>
  <c r="CN111" i="1"/>
  <c r="DJ111" i="1"/>
  <c r="EK111" i="1" s="1"/>
  <c r="I111" i="1"/>
  <c r="DG111" i="1"/>
  <c r="EH111" i="1" s="1"/>
  <c r="DH111" i="1"/>
  <c r="EI111" i="1" s="1"/>
  <c r="CS111" i="1"/>
  <c r="DT111" i="1" s="1"/>
  <c r="DA111" i="1"/>
  <c r="EB111" i="1" s="1"/>
  <c r="DD111" i="1"/>
  <c r="EE111" i="1" s="1"/>
  <c r="DK111" i="1"/>
  <c r="EL111" i="1" s="1"/>
  <c r="CX111" i="1"/>
  <c r="DY111" i="1" s="1"/>
  <c r="CT111" i="1"/>
  <c r="DU111" i="1" s="1"/>
  <c r="CQ111" i="1"/>
  <c r="DR111" i="1" s="1"/>
  <c r="CW111" i="1"/>
  <c r="DX111" i="1" s="1"/>
  <c r="DE111" i="1"/>
  <c r="EF111" i="1" s="1"/>
  <c r="DI111" i="1"/>
  <c r="EJ111" i="1" s="1"/>
  <c r="CU111" i="1"/>
  <c r="DV111" i="1" s="1"/>
  <c r="CZ111" i="1"/>
  <c r="EA111" i="1" s="1"/>
  <c r="DB111" i="1"/>
  <c r="EC111" i="1" s="1"/>
  <c r="CV111" i="1"/>
  <c r="DW111" i="1" s="1"/>
  <c r="CP111" i="1"/>
  <c r="DQ111" i="1" s="1"/>
  <c r="DC111" i="1"/>
  <c r="ED111" i="1" s="1"/>
  <c r="CO111" i="1"/>
  <c r="DP111" i="1" s="1"/>
  <c r="DF111" i="1"/>
  <c r="EG111" i="1" s="1"/>
  <c r="I95" i="1"/>
  <c r="DC95" i="1"/>
  <c r="ED95" i="1" s="1"/>
  <c r="CW95" i="1"/>
  <c r="DX95" i="1" s="1"/>
  <c r="CN95" i="1"/>
  <c r="CO95" i="1"/>
  <c r="DP95" i="1" s="1"/>
  <c r="CP95" i="1"/>
  <c r="DQ95" i="1" s="1"/>
  <c r="CZ95" i="1"/>
  <c r="EA95" i="1" s="1"/>
  <c r="CU95" i="1"/>
  <c r="DV95" i="1" s="1"/>
  <c r="CR95" i="1"/>
  <c r="DS95" i="1" s="1"/>
  <c r="CT95" i="1"/>
  <c r="DU95" i="1" s="1"/>
  <c r="DD95" i="1"/>
  <c r="EE95" i="1" s="1"/>
  <c r="DL95" i="1"/>
  <c r="EM95" i="1" s="1"/>
  <c r="CY95" i="1"/>
  <c r="DZ95" i="1" s="1"/>
  <c r="DB95" i="1"/>
  <c r="EC95" i="1" s="1"/>
  <c r="DA95" i="1"/>
  <c r="EB95" i="1" s="1"/>
  <c r="DJ95" i="1"/>
  <c r="EK95" i="1" s="1"/>
  <c r="DF95" i="1"/>
  <c r="EG95" i="1" s="1"/>
  <c r="DH95" i="1"/>
  <c r="EI95" i="1" s="1"/>
  <c r="CX95" i="1"/>
  <c r="DY95" i="1" s="1"/>
  <c r="DK95" i="1"/>
  <c r="EL95" i="1" s="1"/>
  <c r="DE95" i="1"/>
  <c r="EF95" i="1" s="1"/>
  <c r="DM95" i="1"/>
  <c r="EN95" i="1" s="1"/>
  <c r="CS95" i="1"/>
  <c r="DT95" i="1" s="1"/>
  <c r="CV95" i="1"/>
  <c r="DW95" i="1" s="1"/>
  <c r="DG95" i="1"/>
  <c r="EH95" i="1" s="1"/>
  <c r="CQ95" i="1"/>
  <c r="DR95" i="1" s="1"/>
  <c r="DI95" i="1"/>
  <c r="EJ95" i="1" s="1"/>
  <c r="CV73" i="1"/>
  <c r="DW73" i="1" s="1"/>
  <c r="DL73" i="1"/>
  <c r="EM73" i="1" s="1"/>
  <c r="DG73" i="1"/>
  <c r="EH73" i="1" s="1"/>
  <c r="DE73" i="1"/>
  <c r="EF73" i="1" s="1"/>
  <c r="CO73" i="1"/>
  <c r="DP73" i="1" s="1"/>
  <c r="DA73" i="1"/>
  <c r="EB73" i="1" s="1"/>
  <c r="I73" i="1"/>
  <c r="CZ73" i="1"/>
  <c r="EA73" i="1" s="1"/>
  <c r="CQ73" i="1"/>
  <c r="DR73" i="1" s="1"/>
  <c r="DM73" i="1"/>
  <c r="EN73" i="1" s="1"/>
  <c r="DK73" i="1"/>
  <c r="EL73" i="1" s="1"/>
  <c r="CY73" i="1"/>
  <c r="DZ73" i="1" s="1"/>
  <c r="DJ73" i="1"/>
  <c r="EK73" i="1" s="1"/>
  <c r="DD73" i="1"/>
  <c r="EE73" i="1" s="1"/>
  <c r="CP73" i="1"/>
  <c r="DQ73" i="1" s="1"/>
  <c r="DI73" i="1"/>
  <c r="EJ73" i="1" s="1"/>
  <c r="CW73" i="1"/>
  <c r="DX73" i="1" s="1"/>
  <c r="DF73" i="1"/>
  <c r="EG73" i="1" s="1"/>
  <c r="CN73" i="1"/>
  <c r="DB73" i="1"/>
  <c r="EC73" i="1" s="1"/>
  <c r="CS73" i="1"/>
  <c r="DT73" i="1" s="1"/>
  <c r="DH73" i="1"/>
  <c r="EI73" i="1" s="1"/>
  <c r="DC73" i="1"/>
  <c r="ED73" i="1" s="1"/>
  <c r="CU73" i="1"/>
  <c r="DV73" i="1" s="1"/>
  <c r="CX73" i="1"/>
  <c r="DY73" i="1" s="1"/>
  <c r="CT73" i="1"/>
  <c r="DU73" i="1" s="1"/>
  <c r="CR73" i="1"/>
  <c r="DS73" i="1" s="1"/>
  <c r="I162" i="1"/>
  <c r="DM162" i="1"/>
  <c r="EN162" i="1" s="1"/>
  <c r="I114" i="1"/>
  <c r="DA114" i="1"/>
  <c r="EB114" i="1" s="1"/>
  <c r="CN114" i="1"/>
  <c r="DJ114" i="1"/>
  <c r="EK114" i="1" s="1"/>
  <c r="DL114" i="1"/>
  <c r="EM114" i="1" s="1"/>
  <c r="CP114" i="1"/>
  <c r="DQ114" i="1" s="1"/>
  <c r="CV114" i="1"/>
  <c r="DW114" i="1" s="1"/>
  <c r="CS114" i="1"/>
  <c r="DT114" i="1" s="1"/>
  <c r="DM114" i="1"/>
  <c r="EN114" i="1" s="1"/>
  <c r="CQ114" i="1"/>
  <c r="DR114" i="1" s="1"/>
  <c r="CZ114" i="1"/>
  <c r="EA114" i="1" s="1"/>
  <c r="DH114" i="1"/>
  <c r="EI114" i="1" s="1"/>
  <c r="CW114" i="1"/>
  <c r="DX114" i="1" s="1"/>
  <c r="CY114" i="1"/>
  <c r="DZ114" i="1" s="1"/>
  <c r="CR114" i="1"/>
  <c r="DS114" i="1" s="1"/>
  <c r="DK114" i="1"/>
  <c r="EL114" i="1" s="1"/>
  <c r="DE114" i="1"/>
  <c r="EF114" i="1" s="1"/>
  <c r="DD114" i="1"/>
  <c r="EE114" i="1" s="1"/>
  <c r="DG114" i="1"/>
  <c r="EH114" i="1" s="1"/>
  <c r="DB114" i="1"/>
  <c r="EC114" i="1" s="1"/>
  <c r="CO114" i="1"/>
  <c r="DP114" i="1" s="1"/>
  <c r="DF114" i="1"/>
  <c r="EG114" i="1" s="1"/>
  <c r="CT114" i="1"/>
  <c r="DU114" i="1" s="1"/>
  <c r="CU114" i="1"/>
  <c r="DV114" i="1" s="1"/>
  <c r="DI114" i="1"/>
  <c r="EJ114" i="1" s="1"/>
  <c r="DC114" i="1"/>
  <c r="ED114" i="1" s="1"/>
  <c r="CX114" i="1"/>
  <c r="DY114" i="1" s="1"/>
  <c r="CO84" i="1"/>
  <c r="DP84" i="1" s="1"/>
  <c r="DE84" i="1"/>
  <c r="EF84" i="1" s="1"/>
  <c r="CU84" i="1"/>
  <c r="DV84" i="1" s="1"/>
  <c r="CN84" i="1"/>
  <c r="CQ84" i="1"/>
  <c r="DR84" i="1" s="1"/>
  <c r="CR84" i="1"/>
  <c r="DS84" i="1" s="1"/>
  <c r="DH84" i="1"/>
  <c r="EI84" i="1" s="1"/>
  <c r="CW84" i="1"/>
  <c r="DX84" i="1" s="1"/>
  <c r="CP84" i="1"/>
  <c r="DQ84" i="1" s="1"/>
  <c r="CV84" i="1"/>
  <c r="DW84" i="1" s="1"/>
  <c r="DD84" i="1"/>
  <c r="EE84" i="1" s="1"/>
  <c r="DB84" i="1"/>
  <c r="EC84" i="1" s="1"/>
  <c r="DA84" i="1"/>
  <c r="EB84" i="1" s="1"/>
  <c r="CZ84" i="1"/>
  <c r="EA84" i="1" s="1"/>
  <c r="DC84" i="1"/>
  <c r="ED84" i="1" s="1"/>
  <c r="DL84" i="1"/>
  <c r="EM84" i="1" s="1"/>
  <c r="CT84" i="1"/>
  <c r="DU84" i="1" s="1"/>
  <c r="CS84" i="1"/>
  <c r="DT84" i="1" s="1"/>
  <c r="DK84" i="1"/>
  <c r="EL84" i="1" s="1"/>
  <c r="DG84" i="1"/>
  <c r="EH84" i="1" s="1"/>
  <c r="DM84" i="1"/>
  <c r="EN84" i="1" s="1"/>
  <c r="CX84" i="1"/>
  <c r="DY84" i="1" s="1"/>
  <c r="DI84" i="1"/>
  <c r="EJ84" i="1" s="1"/>
  <c r="DJ84" i="1"/>
  <c r="EK84" i="1" s="1"/>
  <c r="CY84" i="1"/>
  <c r="DZ84" i="1" s="1"/>
  <c r="I84" i="1"/>
  <c r="DF84" i="1"/>
  <c r="EG84" i="1" s="1"/>
  <c r="I177" i="1"/>
  <c r="DM177" i="1"/>
  <c r="DM145" i="1"/>
  <c r="I145" i="1"/>
  <c r="CQ113" i="1"/>
  <c r="DR113" i="1" s="1"/>
  <c r="DG113" i="1"/>
  <c r="EH113" i="1" s="1"/>
  <c r="CX113" i="1"/>
  <c r="DY113" i="1" s="1"/>
  <c r="CV113" i="1"/>
  <c r="DW113" i="1" s="1"/>
  <c r="CW113" i="1"/>
  <c r="DX113" i="1" s="1"/>
  <c r="CR113" i="1"/>
  <c r="DS113" i="1" s="1"/>
  <c r="CZ113" i="1"/>
  <c r="EA113" i="1" s="1"/>
  <c r="CU113" i="1"/>
  <c r="DV113" i="1" s="1"/>
  <c r="DK113" i="1"/>
  <c r="EL113" i="1" s="1"/>
  <c r="DD113" i="1"/>
  <c r="EE113" i="1" s="1"/>
  <c r="DB113" i="1"/>
  <c r="EC113" i="1" s="1"/>
  <c r="DE113" i="1"/>
  <c r="EF113" i="1" s="1"/>
  <c r="DF113" i="1"/>
  <c r="EG113" i="1" s="1"/>
  <c r="DM113" i="1"/>
  <c r="EN113" i="1" s="1"/>
  <c r="I113" i="1"/>
  <c r="CS113" i="1"/>
  <c r="DT113" i="1" s="1"/>
  <c r="CP113" i="1"/>
  <c r="DQ113" i="1" s="1"/>
  <c r="DH113" i="1"/>
  <c r="EI113" i="1" s="1"/>
  <c r="DC113" i="1"/>
  <c r="ED113" i="1" s="1"/>
  <c r="CO113" i="1"/>
  <c r="DP113" i="1" s="1"/>
  <c r="DA113" i="1"/>
  <c r="EB113" i="1" s="1"/>
  <c r="CY113" i="1"/>
  <c r="DZ113" i="1" s="1"/>
  <c r="DI113" i="1"/>
  <c r="EJ113" i="1" s="1"/>
  <c r="DL113" i="1"/>
  <c r="EM113" i="1" s="1"/>
  <c r="CN113" i="1"/>
  <c r="DJ113" i="1"/>
  <c r="EK113" i="1" s="1"/>
  <c r="CT113" i="1"/>
  <c r="DU113" i="1" s="1"/>
  <c r="CQ91" i="1"/>
  <c r="DR91" i="1" s="1"/>
  <c r="DG91" i="1"/>
  <c r="EH91" i="1" s="1"/>
  <c r="CZ91" i="1"/>
  <c r="EA91" i="1" s="1"/>
  <c r="CX91" i="1"/>
  <c r="DY91" i="1" s="1"/>
  <c r="DA91" i="1"/>
  <c r="EB91" i="1" s="1"/>
  <c r="DB91" i="1"/>
  <c r="EC91" i="1" s="1"/>
  <c r="DD91" i="1"/>
  <c r="EE91" i="1" s="1"/>
  <c r="CY91" i="1"/>
  <c r="DZ91" i="1" s="1"/>
  <c r="CT91" i="1"/>
  <c r="DU91" i="1" s="1"/>
  <c r="DF91" i="1"/>
  <c r="EG91" i="1" s="1"/>
  <c r="CN91" i="1"/>
  <c r="CW91" i="1"/>
  <c r="DX91" i="1" s="1"/>
  <c r="I91" i="1"/>
  <c r="DK91" i="1"/>
  <c r="EL91" i="1" s="1"/>
  <c r="DJ91" i="1"/>
  <c r="EK91" i="1" s="1"/>
  <c r="CS91" i="1"/>
  <c r="DT91" i="1" s="1"/>
  <c r="DI91" i="1"/>
  <c r="EJ91" i="1" s="1"/>
  <c r="DC91" i="1"/>
  <c r="ED91" i="1" s="1"/>
  <c r="DE91" i="1"/>
  <c r="EF91" i="1" s="1"/>
  <c r="DM91" i="1"/>
  <c r="EN91" i="1" s="1"/>
  <c r="CV91" i="1"/>
  <c r="DW91" i="1" s="1"/>
  <c r="DL91" i="1"/>
  <c r="EM91" i="1" s="1"/>
  <c r="CU91" i="1"/>
  <c r="DV91" i="1" s="1"/>
  <c r="CP91" i="1"/>
  <c r="DQ91" i="1" s="1"/>
  <c r="CR91" i="1"/>
  <c r="DS91" i="1" s="1"/>
  <c r="CO91" i="1"/>
  <c r="DP91" i="1" s="1"/>
  <c r="DH91" i="1"/>
  <c r="EI91" i="1" s="1"/>
  <c r="CV75" i="1"/>
  <c r="DW75" i="1" s="1"/>
  <c r="DL75" i="1"/>
  <c r="EM75" i="1" s="1"/>
  <c r="DI75" i="1"/>
  <c r="EJ75" i="1" s="1"/>
  <c r="DJ75" i="1"/>
  <c r="EK75" i="1" s="1"/>
  <c r="CT75" i="1"/>
  <c r="DU75" i="1" s="1"/>
  <c r="DF75" i="1"/>
  <c r="EG75" i="1" s="1"/>
  <c r="CN75" i="1"/>
  <c r="CX75" i="1"/>
  <c r="DY75" i="1" s="1"/>
  <c r="DA75" i="1"/>
  <c r="EB75" i="1" s="1"/>
  <c r="DG75" i="1"/>
  <c r="EH75" i="1" s="1"/>
  <c r="I75" i="1"/>
  <c r="CZ75" i="1"/>
  <c r="EA75" i="1" s="1"/>
  <c r="CS75" i="1"/>
  <c r="DT75" i="1" s="1"/>
  <c r="CO75" i="1"/>
  <c r="DP75" i="1" s="1"/>
  <c r="CQ75" i="1"/>
  <c r="DR75" i="1" s="1"/>
  <c r="DE75" i="1"/>
  <c r="EF75" i="1" s="1"/>
  <c r="CY75" i="1"/>
  <c r="DZ75" i="1" s="1"/>
  <c r="DD75" i="1"/>
  <c r="EE75" i="1" s="1"/>
  <c r="CU75" i="1"/>
  <c r="DV75" i="1" s="1"/>
  <c r="DM75" i="1"/>
  <c r="EN75" i="1" s="1"/>
  <c r="DC75" i="1"/>
  <c r="ED75" i="1" s="1"/>
  <c r="CP75" i="1"/>
  <c r="DQ75" i="1" s="1"/>
  <c r="CR75" i="1"/>
  <c r="DS75" i="1" s="1"/>
  <c r="DK75" i="1"/>
  <c r="EL75" i="1" s="1"/>
  <c r="CW75" i="1"/>
  <c r="DX75" i="1" s="1"/>
  <c r="DB75" i="1"/>
  <c r="EC75" i="1" s="1"/>
  <c r="DH75" i="1"/>
  <c r="EI75" i="1" s="1"/>
  <c r="I180" i="1"/>
  <c r="DM180" i="1"/>
  <c r="EN180" i="1" s="1"/>
  <c r="DM164" i="1"/>
  <c r="EN164" i="1" s="1"/>
  <c r="I164" i="1"/>
  <c r="I148" i="1"/>
  <c r="DM148" i="1"/>
  <c r="EN148" i="1" s="1"/>
  <c r="CS132" i="1"/>
  <c r="DT132" i="1" s="1"/>
  <c r="DI132" i="1"/>
  <c r="EJ132" i="1" s="1"/>
  <c r="CZ132" i="1"/>
  <c r="EA132" i="1" s="1"/>
  <c r="CY132" i="1"/>
  <c r="DZ132" i="1" s="1"/>
  <c r="DH132" i="1"/>
  <c r="EI132" i="1" s="1"/>
  <c r="DJ132" i="1"/>
  <c r="EK132" i="1" s="1"/>
  <c r="DC132" i="1"/>
  <c r="ED132" i="1" s="1"/>
  <c r="DA132" i="1"/>
  <c r="EB132" i="1" s="1"/>
  <c r="DK132" i="1"/>
  <c r="EL132" i="1" s="1"/>
  <c r="DD132" i="1"/>
  <c r="EE132" i="1" s="1"/>
  <c r="DL132" i="1"/>
  <c r="EM132" i="1" s="1"/>
  <c r="CW132" i="1"/>
  <c r="DX132" i="1" s="1"/>
  <c r="DM132" i="1"/>
  <c r="EN132" i="1" s="1"/>
  <c r="DF132" i="1"/>
  <c r="EG132" i="1" s="1"/>
  <c r="DG132" i="1"/>
  <c r="EH132" i="1" s="1"/>
  <c r="CQ132" i="1"/>
  <c r="DR132" i="1" s="1"/>
  <c r="CX132" i="1"/>
  <c r="DY132" i="1" s="1"/>
  <c r="I132" i="1"/>
  <c r="CP132" i="1"/>
  <c r="DQ132" i="1" s="1"/>
  <c r="CT132" i="1"/>
  <c r="DU132" i="1" s="1"/>
  <c r="CR132" i="1"/>
  <c r="DS132" i="1" s="1"/>
  <c r="DE132" i="1"/>
  <c r="EF132" i="1" s="1"/>
  <c r="CU132" i="1"/>
  <c r="DV132" i="1" s="1"/>
  <c r="CO132" i="1"/>
  <c r="DP132" i="1" s="1"/>
  <c r="DB132" i="1"/>
  <c r="EC132" i="1" s="1"/>
  <c r="CV132" i="1"/>
  <c r="DW132" i="1" s="1"/>
  <c r="CN132" i="1"/>
  <c r="CS116" i="1"/>
  <c r="DT116" i="1" s="1"/>
  <c r="DI116" i="1"/>
  <c r="EJ116" i="1" s="1"/>
  <c r="CZ116" i="1"/>
  <c r="EA116" i="1" s="1"/>
  <c r="CV116" i="1"/>
  <c r="DW116" i="1" s="1"/>
  <c r="CX116" i="1"/>
  <c r="DY116" i="1" s="1"/>
  <c r="DH116" i="1"/>
  <c r="EI116" i="1" s="1"/>
  <c r="DG116" i="1"/>
  <c r="EH116" i="1" s="1"/>
  <c r="I116" i="1"/>
  <c r="CP116" i="1"/>
  <c r="DQ116" i="1" s="1"/>
  <c r="DJ116" i="1"/>
  <c r="EK116" i="1" s="1"/>
  <c r="DL116" i="1"/>
  <c r="EM116" i="1" s="1"/>
  <c r="CW116" i="1"/>
  <c r="DX116" i="1" s="1"/>
  <c r="DM116" i="1"/>
  <c r="EN116" i="1" s="1"/>
  <c r="DF116" i="1"/>
  <c r="EG116" i="1" s="1"/>
  <c r="DC116" i="1"/>
  <c r="ED116" i="1" s="1"/>
  <c r="DD116" i="1"/>
  <c r="EE116" i="1" s="1"/>
  <c r="CY116" i="1"/>
  <c r="DZ116" i="1" s="1"/>
  <c r="DA116" i="1"/>
  <c r="EB116" i="1" s="1"/>
  <c r="DK116" i="1"/>
  <c r="EL116" i="1" s="1"/>
  <c r="DB116" i="1"/>
  <c r="EC116" i="1" s="1"/>
  <c r="CO116" i="1"/>
  <c r="DP116" i="1" s="1"/>
  <c r="CQ116" i="1"/>
  <c r="DR116" i="1" s="1"/>
  <c r="CT116" i="1"/>
  <c r="DU116" i="1" s="1"/>
  <c r="CU116" i="1"/>
  <c r="DV116" i="1" s="1"/>
  <c r="DE116" i="1"/>
  <c r="EF116" i="1" s="1"/>
  <c r="CR116" i="1"/>
  <c r="DS116" i="1" s="1"/>
  <c r="CN116" i="1"/>
  <c r="CS100" i="1"/>
  <c r="DT100" i="1" s="1"/>
  <c r="DI100" i="1"/>
  <c r="EJ100" i="1" s="1"/>
  <c r="CZ100" i="1"/>
  <c r="EA100" i="1" s="1"/>
  <c r="CY100" i="1"/>
  <c r="DZ100" i="1" s="1"/>
  <c r="DH100" i="1"/>
  <c r="EI100" i="1" s="1"/>
  <c r="DJ100" i="1"/>
  <c r="EK100" i="1" s="1"/>
  <c r="DD100" i="1"/>
  <c r="EE100" i="1" s="1"/>
  <c r="DA100" i="1"/>
  <c r="EB100" i="1" s="1"/>
  <c r="DK100" i="1"/>
  <c r="EL100" i="1" s="1"/>
  <c r="CT100" i="1"/>
  <c r="DU100" i="1" s="1"/>
  <c r="CQ100" i="1"/>
  <c r="DR100" i="1" s="1"/>
  <c r="CW100" i="1"/>
  <c r="DX100" i="1" s="1"/>
  <c r="DM100" i="1"/>
  <c r="EN100" i="1" s="1"/>
  <c r="DF100" i="1"/>
  <c r="EG100" i="1" s="1"/>
  <c r="DG100" i="1"/>
  <c r="EH100" i="1" s="1"/>
  <c r="CN100" i="1"/>
  <c r="DL100" i="1"/>
  <c r="EM100" i="1" s="1"/>
  <c r="I100" i="1"/>
  <c r="CP100" i="1"/>
  <c r="DQ100" i="1" s="1"/>
  <c r="CV100" i="1"/>
  <c r="DW100" i="1" s="1"/>
  <c r="DE100" i="1"/>
  <c r="EF100" i="1" s="1"/>
  <c r="DC100" i="1"/>
  <c r="ED100" i="1" s="1"/>
  <c r="CU100" i="1"/>
  <c r="DV100" i="1" s="1"/>
  <c r="CX100" i="1"/>
  <c r="DY100" i="1" s="1"/>
  <c r="CR100" i="1"/>
  <c r="DS100" i="1" s="1"/>
  <c r="CO100" i="1"/>
  <c r="DP100" i="1" s="1"/>
  <c r="DB100" i="1"/>
  <c r="EC100" i="1" s="1"/>
  <c r="CU77" i="1"/>
  <c r="DV77" i="1" s="1"/>
  <c r="DK77" i="1"/>
  <c r="EL77" i="1" s="1"/>
  <c r="DF77" i="1"/>
  <c r="EG77" i="1" s="1"/>
  <c r="DH77" i="1"/>
  <c r="EI77" i="1" s="1"/>
  <c r="DI77" i="1"/>
  <c r="EJ77" i="1" s="1"/>
  <c r="DJ77" i="1"/>
  <c r="EK77" i="1" s="1"/>
  <c r="DE77" i="1"/>
  <c r="EF77" i="1" s="1"/>
  <c r="CY77" i="1"/>
  <c r="DZ77" i="1" s="1"/>
  <c r="CP77" i="1"/>
  <c r="DQ77" i="1" s="1"/>
  <c r="DL77" i="1"/>
  <c r="EM77" i="1" s="1"/>
  <c r="CN77" i="1"/>
  <c r="CO77" i="1"/>
  <c r="DP77" i="1" s="1"/>
  <c r="DM77" i="1"/>
  <c r="EN77" i="1" s="1"/>
  <c r="I77" i="1"/>
  <c r="CV77" i="1"/>
  <c r="DW77" i="1" s="1"/>
  <c r="CT77" i="1"/>
  <c r="DU77" i="1" s="1"/>
  <c r="CR77" i="1"/>
  <c r="DS77" i="1" s="1"/>
  <c r="DC77" i="1"/>
  <c r="ED77" i="1" s="1"/>
  <c r="CZ77" i="1"/>
  <c r="EA77" i="1" s="1"/>
  <c r="CX77" i="1"/>
  <c r="DY77" i="1" s="1"/>
  <c r="DG77" i="1"/>
  <c r="EH77" i="1" s="1"/>
  <c r="DB77" i="1"/>
  <c r="EC77" i="1" s="1"/>
  <c r="CS77" i="1"/>
  <c r="DT77" i="1" s="1"/>
  <c r="CQ77" i="1"/>
  <c r="DR77" i="1" s="1"/>
  <c r="DD77" i="1"/>
  <c r="EE77" i="1" s="1"/>
  <c r="CW77" i="1"/>
  <c r="DX77" i="1" s="1"/>
  <c r="DA77" i="1"/>
  <c r="EB77" i="1" s="1"/>
  <c r="DM166" i="1"/>
  <c r="EN166" i="1" s="1"/>
  <c r="I166" i="1"/>
  <c r="CP138" i="1"/>
  <c r="DQ138" i="1" s="1"/>
  <c r="DF138" i="1"/>
  <c r="EG138" i="1" s="1"/>
  <c r="I138" i="1"/>
  <c r="DA138" i="1"/>
  <c r="EB138" i="1" s="1"/>
  <c r="CN138" i="1"/>
  <c r="DJ138" i="1"/>
  <c r="EK138" i="1" s="1"/>
  <c r="CU138" i="1"/>
  <c r="DV138" i="1" s="1"/>
  <c r="DK138" i="1"/>
  <c r="EL138" i="1" s="1"/>
  <c r="CW138" i="1"/>
  <c r="DX138" i="1" s="1"/>
  <c r="CT138" i="1"/>
  <c r="DU138" i="1" s="1"/>
  <c r="CZ138" i="1"/>
  <c r="EA138" i="1" s="1"/>
  <c r="CV138" i="1"/>
  <c r="DW138" i="1" s="1"/>
  <c r="DC138" i="1"/>
  <c r="ED138" i="1" s="1"/>
  <c r="CS138" i="1"/>
  <c r="DT138" i="1" s="1"/>
  <c r="CY138" i="1"/>
  <c r="DZ138" i="1" s="1"/>
  <c r="DB138" i="1"/>
  <c r="EC138" i="1" s="1"/>
  <c r="DE138" i="1"/>
  <c r="EF138" i="1" s="1"/>
  <c r="DD138" i="1"/>
  <c r="EE138" i="1" s="1"/>
  <c r="DH138" i="1"/>
  <c r="EI138" i="1" s="1"/>
  <c r="CO138" i="1"/>
  <c r="DP138" i="1" s="1"/>
  <c r="DG138" i="1"/>
  <c r="EH138" i="1" s="1"/>
  <c r="CQ138" i="1"/>
  <c r="DR138" i="1" s="1"/>
  <c r="DM138" i="1"/>
  <c r="EN138" i="1" s="1"/>
  <c r="DI138" i="1"/>
  <c r="EJ138" i="1" s="1"/>
  <c r="DL138" i="1"/>
  <c r="EM138" i="1" s="1"/>
  <c r="CX138" i="1"/>
  <c r="DY138" i="1" s="1"/>
  <c r="CR138" i="1"/>
  <c r="DS138" i="1" s="1"/>
  <c r="CW118" i="1"/>
  <c r="DX118" i="1" s="1"/>
  <c r="DM118" i="1"/>
  <c r="EN118" i="1" s="1"/>
  <c r="DG118" i="1"/>
  <c r="EH118" i="1" s="1"/>
  <c r="DH118" i="1"/>
  <c r="EI118" i="1" s="1"/>
  <c r="DJ118" i="1"/>
  <c r="EK118" i="1" s="1"/>
  <c r="CR118" i="1"/>
  <c r="DS118" i="1" s="1"/>
  <c r="CS118" i="1"/>
  <c r="DT118" i="1" s="1"/>
  <c r="CQ118" i="1"/>
  <c r="DR118" i="1" s="1"/>
  <c r="CT118" i="1"/>
  <c r="DU118" i="1" s="1"/>
  <c r="DC118" i="1"/>
  <c r="ED118" i="1" s="1"/>
  <c r="DF118" i="1"/>
  <c r="EG118" i="1" s="1"/>
  <c r="CO118" i="1"/>
  <c r="DP118" i="1" s="1"/>
  <c r="CV118" i="1"/>
  <c r="DW118" i="1" s="1"/>
  <c r="CN118" i="1"/>
  <c r="DD118" i="1"/>
  <c r="EE118" i="1" s="1"/>
  <c r="DA118" i="1"/>
  <c r="EB118" i="1" s="1"/>
  <c r="DB118" i="1"/>
  <c r="EC118" i="1" s="1"/>
  <c r="CU118" i="1"/>
  <c r="DV118" i="1" s="1"/>
  <c r="CX118" i="1"/>
  <c r="DY118" i="1" s="1"/>
  <c r="I118" i="1"/>
  <c r="CZ118" i="1"/>
  <c r="EA118" i="1" s="1"/>
  <c r="DI118" i="1"/>
  <c r="EJ118" i="1" s="1"/>
  <c r="CP118" i="1"/>
  <c r="DQ118" i="1" s="1"/>
  <c r="DE118" i="1"/>
  <c r="EF118" i="1" s="1"/>
  <c r="CY118" i="1"/>
  <c r="DZ118" i="1" s="1"/>
  <c r="DL118" i="1"/>
  <c r="EM118" i="1" s="1"/>
  <c r="DK118" i="1"/>
  <c r="EL118" i="1" s="1"/>
  <c r="CX76" i="1"/>
  <c r="DY76" i="1" s="1"/>
  <c r="CS76" i="1"/>
  <c r="DT76" i="1" s="1"/>
  <c r="DM76" i="1"/>
  <c r="EN76" i="1" s="1"/>
  <c r="DK76" i="1"/>
  <c r="EL76" i="1" s="1"/>
  <c r="CV76" i="1"/>
  <c r="DW76" i="1" s="1"/>
  <c r="DH76" i="1"/>
  <c r="EI76" i="1" s="1"/>
  <c r="CT76" i="1"/>
  <c r="DU76" i="1" s="1"/>
  <c r="CY76" i="1"/>
  <c r="DZ76" i="1" s="1"/>
  <c r="CW76" i="1"/>
  <c r="DX76" i="1" s="1"/>
  <c r="DL76" i="1"/>
  <c r="EM76" i="1" s="1"/>
  <c r="DJ76" i="1"/>
  <c r="EK76" i="1" s="1"/>
  <c r="DB76" i="1"/>
  <c r="EC76" i="1" s="1"/>
  <c r="DD76" i="1"/>
  <c r="EE76" i="1" s="1"/>
  <c r="DE76" i="1"/>
  <c r="EF76" i="1" s="1"/>
  <c r="DG76" i="1"/>
  <c r="EH76" i="1" s="1"/>
  <c r="CR76" i="1"/>
  <c r="DS76" i="1" s="1"/>
  <c r="CP76" i="1"/>
  <c r="DQ76" i="1" s="1"/>
  <c r="CQ76" i="1"/>
  <c r="DR76" i="1" s="1"/>
  <c r="CZ76" i="1"/>
  <c r="EA76" i="1" s="1"/>
  <c r="CN76" i="1"/>
  <c r="DC76" i="1"/>
  <c r="ED76" i="1" s="1"/>
  <c r="DF76" i="1"/>
  <c r="EG76" i="1" s="1"/>
  <c r="CU76" i="1"/>
  <c r="DV76" i="1" s="1"/>
  <c r="DA76" i="1"/>
  <c r="EB76" i="1" s="1"/>
  <c r="DI76" i="1"/>
  <c r="EJ76" i="1" s="1"/>
  <c r="CO76" i="1"/>
  <c r="DP76" i="1" s="1"/>
  <c r="I76" i="1"/>
  <c r="DM165" i="1"/>
  <c r="EN165" i="1" s="1"/>
  <c r="I165" i="1"/>
  <c r="CY133" i="1"/>
  <c r="DZ133" i="1" s="1"/>
  <c r="CP133" i="1"/>
  <c r="DQ133" i="1" s="1"/>
  <c r="DL133" i="1"/>
  <c r="EM133" i="1" s="1"/>
  <c r="DI133" i="1"/>
  <c r="EJ133" i="1" s="1"/>
  <c r="DJ133" i="1"/>
  <c r="EK133" i="1" s="1"/>
  <c r="DM133" i="1"/>
  <c r="EN133" i="1" s="1"/>
  <c r="CU133" i="1"/>
  <c r="DV133" i="1" s="1"/>
  <c r="CV133" i="1"/>
  <c r="DW133" i="1" s="1"/>
  <c r="CT133" i="1"/>
  <c r="DU133" i="1" s="1"/>
  <c r="DD133" i="1"/>
  <c r="EE133" i="1" s="1"/>
  <c r="CZ133" i="1"/>
  <c r="EA133" i="1" s="1"/>
  <c r="DC133" i="1"/>
  <c r="ED133" i="1" s="1"/>
  <c r="DA133" i="1"/>
  <c r="EB133" i="1" s="1"/>
  <c r="DB133" i="1"/>
  <c r="EC133" i="1" s="1"/>
  <c r="CS133" i="1"/>
  <c r="DT133" i="1" s="1"/>
  <c r="CR133" i="1"/>
  <c r="DS133" i="1" s="1"/>
  <c r="DK133" i="1"/>
  <c r="EL133" i="1" s="1"/>
  <c r="CW133" i="1"/>
  <c r="DX133" i="1" s="1"/>
  <c r="CQ133" i="1"/>
  <c r="DR133" i="1" s="1"/>
  <c r="CN133" i="1"/>
  <c r="CX133" i="1"/>
  <c r="DY133" i="1" s="1"/>
  <c r="I133" i="1"/>
  <c r="DF133" i="1"/>
  <c r="EG133" i="1" s="1"/>
  <c r="DH133" i="1"/>
  <c r="EI133" i="1" s="1"/>
  <c r="DG133" i="1"/>
  <c r="EH133" i="1" s="1"/>
  <c r="DE133" i="1"/>
  <c r="EF133" i="1" s="1"/>
  <c r="CO133" i="1"/>
  <c r="DP133" i="1" s="1"/>
  <c r="I101" i="1"/>
  <c r="DC101" i="1"/>
  <c r="ED101" i="1" s="1"/>
  <c r="CV101" i="1"/>
  <c r="DW101" i="1" s="1"/>
  <c r="CN101" i="1"/>
  <c r="CO101" i="1"/>
  <c r="DP101" i="1" s="1"/>
  <c r="CR101" i="1"/>
  <c r="DS101" i="1" s="1"/>
  <c r="CS101" i="1"/>
  <c r="DT101" i="1" s="1"/>
  <c r="CQ101" i="1"/>
  <c r="DR101" i="1" s="1"/>
  <c r="DG101" i="1"/>
  <c r="EH101" i="1" s="1"/>
  <c r="DA101" i="1"/>
  <c r="EB101" i="1" s="1"/>
  <c r="CT101" i="1"/>
  <c r="DU101" i="1" s="1"/>
  <c r="CW101" i="1"/>
  <c r="DX101" i="1" s="1"/>
  <c r="CX101" i="1"/>
  <c r="DY101" i="1" s="1"/>
  <c r="CZ101" i="1"/>
  <c r="EA101" i="1" s="1"/>
  <c r="CP101" i="1"/>
  <c r="DQ101" i="1" s="1"/>
  <c r="DI101" i="1"/>
  <c r="EJ101" i="1" s="1"/>
  <c r="DM101" i="1"/>
  <c r="EN101" i="1" s="1"/>
  <c r="CY101" i="1"/>
  <c r="DZ101" i="1" s="1"/>
  <c r="DL101" i="1"/>
  <c r="EM101" i="1" s="1"/>
  <c r="DJ101" i="1"/>
  <c r="EK101" i="1" s="1"/>
  <c r="CU101" i="1"/>
  <c r="DV101" i="1" s="1"/>
  <c r="DF101" i="1"/>
  <c r="EG101" i="1" s="1"/>
  <c r="DD101" i="1"/>
  <c r="EE101" i="1" s="1"/>
  <c r="DH101" i="1"/>
  <c r="EI101" i="1" s="1"/>
  <c r="DE101" i="1"/>
  <c r="EF101" i="1" s="1"/>
  <c r="DK101" i="1"/>
  <c r="EL101" i="1" s="1"/>
  <c r="DB101" i="1"/>
  <c r="EC101" i="1" s="1"/>
  <c r="CO82" i="1"/>
  <c r="DP82" i="1" s="1"/>
  <c r="DE82" i="1"/>
  <c r="EF82" i="1" s="1"/>
  <c r="CT82" i="1"/>
  <c r="DU82" i="1" s="1"/>
  <c r="CQ82" i="1"/>
  <c r="DR82" i="1" s="1"/>
  <c r="CR82" i="1"/>
  <c r="DS82" i="1" s="1"/>
  <c r="DB82" i="1"/>
  <c r="EC82" i="1" s="1"/>
  <c r="DK82" i="1"/>
  <c r="EL82" i="1" s="1"/>
  <c r="DA82" i="1"/>
  <c r="EB82" i="1" s="1"/>
  <c r="CY82" i="1"/>
  <c r="DZ82" i="1" s="1"/>
  <c r="DF82" i="1"/>
  <c r="EG82" i="1" s="1"/>
  <c r="CU82" i="1"/>
  <c r="DV82" i="1" s="1"/>
  <c r="CP82" i="1"/>
  <c r="DQ82" i="1" s="1"/>
  <c r="I82" i="1"/>
  <c r="DI82" i="1"/>
  <c r="EJ82" i="1" s="1"/>
  <c r="DD82" i="1"/>
  <c r="EE82" i="1" s="1"/>
  <c r="DL82" i="1"/>
  <c r="EM82" i="1" s="1"/>
  <c r="DH82" i="1"/>
  <c r="EI82" i="1" s="1"/>
  <c r="CW82" i="1"/>
  <c r="DX82" i="1" s="1"/>
  <c r="CX82" i="1"/>
  <c r="DY82" i="1" s="1"/>
  <c r="DC82" i="1"/>
  <c r="ED82" i="1" s="1"/>
  <c r="CN82" i="1"/>
  <c r="DG82" i="1"/>
  <c r="EH82" i="1" s="1"/>
  <c r="DM82" i="1"/>
  <c r="EN82" i="1" s="1"/>
  <c r="CZ82" i="1"/>
  <c r="EA82" i="1" s="1"/>
  <c r="CS82" i="1"/>
  <c r="DT82" i="1" s="1"/>
  <c r="CV82" i="1"/>
  <c r="DW82" i="1" s="1"/>
  <c r="DJ82" i="1"/>
  <c r="EK82" i="1" s="1"/>
  <c r="CQ187" i="1"/>
  <c r="DR187" i="1" s="1"/>
  <c r="DG187" i="1"/>
  <c r="EH187" i="1" s="1"/>
  <c r="CX187" i="1"/>
  <c r="DY187" i="1" s="1"/>
  <c r="CT187" i="1"/>
  <c r="DU187" i="1" s="1"/>
  <c r="CY187" i="1"/>
  <c r="DZ187" i="1" s="1"/>
  <c r="CS187" i="1"/>
  <c r="DT187" i="1" s="1"/>
  <c r="CZ187" i="1"/>
  <c r="EA187" i="1" s="1"/>
  <c r="DK187" i="1"/>
  <c r="EL187" i="1" s="1"/>
  <c r="CO187" i="1"/>
  <c r="DP187" i="1" s="1"/>
  <c r="I187" i="1"/>
  <c r="DD187" i="1"/>
  <c r="EE187" i="1" s="1"/>
  <c r="CU187" i="1"/>
  <c r="DV187" i="1" s="1"/>
  <c r="DI187" i="1"/>
  <c r="EJ187" i="1" s="1"/>
  <c r="DE187" i="1"/>
  <c r="EF187" i="1" s="1"/>
  <c r="DC187" i="1"/>
  <c r="ED187" i="1" s="1"/>
  <c r="DH187" i="1"/>
  <c r="EI187" i="1" s="1"/>
  <c r="CV187" i="1"/>
  <c r="DW187" i="1" s="1"/>
  <c r="CN187" i="1"/>
  <c r="CW187" i="1"/>
  <c r="DX187" i="1" s="1"/>
  <c r="DM187" i="1"/>
  <c r="EN187" i="1" s="1"/>
  <c r="DL187" i="1"/>
  <c r="EM187" i="1" s="1"/>
  <c r="DA187" i="1"/>
  <c r="EB187" i="1" s="1"/>
  <c r="CR187" i="1"/>
  <c r="DS187" i="1" s="1"/>
  <c r="CP187" i="1"/>
  <c r="DQ187" i="1" s="1"/>
  <c r="DJ187" i="1"/>
  <c r="EK187" i="1" s="1"/>
  <c r="DB187" i="1"/>
  <c r="EC187" i="1" s="1"/>
  <c r="DF187" i="1"/>
  <c r="EG187" i="1" s="1"/>
  <c r="DM171" i="1"/>
  <c r="EN171" i="1" s="1"/>
  <c r="I171" i="1"/>
  <c r="I155" i="1"/>
  <c r="DM155" i="1"/>
  <c r="EN155" i="1" s="1"/>
  <c r="I139" i="1"/>
  <c r="DC139" i="1"/>
  <c r="ED139" i="1" s="1"/>
  <c r="CT139" i="1"/>
  <c r="DU139" i="1" s="1"/>
  <c r="CU139" i="1"/>
  <c r="DV139" i="1" s="1"/>
  <c r="CO139" i="1"/>
  <c r="DP139" i="1" s="1"/>
  <c r="CN139" i="1"/>
  <c r="CP139" i="1"/>
  <c r="DQ139" i="1" s="1"/>
  <c r="CX139" i="1"/>
  <c r="DY139" i="1" s="1"/>
  <c r="CY139" i="1"/>
  <c r="DZ139" i="1" s="1"/>
  <c r="DE139" i="1"/>
  <c r="EF139" i="1" s="1"/>
  <c r="DI139" i="1"/>
  <c r="EJ139" i="1" s="1"/>
  <c r="DM139" i="1"/>
  <c r="EN139" i="1" s="1"/>
  <c r="CZ139" i="1"/>
  <c r="EA139" i="1" s="1"/>
  <c r="CW139" i="1"/>
  <c r="DX139" i="1" s="1"/>
  <c r="DA139" i="1"/>
  <c r="EB139" i="1" s="1"/>
  <c r="CQ139" i="1"/>
  <c r="DR139" i="1" s="1"/>
  <c r="DJ139" i="1"/>
  <c r="EK139" i="1" s="1"/>
  <c r="DD139" i="1"/>
  <c r="EE139" i="1" s="1"/>
  <c r="CV139" i="1"/>
  <c r="DW139" i="1" s="1"/>
  <c r="DL139" i="1"/>
  <c r="EM139" i="1" s="1"/>
  <c r="CR139" i="1"/>
  <c r="DS139" i="1" s="1"/>
  <c r="DG139" i="1"/>
  <c r="EH139" i="1" s="1"/>
  <c r="CS139" i="1"/>
  <c r="DT139" i="1" s="1"/>
  <c r="DB139" i="1"/>
  <c r="EC139" i="1" s="1"/>
  <c r="DH139" i="1"/>
  <c r="EI139" i="1" s="1"/>
  <c r="DK139" i="1"/>
  <c r="EL139" i="1" s="1"/>
  <c r="DF139" i="1"/>
  <c r="EG139" i="1" s="1"/>
  <c r="I123" i="1"/>
  <c r="DC123" i="1"/>
  <c r="ED123" i="1" s="1"/>
  <c r="CT123" i="1"/>
  <c r="DU123" i="1" s="1"/>
  <c r="CR123" i="1"/>
  <c r="DS123" i="1" s="1"/>
  <c r="CS123" i="1"/>
  <c r="DT123" i="1" s="1"/>
  <c r="DL123" i="1"/>
  <c r="EM123" i="1" s="1"/>
  <c r="DD123" i="1"/>
  <c r="EE123" i="1" s="1"/>
  <c r="CQ123" i="1"/>
  <c r="DR123" i="1" s="1"/>
  <c r="DK123" i="1"/>
  <c r="EL123" i="1" s="1"/>
  <c r="DJ123" i="1"/>
  <c r="EK123" i="1" s="1"/>
  <c r="DA123" i="1"/>
  <c r="EB123" i="1" s="1"/>
  <c r="DB123" i="1"/>
  <c r="EC123" i="1" s="1"/>
  <c r="CU123" i="1"/>
  <c r="DV123" i="1" s="1"/>
  <c r="CZ123" i="1"/>
  <c r="EA123" i="1" s="1"/>
  <c r="DM123" i="1"/>
  <c r="EN123" i="1" s="1"/>
  <c r="CP123" i="1"/>
  <c r="DQ123" i="1" s="1"/>
  <c r="CY123" i="1"/>
  <c r="DZ123" i="1" s="1"/>
  <c r="DE123" i="1"/>
  <c r="EF123" i="1" s="1"/>
  <c r="DH123" i="1"/>
  <c r="EI123" i="1" s="1"/>
  <c r="CV123" i="1"/>
  <c r="DW123" i="1" s="1"/>
  <c r="CX123" i="1"/>
  <c r="DY123" i="1" s="1"/>
  <c r="DI123" i="1"/>
  <c r="EJ123" i="1" s="1"/>
  <c r="DF123" i="1"/>
  <c r="EG123" i="1" s="1"/>
  <c r="CW123" i="1"/>
  <c r="DX123" i="1" s="1"/>
  <c r="CO123" i="1"/>
  <c r="DP123" i="1" s="1"/>
  <c r="CN123" i="1"/>
  <c r="DG123" i="1"/>
  <c r="EH123" i="1" s="1"/>
  <c r="CQ107" i="1"/>
  <c r="DR107" i="1" s="1"/>
  <c r="DG107" i="1"/>
  <c r="EH107" i="1" s="1"/>
  <c r="CZ107" i="1"/>
  <c r="EA107" i="1" s="1"/>
  <c r="CV107" i="1"/>
  <c r="DW107" i="1" s="1"/>
  <c r="CW107" i="1"/>
  <c r="DX107" i="1" s="1"/>
  <c r="CX107" i="1"/>
  <c r="DY107" i="1" s="1"/>
  <c r="DH107" i="1"/>
  <c r="EI107" i="1" s="1"/>
  <c r="DK107" i="1"/>
  <c r="EL107" i="1" s="1"/>
  <c r="CU107" i="1"/>
  <c r="DV107" i="1" s="1"/>
  <c r="CT107" i="1"/>
  <c r="DU107" i="1" s="1"/>
  <c r="DB107" i="1"/>
  <c r="EC107" i="1" s="1"/>
  <c r="DL107" i="1"/>
  <c r="EM107" i="1" s="1"/>
  <c r="DA107" i="1"/>
  <c r="EB107" i="1" s="1"/>
  <c r="CY107" i="1"/>
  <c r="DZ107" i="1" s="1"/>
  <c r="DE107" i="1"/>
  <c r="EF107" i="1" s="1"/>
  <c r="DI107" i="1"/>
  <c r="EJ107" i="1" s="1"/>
  <c r="CR107" i="1"/>
  <c r="DS107" i="1" s="1"/>
  <c r="CS107" i="1"/>
  <c r="DT107" i="1" s="1"/>
  <c r="DC107" i="1"/>
  <c r="ED107" i="1" s="1"/>
  <c r="CP107" i="1"/>
  <c r="DQ107" i="1" s="1"/>
  <c r="DD107" i="1"/>
  <c r="EE107" i="1" s="1"/>
  <c r="CO107" i="1"/>
  <c r="DP107" i="1" s="1"/>
  <c r="DF107" i="1"/>
  <c r="EG107" i="1" s="1"/>
  <c r="CN107" i="1"/>
  <c r="DM107" i="1"/>
  <c r="EN107" i="1" s="1"/>
  <c r="I107" i="1"/>
  <c r="DJ107" i="1"/>
  <c r="EK107" i="1" s="1"/>
  <c r="CQ32" i="1"/>
  <c r="CU32" i="1"/>
  <c r="CY32" i="1"/>
  <c r="DC32" i="1"/>
  <c r="DG32" i="1"/>
  <c r="DK32" i="1"/>
  <c r="CP32" i="1"/>
  <c r="DB32" i="1"/>
  <c r="CN32" i="1"/>
  <c r="CR32" i="1"/>
  <c r="CV32" i="1"/>
  <c r="CZ32" i="1"/>
  <c r="DD32" i="1"/>
  <c r="DH32" i="1"/>
  <c r="DL32" i="1"/>
  <c r="CO32" i="1"/>
  <c r="CS32" i="1"/>
  <c r="CW32" i="1"/>
  <c r="DA32" i="1"/>
  <c r="DE32" i="1"/>
  <c r="DI32" i="1"/>
  <c r="DM32" i="1"/>
  <c r="CT32" i="1"/>
  <c r="CX32" i="1"/>
  <c r="DF32" i="1"/>
  <c r="DJ32" i="1"/>
  <c r="DO133" i="1" l="1"/>
  <c r="DN133" i="1"/>
  <c r="DO73" i="1"/>
  <c r="DN73" i="1"/>
  <c r="DO111" i="1"/>
  <c r="DN111" i="1"/>
  <c r="DO86" i="1"/>
  <c r="DN86" i="1"/>
  <c r="DO109" i="1"/>
  <c r="DN109" i="1"/>
  <c r="DO141" i="1"/>
  <c r="DN141" i="1"/>
  <c r="DO88" i="1"/>
  <c r="DN88" i="1"/>
  <c r="DN71" i="1"/>
  <c r="DO92" i="1"/>
  <c r="DN92" i="1"/>
  <c r="DO85" i="1"/>
  <c r="DN85" i="1"/>
  <c r="DO115" i="1"/>
  <c r="DN115" i="1"/>
  <c r="DO140" i="1"/>
  <c r="DN140" i="1"/>
  <c r="DO93" i="1"/>
  <c r="DN93" i="1"/>
  <c r="DO119" i="1"/>
  <c r="DN119" i="1"/>
  <c r="DO110" i="1"/>
  <c r="DN110" i="1"/>
  <c r="DO128" i="1"/>
  <c r="DN128" i="1"/>
  <c r="DO106" i="1"/>
  <c r="DN106" i="1"/>
  <c r="DO187" i="1"/>
  <c r="DN187" i="1"/>
  <c r="DO82" i="1"/>
  <c r="DN82" i="1"/>
  <c r="DO101" i="1"/>
  <c r="DN101" i="1"/>
  <c r="DO76" i="1"/>
  <c r="DN76" i="1"/>
  <c r="DO77" i="1"/>
  <c r="DN77" i="1"/>
  <c r="DO143" i="1"/>
  <c r="DN143" i="1"/>
  <c r="DO136" i="1"/>
  <c r="DN136" i="1"/>
  <c r="DO122" i="1"/>
  <c r="DN122" i="1"/>
  <c r="DO131" i="1"/>
  <c r="DN131" i="1"/>
  <c r="DO188" i="1"/>
  <c r="DN188" i="1"/>
  <c r="DO72" i="1"/>
  <c r="DN72" i="1"/>
  <c r="DO78" i="1"/>
  <c r="DN78" i="1"/>
  <c r="DO94" i="1"/>
  <c r="DN94" i="1"/>
  <c r="DO134" i="1"/>
  <c r="DN134" i="1"/>
  <c r="DO96" i="1"/>
  <c r="DN96" i="1"/>
  <c r="DO144" i="1"/>
  <c r="DN144" i="1"/>
  <c r="DN191" i="1"/>
  <c r="DO80" i="1"/>
  <c r="DN80" i="1"/>
  <c r="DN186" i="1"/>
  <c r="DN32" i="1"/>
  <c r="DO107" i="1"/>
  <c r="DN107" i="1"/>
  <c r="DO139" i="1"/>
  <c r="DN139" i="1"/>
  <c r="DO118" i="1"/>
  <c r="DN118" i="1"/>
  <c r="DO138" i="1"/>
  <c r="DN138" i="1"/>
  <c r="DO132" i="1"/>
  <c r="DN132" i="1"/>
  <c r="DO91" i="1"/>
  <c r="DN91" i="1"/>
  <c r="DO95" i="1"/>
  <c r="DN95" i="1"/>
  <c r="DO81" i="1"/>
  <c r="DN81" i="1"/>
  <c r="DO121" i="1"/>
  <c r="DN121" i="1"/>
  <c r="DO90" i="1"/>
  <c r="DN90" i="1"/>
  <c r="DO98" i="1"/>
  <c r="DN98" i="1"/>
  <c r="DO83" i="1"/>
  <c r="DN83" i="1"/>
  <c r="DO129" i="1"/>
  <c r="DN129" i="1"/>
  <c r="DO102" i="1"/>
  <c r="DN102" i="1"/>
  <c r="DO189" i="1"/>
  <c r="DN189" i="1"/>
  <c r="DO137" i="1"/>
  <c r="DN137" i="1"/>
  <c r="DO123" i="1"/>
  <c r="DN123" i="1"/>
  <c r="DO100" i="1"/>
  <c r="DN100" i="1"/>
  <c r="DO116" i="1"/>
  <c r="DN116" i="1"/>
  <c r="DO75" i="1"/>
  <c r="DN75" i="1"/>
  <c r="DO113" i="1"/>
  <c r="DN113" i="1"/>
  <c r="DO84" i="1"/>
  <c r="DN84" i="1"/>
  <c r="DO114" i="1"/>
  <c r="DN114" i="1"/>
  <c r="DO127" i="1"/>
  <c r="DN127" i="1"/>
  <c r="DO126" i="1"/>
  <c r="DN126" i="1"/>
  <c r="DO142" i="1"/>
  <c r="DN142" i="1"/>
  <c r="DO104" i="1"/>
  <c r="DN104" i="1"/>
  <c r="DO99" i="1"/>
  <c r="DN99" i="1"/>
  <c r="DO117" i="1"/>
  <c r="DN117" i="1"/>
  <c r="DO130" i="1"/>
  <c r="DN130" i="1"/>
  <c r="DO89" i="1"/>
  <c r="DN89" i="1"/>
  <c r="DO124" i="1"/>
  <c r="DN124" i="1"/>
  <c r="DO97" i="1"/>
  <c r="DN97" i="1"/>
  <c r="DO103" i="1"/>
  <c r="DN103" i="1"/>
  <c r="DO135" i="1"/>
  <c r="DN135" i="1"/>
  <c r="DO190" i="1"/>
  <c r="DN190" i="1"/>
  <c r="CT6" i="1"/>
  <c r="DU32" i="1"/>
  <c r="EB32" i="1"/>
  <c r="DA6" i="1"/>
  <c r="DL6" i="1"/>
  <c r="EM32" i="1"/>
  <c r="CV6" i="1"/>
  <c r="DW32" i="1"/>
  <c r="DQ32" i="1"/>
  <c r="CP6" i="1"/>
  <c r="DZ32" i="1"/>
  <c r="CY6" i="1"/>
  <c r="DT71" i="1"/>
  <c r="DX71" i="1"/>
  <c r="EB71" i="1"/>
  <c r="EI71" i="1"/>
  <c r="DZ71" i="1"/>
  <c r="ED71" i="1"/>
  <c r="EA71" i="1"/>
  <c r="DO156" i="1"/>
  <c r="DX191" i="1"/>
  <c r="DY191" i="1"/>
  <c r="DW191" i="1"/>
  <c r="EC191" i="1"/>
  <c r="EI191" i="1"/>
  <c r="DV191" i="1"/>
  <c r="EI186" i="1"/>
  <c r="DW186" i="1"/>
  <c r="EH186" i="1"/>
  <c r="DU186" i="1"/>
  <c r="DX186" i="1"/>
  <c r="DT186" i="1"/>
  <c r="DJ6" i="1"/>
  <c r="EK32" i="1"/>
  <c r="EN32" i="1"/>
  <c r="DM6" i="1"/>
  <c r="CW6" i="1"/>
  <c r="DX32" i="1"/>
  <c r="DH6" i="1"/>
  <c r="EI32" i="1"/>
  <c r="CR6" i="1"/>
  <c r="DS32" i="1"/>
  <c r="EL32" i="1"/>
  <c r="DK6" i="1"/>
  <c r="CU6" i="1"/>
  <c r="DV32" i="1"/>
  <c r="EN145" i="1"/>
  <c r="EF71" i="1"/>
  <c r="EJ71" i="1"/>
  <c r="EE71" i="1"/>
  <c r="DO71" i="1"/>
  <c r="DV71" i="1"/>
  <c r="DR71" i="1"/>
  <c r="EN191" i="1"/>
  <c r="DT191" i="1"/>
  <c r="EF191" i="1"/>
  <c r="EJ191" i="1"/>
  <c r="EM191" i="1"/>
  <c r="EL191" i="1"/>
  <c r="DQ191" i="1"/>
  <c r="DP186" i="1"/>
  <c r="DO186" i="1"/>
  <c r="EL186" i="1"/>
  <c r="EE186" i="1"/>
  <c r="DS186" i="1"/>
  <c r="DZ186" i="1"/>
  <c r="EM186" i="1"/>
  <c r="DF6" i="1"/>
  <c r="EG32" i="1"/>
  <c r="DI6" i="1"/>
  <c r="EJ32" i="1"/>
  <c r="CS6" i="1"/>
  <c r="DT32" i="1"/>
  <c r="EE32" i="1"/>
  <c r="DD6" i="1"/>
  <c r="CN6" i="1"/>
  <c r="DO32" i="1"/>
  <c r="EH32" i="1"/>
  <c r="DG6" i="1"/>
  <c r="CQ6" i="1"/>
  <c r="DR32" i="1"/>
  <c r="EN177" i="1"/>
  <c r="EK71" i="1"/>
  <c r="EN71" i="1"/>
  <c r="EC71" i="1"/>
  <c r="DY71" i="1"/>
  <c r="DW71" i="1"/>
  <c r="EL71" i="1"/>
  <c r="EN156" i="1"/>
  <c r="ED191" i="1"/>
  <c r="DZ191" i="1"/>
  <c r="DP191" i="1"/>
  <c r="EE191" i="1"/>
  <c r="DR191" i="1"/>
  <c r="EA191" i="1"/>
  <c r="EG186" i="1"/>
  <c r="DV186" i="1"/>
  <c r="EK186" i="1"/>
  <c r="EF186" i="1"/>
  <c r="ED186" i="1"/>
  <c r="EC186" i="1"/>
  <c r="CX6" i="1"/>
  <c r="DY32" i="1"/>
  <c r="DE6" i="1"/>
  <c r="EF32" i="1"/>
  <c r="DP32" i="1"/>
  <c r="CO6" i="1"/>
  <c r="CZ6" i="1"/>
  <c r="EA32" i="1"/>
  <c r="DB6" i="1"/>
  <c r="EC32" i="1"/>
  <c r="DC6" i="1"/>
  <c r="ED32" i="1"/>
  <c r="EN174" i="1"/>
  <c r="DS71" i="1"/>
  <c r="EM71" i="1"/>
  <c r="EH71" i="1"/>
  <c r="EG71" i="1"/>
  <c r="DU71" i="1"/>
  <c r="DP71" i="1"/>
  <c r="DQ71" i="1"/>
  <c r="EH191" i="1"/>
  <c r="DO191" i="1"/>
  <c r="DS191" i="1"/>
  <c r="EG191" i="1"/>
  <c r="EK191" i="1"/>
  <c r="EB191" i="1"/>
  <c r="DU191" i="1"/>
  <c r="DQ186" i="1"/>
  <c r="EB186" i="1"/>
  <c r="DY186" i="1"/>
  <c r="EA186" i="1"/>
  <c r="EN186" i="1"/>
  <c r="EJ186" i="1"/>
  <c r="DR186" i="1"/>
  <c r="ED6" i="1" l="1"/>
  <c r="EC6" i="1"/>
  <c r="EA6" i="1"/>
  <c r="EF6" i="1"/>
  <c r="DY6" i="1"/>
  <c r="DR6" i="1"/>
  <c r="DO6" i="1"/>
  <c r="DT6" i="1"/>
  <c r="EJ6" i="1"/>
  <c r="EG6" i="1"/>
  <c r="DN14" i="1"/>
  <c r="DP6" i="1"/>
  <c r="EH6" i="1"/>
  <c r="EE6" i="1"/>
  <c r="EO14" i="1"/>
  <c r="DN6" i="1"/>
  <c r="DV6" i="1"/>
  <c r="DS6" i="1"/>
  <c r="EI6" i="1"/>
  <c r="DX6" i="1"/>
  <c r="EK6" i="1"/>
  <c r="DW6" i="1"/>
  <c r="EM6" i="1"/>
  <c r="DU6" i="1"/>
  <c r="EL6" i="1"/>
  <c r="EN6" i="1"/>
  <c r="DZ6" i="1"/>
  <c r="DQ6" i="1"/>
  <c r="EB6" i="1"/>
  <c r="EO6" i="1" l="1"/>
  <c r="CT74" i="1" l="1"/>
  <c r="DJ74" i="1"/>
  <c r="DH74" i="1"/>
  <c r="DG74" i="1"/>
  <c r="CQ74" i="1"/>
  <c r="DD74" i="1"/>
  <c r="DE74" i="1"/>
  <c r="DB74" i="1"/>
  <c r="DC74" i="1"/>
  <c r="CO74" i="1"/>
  <c r="DK74" i="1"/>
  <c r="CV74" i="1"/>
  <c r="I74" i="1"/>
  <c r="DF74" i="1"/>
  <c r="DM74" i="1"/>
  <c r="CY74" i="1"/>
  <c r="CU74" i="1"/>
  <c r="CW74" i="1"/>
  <c r="DA74" i="1"/>
  <c r="CX74" i="1"/>
  <c r="CZ74" i="1"/>
  <c r="CN74" i="1"/>
  <c r="CP74" i="1"/>
  <c r="CS74" i="1"/>
  <c r="DL74" i="1"/>
  <c r="DI74" i="1"/>
  <c r="CR74" i="1"/>
  <c r="DN74" i="1" l="1"/>
  <c r="DT74" i="1"/>
  <c r="DY74" i="1"/>
  <c r="DZ74" i="1"/>
  <c r="DW74" i="1"/>
  <c r="EC74" i="1"/>
  <c r="EH74" i="1"/>
  <c r="CO120" i="1"/>
  <c r="DP120" i="1" s="1"/>
  <c r="DE120" i="1"/>
  <c r="EF120" i="1" s="1"/>
  <c r="CX120" i="1"/>
  <c r="DY120" i="1" s="1"/>
  <c r="CY120" i="1"/>
  <c r="DZ120" i="1" s="1"/>
  <c r="CZ120" i="1"/>
  <c r="EA120" i="1" s="1"/>
  <c r="CU120" i="1"/>
  <c r="DV120" i="1" s="1"/>
  <c r="CN120" i="1"/>
  <c r="CW120" i="1"/>
  <c r="DX120" i="1" s="1"/>
  <c r="DH120" i="1"/>
  <c r="EI120" i="1" s="1"/>
  <c r="CP120" i="1"/>
  <c r="DQ120" i="1" s="1"/>
  <c r="CS120" i="1"/>
  <c r="DT120" i="1" s="1"/>
  <c r="DI120" i="1"/>
  <c r="EJ120" i="1" s="1"/>
  <c r="DC120" i="1"/>
  <c r="ED120" i="1" s="1"/>
  <c r="DF120" i="1"/>
  <c r="EG120" i="1" s="1"/>
  <c r="DG120" i="1"/>
  <c r="EH120" i="1" s="1"/>
  <c r="DJ120" i="1"/>
  <c r="EK120" i="1" s="1"/>
  <c r="DB120" i="1"/>
  <c r="EC120" i="1" s="1"/>
  <c r="DM120" i="1"/>
  <c r="EN120" i="1" s="1"/>
  <c r="DL120" i="1"/>
  <c r="EM120" i="1" s="1"/>
  <c r="CV120" i="1"/>
  <c r="DW120" i="1" s="1"/>
  <c r="CQ120" i="1"/>
  <c r="DR120" i="1" s="1"/>
  <c r="DD120" i="1"/>
  <c r="EE120" i="1" s="1"/>
  <c r="DK120" i="1"/>
  <c r="EL120" i="1" s="1"/>
  <c r="I120" i="1"/>
  <c r="CT120" i="1"/>
  <c r="DU120" i="1" s="1"/>
  <c r="DA120" i="1"/>
  <c r="EB120" i="1" s="1"/>
  <c r="CR120" i="1"/>
  <c r="DS120" i="1" s="1"/>
  <c r="CY105" i="1"/>
  <c r="DZ105" i="1" s="1"/>
  <c r="CN105" i="1"/>
  <c r="DI105" i="1"/>
  <c r="EJ105" i="1" s="1"/>
  <c r="DL105" i="1"/>
  <c r="EM105" i="1" s="1"/>
  <c r="DM105" i="1"/>
  <c r="EN105" i="1" s="1"/>
  <c r="CV105" i="1"/>
  <c r="DW105" i="1" s="1"/>
  <c r="I105" i="1"/>
  <c r="DC105" i="1"/>
  <c r="ED105" i="1" s="1"/>
  <c r="CS105" i="1"/>
  <c r="DT105" i="1" s="1"/>
  <c r="CP105" i="1"/>
  <c r="DQ105" i="1" s="1"/>
  <c r="CR105" i="1"/>
  <c r="DS105" i="1" s="1"/>
  <c r="CT105" i="1"/>
  <c r="DU105" i="1" s="1"/>
  <c r="DB105" i="1"/>
  <c r="EC105" i="1" s="1"/>
  <c r="CU105" i="1"/>
  <c r="DV105" i="1" s="1"/>
  <c r="DD105" i="1"/>
  <c r="EE105" i="1" s="1"/>
  <c r="DF105" i="1"/>
  <c r="EG105" i="1" s="1"/>
  <c r="CO105" i="1"/>
  <c r="DP105" i="1" s="1"/>
  <c r="DK105" i="1"/>
  <c r="EL105" i="1" s="1"/>
  <c r="DE105" i="1"/>
  <c r="EF105" i="1" s="1"/>
  <c r="DH105" i="1"/>
  <c r="EI105" i="1" s="1"/>
  <c r="DG105" i="1"/>
  <c r="EH105" i="1" s="1"/>
  <c r="CW105" i="1"/>
  <c r="DX105" i="1" s="1"/>
  <c r="DA105" i="1"/>
  <c r="EB105" i="1" s="1"/>
  <c r="CZ105" i="1"/>
  <c r="EA105" i="1" s="1"/>
  <c r="CQ105" i="1"/>
  <c r="DR105" i="1" s="1"/>
  <c r="CX105" i="1"/>
  <c r="DY105" i="1" s="1"/>
  <c r="DJ105" i="1"/>
  <c r="EK105" i="1" s="1"/>
  <c r="CU125" i="1"/>
  <c r="DV125" i="1" s="1"/>
  <c r="DK125" i="1"/>
  <c r="EL125" i="1" s="1"/>
  <c r="DF125" i="1"/>
  <c r="EG125" i="1" s="1"/>
  <c r="DD125" i="1"/>
  <c r="EE125" i="1" s="1"/>
  <c r="DE125" i="1"/>
  <c r="EF125" i="1" s="1"/>
  <c r="CS125" i="1"/>
  <c r="DT125" i="1" s="1"/>
  <c r="CZ125" i="1"/>
  <c r="EA125" i="1" s="1"/>
  <c r="CY125" i="1"/>
  <c r="DZ125" i="1" s="1"/>
  <c r="CP125" i="1"/>
  <c r="DQ125" i="1" s="1"/>
  <c r="DL125" i="1"/>
  <c r="EM125" i="1" s="1"/>
  <c r="DJ125" i="1"/>
  <c r="EK125" i="1" s="1"/>
  <c r="DM125" i="1"/>
  <c r="EN125" i="1" s="1"/>
  <c r="DH125" i="1"/>
  <c r="EI125" i="1" s="1"/>
  <c r="CQ125" i="1"/>
  <c r="DR125" i="1" s="1"/>
  <c r="DA125" i="1"/>
  <c r="EB125" i="1" s="1"/>
  <c r="CX125" i="1"/>
  <c r="DY125" i="1" s="1"/>
  <c r="DI125" i="1"/>
  <c r="EJ125" i="1" s="1"/>
  <c r="DG125" i="1"/>
  <c r="EH125" i="1" s="1"/>
  <c r="DB125" i="1"/>
  <c r="EC125" i="1" s="1"/>
  <c r="DC125" i="1"/>
  <c r="ED125" i="1" s="1"/>
  <c r="CO125" i="1"/>
  <c r="DP125" i="1" s="1"/>
  <c r="CN125" i="1"/>
  <c r="CW125" i="1"/>
  <c r="DX125" i="1" s="1"/>
  <c r="CT125" i="1"/>
  <c r="DU125" i="1" s="1"/>
  <c r="CV125" i="1"/>
  <c r="DW125" i="1" s="1"/>
  <c r="I125" i="1"/>
  <c r="CR125" i="1"/>
  <c r="DS125" i="1" s="1"/>
  <c r="I108" i="1"/>
  <c r="DA108" i="1"/>
  <c r="EB108" i="1" s="1"/>
  <c r="CP108" i="1"/>
  <c r="DQ108" i="1" s="1"/>
  <c r="DK108" i="1"/>
  <c r="EL108" i="1" s="1"/>
  <c r="DL108" i="1"/>
  <c r="EM108" i="1" s="1"/>
  <c r="CT108" i="1"/>
  <c r="DU108" i="1" s="1"/>
  <c r="DJ108" i="1"/>
  <c r="EK108" i="1" s="1"/>
  <c r="DI108" i="1"/>
  <c r="EJ108" i="1" s="1"/>
  <c r="CX108" i="1"/>
  <c r="DY108" i="1" s="1"/>
  <c r="CY108" i="1"/>
  <c r="DZ108" i="1" s="1"/>
  <c r="CV108" i="1"/>
  <c r="DW108" i="1" s="1"/>
  <c r="CO108" i="1"/>
  <c r="DP108" i="1" s="1"/>
  <c r="DE108" i="1"/>
  <c r="EF108" i="1" s="1"/>
  <c r="CU108" i="1"/>
  <c r="DV108" i="1" s="1"/>
  <c r="CQ108" i="1"/>
  <c r="DR108" i="1" s="1"/>
  <c r="CR108" i="1"/>
  <c r="DS108" i="1" s="1"/>
  <c r="DB108" i="1"/>
  <c r="EC108" i="1" s="1"/>
  <c r="CN108" i="1"/>
  <c r="CS108" i="1"/>
  <c r="DT108" i="1" s="1"/>
  <c r="CZ108" i="1"/>
  <c r="EA108" i="1" s="1"/>
  <c r="DH108" i="1"/>
  <c r="EI108" i="1" s="1"/>
  <c r="DF108" i="1"/>
  <c r="EG108" i="1" s="1"/>
  <c r="DD108" i="1"/>
  <c r="EE108" i="1" s="1"/>
  <c r="CW108" i="1"/>
  <c r="DX108" i="1" s="1"/>
  <c r="DM108" i="1"/>
  <c r="EN108" i="1" s="1"/>
  <c r="DG108" i="1"/>
  <c r="EH108" i="1" s="1"/>
  <c r="DC108" i="1"/>
  <c r="ED108" i="1" s="1"/>
  <c r="CW112" i="1"/>
  <c r="DX112" i="1" s="1"/>
  <c r="DM112" i="1"/>
  <c r="EN112" i="1" s="1"/>
  <c r="DH112" i="1"/>
  <c r="EI112" i="1" s="1"/>
  <c r="CN112" i="1"/>
  <c r="CY112" i="1"/>
  <c r="DZ112" i="1" s="1"/>
  <c r="CQ112" i="1"/>
  <c r="DR112" i="1" s="1"/>
  <c r="CO112" i="1"/>
  <c r="DP112" i="1" s="1"/>
  <c r="CX112" i="1"/>
  <c r="DY112" i="1" s="1"/>
  <c r="DB112" i="1"/>
  <c r="EC112" i="1" s="1"/>
  <c r="CV112" i="1"/>
  <c r="DW112" i="1" s="1"/>
  <c r="I112" i="1"/>
  <c r="DA112" i="1"/>
  <c r="EB112" i="1" s="1"/>
  <c r="CR112" i="1"/>
  <c r="DS112" i="1" s="1"/>
  <c r="CT112" i="1"/>
  <c r="DU112" i="1" s="1"/>
  <c r="CU112" i="1"/>
  <c r="DV112" i="1" s="1"/>
  <c r="DL112" i="1"/>
  <c r="EM112" i="1" s="1"/>
  <c r="DF112" i="1"/>
  <c r="EG112" i="1" s="1"/>
  <c r="DE112" i="1"/>
  <c r="EF112" i="1" s="1"/>
  <c r="CZ112" i="1"/>
  <c r="EA112" i="1" s="1"/>
  <c r="CP112" i="1"/>
  <c r="DQ112" i="1" s="1"/>
  <c r="DI112" i="1"/>
  <c r="EJ112" i="1" s="1"/>
  <c r="DD112" i="1"/>
  <c r="EE112" i="1" s="1"/>
  <c r="DG112" i="1"/>
  <c r="EH112" i="1" s="1"/>
  <c r="CS112" i="1"/>
  <c r="DT112" i="1" s="1"/>
  <c r="DC112" i="1"/>
  <c r="ED112" i="1" s="1"/>
  <c r="DK112" i="1"/>
  <c r="EL112" i="1" s="1"/>
  <c r="DJ112" i="1"/>
  <c r="EK112" i="1" s="1"/>
  <c r="DS74" i="1"/>
  <c r="DQ74" i="1"/>
  <c r="EB74" i="1"/>
  <c r="EN74" i="1"/>
  <c r="EL74" i="1"/>
  <c r="EF74" i="1"/>
  <c r="EI74" i="1"/>
  <c r="EJ74" i="1"/>
  <c r="DO74" i="1"/>
  <c r="DX74" i="1"/>
  <c r="EG74" i="1"/>
  <c r="DP74" i="1"/>
  <c r="EE74" i="1"/>
  <c r="EK74" i="1"/>
  <c r="EM74" i="1"/>
  <c r="EA74" i="1"/>
  <c r="DV74" i="1"/>
  <c r="ED74" i="1"/>
  <c r="DR74" i="1"/>
  <c r="DU74" i="1"/>
  <c r="DO105" i="1" l="1"/>
  <c r="DN105" i="1"/>
  <c r="DO112" i="1"/>
  <c r="DN112" i="1"/>
  <c r="DO125" i="1"/>
  <c r="DN125" i="1"/>
  <c r="DO108" i="1"/>
  <c r="DN108" i="1"/>
  <c r="DO120" i="1"/>
  <c r="DN120" i="1"/>
  <c r="I79" i="1"/>
  <c r="CU79" i="1"/>
  <c r="DK79" i="1"/>
  <c r="DH79" i="1"/>
  <c r="DE79" i="1"/>
  <c r="DF79" i="1"/>
  <c r="DI79" i="1"/>
  <c r="DJ79" i="1"/>
  <c r="CW79" i="1"/>
  <c r="CP79" i="1"/>
  <c r="CT79" i="1"/>
  <c r="CY79" i="1"/>
  <c r="CR79" i="1"/>
  <c r="DM79" i="1"/>
  <c r="DL79" i="1"/>
  <c r="CN79" i="1"/>
  <c r="CO79" i="1"/>
  <c r="DC79" i="1"/>
  <c r="CS79" i="1"/>
  <c r="CV79" i="1"/>
  <c r="DG79" i="1"/>
  <c r="DA79" i="1"/>
  <c r="CZ79" i="1"/>
  <c r="DB79" i="1"/>
  <c r="DD79" i="1"/>
  <c r="CX79" i="1"/>
  <c r="CQ79" i="1"/>
  <c r="CU87" i="1"/>
  <c r="DV87" i="1" s="1"/>
  <c r="DK87" i="1"/>
  <c r="EL87" i="1" s="1"/>
  <c r="DH87" i="1"/>
  <c r="EI87" i="1" s="1"/>
  <c r="DD87" i="1"/>
  <c r="EE87" i="1" s="1"/>
  <c r="DE87" i="1"/>
  <c r="EF87" i="1" s="1"/>
  <c r="DF87" i="1"/>
  <c r="EG87" i="1" s="1"/>
  <c r="DA87" i="1"/>
  <c r="EB87" i="1" s="1"/>
  <c r="CY87" i="1"/>
  <c r="DZ87" i="1" s="1"/>
  <c r="CW87" i="1"/>
  <c r="DX87" i="1" s="1"/>
  <c r="CV87" i="1"/>
  <c r="DW87" i="1" s="1"/>
  <c r="DL87" i="1"/>
  <c r="EM87" i="1" s="1"/>
  <c r="CN87" i="1"/>
  <c r="I87" i="1"/>
  <c r="DG87" i="1"/>
  <c r="EH87" i="1" s="1"/>
  <c r="CP87" i="1"/>
  <c r="DQ87" i="1" s="1"/>
  <c r="CZ87" i="1"/>
  <c r="EA87" i="1" s="1"/>
  <c r="DC87" i="1"/>
  <c r="ED87" i="1" s="1"/>
  <c r="DB87" i="1"/>
  <c r="EC87" i="1" s="1"/>
  <c r="DJ87" i="1"/>
  <c r="EK87" i="1" s="1"/>
  <c r="CS87" i="1"/>
  <c r="DT87" i="1" s="1"/>
  <c r="CT87" i="1"/>
  <c r="DU87" i="1" s="1"/>
  <c r="DM87" i="1"/>
  <c r="EN87" i="1" s="1"/>
  <c r="CX87" i="1"/>
  <c r="DY87" i="1" s="1"/>
  <c r="CR87" i="1"/>
  <c r="DS87" i="1" s="1"/>
  <c r="CQ87" i="1"/>
  <c r="DR87" i="1" s="1"/>
  <c r="DI87" i="1"/>
  <c r="EJ87" i="1" s="1"/>
  <c r="CO87" i="1"/>
  <c r="DP87" i="1" s="1"/>
  <c r="DN79" i="1" l="1"/>
  <c r="DO87" i="1"/>
  <c r="DN87" i="1"/>
  <c r="DY79" i="1"/>
  <c r="EB79" i="1"/>
  <c r="ED79" i="1"/>
  <c r="EN79" i="1"/>
  <c r="DM5" i="1"/>
  <c r="DM3" i="1"/>
  <c r="DQ79" i="1"/>
  <c r="EG79" i="1"/>
  <c r="DV79" i="1"/>
  <c r="EE79" i="1"/>
  <c r="EH79" i="1"/>
  <c r="DP79" i="1"/>
  <c r="DS79" i="1"/>
  <c r="DX79" i="1"/>
  <c r="EF79" i="1"/>
  <c r="EC79" i="1"/>
  <c r="DW79" i="1"/>
  <c r="DO79" i="1"/>
  <c r="DZ79" i="1"/>
  <c r="EK79" i="1"/>
  <c r="EI79" i="1"/>
  <c r="DR79" i="1"/>
  <c r="EA79" i="1"/>
  <c r="DT79" i="1"/>
  <c r="EM79" i="1"/>
  <c r="DU79" i="1"/>
  <c r="EJ79" i="1"/>
  <c r="EL79" i="1"/>
  <c r="DM8" i="1" l="1"/>
  <c r="DN9" i="1"/>
  <c r="EN3" i="1"/>
  <c r="EN5" i="1"/>
  <c r="EO9" i="1" l="1"/>
  <c r="EN8" i="1"/>
  <c r="BM176" i="1" l="1"/>
  <c r="CN176" i="1"/>
  <c r="BM145" i="1"/>
  <c r="CN145" i="1"/>
  <c r="BM174" i="1"/>
  <c r="CN174" i="1"/>
  <c r="DO176" i="1" l="1"/>
  <c r="DO145" i="1"/>
  <c r="DO174" i="1"/>
  <c r="BN177" i="1" l="1"/>
  <c r="CO177" i="1"/>
  <c r="BR177" i="1"/>
  <c r="CS177" i="1"/>
  <c r="BV177" i="1"/>
  <c r="CW177" i="1"/>
  <c r="BZ177" i="1"/>
  <c r="DA177" i="1"/>
  <c r="CD177" i="1"/>
  <c r="DE177" i="1"/>
  <c r="CH177" i="1"/>
  <c r="DI177" i="1"/>
  <c r="BM178" i="1"/>
  <c r="AJ178" i="1"/>
  <c r="CN178" i="1"/>
  <c r="BQ178" i="1"/>
  <c r="CR178" i="1"/>
  <c r="BU178" i="1"/>
  <c r="CV178" i="1"/>
  <c r="BY178" i="1"/>
  <c r="CZ178" i="1"/>
  <c r="CC178" i="1"/>
  <c r="DD178" i="1"/>
  <c r="CG178" i="1"/>
  <c r="DH178" i="1"/>
  <c r="CK178" i="1"/>
  <c r="DL178" i="1"/>
  <c r="BP179" i="1"/>
  <c r="CQ179" i="1"/>
  <c r="BT179" i="1"/>
  <c r="CU179" i="1"/>
  <c r="BX179" i="1"/>
  <c r="CY179" i="1"/>
  <c r="CB179" i="1"/>
  <c r="DC179" i="1"/>
  <c r="CF179" i="1"/>
  <c r="DG179" i="1"/>
  <c r="CJ179" i="1"/>
  <c r="DK179" i="1"/>
  <c r="BO180" i="1"/>
  <c r="CP180" i="1"/>
  <c r="BS180" i="1"/>
  <c r="CT180" i="1"/>
  <c r="BW180" i="1"/>
  <c r="CX180" i="1"/>
  <c r="CA180" i="1"/>
  <c r="DB180" i="1"/>
  <c r="CE180" i="1"/>
  <c r="DF180" i="1"/>
  <c r="CI180" i="1"/>
  <c r="DJ180" i="1"/>
  <c r="BN181" i="1"/>
  <c r="CO181" i="1"/>
  <c r="BR181" i="1"/>
  <c r="CS181" i="1"/>
  <c r="BV181" i="1"/>
  <c r="CW181" i="1"/>
  <c r="BZ181" i="1"/>
  <c r="DA181" i="1"/>
  <c r="CD181" i="1"/>
  <c r="DE181" i="1"/>
  <c r="CH181" i="1"/>
  <c r="DI181" i="1"/>
  <c r="BM182" i="1"/>
  <c r="AJ182" i="1"/>
  <c r="CN182" i="1"/>
  <c r="BQ182" i="1"/>
  <c r="CR182" i="1"/>
  <c r="BU182" i="1"/>
  <c r="CV182" i="1"/>
  <c r="BY182" i="1"/>
  <c r="CZ182" i="1"/>
  <c r="CC182" i="1"/>
  <c r="DD182" i="1"/>
  <c r="CG182" i="1"/>
  <c r="DH182" i="1"/>
  <c r="CK182" i="1"/>
  <c r="DL182" i="1"/>
  <c r="BP183" i="1"/>
  <c r="CQ183" i="1"/>
  <c r="BT183" i="1"/>
  <c r="CU183" i="1"/>
  <c r="BX183" i="1"/>
  <c r="CY183" i="1"/>
  <c r="CB183" i="1"/>
  <c r="DC183" i="1"/>
  <c r="CF183" i="1"/>
  <c r="DG183" i="1"/>
  <c r="CJ183" i="1"/>
  <c r="DK183" i="1"/>
  <c r="BO184" i="1"/>
  <c r="CP184" i="1"/>
  <c r="BS184" i="1"/>
  <c r="CT184" i="1"/>
  <c r="BW184" i="1"/>
  <c r="CX184" i="1"/>
  <c r="CA184" i="1"/>
  <c r="DB184" i="1"/>
  <c r="CE184" i="1"/>
  <c r="DF184" i="1"/>
  <c r="CI184" i="1"/>
  <c r="DJ184" i="1"/>
  <c r="BN185" i="1"/>
  <c r="CO185" i="1"/>
  <c r="BR185" i="1"/>
  <c r="CS185" i="1"/>
  <c r="BV185" i="1"/>
  <c r="CW185" i="1"/>
  <c r="BZ185" i="1"/>
  <c r="DA185" i="1"/>
  <c r="CD185" i="1"/>
  <c r="DE185" i="1"/>
  <c r="CH185" i="1"/>
  <c r="DI185" i="1"/>
  <c r="BO177" i="1"/>
  <c r="CP177" i="1"/>
  <c r="BS177" i="1"/>
  <c r="CT177" i="1"/>
  <c r="BW177" i="1"/>
  <c r="CX177" i="1"/>
  <c r="CA177" i="1"/>
  <c r="DB177" i="1"/>
  <c r="CE177" i="1"/>
  <c r="DF177" i="1"/>
  <c r="CI177" i="1"/>
  <c r="DJ177" i="1"/>
  <c r="BN178" i="1"/>
  <c r="CO178" i="1"/>
  <c r="BR178" i="1"/>
  <c r="CS178" i="1"/>
  <c r="BV178" i="1"/>
  <c r="CW178" i="1"/>
  <c r="BZ178" i="1"/>
  <c r="DA178" i="1"/>
  <c r="CD178" i="1"/>
  <c r="DE178" i="1"/>
  <c r="CH178" i="1"/>
  <c r="DI178" i="1"/>
  <c r="BM179" i="1"/>
  <c r="AJ179" i="1"/>
  <c r="CN179" i="1"/>
  <c r="BQ179" i="1"/>
  <c r="CR179" i="1"/>
  <c r="BU179" i="1"/>
  <c r="CV179" i="1"/>
  <c r="BY179" i="1"/>
  <c r="CZ179" i="1"/>
  <c r="CC179" i="1"/>
  <c r="DD179" i="1"/>
  <c r="CG179" i="1"/>
  <c r="DH179" i="1"/>
  <c r="CK179" i="1"/>
  <c r="DL179" i="1"/>
  <c r="BP180" i="1"/>
  <c r="CQ180" i="1"/>
  <c r="BT180" i="1"/>
  <c r="CU180" i="1"/>
  <c r="BX180" i="1"/>
  <c r="CY180" i="1"/>
  <c r="CB180" i="1"/>
  <c r="DC180" i="1"/>
  <c r="CF180" i="1"/>
  <c r="DG180" i="1"/>
  <c r="CJ180" i="1"/>
  <c r="DK180" i="1"/>
  <c r="BO181" i="1"/>
  <c r="CP181" i="1"/>
  <c r="BS181" i="1"/>
  <c r="CT181" i="1"/>
  <c r="BW181" i="1"/>
  <c r="CX181" i="1"/>
  <c r="CA181" i="1"/>
  <c r="DB181" i="1"/>
  <c r="CE181" i="1"/>
  <c r="DF181" i="1"/>
  <c r="CI181" i="1"/>
  <c r="DJ181" i="1"/>
  <c r="BN182" i="1"/>
  <c r="CO182" i="1"/>
  <c r="BR182" i="1"/>
  <c r="CS182" i="1"/>
  <c r="BV182" i="1"/>
  <c r="CW182" i="1"/>
  <c r="BZ182" i="1"/>
  <c r="DA182" i="1"/>
  <c r="CD182" i="1"/>
  <c r="DE182" i="1"/>
  <c r="CH182" i="1"/>
  <c r="DI182" i="1"/>
  <c r="BM183" i="1"/>
  <c r="AJ183" i="1"/>
  <c r="CN183" i="1"/>
  <c r="BQ183" i="1"/>
  <c r="CR183" i="1"/>
  <c r="BU183" i="1"/>
  <c r="CV183" i="1"/>
  <c r="BY183" i="1"/>
  <c r="CZ183" i="1"/>
  <c r="CC183" i="1"/>
  <c r="DD183" i="1"/>
  <c r="CG183" i="1"/>
  <c r="DH183" i="1"/>
  <c r="CK183" i="1"/>
  <c r="DL183" i="1"/>
  <c r="BP184" i="1"/>
  <c r="CQ184" i="1"/>
  <c r="BT184" i="1"/>
  <c r="CU184" i="1"/>
  <c r="BX184" i="1"/>
  <c r="CY184" i="1"/>
  <c r="CB184" i="1"/>
  <c r="DC184" i="1"/>
  <c r="CF184" i="1"/>
  <c r="DG184" i="1"/>
  <c r="CJ184" i="1"/>
  <c r="DK184" i="1"/>
  <c r="BO185" i="1"/>
  <c r="CP185" i="1"/>
  <c r="BS185" i="1"/>
  <c r="CT185" i="1"/>
  <c r="BW185" i="1"/>
  <c r="CX185" i="1"/>
  <c r="CA185" i="1"/>
  <c r="DB185" i="1"/>
  <c r="CE185" i="1"/>
  <c r="DF185" i="1"/>
  <c r="CI185" i="1"/>
  <c r="DJ185" i="1"/>
  <c r="BP177" i="1"/>
  <c r="CQ177" i="1"/>
  <c r="BT177" i="1"/>
  <c r="CU177" i="1"/>
  <c r="BX177" i="1"/>
  <c r="CY177" i="1"/>
  <c r="CB177" i="1"/>
  <c r="DC177" i="1"/>
  <c r="CF177" i="1"/>
  <c r="DG177" i="1"/>
  <c r="CJ177" i="1"/>
  <c r="DK177" i="1"/>
  <c r="BO178" i="1"/>
  <c r="CP178" i="1"/>
  <c r="BS178" i="1"/>
  <c r="CT178" i="1"/>
  <c r="BW178" i="1"/>
  <c r="CX178" i="1"/>
  <c r="CA178" i="1"/>
  <c r="DB178" i="1"/>
  <c r="CE178" i="1"/>
  <c r="DF178" i="1"/>
  <c r="CI178" i="1"/>
  <c r="DJ178" i="1"/>
  <c r="BN179" i="1"/>
  <c r="CO179" i="1"/>
  <c r="BR179" i="1"/>
  <c r="CS179" i="1"/>
  <c r="BV179" i="1"/>
  <c r="CW179" i="1"/>
  <c r="BZ179" i="1"/>
  <c r="DA179" i="1"/>
  <c r="CD179" i="1"/>
  <c r="DE179" i="1"/>
  <c r="CH179" i="1"/>
  <c r="DI179" i="1"/>
  <c r="BM180" i="1"/>
  <c r="AJ180" i="1"/>
  <c r="CN180" i="1"/>
  <c r="BQ180" i="1"/>
  <c r="CR180" i="1"/>
  <c r="BU180" i="1"/>
  <c r="CV180" i="1"/>
  <c r="BY180" i="1"/>
  <c r="CZ180" i="1"/>
  <c r="CC180" i="1"/>
  <c r="DD180" i="1"/>
  <c r="CG180" i="1"/>
  <c r="DH180" i="1"/>
  <c r="CK180" i="1"/>
  <c r="DL180" i="1"/>
  <c r="BP181" i="1"/>
  <c r="CQ181" i="1"/>
  <c r="BT181" i="1"/>
  <c r="CU181" i="1"/>
  <c r="BX181" i="1"/>
  <c r="CY181" i="1"/>
  <c r="CB181" i="1"/>
  <c r="DC181" i="1"/>
  <c r="CF181" i="1"/>
  <c r="DG181" i="1"/>
  <c r="CJ181" i="1"/>
  <c r="DK181" i="1"/>
  <c r="BO182" i="1"/>
  <c r="CP182" i="1"/>
  <c r="BS182" i="1"/>
  <c r="CT182" i="1"/>
  <c r="BW182" i="1"/>
  <c r="CX182" i="1"/>
  <c r="CA182" i="1"/>
  <c r="DB182" i="1"/>
  <c r="CE182" i="1"/>
  <c r="DF182" i="1"/>
  <c r="CI182" i="1"/>
  <c r="DJ182" i="1"/>
  <c r="BN183" i="1"/>
  <c r="CO183" i="1"/>
  <c r="BR183" i="1"/>
  <c r="CS183" i="1"/>
  <c r="BV183" i="1"/>
  <c r="CW183" i="1"/>
  <c r="BZ183" i="1"/>
  <c r="DA183" i="1"/>
  <c r="CD183" i="1"/>
  <c r="DE183" i="1"/>
  <c r="CH183" i="1"/>
  <c r="DI183" i="1"/>
  <c r="BM184" i="1"/>
  <c r="AJ184" i="1"/>
  <c r="CN184" i="1"/>
  <c r="BQ184" i="1"/>
  <c r="CR184" i="1"/>
  <c r="BU184" i="1"/>
  <c r="CV184" i="1"/>
  <c r="BY184" i="1"/>
  <c r="CZ184" i="1"/>
  <c r="CC184" i="1"/>
  <c r="DD184" i="1"/>
  <c r="CG184" i="1"/>
  <c r="DH184" i="1"/>
  <c r="CK184" i="1"/>
  <c r="DL184" i="1"/>
  <c r="BP185" i="1"/>
  <c r="CQ185" i="1"/>
  <c r="BT185" i="1"/>
  <c r="CU185" i="1"/>
  <c r="BX185" i="1"/>
  <c r="CY185" i="1"/>
  <c r="CB185" i="1"/>
  <c r="DC185" i="1"/>
  <c r="CF185" i="1"/>
  <c r="DG185" i="1"/>
  <c r="CJ185" i="1"/>
  <c r="DK185" i="1"/>
  <c r="AJ177" i="1"/>
  <c r="BM177" i="1"/>
  <c r="CN177" i="1"/>
  <c r="BQ177" i="1"/>
  <c r="CR177" i="1"/>
  <c r="BU177" i="1"/>
  <c r="CV177" i="1"/>
  <c r="BY177" i="1"/>
  <c r="CZ177" i="1"/>
  <c r="CC177" i="1"/>
  <c r="DD177" i="1"/>
  <c r="CG177" i="1"/>
  <c r="DH177" i="1"/>
  <c r="CK177" i="1"/>
  <c r="DL177" i="1"/>
  <c r="BP178" i="1"/>
  <c r="CQ178" i="1"/>
  <c r="BT178" i="1"/>
  <c r="CU178" i="1"/>
  <c r="BX178" i="1"/>
  <c r="CY178" i="1"/>
  <c r="CB178" i="1"/>
  <c r="DC178" i="1"/>
  <c r="CF178" i="1"/>
  <c r="DG178" i="1"/>
  <c r="CJ178" i="1"/>
  <c r="DK178" i="1"/>
  <c r="BO179" i="1"/>
  <c r="CP179" i="1"/>
  <c r="BS179" i="1"/>
  <c r="CT179" i="1"/>
  <c r="BW179" i="1"/>
  <c r="CX179" i="1"/>
  <c r="CA179" i="1"/>
  <c r="DB179" i="1"/>
  <c r="CE179" i="1"/>
  <c r="DF179" i="1"/>
  <c r="CI179" i="1"/>
  <c r="DJ179" i="1"/>
  <c r="BN180" i="1"/>
  <c r="CO180" i="1"/>
  <c r="BR180" i="1"/>
  <c r="CS180" i="1"/>
  <c r="BV180" i="1"/>
  <c r="CW180" i="1"/>
  <c r="BZ180" i="1"/>
  <c r="DA180" i="1"/>
  <c r="CD180" i="1"/>
  <c r="DE180" i="1"/>
  <c r="CH180" i="1"/>
  <c r="DI180" i="1"/>
  <c r="AJ181" i="1"/>
  <c r="BM181" i="1"/>
  <c r="CN181" i="1"/>
  <c r="BQ181" i="1"/>
  <c r="CR181" i="1"/>
  <c r="BU181" i="1"/>
  <c r="CV181" i="1"/>
  <c r="BY181" i="1"/>
  <c r="CZ181" i="1"/>
  <c r="CC181" i="1"/>
  <c r="DD181" i="1"/>
  <c r="CG181" i="1"/>
  <c r="DH181" i="1"/>
  <c r="CK181" i="1"/>
  <c r="DL181" i="1"/>
  <c r="BP182" i="1"/>
  <c r="CQ182" i="1"/>
  <c r="BT182" i="1"/>
  <c r="CU182" i="1"/>
  <c r="BX182" i="1"/>
  <c r="CY182" i="1"/>
  <c r="CB182" i="1"/>
  <c r="DC182" i="1"/>
  <c r="CF182" i="1"/>
  <c r="DG182" i="1"/>
  <c r="CJ182" i="1"/>
  <c r="DK182" i="1"/>
  <c r="BO183" i="1"/>
  <c r="CP183" i="1"/>
  <c r="BS183" i="1"/>
  <c r="CT183" i="1"/>
  <c r="BW183" i="1"/>
  <c r="CX183" i="1"/>
  <c r="CA183" i="1"/>
  <c r="DB183" i="1"/>
  <c r="CE183" i="1"/>
  <c r="DF183" i="1"/>
  <c r="CI183" i="1"/>
  <c r="DJ183" i="1"/>
  <c r="BN184" i="1"/>
  <c r="CO184" i="1"/>
  <c r="BR184" i="1"/>
  <c r="CS184" i="1"/>
  <c r="BV184" i="1"/>
  <c r="CW184" i="1"/>
  <c r="BZ184" i="1"/>
  <c r="DA184" i="1"/>
  <c r="CD184" i="1"/>
  <c r="DE184" i="1"/>
  <c r="CH184" i="1"/>
  <c r="DI184" i="1"/>
  <c r="AJ185" i="1"/>
  <c r="BM185" i="1"/>
  <c r="CN185" i="1"/>
  <c r="BQ185" i="1"/>
  <c r="CR185" i="1"/>
  <c r="BU185" i="1"/>
  <c r="CV185" i="1"/>
  <c r="BY185" i="1"/>
  <c r="CZ185" i="1"/>
  <c r="CC185" i="1"/>
  <c r="DD185" i="1"/>
  <c r="CG185" i="1"/>
  <c r="DH185" i="1"/>
  <c r="CK185" i="1"/>
  <c r="DL185" i="1"/>
  <c r="EJ184" i="1" l="1"/>
  <c r="EB184" i="1"/>
  <c r="DT184" i="1"/>
  <c r="EC183" i="1"/>
  <c r="DU183" i="1"/>
  <c r="EL182" i="1"/>
  <c r="ED182" i="1"/>
  <c r="DV182" i="1"/>
  <c r="EM181" i="1"/>
  <c r="EE181" i="1"/>
  <c r="DW181" i="1"/>
  <c r="EH185" i="1"/>
  <c r="DZ185" i="1"/>
  <c r="DR185" i="1"/>
  <c r="EI184" i="1"/>
  <c r="EA184" i="1"/>
  <c r="DS184" i="1"/>
  <c r="EJ179" i="1"/>
  <c r="EB179" i="1"/>
  <c r="DT179" i="1"/>
  <c r="EK178" i="1"/>
  <c r="EC178" i="1"/>
  <c r="DU178" i="1"/>
  <c r="EK185" i="1"/>
  <c r="EC185" i="1"/>
  <c r="DU185" i="1"/>
  <c r="EL184" i="1"/>
  <c r="ED184" i="1"/>
  <c r="DV184" i="1"/>
  <c r="EM183" i="1"/>
  <c r="EE183" i="1"/>
  <c r="EK183" i="1"/>
  <c r="EF178" i="1"/>
  <c r="CM177" i="1"/>
  <c r="CM184" i="1"/>
  <c r="DN183" i="1"/>
  <c r="CM182" i="1"/>
  <c r="DN185" i="1"/>
  <c r="CM181" i="1"/>
  <c r="DN180" i="1"/>
  <c r="CM179" i="1"/>
  <c r="DN178" i="1"/>
  <c r="DO181" i="1"/>
  <c r="DN181" i="1"/>
  <c r="CM185" i="1"/>
  <c r="DN184" i="1"/>
  <c r="CM183" i="1"/>
  <c r="DN182" i="1"/>
  <c r="DN177" i="1"/>
  <c r="CM180" i="1"/>
  <c r="DN179" i="1"/>
  <c r="CM178" i="1"/>
  <c r="DW183" i="1"/>
  <c r="DX178" i="1"/>
  <c r="DP178" i="1"/>
  <c r="DO183" i="1"/>
  <c r="EF184" i="1"/>
  <c r="DX184" i="1"/>
  <c r="DP184" i="1"/>
  <c r="EG183" i="1"/>
  <c r="DY183" i="1"/>
  <c r="DQ183" i="1"/>
  <c r="EH182" i="1"/>
  <c r="DZ182" i="1"/>
  <c r="DR182" i="1"/>
  <c r="EI181" i="1"/>
  <c r="EA181" i="1"/>
  <c r="DS181" i="1"/>
  <c r="EL185" i="1"/>
  <c r="ED185" i="1"/>
  <c r="DV185" i="1"/>
  <c r="EM184" i="1"/>
  <c r="EE184" i="1"/>
  <c r="DW184" i="1"/>
  <c r="EF179" i="1"/>
  <c r="DX179" i="1"/>
  <c r="DP179" i="1"/>
  <c r="EG178" i="1"/>
  <c r="DY178" i="1"/>
  <c r="DQ178" i="1"/>
  <c r="EG185" i="1"/>
  <c r="DY185" i="1"/>
  <c r="DQ185" i="1"/>
  <c r="EH184" i="1"/>
  <c r="DZ184" i="1"/>
  <c r="DR184" i="1"/>
  <c r="EI183" i="1"/>
  <c r="EA183" i="1"/>
  <c r="DS183" i="1"/>
  <c r="EJ178" i="1"/>
  <c r="EB178" i="1"/>
  <c r="DT178" i="1"/>
  <c r="EJ185" i="1"/>
  <c r="EB185" i="1"/>
  <c r="DT185" i="1"/>
  <c r="EK184" i="1"/>
  <c r="EF185" i="1"/>
  <c r="DX185" i="1"/>
  <c r="DP185" i="1"/>
  <c r="EG184" i="1"/>
  <c r="DY184" i="1"/>
  <c r="EC184" i="1"/>
  <c r="DO178" i="1"/>
  <c r="DU184" i="1"/>
  <c r="EL183" i="1"/>
  <c r="DQ184" i="1"/>
  <c r="EH183" i="1"/>
  <c r="DZ183" i="1"/>
  <c r="DR183" i="1"/>
  <c r="EI182" i="1"/>
  <c r="EA182" i="1"/>
  <c r="DS182" i="1"/>
  <c r="DO179" i="1"/>
  <c r="ED183" i="1"/>
  <c r="DV183" i="1"/>
  <c r="EM182" i="1"/>
  <c r="EE182" i="1"/>
  <c r="DW182" i="1"/>
  <c r="EM177" i="1"/>
  <c r="EE177" i="1"/>
  <c r="DW177" i="1"/>
  <c r="DO177" i="1"/>
  <c r="EM185" i="1"/>
  <c r="EE185" i="1"/>
  <c r="DW185" i="1"/>
  <c r="DO185" i="1"/>
  <c r="EF180" i="1"/>
  <c r="DX180" i="1"/>
  <c r="DP180" i="1"/>
  <c r="EG179" i="1"/>
  <c r="DY179" i="1"/>
  <c r="DQ179" i="1"/>
  <c r="EH178" i="1"/>
  <c r="DZ178" i="1"/>
  <c r="DR178" i="1"/>
  <c r="EJ183" i="1"/>
  <c r="EB183" i="1"/>
  <c r="DT183" i="1"/>
  <c r="EK182" i="1"/>
  <c r="EC182" i="1"/>
  <c r="DU182" i="1"/>
  <c r="EL181" i="1"/>
  <c r="ED181" i="1"/>
  <c r="DV181" i="1"/>
  <c r="EM180" i="1"/>
  <c r="EE180" i="1"/>
  <c r="DW180" i="1"/>
  <c r="DO180" i="1"/>
  <c r="EL177" i="1"/>
  <c r="ED177" i="1"/>
  <c r="DV177" i="1"/>
  <c r="EF182" i="1"/>
  <c r="DX182" i="1"/>
  <c r="DP182" i="1"/>
  <c r="EG181" i="1"/>
  <c r="DY181" i="1"/>
  <c r="DQ181" i="1"/>
  <c r="EH180" i="1"/>
  <c r="DZ180" i="1"/>
  <c r="DR180" i="1"/>
  <c r="EI179" i="1"/>
  <c r="EA179" i="1"/>
  <c r="DS179" i="1"/>
  <c r="EG177" i="1"/>
  <c r="DY177" i="1"/>
  <c r="DQ177" i="1"/>
  <c r="EJ181" i="1"/>
  <c r="EB181" i="1"/>
  <c r="DT181" i="1"/>
  <c r="EK180" i="1"/>
  <c r="EC180" i="1"/>
  <c r="DU180" i="1"/>
  <c r="EL179" i="1"/>
  <c r="ED179" i="1"/>
  <c r="DV179" i="1"/>
  <c r="EM178" i="1"/>
  <c r="EE178" i="1"/>
  <c r="DW178" i="1"/>
  <c r="EJ177" i="1"/>
  <c r="EB177" i="1"/>
  <c r="DT177" i="1"/>
  <c r="EI177" i="1"/>
  <c r="DO182" i="1"/>
  <c r="EA177" i="1"/>
  <c r="DS177" i="1"/>
  <c r="DO184" i="1"/>
  <c r="EI185" i="1"/>
  <c r="EA185" i="1"/>
  <c r="DS185" i="1"/>
  <c r="EJ180" i="1"/>
  <c r="EB180" i="1"/>
  <c r="DT180" i="1"/>
  <c r="EK179" i="1"/>
  <c r="EC179" i="1"/>
  <c r="DU179" i="1"/>
  <c r="EL178" i="1"/>
  <c r="ED178" i="1"/>
  <c r="DV178" i="1"/>
  <c r="EF183" i="1"/>
  <c r="DX183" i="1"/>
  <c r="DP183" i="1"/>
  <c r="EG182" i="1"/>
  <c r="DY182" i="1"/>
  <c r="DQ182" i="1"/>
  <c r="EH181" i="1"/>
  <c r="DZ181" i="1"/>
  <c r="DR181" i="1"/>
  <c r="EI180" i="1"/>
  <c r="EA180" i="1"/>
  <c r="DS180" i="1"/>
  <c r="EH177" i="1"/>
  <c r="DZ177" i="1"/>
  <c r="DR177" i="1"/>
  <c r="EJ182" i="1"/>
  <c r="EB182" i="1"/>
  <c r="DT182" i="1"/>
  <c r="EK181" i="1"/>
  <c r="EC181" i="1"/>
  <c r="DU181" i="1"/>
  <c r="EL180" i="1"/>
  <c r="ED180" i="1"/>
  <c r="DV180" i="1"/>
  <c r="EM179" i="1"/>
  <c r="EE179" i="1"/>
  <c r="DW179" i="1"/>
  <c r="EK177" i="1"/>
  <c r="EC177" i="1"/>
  <c r="DU177" i="1"/>
  <c r="EF181" i="1"/>
  <c r="DX181" i="1"/>
  <c r="DP181" i="1"/>
  <c r="EG180" i="1"/>
  <c r="DY180" i="1"/>
  <c r="DQ180" i="1"/>
  <c r="EH179" i="1"/>
  <c r="DZ179" i="1"/>
  <c r="DR179" i="1"/>
  <c r="EI178" i="1"/>
  <c r="EA178" i="1"/>
  <c r="DS178" i="1"/>
  <c r="EF177" i="1"/>
  <c r="DX177" i="1"/>
  <c r="DP177" i="1"/>
  <c r="CG158" i="1" l="1"/>
  <c r="DH158" i="1"/>
  <c r="BU162" i="1"/>
  <c r="CV162" i="1"/>
  <c r="CF170" i="1"/>
  <c r="DG170" i="1"/>
  <c r="BM168" i="1"/>
  <c r="AJ168" i="1"/>
  <c r="CN168" i="1"/>
  <c r="BU170" i="1"/>
  <c r="CV170" i="1"/>
  <c r="CG164" i="1"/>
  <c r="DH164" i="1"/>
  <c r="CH172" i="1"/>
  <c r="DI172" i="1"/>
  <c r="CC158" i="1"/>
  <c r="DD158" i="1"/>
  <c r="BP170" i="1"/>
  <c r="CQ170" i="1"/>
  <c r="CB168" i="1"/>
  <c r="DC168" i="1"/>
  <c r="BR162" i="1"/>
  <c r="CS162" i="1"/>
  <c r="BQ172" i="1"/>
  <c r="CR172" i="1"/>
  <c r="BY172" i="1"/>
  <c r="CZ172" i="1"/>
  <c r="CG170" i="1"/>
  <c r="DH170" i="1"/>
  <c r="CD158" i="1"/>
  <c r="DE158" i="1"/>
  <c r="BV162" i="1"/>
  <c r="CW162" i="1"/>
  <c r="BM164" i="1"/>
  <c r="AJ164" i="1"/>
  <c r="CN164" i="1"/>
  <c r="BZ170" i="1"/>
  <c r="DA170" i="1"/>
  <c r="CH170" i="1"/>
  <c r="DI170" i="1"/>
  <c r="CE170" i="1"/>
  <c r="DF170" i="1"/>
  <c r="BO168" i="1"/>
  <c r="CP168" i="1"/>
  <c r="CB172" i="1"/>
  <c r="DC172" i="1"/>
  <c r="CF172" i="1"/>
  <c r="DG172" i="1"/>
  <c r="BU172" i="1"/>
  <c r="CV172" i="1"/>
  <c r="BY164" i="1"/>
  <c r="CZ164" i="1"/>
  <c r="CG166" i="1"/>
  <c r="DH166" i="1"/>
  <c r="CK164" i="1"/>
  <c r="DL164" i="1"/>
  <c r="BN164" i="1"/>
  <c r="CO164" i="1"/>
  <c r="BZ172" i="1"/>
  <c r="DA172" i="1"/>
  <c r="CH168" i="1"/>
  <c r="DI168" i="1"/>
  <c r="BW158" i="1"/>
  <c r="CX158" i="1"/>
  <c r="CE172" i="1"/>
  <c r="DF172" i="1"/>
  <c r="BV172" i="1"/>
  <c r="CW172" i="1"/>
  <c r="BY166" i="1"/>
  <c r="CZ166" i="1"/>
  <c r="BP172" i="1"/>
  <c r="CQ172" i="1"/>
  <c r="BW170" i="1"/>
  <c r="CX170" i="1"/>
  <c r="CJ170" i="1"/>
  <c r="DK170" i="1"/>
  <c r="BT170" i="1"/>
  <c r="CU170" i="1"/>
  <c r="CJ162" i="1"/>
  <c r="DK162" i="1"/>
  <c r="CJ158" i="1"/>
  <c r="DK158" i="1"/>
  <c r="BR172" i="1"/>
  <c r="CS172" i="1"/>
  <c r="BZ164" i="1"/>
  <c r="DA164" i="1"/>
  <c r="CH164" i="1"/>
  <c r="DI164" i="1"/>
  <c r="BO172" i="1"/>
  <c r="CP172" i="1"/>
  <c r="BX164" i="1"/>
  <c r="CY164" i="1"/>
  <c r="BQ158" i="1"/>
  <c r="CR158" i="1"/>
  <c r="BM158" i="1"/>
  <c r="AJ158" i="1"/>
  <c r="CN158" i="1"/>
  <c r="BP166" i="1"/>
  <c r="CQ166" i="1"/>
  <c r="BT168" i="1"/>
  <c r="CU168" i="1"/>
  <c r="BX166" i="1"/>
  <c r="CY166" i="1"/>
  <c r="CF166" i="1"/>
  <c r="DG166" i="1"/>
  <c r="AJ162" i="1"/>
  <c r="BM162" i="1"/>
  <c r="CN162" i="1"/>
  <c r="CD166" i="1"/>
  <c r="DE166" i="1"/>
  <c r="CC166" i="1"/>
  <c r="DD166" i="1"/>
  <c r="BZ158" i="1"/>
  <c r="DA158" i="1"/>
  <c r="BN162" i="1"/>
  <c r="CO162" i="1"/>
  <c r="CE168" i="1"/>
  <c r="DF168" i="1"/>
  <c r="CD172" i="1"/>
  <c r="DE172" i="1"/>
  <c r="CA164" i="1"/>
  <c r="DB164" i="1"/>
  <c r="BP168" i="1"/>
  <c r="CQ168" i="1"/>
  <c r="BX168" i="1"/>
  <c r="CY168" i="1"/>
  <c r="CF168" i="1"/>
  <c r="DG168" i="1"/>
  <c r="CH162" i="1"/>
  <c r="DI162" i="1"/>
  <c r="CJ166" i="1"/>
  <c r="DK166" i="1"/>
  <c r="BY170" i="1"/>
  <c r="CZ170" i="1"/>
  <c r="BN166" i="1"/>
  <c r="CO166" i="1"/>
  <c r="BR168" i="1"/>
  <c r="CS168" i="1"/>
  <c r="BO166" i="1"/>
  <c r="CP166" i="1"/>
  <c r="CE164" i="1"/>
  <c r="DF164" i="1"/>
  <c r="BU166" i="1"/>
  <c r="CV166" i="1"/>
  <c r="CC168" i="1"/>
  <c r="DD168" i="1"/>
  <c r="BR158" i="1"/>
  <c r="CS158" i="1"/>
  <c r="CI162" i="1"/>
  <c r="DJ162" i="1"/>
  <c r="BW172" i="1"/>
  <c r="CX172" i="1"/>
  <c r="BU158" i="1"/>
  <c r="CV158" i="1"/>
  <c r="BM172" i="1"/>
  <c r="AJ172" i="1"/>
  <c r="CN172" i="1"/>
  <c r="BV158" i="1"/>
  <c r="CW158" i="1"/>
  <c r="BZ166" i="1"/>
  <c r="DA166" i="1"/>
  <c r="BO170" i="1"/>
  <c r="CP170" i="1"/>
  <c r="CE166" i="1"/>
  <c r="DF166" i="1"/>
  <c r="BV166" i="1"/>
  <c r="CW166" i="1"/>
  <c r="BX172" i="1"/>
  <c r="CY172" i="1"/>
  <c r="BO164" i="1"/>
  <c r="CP164" i="1"/>
  <c r="BV170" i="1"/>
  <c r="CW170" i="1"/>
  <c r="CD168" i="1"/>
  <c r="DE168" i="1"/>
  <c r="BW166" i="1"/>
  <c r="CX166" i="1"/>
  <c r="CH166" i="1"/>
  <c r="DI166" i="1"/>
  <c r="BZ162" i="1"/>
  <c r="DA162" i="1"/>
  <c r="DN13" i="1"/>
  <c r="CI164" i="1"/>
  <c r="DJ164" i="1"/>
  <c r="BP162" i="1"/>
  <c r="CQ162" i="1"/>
  <c r="BT162" i="1"/>
  <c r="CU162" i="1"/>
  <c r="BX162" i="1"/>
  <c r="CY162" i="1"/>
  <c r="CF162" i="1"/>
  <c r="DG162" i="1"/>
  <c r="BQ162" i="1"/>
  <c r="CR162" i="1"/>
  <c r="BQ166" i="1"/>
  <c r="CR166" i="1"/>
  <c r="BN172" i="1"/>
  <c r="CO172" i="1"/>
  <c r="BO158" i="1"/>
  <c r="CP158" i="1"/>
  <c r="BP158" i="1"/>
  <c r="CQ158" i="1"/>
  <c r="BT158" i="1"/>
  <c r="CU158" i="1"/>
  <c r="BX158" i="1"/>
  <c r="CY158" i="1"/>
  <c r="CF158" i="1"/>
  <c r="DG158" i="1"/>
  <c r="CG162" i="1"/>
  <c r="DH162" i="1"/>
  <c r="AJ166" i="1"/>
  <c r="BM166" i="1"/>
  <c r="CN166" i="1"/>
  <c r="BU168" i="1"/>
  <c r="CV168" i="1"/>
  <c r="CK172" i="1"/>
  <c r="DL172" i="1"/>
  <c r="BY158" i="1"/>
  <c r="CZ158" i="1"/>
  <c r="BS164" i="1"/>
  <c r="CT164" i="1"/>
  <c r="CI170" i="1"/>
  <c r="DJ170" i="1"/>
  <c r="BR164" i="1"/>
  <c r="CS164" i="1"/>
  <c r="CD170" i="1"/>
  <c r="DE170" i="1"/>
  <c r="BS158" i="1"/>
  <c r="CT158" i="1"/>
  <c r="BS170" i="1"/>
  <c r="CT170" i="1"/>
  <c r="CA172" i="1"/>
  <c r="DB172" i="1"/>
  <c r="CI168" i="1"/>
  <c r="DJ168" i="1"/>
  <c r="BT166" i="1"/>
  <c r="CU166" i="1"/>
  <c r="CB162" i="1"/>
  <c r="DC162" i="1"/>
  <c r="CK166" i="1"/>
  <c r="DL166" i="1"/>
  <c r="CH158" i="1"/>
  <c r="DI158" i="1"/>
  <c r="CD162" i="1"/>
  <c r="DE162" i="1"/>
  <c r="CI172" i="1"/>
  <c r="DJ172" i="1"/>
  <c r="CJ172" i="1"/>
  <c r="DK172" i="1"/>
  <c r="CC172" i="1"/>
  <c r="DD172" i="1"/>
  <c r="CK170" i="1"/>
  <c r="DL170" i="1"/>
  <c r="BS162" i="1"/>
  <c r="CT162" i="1"/>
  <c r="BW168" i="1"/>
  <c r="CX168" i="1"/>
  <c r="BS172" i="1"/>
  <c r="CT172" i="1"/>
  <c r="CA170" i="1"/>
  <c r="DB170" i="1"/>
  <c r="CK158" i="1"/>
  <c r="DL158" i="1"/>
  <c r="BX170" i="1"/>
  <c r="CY170" i="1"/>
  <c r="CB164" i="1"/>
  <c r="DC164" i="1"/>
  <c r="BN168" i="1"/>
  <c r="CO168" i="1"/>
  <c r="BV164" i="1"/>
  <c r="CW164" i="1"/>
  <c r="BR166" i="1"/>
  <c r="CS166" i="1"/>
  <c r="BT172" i="1"/>
  <c r="CU172" i="1"/>
  <c r="CB170" i="1"/>
  <c r="DC170" i="1"/>
  <c r="CF164" i="1"/>
  <c r="DG164" i="1"/>
  <c r="BW164" i="1"/>
  <c r="CX164" i="1"/>
  <c r="BT164" i="1"/>
  <c r="CU164" i="1"/>
  <c r="CJ168" i="1"/>
  <c r="DK168" i="1"/>
  <c r="BQ164" i="1"/>
  <c r="CR164" i="1"/>
  <c r="BR170" i="1"/>
  <c r="CS170" i="1"/>
  <c r="CE158" i="1"/>
  <c r="DF158" i="1"/>
  <c r="BW162" i="1"/>
  <c r="CX162" i="1"/>
  <c r="BQ170" i="1"/>
  <c r="CR170" i="1"/>
  <c r="BU164" i="1"/>
  <c r="CV164" i="1"/>
  <c r="CC170" i="1"/>
  <c r="DD170" i="1"/>
  <c r="CK168" i="1"/>
  <c r="DL168" i="1"/>
  <c r="BN158" i="1"/>
  <c r="CO158" i="1"/>
  <c r="CJ164" i="1"/>
  <c r="DK164" i="1"/>
  <c r="BN170" i="1"/>
  <c r="CO170" i="1"/>
  <c r="BV168" i="1"/>
  <c r="CW168" i="1"/>
  <c r="CI158" i="1"/>
  <c r="DJ158" i="1"/>
  <c r="CE162" i="1"/>
  <c r="DF162" i="1"/>
  <c r="BS166" i="1"/>
  <c r="CT166" i="1"/>
  <c r="BY162" i="1"/>
  <c r="CZ162" i="1"/>
  <c r="CC162" i="1"/>
  <c r="DD162" i="1"/>
  <c r="BY168" i="1"/>
  <c r="CZ168" i="1"/>
  <c r="CD164" i="1"/>
  <c r="DE164" i="1"/>
  <c r="BS168" i="1"/>
  <c r="CT168" i="1"/>
  <c r="CA168" i="1"/>
  <c r="DB168" i="1"/>
  <c r="CI166" i="1"/>
  <c r="DJ166" i="1"/>
  <c r="BQ168" i="1"/>
  <c r="CR168" i="1"/>
  <c r="CC164" i="1"/>
  <c r="DD164" i="1"/>
  <c r="CA162" i="1"/>
  <c r="DB162" i="1"/>
  <c r="BM170" i="1"/>
  <c r="AJ170" i="1"/>
  <c r="CN170" i="1"/>
  <c r="BP164" i="1"/>
  <c r="CQ164" i="1"/>
  <c r="BZ168" i="1"/>
  <c r="DA168" i="1"/>
  <c r="CA158" i="1"/>
  <c r="DB158" i="1"/>
  <c r="BO162" i="1"/>
  <c r="CP162" i="1"/>
  <c r="CA166" i="1"/>
  <c r="DB166" i="1"/>
  <c r="CB166" i="1"/>
  <c r="DC166" i="1"/>
  <c r="CG172" i="1"/>
  <c r="DH172" i="1"/>
  <c r="CB158" i="1"/>
  <c r="DC158" i="1"/>
  <c r="CG168" i="1"/>
  <c r="DH168" i="1"/>
  <c r="CK162" i="1"/>
  <c r="DL162" i="1"/>
  <c r="BX156" i="1"/>
  <c r="CY156" i="1"/>
  <c r="CB156" i="1"/>
  <c r="DC156" i="1"/>
  <c r="CF156" i="1"/>
  <c r="DG156" i="1"/>
  <c r="BW156" i="1"/>
  <c r="CX156" i="1"/>
  <c r="BV156" i="1"/>
  <c r="CW156" i="1"/>
  <c r="CK156" i="1"/>
  <c r="DL156" i="1"/>
  <c r="CG156" i="1"/>
  <c r="DH156" i="1"/>
  <c r="BN156" i="1"/>
  <c r="AJ156" i="1"/>
  <c r="CO156" i="1"/>
  <c r="BS156" i="1"/>
  <c r="CT156" i="1"/>
  <c r="CJ156" i="1"/>
  <c r="DK156" i="1"/>
  <c r="BP156" i="1"/>
  <c r="CQ156" i="1"/>
  <c r="BT156" i="1"/>
  <c r="CU156" i="1"/>
  <c r="BZ156" i="1"/>
  <c r="DA156" i="1"/>
  <c r="CD156" i="1"/>
  <c r="DE156" i="1"/>
  <c r="BY156" i="1"/>
  <c r="CZ156" i="1"/>
  <c r="CC156" i="1"/>
  <c r="DD156" i="1"/>
  <c r="BU156" i="1"/>
  <c r="CV156" i="1"/>
  <c r="BR156" i="1"/>
  <c r="CS156" i="1"/>
  <c r="CH156" i="1"/>
  <c r="DI156" i="1"/>
  <c r="CA156" i="1"/>
  <c r="DB156" i="1"/>
  <c r="CI156" i="1"/>
  <c r="DJ156" i="1"/>
  <c r="BQ156" i="1"/>
  <c r="CR156" i="1"/>
  <c r="BO156" i="1"/>
  <c r="CP156" i="1"/>
  <c r="CE156" i="1"/>
  <c r="DF156" i="1"/>
  <c r="BV145" i="1"/>
  <c r="CW145" i="1"/>
  <c r="CD150" i="1"/>
  <c r="DE150" i="1"/>
  <c r="CB155" i="1"/>
  <c r="DC155" i="1"/>
  <c r="BM155" i="1"/>
  <c r="AJ155" i="1"/>
  <c r="CN155" i="1"/>
  <c r="CG153" i="1"/>
  <c r="DH153" i="1"/>
  <c r="CD146" i="1"/>
  <c r="DE146" i="1"/>
  <c r="BX149" i="1"/>
  <c r="CY149" i="1"/>
  <c r="BV154" i="1"/>
  <c r="CW154" i="1"/>
  <c r="CG147" i="1"/>
  <c r="DH147" i="1"/>
  <c r="BV149" i="1"/>
  <c r="CW149" i="1"/>
  <c r="AJ149" i="1"/>
  <c r="BM149" i="1"/>
  <c r="CN149" i="1"/>
  <c r="BR151" i="1"/>
  <c r="CS151" i="1"/>
  <c r="CH151" i="1"/>
  <c r="DI151" i="1"/>
  <c r="CE153" i="1"/>
  <c r="DF153" i="1"/>
  <c r="CI150" i="1"/>
  <c r="DJ150" i="1"/>
  <c r="BZ145" i="1"/>
  <c r="DA145" i="1"/>
  <c r="AJ153" i="1"/>
  <c r="BM153" i="1"/>
  <c r="CN153" i="1"/>
  <c r="CG154" i="1"/>
  <c r="DH154" i="1"/>
  <c r="CH146" i="1"/>
  <c r="DI146" i="1"/>
  <c r="CB149" i="1"/>
  <c r="DC149" i="1"/>
  <c r="BZ154" i="1"/>
  <c r="DA154" i="1"/>
  <c r="CK147" i="1"/>
  <c r="DL147" i="1"/>
  <c r="BW150" i="1"/>
  <c r="CX150" i="1"/>
  <c r="CI154" i="1"/>
  <c r="DJ154" i="1"/>
  <c r="BX150" i="1"/>
  <c r="CY150" i="1"/>
  <c r="BY146" i="1"/>
  <c r="CZ146" i="1"/>
  <c r="CK150" i="1"/>
  <c r="DL150" i="1"/>
  <c r="CA149" i="1"/>
  <c r="DB149" i="1"/>
  <c r="BW151" i="1"/>
  <c r="CX151" i="1"/>
  <c r="CF155" i="1"/>
  <c r="DG155" i="1"/>
  <c r="CC154" i="1"/>
  <c r="DD154" i="1"/>
  <c r="BV146" i="1"/>
  <c r="CW146" i="1"/>
  <c r="BP149" i="1"/>
  <c r="CQ149" i="1"/>
  <c r="CF151" i="1"/>
  <c r="DG151" i="1"/>
  <c r="BN154" i="1"/>
  <c r="CO154" i="1"/>
  <c r="BY147" i="1"/>
  <c r="CZ147" i="1"/>
  <c r="CK149" i="1"/>
  <c r="DL149" i="1"/>
  <c r="BR155" i="1"/>
  <c r="CS155" i="1"/>
  <c r="BW153" i="1"/>
  <c r="CX153" i="1"/>
  <c r="BQ146" i="1"/>
  <c r="CR146" i="1"/>
  <c r="BO149" i="1"/>
  <c r="CP149" i="1"/>
  <c r="BS153" i="1"/>
  <c r="CT153" i="1"/>
  <c r="CH176" i="1"/>
  <c r="DI176" i="1"/>
  <c r="CB175" i="1"/>
  <c r="DC175" i="1"/>
  <c r="BO174" i="1"/>
  <c r="CP174" i="1"/>
  <c r="BN176" i="1"/>
  <c r="CO176" i="1"/>
  <c r="AJ176" i="1"/>
  <c r="CJ147" i="1"/>
  <c r="DK147" i="1"/>
  <c r="CI147" i="1"/>
  <c r="DJ147" i="1"/>
  <c r="BN147" i="1"/>
  <c r="CO147" i="1"/>
  <c r="CD147" i="1"/>
  <c r="DE147" i="1"/>
  <c r="BO150" i="1"/>
  <c r="CP150" i="1"/>
  <c r="CE149" i="1"/>
  <c r="DF149" i="1"/>
  <c r="BZ153" i="1"/>
  <c r="DA153" i="1"/>
  <c r="CH145" i="1"/>
  <c r="DI145" i="1"/>
  <c r="BT175" i="1"/>
  <c r="CU175" i="1"/>
  <c r="CB174" i="1"/>
  <c r="DC174" i="1"/>
  <c r="BX174" i="1"/>
  <c r="CY174" i="1"/>
  <c r="CD153" i="1"/>
  <c r="DE153" i="1"/>
  <c r="BT151" i="1"/>
  <c r="CU151" i="1"/>
  <c r="BQ174" i="1"/>
  <c r="CR174" i="1"/>
  <c r="CI174" i="1"/>
  <c r="DJ174" i="1"/>
  <c r="BY174" i="1"/>
  <c r="CZ174" i="1"/>
  <c r="CK176" i="1"/>
  <c r="DL176" i="1"/>
  <c r="BW176" i="1"/>
  <c r="CX176" i="1"/>
  <c r="BO176" i="1"/>
  <c r="CP176" i="1"/>
  <c r="BQ145" i="1"/>
  <c r="CR145" i="1"/>
  <c r="BT147" i="1"/>
  <c r="CU147" i="1"/>
  <c r="BW146" i="1"/>
  <c r="CX146" i="1"/>
  <c r="CA175" i="1"/>
  <c r="DB175" i="1"/>
  <c r="BO175" i="1"/>
  <c r="CP175" i="1"/>
  <c r="BY151" i="1"/>
  <c r="CZ151" i="1"/>
  <c r="BR154" i="1"/>
  <c r="CS154" i="1"/>
  <c r="BU174" i="1"/>
  <c r="CV174" i="1"/>
  <c r="BN174" i="1"/>
  <c r="CO174" i="1"/>
  <c r="AJ174" i="1"/>
  <c r="BO145" i="1"/>
  <c r="CP145" i="1"/>
  <c r="BQ150" i="1"/>
  <c r="CR150" i="1"/>
  <c r="CC150" i="1"/>
  <c r="DD150" i="1"/>
  <c r="BW145" i="1"/>
  <c r="CX145" i="1"/>
  <c r="CJ155" i="1"/>
  <c r="DK155" i="1"/>
  <c r="CB154" i="1"/>
  <c r="DC154" i="1"/>
  <c r="BQ153" i="1"/>
  <c r="CR153" i="1"/>
  <c r="CK154" i="1"/>
  <c r="DL154" i="1"/>
  <c r="BX147" i="1"/>
  <c r="CY147" i="1"/>
  <c r="BN150" i="1"/>
  <c r="CO150" i="1"/>
  <c r="BZ149" i="1"/>
  <c r="DA149" i="1"/>
  <c r="CC149" i="1"/>
  <c r="DD149" i="1"/>
  <c r="BV151" i="1"/>
  <c r="CW151" i="1"/>
  <c r="AJ151" i="1"/>
  <c r="BM151" i="1"/>
  <c r="CN151" i="1"/>
  <c r="BO153" i="1"/>
  <c r="CP153" i="1"/>
  <c r="CI153" i="1"/>
  <c r="DJ153" i="1"/>
  <c r="BT150" i="1"/>
  <c r="CU150" i="1"/>
  <c r="CE145" i="1"/>
  <c r="DF145" i="1"/>
  <c r="BS149" i="1"/>
  <c r="CT149" i="1"/>
  <c r="BU146" i="1"/>
  <c r="CV146" i="1"/>
  <c r="BT153" i="1"/>
  <c r="CU153" i="1"/>
  <c r="BQ154" i="1"/>
  <c r="CR154" i="1"/>
  <c r="CB147" i="1"/>
  <c r="DC147" i="1"/>
  <c r="BR150" i="1"/>
  <c r="CS150" i="1"/>
  <c r="BO146" i="1"/>
  <c r="CP146" i="1"/>
  <c r="BQ151" i="1"/>
  <c r="CR151" i="1"/>
  <c r="BS154" i="1"/>
  <c r="CT154" i="1"/>
  <c r="BX146" i="1"/>
  <c r="CY146" i="1"/>
  <c r="BW149" i="1"/>
  <c r="CX149" i="1"/>
  <c r="BN145" i="1"/>
  <c r="CO145" i="1"/>
  <c r="AJ145" i="1"/>
  <c r="BM154" i="1"/>
  <c r="AJ154" i="1"/>
  <c r="CN154" i="1"/>
  <c r="CK155" i="1"/>
  <c r="DL155" i="1"/>
  <c r="BP147" i="1"/>
  <c r="CQ147" i="1"/>
  <c r="CF149" i="1"/>
  <c r="DG149" i="1"/>
  <c r="CD154" i="1"/>
  <c r="DE154" i="1"/>
  <c r="CA150" i="1"/>
  <c r="DB150" i="1"/>
  <c r="CE154" i="1"/>
  <c r="DF154" i="1"/>
  <c r="BM150" i="1"/>
  <c r="AJ150" i="1"/>
  <c r="CN150" i="1"/>
  <c r="CI151" i="1"/>
  <c r="DJ151" i="1"/>
  <c r="CA154" i="1"/>
  <c r="DB154" i="1"/>
  <c r="BY175" i="1"/>
  <c r="CZ175" i="1"/>
  <c r="CG174" i="1"/>
  <c r="DH174" i="1"/>
  <c r="CJ174" i="1"/>
  <c r="DK174" i="1"/>
  <c r="CD174" i="1"/>
  <c r="DE174" i="1"/>
  <c r="BY154" i="1"/>
  <c r="CZ154" i="1"/>
  <c r="CJ149" i="1"/>
  <c r="DK149" i="1"/>
  <c r="BW147" i="1"/>
  <c r="CX147" i="1"/>
  <c r="BR147" i="1"/>
  <c r="CS147" i="1"/>
  <c r="CH147" i="1"/>
  <c r="DI147" i="1"/>
  <c r="CF175" i="1"/>
  <c r="DG175" i="1"/>
  <c r="BP153" i="1"/>
  <c r="CQ153" i="1"/>
  <c r="BV176" i="1"/>
  <c r="CW176" i="1"/>
  <c r="CK175" i="1"/>
  <c r="DL175" i="1"/>
  <c r="BR174" i="1"/>
  <c r="CS174" i="1"/>
  <c r="BU176" i="1"/>
  <c r="CV176" i="1"/>
  <c r="BU153" i="1"/>
  <c r="CV153" i="1"/>
  <c r="BP154" i="1"/>
  <c r="CQ154" i="1"/>
  <c r="BS145" i="1"/>
  <c r="CT145" i="1"/>
  <c r="BU145" i="1"/>
  <c r="CV145" i="1"/>
  <c r="BU175" i="1"/>
  <c r="CV175" i="1"/>
  <c r="CB176" i="1"/>
  <c r="DC176" i="1"/>
  <c r="BP176" i="1"/>
  <c r="CQ176" i="1"/>
  <c r="BV174" i="1"/>
  <c r="CW174" i="1"/>
  <c r="CC145" i="1"/>
  <c r="DD145" i="1"/>
  <c r="BX175" i="1"/>
  <c r="CY175" i="1"/>
  <c r="BM175" i="1"/>
  <c r="AJ175" i="1"/>
  <c r="CN175" i="1"/>
  <c r="CH155" i="1"/>
  <c r="DI155" i="1"/>
  <c r="CJ145" i="1"/>
  <c r="DK145" i="1"/>
  <c r="BP150" i="1"/>
  <c r="CQ150" i="1"/>
  <c r="CH154" i="1"/>
  <c r="DI154" i="1"/>
  <c r="CG176" i="1"/>
  <c r="DH176" i="1"/>
  <c r="BY176" i="1"/>
  <c r="CZ176" i="1"/>
  <c r="CD176" i="1"/>
  <c r="DE176" i="1"/>
  <c r="CM13" i="1"/>
  <c r="BU154" i="1"/>
  <c r="CV154" i="1"/>
  <c r="CF154" i="1"/>
  <c r="DG154" i="1"/>
  <c r="CA146" i="1"/>
  <c r="DB146" i="1"/>
  <c r="BN149" i="1"/>
  <c r="CO149" i="1"/>
  <c r="CD149" i="1"/>
  <c r="DE149" i="1"/>
  <c r="BS150" i="1"/>
  <c r="CT150" i="1"/>
  <c r="BZ151" i="1"/>
  <c r="DA151" i="1"/>
  <c r="CC151" i="1"/>
  <c r="DD151" i="1"/>
  <c r="BW154" i="1"/>
  <c r="CX154" i="1"/>
  <c r="BT146" i="1"/>
  <c r="CU146" i="1"/>
  <c r="CJ150" i="1"/>
  <c r="DK150" i="1"/>
  <c r="CA145" i="1"/>
  <c r="DB145" i="1"/>
  <c r="BO151" i="1"/>
  <c r="CP151" i="1"/>
  <c r="CB153" i="1"/>
  <c r="DC153" i="1"/>
  <c r="BY155" i="1"/>
  <c r="CZ155" i="1"/>
  <c r="CB145" i="1"/>
  <c r="DC145" i="1"/>
  <c r="CH150" i="1"/>
  <c r="DI150" i="1"/>
  <c r="BN155" i="1"/>
  <c r="CO155" i="1"/>
  <c r="CE146" i="1"/>
  <c r="DF146" i="1"/>
  <c r="BQ149" i="1"/>
  <c r="CR149" i="1"/>
  <c r="CG151" i="1"/>
  <c r="DH151" i="1"/>
  <c r="BW155" i="1"/>
  <c r="CX155" i="1"/>
  <c r="CK145" i="1"/>
  <c r="DL145" i="1"/>
  <c r="BP155" i="1"/>
  <c r="CQ155" i="1"/>
  <c r="CD145" i="1"/>
  <c r="DE145" i="1"/>
  <c r="BU155" i="1"/>
  <c r="CV155" i="1"/>
  <c r="BP145" i="1"/>
  <c r="CQ145" i="1"/>
  <c r="CF147" i="1"/>
  <c r="DG147" i="1"/>
  <c r="BV150" i="1"/>
  <c r="CW150" i="1"/>
  <c r="BR153" i="1"/>
  <c r="CS153" i="1"/>
  <c r="BS146" i="1"/>
  <c r="CT146" i="1"/>
  <c r="BU151" i="1"/>
  <c r="CV151" i="1"/>
  <c r="BO154" i="1"/>
  <c r="CP154" i="1"/>
  <c r="CB150" i="1"/>
  <c r="DC150" i="1"/>
  <c r="CC146" i="1"/>
  <c r="DD146" i="1"/>
  <c r="BR145" i="1"/>
  <c r="CS145" i="1"/>
  <c r="CG150" i="1"/>
  <c r="DH150" i="1"/>
  <c r="BV155" i="1"/>
  <c r="CW155" i="1"/>
  <c r="CE155" i="1"/>
  <c r="DF155" i="1"/>
  <c r="CF174" i="1"/>
  <c r="DG174" i="1"/>
  <c r="CI175" i="1"/>
  <c r="DJ175" i="1"/>
  <c r="CE174" i="1"/>
  <c r="DF174" i="1"/>
  <c r="CC176" i="1"/>
  <c r="DD176" i="1"/>
  <c r="BZ175" i="1"/>
  <c r="DA175" i="1"/>
  <c r="CK153" i="1"/>
  <c r="DL153" i="1"/>
  <c r="CJ151" i="1"/>
  <c r="DK151" i="1"/>
  <c r="CA147" i="1"/>
  <c r="DB147" i="1"/>
  <c r="BV147" i="1"/>
  <c r="CW147" i="1"/>
  <c r="BM147" i="1"/>
  <c r="AJ147" i="1"/>
  <c r="CN147" i="1"/>
  <c r="BW175" i="1"/>
  <c r="CX175" i="1"/>
  <c r="BX153" i="1"/>
  <c r="CY153" i="1"/>
  <c r="BN153" i="1"/>
  <c r="CO153" i="1"/>
  <c r="CA174" i="1"/>
  <c r="DB174" i="1"/>
  <c r="BQ176" i="1"/>
  <c r="CR176" i="1"/>
  <c r="CH174" i="1"/>
  <c r="DI174" i="1"/>
  <c r="CC174" i="1"/>
  <c r="DD174" i="1"/>
  <c r="CG155" i="1"/>
  <c r="DH155" i="1"/>
  <c r="BT174" i="1"/>
  <c r="CU174" i="1"/>
  <c r="BX154" i="1"/>
  <c r="CY154" i="1"/>
  <c r="BT176" i="1"/>
  <c r="CU176" i="1"/>
  <c r="BQ175" i="1"/>
  <c r="CR175" i="1"/>
  <c r="CA176" i="1"/>
  <c r="DB176" i="1"/>
  <c r="BX176" i="1"/>
  <c r="CY176" i="1"/>
  <c r="BQ155" i="1"/>
  <c r="CR155" i="1"/>
  <c r="BY145" i="1"/>
  <c r="CZ145" i="1"/>
  <c r="BZ150" i="1"/>
  <c r="DA150" i="1"/>
  <c r="CE150" i="1"/>
  <c r="DF150" i="1"/>
  <c r="BP175" i="1"/>
  <c r="CQ175" i="1"/>
  <c r="CE175" i="1"/>
  <c r="DF175" i="1"/>
  <c r="CI149" i="1"/>
  <c r="DJ149" i="1"/>
  <c r="BP146" i="1"/>
  <c r="CQ146" i="1"/>
  <c r="CF150" i="1"/>
  <c r="DG150" i="1"/>
  <c r="BV153" i="1"/>
  <c r="CW153" i="1"/>
  <c r="BV175" i="1"/>
  <c r="CW175" i="1"/>
  <c r="BS147" i="1"/>
  <c r="CT147" i="1"/>
  <c r="BX145" i="1"/>
  <c r="CY145" i="1"/>
  <c r="CA151" i="1"/>
  <c r="DB151" i="1"/>
  <c r="BY150" i="1"/>
  <c r="CZ150" i="1"/>
  <c r="CI145" i="1"/>
  <c r="DJ145" i="1"/>
  <c r="BT155" i="1"/>
  <c r="CU155" i="1"/>
  <c r="CC155" i="1"/>
  <c r="DD155" i="1"/>
  <c r="BN146" i="1"/>
  <c r="CO146" i="1"/>
  <c r="BX151" i="1"/>
  <c r="CY151" i="1"/>
  <c r="BQ147" i="1"/>
  <c r="CR147" i="1"/>
  <c r="BR149" i="1"/>
  <c r="CS149" i="1"/>
  <c r="CH149" i="1"/>
  <c r="DI149" i="1"/>
  <c r="BN151" i="1"/>
  <c r="CO151" i="1"/>
  <c r="CD151" i="1"/>
  <c r="DE151" i="1"/>
  <c r="BT154" i="1"/>
  <c r="CU154" i="1"/>
  <c r="CA155" i="1"/>
  <c r="DB155" i="1"/>
  <c r="CJ146" i="1"/>
  <c r="DK146" i="1"/>
  <c r="BU150" i="1"/>
  <c r="CV150" i="1"/>
  <c r="CJ153" i="1"/>
  <c r="DK153" i="1"/>
  <c r="CC153" i="1"/>
  <c r="DD153" i="1"/>
  <c r="BR146" i="1"/>
  <c r="CS146" i="1"/>
  <c r="CB151" i="1"/>
  <c r="DC151" i="1"/>
  <c r="BU147" i="1"/>
  <c r="CV147" i="1"/>
  <c r="CG149" i="1"/>
  <c r="DH149" i="1"/>
  <c r="CJ154" i="1"/>
  <c r="DK154" i="1"/>
  <c r="CA153" i="1"/>
  <c r="DB153" i="1"/>
  <c r="AJ146" i="1"/>
  <c r="BM146" i="1"/>
  <c r="CN146" i="1"/>
  <c r="CG146" i="1"/>
  <c r="DH146" i="1"/>
  <c r="CK146" i="1"/>
  <c r="DL146" i="1"/>
  <c r="BX155" i="1"/>
  <c r="CY155" i="1"/>
  <c r="BY153" i="1"/>
  <c r="CZ153" i="1"/>
  <c r="CF145" i="1"/>
  <c r="DG145" i="1"/>
  <c r="BP151" i="1"/>
  <c r="CQ151" i="1"/>
  <c r="CD155" i="1"/>
  <c r="DE155" i="1"/>
  <c r="CI146" i="1"/>
  <c r="DJ146" i="1"/>
  <c r="BU149" i="1"/>
  <c r="CV149" i="1"/>
  <c r="CK151" i="1"/>
  <c r="DL151" i="1"/>
  <c r="BS155" i="1"/>
  <c r="CT155" i="1"/>
  <c r="CB146" i="1"/>
  <c r="DC146" i="1"/>
  <c r="CH153" i="1"/>
  <c r="DI153" i="1"/>
  <c r="BZ155" i="1"/>
  <c r="DA155" i="1"/>
  <c r="BO155" i="1"/>
  <c r="CP155" i="1"/>
  <c r="CI155" i="1"/>
  <c r="DJ155" i="1"/>
  <c r="BR176" i="1"/>
  <c r="CS176" i="1"/>
  <c r="BW174" i="1"/>
  <c r="CX174" i="1"/>
  <c r="BP174" i="1"/>
  <c r="CQ174" i="1"/>
  <c r="BS174" i="1"/>
  <c r="CT174" i="1"/>
  <c r="CH175" i="1"/>
  <c r="DI175" i="1"/>
  <c r="BZ146" i="1"/>
  <c r="DA146" i="1"/>
  <c r="CE147" i="1"/>
  <c r="DF147" i="1"/>
  <c r="BO147" i="1"/>
  <c r="CP147" i="1"/>
  <c r="BZ147" i="1"/>
  <c r="DA147" i="1"/>
  <c r="CG175" i="1"/>
  <c r="DH175" i="1"/>
  <c r="CE151" i="1"/>
  <c r="DF151" i="1"/>
  <c r="CF153" i="1"/>
  <c r="DG153" i="1"/>
  <c r="BS175" i="1"/>
  <c r="CT175" i="1"/>
  <c r="BS176" i="1"/>
  <c r="CT176" i="1"/>
  <c r="CC175" i="1"/>
  <c r="DD175" i="1"/>
  <c r="CD175" i="1"/>
  <c r="DE175" i="1"/>
  <c r="BR175" i="1"/>
  <c r="CS175" i="1"/>
  <c r="BT149" i="1"/>
  <c r="CU149" i="1"/>
  <c r="BN175" i="1"/>
  <c r="CO175" i="1"/>
  <c r="BZ176" i="1"/>
  <c r="DA176" i="1"/>
  <c r="CE176" i="1"/>
  <c r="DF176" i="1"/>
  <c r="CF176" i="1"/>
  <c r="DG176" i="1"/>
  <c r="CJ176" i="1"/>
  <c r="DK176" i="1"/>
  <c r="CG145" i="1"/>
  <c r="DH145" i="1"/>
  <c r="BT145" i="1"/>
  <c r="CU145" i="1"/>
  <c r="CK174" i="1"/>
  <c r="DL174" i="1"/>
  <c r="CJ175" i="1"/>
  <c r="DK175" i="1"/>
  <c r="BY149" i="1"/>
  <c r="CZ149" i="1"/>
  <c r="BS151" i="1"/>
  <c r="CT151" i="1"/>
  <c r="CF146" i="1"/>
  <c r="DG146" i="1"/>
  <c r="CI176" i="1"/>
  <c r="DJ176" i="1"/>
  <c r="BZ174" i="1"/>
  <c r="DA174" i="1"/>
  <c r="CC147" i="1"/>
  <c r="DD147" i="1"/>
  <c r="CK148" i="1"/>
  <c r="DL148" i="1"/>
  <c r="BN148" i="1"/>
  <c r="CO148" i="1"/>
  <c r="BR148" i="1"/>
  <c r="CS148" i="1"/>
  <c r="BP148" i="1"/>
  <c r="CQ148" i="1"/>
  <c r="CE148" i="1"/>
  <c r="DF148" i="1"/>
  <c r="CC148" i="1"/>
  <c r="DD148" i="1"/>
  <c r="CD148" i="1"/>
  <c r="DE148" i="1"/>
  <c r="CH148" i="1"/>
  <c r="DI148" i="1"/>
  <c r="CF148" i="1"/>
  <c r="DG148" i="1"/>
  <c r="BV148" i="1"/>
  <c r="CW148" i="1"/>
  <c r="BS148" i="1"/>
  <c r="CT148" i="1"/>
  <c r="CG148" i="1"/>
  <c r="DH148" i="1"/>
  <c r="CB148" i="1"/>
  <c r="DC148" i="1"/>
  <c r="BT148" i="1"/>
  <c r="CU148" i="1"/>
  <c r="BX148" i="1"/>
  <c r="CY148" i="1"/>
  <c r="BQ148" i="1"/>
  <c r="CR148" i="1"/>
  <c r="BW148" i="1"/>
  <c r="CX148" i="1"/>
  <c r="CA148" i="1"/>
  <c r="DB148" i="1"/>
  <c r="BO148" i="1"/>
  <c r="CP148" i="1"/>
  <c r="CJ148" i="1"/>
  <c r="DK148" i="1"/>
  <c r="AJ148" i="1"/>
  <c r="BM148" i="1"/>
  <c r="CN148" i="1"/>
  <c r="BY148" i="1"/>
  <c r="CZ148" i="1"/>
  <c r="BU148" i="1"/>
  <c r="CV148" i="1"/>
  <c r="BZ148" i="1"/>
  <c r="DA148" i="1"/>
  <c r="CI148" i="1"/>
  <c r="DJ148" i="1"/>
  <c r="BO152" i="1"/>
  <c r="CP152" i="1"/>
  <c r="CE152" i="1"/>
  <c r="DF152" i="1"/>
  <c r="CG152" i="1"/>
  <c r="DH152" i="1"/>
  <c r="CF152" i="1"/>
  <c r="DG152" i="1"/>
  <c r="CI152" i="1"/>
  <c r="DJ152" i="1"/>
  <c r="CA152" i="1"/>
  <c r="DB152" i="1"/>
  <c r="BY152" i="1"/>
  <c r="CZ152" i="1"/>
  <c r="AJ152" i="1"/>
  <c r="BM152" i="1"/>
  <c r="CN152" i="1"/>
  <c r="BU152" i="1"/>
  <c r="CV152" i="1"/>
  <c r="BT152" i="1"/>
  <c r="CU152" i="1"/>
  <c r="BS152" i="1"/>
  <c r="CT152" i="1"/>
  <c r="BZ152" i="1"/>
  <c r="DA152" i="1"/>
  <c r="BX152" i="1"/>
  <c r="CY152" i="1"/>
  <c r="CD152" i="1"/>
  <c r="DE152" i="1"/>
  <c r="CB152" i="1"/>
  <c r="DC152" i="1"/>
  <c r="CC152" i="1"/>
  <c r="DD152" i="1"/>
  <c r="BN152" i="1"/>
  <c r="CO152" i="1"/>
  <c r="BR152" i="1"/>
  <c r="CS152" i="1"/>
  <c r="CH152" i="1"/>
  <c r="DI152" i="1"/>
  <c r="BQ152" i="1"/>
  <c r="CR152" i="1"/>
  <c r="CK152" i="1"/>
  <c r="DL152" i="1"/>
  <c r="CJ152" i="1"/>
  <c r="DK152" i="1"/>
  <c r="BP152" i="1"/>
  <c r="CQ152" i="1"/>
  <c r="BW152" i="1"/>
  <c r="CX152" i="1"/>
  <c r="BV152" i="1"/>
  <c r="CW152" i="1"/>
  <c r="DN170" i="1" l="1"/>
  <c r="DN146" i="1"/>
  <c r="DN175" i="1"/>
  <c r="DN154" i="1"/>
  <c r="DN145" i="1"/>
  <c r="DN151" i="1"/>
  <c r="CM176" i="1"/>
  <c r="CM156" i="1"/>
  <c r="DN166" i="1"/>
  <c r="CM164" i="1"/>
  <c r="CM146" i="1"/>
  <c r="DN147" i="1"/>
  <c r="DN150" i="1"/>
  <c r="CM145" i="1"/>
  <c r="CM151" i="1"/>
  <c r="DN153" i="1"/>
  <c r="DN155" i="1"/>
  <c r="CM170" i="1"/>
  <c r="CM166" i="1"/>
  <c r="DN172" i="1"/>
  <c r="DN158" i="1"/>
  <c r="DN168" i="1"/>
  <c r="DN152" i="1"/>
  <c r="CM152" i="1"/>
  <c r="DN148" i="1"/>
  <c r="CM175" i="1"/>
  <c r="CM154" i="1"/>
  <c r="DN174" i="1"/>
  <c r="CM153" i="1"/>
  <c r="DN149" i="1"/>
  <c r="DN156" i="1"/>
  <c r="DN162" i="1"/>
  <c r="DN164" i="1"/>
  <c r="CM148" i="1"/>
  <c r="CM147" i="1"/>
  <c r="CM150" i="1"/>
  <c r="CM174" i="1"/>
  <c r="DN176" i="1"/>
  <c r="CM149" i="1"/>
  <c r="CM155" i="1"/>
  <c r="CM172" i="1"/>
  <c r="CM162" i="1"/>
  <c r="CM158" i="1"/>
  <c r="CM168" i="1"/>
  <c r="EL154" i="1"/>
  <c r="DW147" i="1"/>
  <c r="DT146" i="1"/>
  <c r="EL153" i="1"/>
  <c r="EL146" i="1"/>
  <c r="DV154" i="1"/>
  <c r="DP151" i="1"/>
  <c r="DT149" i="1"/>
  <c r="DZ151" i="1"/>
  <c r="EE155" i="1"/>
  <c r="EC151" i="1"/>
  <c r="DU147" i="1"/>
  <c r="DX153" i="1"/>
  <c r="DR146" i="1"/>
  <c r="EG175" i="1"/>
  <c r="EG150" i="1"/>
  <c r="DZ176" i="1"/>
  <c r="DS175" i="1"/>
  <c r="DZ154" i="1"/>
  <c r="EI155" i="1"/>
  <c r="EE164" i="1"/>
  <c r="EK166" i="1"/>
  <c r="DU168" i="1"/>
  <c r="EA168" i="1"/>
  <c r="EA162" i="1"/>
  <c r="EG162" i="1"/>
  <c r="DX168" i="1"/>
  <c r="EL164" i="1"/>
  <c r="EM168" i="1"/>
  <c r="DW164" i="1"/>
  <c r="DY162" i="1"/>
  <c r="DT170" i="1"/>
  <c r="EL168" i="1"/>
  <c r="DY164" i="1"/>
  <c r="ED170" i="1"/>
  <c r="DT166" i="1"/>
  <c r="DP168" i="1"/>
  <c r="DZ170" i="1"/>
  <c r="EC170" i="1"/>
  <c r="DY168" i="1"/>
  <c r="EM170" i="1"/>
  <c r="EL172" i="1"/>
  <c r="EF162" i="1"/>
  <c r="EM166" i="1"/>
  <c r="DV166" i="1"/>
  <c r="EC172" i="1"/>
  <c r="DU158" i="1"/>
  <c r="DT164" i="1"/>
  <c r="DU164" i="1"/>
  <c r="EM172" i="1"/>
  <c r="DO166" i="1"/>
  <c r="DW145" i="1"/>
  <c r="DQ145" i="1"/>
  <c r="EH170" i="1"/>
  <c r="EI158" i="1"/>
  <c r="EJ166" i="1"/>
  <c r="EF168" i="1"/>
  <c r="DQ164" i="1"/>
  <c r="DX166" i="1"/>
  <c r="DQ170" i="1"/>
  <c r="DX158" i="1"/>
  <c r="DZ166" i="1"/>
  <c r="DR166" i="1"/>
  <c r="EF158" i="1"/>
  <c r="EA172" i="1"/>
  <c r="DT162" i="1"/>
  <c r="DR170" i="1"/>
  <c r="EJ172" i="1"/>
  <c r="EL148" i="1"/>
  <c r="EC148" i="1"/>
  <c r="DS148" i="1"/>
  <c r="DV148" i="1"/>
  <c r="EI148" i="1"/>
  <c r="DX148" i="1"/>
  <c r="EJ148" i="1"/>
  <c r="EE148" i="1"/>
  <c r="EE147" i="1"/>
  <c r="EK176" i="1"/>
  <c r="DU151" i="1"/>
  <c r="EL175" i="1"/>
  <c r="EL176" i="1"/>
  <c r="EG176" i="1"/>
  <c r="DP175" i="1"/>
  <c r="DT175" i="1"/>
  <c r="EE175" i="1"/>
  <c r="DU175" i="1"/>
  <c r="EG151" i="1"/>
  <c r="EB147" i="1"/>
  <c r="EG147" i="1"/>
  <c r="EJ175" i="1"/>
  <c r="DT176" i="1"/>
  <c r="DQ155" i="1"/>
  <c r="EJ153" i="1"/>
  <c r="DU155" i="1"/>
  <c r="DW149" i="1"/>
  <c r="EF155" i="1"/>
  <c r="DZ155" i="1"/>
  <c r="EI146" i="1"/>
  <c r="EC147" i="1"/>
  <c r="EM153" i="1"/>
  <c r="EE176" i="1"/>
  <c r="EK175" i="1"/>
  <c r="EG155" i="1"/>
  <c r="EI150" i="1"/>
  <c r="EE146" i="1"/>
  <c r="DQ154" i="1"/>
  <c r="DU146" i="1"/>
  <c r="DX150" i="1"/>
  <c r="EI151" i="1"/>
  <c r="EG146" i="1"/>
  <c r="EJ150" i="1"/>
  <c r="EA155" i="1"/>
  <c r="DQ151" i="1"/>
  <c r="DZ145" i="1"/>
  <c r="DO147" i="1"/>
  <c r="DT145" i="1"/>
  <c r="ED145" i="1"/>
  <c r="EC145" i="1"/>
  <c r="EL150" i="1"/>
  <c r="DY154" i="1"/>
  <c r="EB151" i="1"/>
  <c r="EF149" i="1"/>
  <c r="EC146" i="1"/>
  <c r="DW154" i="1"/>
  <c r="EF176" i="1"/>
  <c r="EI176" i="1"/>
  <c r="DR150" i="1"/>
  <c r="EJ155" i="1"/>
  <c r="EC150" i="1"/>
  <c r="EH149" i="1"/>
  <c r="EM155" i="1"/>
  <c r="DY149" i="1"/>
  <c r="DU154" i="1"/>
  <c r="DQ146" i="1"/>
  <c r="ED147" i="1"/>
  <c r="DV153" i="1"/>
  <c r="DU149" i="1"/>
  <c r="DV150" i="1"/>
  <c r="DQ153" i="1"/>
  <c r="DT154" i="1"/>
  <c r="DQ175" i="1"/>
  <c r="DY146" i="1"/>
  <c r="DY176" i="1"/>
  <c r="EF153" i="1"/>
  <c r="EC162" i="1"/>
  <c r="DS168" i="1"/>
  <c r="EC168" i="1"/>
  <c r="EF164" i="1"/>
  <c r="EE162" i="1"/>
  <c r="DU166" i="1"/>
  <c r="EK158" i="1"/>
  <c r="DP170" i="1"/>
  <c r="DP158" i="1"/>
  <c r="EE170" i="1"/>
  <c r="DS170" i="1"/>
  <c r="EG158" i="1"/>
  <c r="DS164" i="1"/>
  <c r="DV164" i="1"/>
  <c r="EH164" i="1"/>
  <c r="DV172" i="1"/>
  <c r="DX164" i="1"/>
  <c r="ED164" i="1"/>
  <c r="EM158" i="1"/>
  <c r="DU172" i="1"/>
  <c r="DU162" i="1"/>
  <c r="EE172" i="1"/>
  <c r="EK172" i="1"/>
  <c r="EJ158" i="1"/>
  <c r="ED162" i="1"/>
  <c r="EK168" i="1"/>
  <c r="DU170" i="1"/>
  <c r="EF170" i="1"/>
  <c r="EK170" i="1"/>
  <c r="EA158" i="1"/>
  <c r="DW168" i="1"/>
  <c r="DY172" i="1"/>
  <c r="DT158" i="1"/>
  <c r="DW166" i="1"/>
  <c r="DQ166" i="1"/>
  <c r="DP166" i="1"/>
  <c r="EL166" i="1"/>
  <c r="EH168" i="1"/>
  <c r="DR168" i="1"/>
  <c r="EF172" i="1"/>
  <c r="DP162" i="1"/>
  <c r="EE166" i="1"/>
  <c r="DO162" i="1"/>
  <c r="DZ164" i="1"/>
  <c r="EJ164" i="1"/>
  <c r="DT172" i="1"/>
  <c r="EL162" i="1"/>
  <c r="EL170" i="1"/>
  <c r="DR172" i="1"/>
  <c r="DX172" i="1"/>
  <c r="DY158" i="1"/>
  <c r="EB172" i="1"/>
  <c r="EM164" i="1"/>
  <c r="EA164" i="1"/>
  <c r="EH172" i="1"/>
  <c r="DQ168" i="1"/>
  <c r="EJ170" i="1"/>
  <c r="DO164" i="1"/>
  <c r="DW162" i="1"/>
  <c r="DW170" i="1"/>
  <c r="DO150" i="1"/>
  <c r="DO155" i="1"/>
  <c r="DO172" i="1"/>
  <c r="DO158" i="1"/>
  <c r="EM162" i="1"/>
  <c r="ED158" i="1"/>
  <c r="ED166" i="1"/>
  <c r="DQ162" i="1"/>
  <c r="EB168" i="1"/>
  <c r="DO170" i="1"/>
  <c r="EI162" i="1"/>
  <c r="DZ158" i="1"/>
  <c r="DR158" i="1"/>
  <c r="DP172" i="1"/>
  <c r="DS162" i="1"/>
  <c r="DZ162" i="1"/>
  <c r="DR162" i="1"/>
  <c r="DW158" i="1"/>
  <c r="EK162" i="1"/>
  <c r="EE168" i="1"/>
  <c r="EG164" i="1"/>
  <c r="DT168" i="1"/>
  <c r="EA170" i="1"/>
  <c r="EJ162" i="1"/>
  <c r="DZ168" i="1"/>
  <c r="EC164" i="1"/>
  <c r="EG168" i="1"/>
  <c r="EB158" i="1"/>
  <c r="EF166" i="1"/>
  <c r="DS158" i="1"/>
  <c r="DQ172" i="1"/>
  <c r="EB164" i="1"/>
  <c r="EL158" i="1"/>
  <c r="DV170" i="1"/>
  <c r="DY170" i="1"/>
  <c r="EA166" i="1"/>
  <c r="EG172" i="1"/>
  <c r="EJ168" i="1"/>
  <c r="DP164" i="1"/>
  <c r="EI166" i="1"/>
  <c r="DW172" i="1"/>
  <c r="ED172" i="1"/>
  <c r="EG170" i="1"/>
  <c r="EB170" i="1"/>
  <c r="DZ153" i="1"/>
  <c r="EL145" i="1"/>
  <c r="DR176" i="1"/>
  <c r="DW175" i="1"/>
  <c r="DW153" i="1"/>
  <c r="DX176" i="1"/>
  <c r="EH175" i="1"/>
  <c r="DT147" i="1"/>
  <c r="EL149" i="1"/>
  <c r="EJ176" i="1"/>
  <c r="DQ149" i="1"/>
  <c r="DY153" i="1"/>
  <c r="EM149" i="1"/>
  <c r="DP154" i="1"/>
  <c r="DR149" i="1"/>
  <c r="EE154" i="1"/>
  <c r="DY151" i="1"/>
  <c r="EM150" i="1"/>
  <c r="DZ150" i="1"/>
  <c r="DY150" i="1"/>
  <c r="EB154" i="1"/>
  <c r="EJ146" i="1"/>
  <c r="DO153" i="1"/>
  <c r="DX149" i="1"/>
  <c r="DX154" i="1"/>
  <c r="EF146" i="1"/>
  <c r="DQ156" i="1"/>
  <c r="EK156" i="1"/>
  <c r="EJ156" i="1"/>
  <c r="DW156" i="1"/>
  <c r="EA156" i="1"/>
  <c r="EB156" i="1"/>
  <c r="DR156" i="1"/>
  <c r="DU156" i="1"/>
  <c r="EI168" i="1"/>
  <c r="EI172" i="1"/>
  <c r="EC166" i="1"/>
  <c r="EC158" i="1"/>
  <c r="DR164" i="1"/>
  <c r="EH158" i="1"/>
  <c r="DV158" i="1"/>
  <c r="DQ158" i="1"/>
  <c r="DS166" i="1"/>
  <c r="EH162" i="1"/>
  <c r="DV162" i="1"/>
  <c r="EK164" i="1"/>
  <c r="EB162" i="1"/>
  <c r="DY166" i="1"/>
  <c r="DX170" i="1"/>
  <c r="DZ172" i="1"/>
  <c r="EG166" i="1"/>
  <c r="EB166" i="1"/>
  <c r="EH166" i="1"/>
  <c r="DV168" i="1"/>
  <c r="DX162" i="1"/>
  <c r="EI170" i="1"/>
  <c r="DS172" i="1"/>
  <c r="ED168" i="1"/>
  <c r="EE158" i="1"/>
  <c r="EI164" i="1"/>
  <c r="DO168" i="1"/>
  <c r="EJ145" i="1"/>
  <c r="EG156" i="1"/>
  <c r="DS156" i="1"/>
  <c r="EC156" i="1"/>
  <c r="DT156" i="1"/>
  <c r="EE156" i="1"/>
  <c r="EF156" i="1"/>
  <c r="DV156" i="1"/>
  <c r="EL156" i="1"/>
  <c r="EH146" i="1"/>
  <c r="EA149" i="1"/>
  <c r="EH176" i="1"/>
  <c r="EB176" i="1"/>
  <c r="DV149" i="1"/>
  <c r="EF175" i="1"/>
  <c r="DU176" i="1"/>
  <c r="EH153" i="1"/>
  <c r="EI175" i="1"/>
  <c r="DQ147" i="1"/>
  <c r="EB146" i="1"/>
  <c r="DX147" i="1"/>
  <c r="EL151" i="1"/>
  <c r="EB175" i="1"/>
  <c r="EG154" i="1"/>
  <c r="EF154" i="1"/>
  <c r="DR147" i="1"/>
  <c r="DO154" i="1"/>
  <c r="DZ146" i="1"/>
  <c r="DS151" i="1"/>
  <c r="DT150" i="1"/>
  <c r="DS154" i="1"/>
  <c r="DW146" i="1"/>
  <c r="EK153" i="1"/>
  <c r="DO151" i="1"/>
  <c r="EA151" i="1"/>
  <c r="EC175" i="1"/>
  <c r="DV147" i="1"/>
  <c r="DQ176" i="1"/>
  <c r="EM176" i="1"/>
  <c r="DV151" i="1"/>
  <c r="EG153" i="1"/>
  <c r="DT151" i="1"/>
  <c r="ED155" i="1"/>
  <c r="DP156" i="1"/>
  <c r="EM156" i="1"/>
  <c r="DY156" i="1"/>
  <c r="ED156" i="1"/>
  <c r="DY145" i="1"/>
  <c r="EI156" i="1"/>
  <c r="DX156" i="1"/>
  <c r="EH156" i="1"/>
  <c r="DZ156" i="1"/>
  <c r="EB174" i="1"/>
  <c r="EM174" i="1"/>
  <c r="EI145" i="1"/>
  <c r="DU174" i="1"/>
  <c r="DY174" i="1"/>
  <c r="EK145" i="1"/>
  <c r="EA145" i="1"/>
  <c r="EJ174" i="1"/>
  <c r="EC174" i="1"/>
  <c r="EE145" i="1"/>
  <c r="DU145" i="1"/>
  <c r="DT174" i="1"/>
  <c r="EF174" i="1"/>
  <c r="EI174" i="1"/>
  <c r="EO13" i="1"/>
  <c r="EG149" i="1"/>
  <c r="EF147" i="1"/>
  <c r="EK147" i="1"/>
  <c r="DQ174" i="1"/>
  <c r="EK150" i="1"/>
  <c r="EJ151" i="1"/>
  <c r="DO149" i="1"/>
  <c r="EF150" i="1"/>
  <c r="DQ148" i="1"/>
  <c r="DY148" i="1"/>
  <c r="DZ148" i="1"/>
  <c r="ED148" i="1"/>
  <c r="DU148" i="1"/>
  <c r="DV145" i="1"/>
  <c r="DR174" i="1"/>
  <c r="EH145" i="1"/>
  <c r="EC153" i="1"/>
  <c r="EI149" i="1"/>
  <c r="ED151" i="1"/>
  <c r="EE153" i="1"/>
  <c r="DW150" i="1"/>
  <c r="EC155" i="1"/>
  <c r="EF151" i="1"/>
  <c r="EJ149" i="1"/>
  <c r="DS147" i="1"/>
  <c r="DP146" i="1"/>
  <c r="DV155" i="1"/>
  <c r="EA150" i="1"/>
  <c r="DX175" i="1"/>
  <c r="EH150" i="1"/>
  <c r="EK149" i="1"/>
  <c r="DR175" i="1"/>
  <c r="EB150" i="1"/>
  <c r="DS155" i="1"/>
  <c r="EC176" i="1"/>
  <c r="DV176" i="1"/>
  <c r="DS176" i="1"/>
  <c r="DP153" i="1"/>
  <c r="DY175" i="1"/>
  <c r="DR145" i="1"/>
  <c r="EF145" i="1"/>
  <c r="EM145" i="1"/>
  <c r="DZ175" i="1"/>
  <c r="ED176" i="1"/>
  <c r="DR154" i="1"/>
  <c r="DW176" i="1"/>
  <c r="EM175" i="1"/>
  <c r="DR153" i="1"/>
  <c r="EJ147" i="1"/>
  <c r="DY147" i="1"/>
  <c r="EA154" i="1"/>
  <c r="EA175" i="1"/>
  <c r="EK151" i="1"/>
  <c r="DX151" i="1"/>
  <c r="EB149" i="1"/>
  <c r="DZ147" i="1"/>
  <c r="DS153" i="1"/>
  <c r="EL155" i="1"/>
  <c r="EE150" i="1"/>
  <c r="DP174" i="1"/>
  <c r="DS145" i="1"/>
  <c r="EA174" i="1"/>
  <c r="DS174" i="1"/>
  <c r="ED174" i="1"/>
  <c r="DP176" i="1"/>
  <c r="ED175" i="1"/>
  <c r="DU153" i="1"/>
  <c r="DS146" i="1"/>
  <c r="DT155" i="1"/>
  <c r="EA147" i="1"/>
  <c r="EH151" i="1"/>
  <c r="DX146" i="1"/>
  <c r="EH155" i="1"/>
  <c r="EC149" i="1"/>
  <c r="EA146" i="1"/>
  <c r="EK154" i="1"/>
  <c r="EM147" i="1"/>
  <c r="ED149" i="1"/>
  <c r="EI154" i="1"/>
  <c r="EI147" i="1"/>
  <c r="DZ149" i="1"/>
  <c r="EI153" i="1"/>
  <c r="EK155" i="1"/>
  <c r="EB155" i="1"/>
  <c r="ED146" i="1"/>
  <c r="EM151" i="1"/>
  <c r="EK146" i="1"/>
  <c r="DR151" i="1"/>
  <c r="EA153" i="1"/>
  <c r="EM146" i="1"/>
  <c r="DO146" i="1"/>
  <c r="DV174" i="1"/>
  <c r="EE174" i="1"/>
  <c r="DX155" i="1"/>
  <c r="ED150" i="1"/>
  <c r="DW151" i="1"/>
  <c r="DT153" i="1"/>
  <c r="EH147" i="1"/>
  <c r="DW155" i="1"/>
  <c r="DR155" i="1"/>
  <c r="DY155" i="1"/>
  <c r="DS149" i="1"/>
  <c r="DP155" i="1"/>
  <c r="ED153" i="1"/>
  <c r="DV146" i="1"/>
  <c r="EE151" i="1"/>
  <c r="DU150" i="1"/>
  <c r="DP149" i="1"/>
  <c r="EH154" i="1"/>
  <c r="EA176" i="1"/>
  <c r="EJ154" i="1"/>
  <c r="DO175" i="1"/>
  <c r="DX174" i="1"/>
  <c r="EL174" i="1"/>
  <c r="DV175" i="1"/>
  <c r="EB153" i="1"/>
  <c r="DQ150" i="1"/>
  <c r="DP147" i="1"/>
  <c r="EL147" i="1"/>
  <c r="EG174" i="1"/>
  <c r="EH174" i="1"/>
  <c r="EC154" i="1"/>
  <c r="DP145" i="1"/>
  <c r="EG145" i="1"/>
  <c r="EE149" i="1"/>
  <c r="DP150" i="1"/>
  <c r="EM154" i="1"/>
  <c r="ED154" i="1"/>
  <c r="DS150" i="1"/>
  <c r="DW174" i="1"/>
  <c r="EK174" i="1"/>
  <c r="DZ174" i="1"/>
  <c r="EB145" i="1"/>
  <c r="DX145" i="1"/>
  <c r="EH148" i="1"/>
  <c r="DR148" i="1"/>
  <c r="EF148" i="1"/>
  <c r="EG148" i="1"/>
  <c r="DT148" i="1"/>
  <c r="EM148" i="1"/>
  <c r="DP148" i="1"/>
  <c r="EK148" i="1"/>
  <c r="DW148" i="1"/>
  <c r="DO148" i="1"/>
  <c r="EB148" i="1"/>
  <c r="EA148" i="1"/>
  <c r="EC152" i="1"/>
  <c r="EH152" i="1"/>
  <c r="EG152" i="1"/>
  <c r="DX152" i="1"/>
  <c r="DR152" i="1"/>
  <c r="EM152" i="1"/>
  <c r="EJ152" i="1"/>
  <c r="DP152" i="1"/>
  <c r="ED152" i="1"/>
  <c r="DZ152" i="1"/>
  <c r="DU152" i="1"/>
  <c r="DW152" i="1"/>
  <c r="EA152" i="1"/>
  <c r="EK152" i="1"/>
  <c r="EI152" i="1"/>
  <c r="DQ152" i="1"/>
  <c r="DY152" i="1"/>
  <c r="EL152" i="1"/>
  <c r="DS152" i="1"/>
  <c r="DT152" i="1"/>
  <c r="EE152" i="1"/>
  <c r="EF152" i="1"/>
  <c r="EB152" i="1"/>
  <c r="DV152" i="1"/>
  <c r="DO152" i="1"/>
  <c r="CM12" i="1" l="1"/>
  <c r="DN12" i="1"/>
  <c r="DN10" i="1"/>
  <c r="CM10" i="1"/>
  <c r="EO12" i="1" l="1"/>
  <c r="EO10" i="1"/>
  <c r="BV167" i="1" l="1"/>
  <c r="CT159" i="1"/>
  <c r="BW165" i="1"/>
  <c r="CB159" i="1"/>
  <c r="BR163" i="1"/>
  <c r="BR167" i="1"/>
  <c r="DI167" i="1"/>
  <c r="BO163" i="1"/>
  <c r="CE163" i="1"/>
  <c r="BM171" i="1"/>
  <c r="CU159" i="1"/>
  <c r="CQ163" i="1"/>
  <c r="CY165" i="1"/>
  <c r="CW163" i="1"/>
  <c r="CZ159" i="1"/>
  <c r="CT171" i="1"/>
  <c r="CQ159" i="1"/>
  <c r="CP171" i="1"/>
  <c r="CD165" i="1"/>
  <c r="CZ171" i="1"/>
  <c r="CW165" i="1"/>
  <c r="DE163" i="1"/>
  <c r="DF159" i="1"/>
  <c r="DA167" i="1"/>
  <c r="CF165" i="1"/>
  <c r="CR171" i="1"/>
  <c r="CK169" i="1"/>
  <c r="CG167" i="1"/>
  <c r="CO167" i="1"/>
  <c r="CY167" i="1"/>
  <c r="CI165" i="1"/>
  <c r="CR163" i="1"/>
  <c r="DI171" i="1"/>
  <c r="CY171" i="1"/>
  <c r="CP169" i="1"/>
  <c r="CO163" i="1"/>
  <c r="DI159" i="1"/>
  <c r="DH163" i="1"/>
  <c r="DH173" i="1"/>
  <c r="CF173" i="1"/>
  <c r="CG157" i="1"/>
  <c r="DE157" i="1"/>
  <c r="CW157" i="1"/>
  <c r="CY157" i="1"/>
  <c r="DJ157" i="1"/>
  <c r="CV159" i="1"/>
  <c r="DI161" i="1"/>
  <c r="DJ161" i="1"/>
  <c r="BM169" i="1"/>
  <c r="BR157" i="1"/>
  <c r="BW157" i="1"/>
  <c r="CJ157" i="1"/>
  <c r="DE171" i="1"/>
  <c r="DJ169" i="1"/>
  <c r="DC157" i="1"/>
  <c r="DB157" i="1"/>
  <c r="DD157" i="1"/>
  <c r="CU157" i="1"/>
  <c r="CZ157" i="1"/>
  <c r="CO157" i="1"/>
  <c r="BP173" i="1" l="1"/>
  <c r="CQ173" i="1"/>
  <c r="BV157" i="1"/>
  <c r="DL157" i="1"/>
  <c r="CK157" i="1"/>
  <c r="DL159" i="1"/>
  <c r="CK159" i="1"/>
  <c r="DB163" i="1"/>
  <c r="CA163" i="1"/>
  <c r="DG157" i="1"/>
  <c r="CF157" i="1"/>
  <c r="DG161" i="1"/>
  <c r="CF161" i="1"/>
  <c r="CV169" i="1"/>
  <c r="BU169" i="1"/>
  <c r="DH171" i="1"/>
  <c r="CG171" i="1"/>
  <c r="BY159" i="1"/>
  <c r="EA159" i="1" s="1"/>
  <c r="DK157" i="1"/>
  <c r="EL157" i="1" s="1"/>
  <c r="BT157" i="1"/>
  <c r="DV157" i="1" s="1"/>
  <c r="CI161" i="1"/>
  <c r="EK161" i="1" s="1"/>
  <c r="CD163" i="1"/>
  <c r="EF163" i="1" s="1"/>
  <c r="BV165" i="1"/>
  <c r="DX165" i="1" s="1"/>
  <c r="CV157" i="1"/>
  <c r="BU157" i="1"/>
  <c r="DF157" i="1"/>
  <c r="CE157" i="1"/>
  <c r="DH161" i="1"/>
  <c r="CG161" i="1"/>
  <c r="CE161" i="1"/>
  <c r="DF161" i="1"/>
  <c r="DI157" i="1"/>
  <c r="CH157" i="1"/>
  <c r="CN161" i="1"/>
  <c r="AJ161" i="1"/>
  <c r="BM161" i="1"/>
  <c r="CO161" i="1"/>
  <c r="BN161" i="1"/>
  <c r="DL171" i="1"/>
  <c r="CK171" i="1"/>
  <c r="CU169" i="1"/>
  <c r="BT169" i="1"/>
  <c r="BY163" i="1"/>
  <c r="CZ163" i="1"/>
  <c r="CQ157" i="1"/>
  <c r="BP157" i="1"/>
  <c r="DL165" i="1"/>
  <c r="CK165" i="1"/>
  <c r="DF169" i="1"/>
  <c r="CE169" i="1"/>
  <c r="DD173" i="1"/>
  <c r="CC173" i="1"/>
  <c r="CO159" i="1"/>
  <c r="BN159" i="1"/>
  <c r="BR161" i="1"/>
  <c r="CS161" i="1"/>
  <c r="CN173" i="1"/>
  <c r="AJ173" i="1"/>
  <c r="BM173" i="1"/>
  <c r="CX169" i="1"/>
  <c r="BW169" i="1"/>
  <c r="CY173" i="1"/>
  <c r="BX173" i="1"/>
  <c r="BZ157" i="1"/>
  <c r="DA157" i="1"/>
  <c r="DB169" i="1"/>
  <c r="CA169" i="1"/>
  <c r="DL161" i="1"/>
  <c r="CK161" i="1"/>
  <c r="CR157" i="1"/>
  <c r="BQ157" i="1"/>
  <c r="DC169" i="1"/>
  <c r="CB169" i="1"/>
  <c r="CU165" i="1"/>
  <c r="BT165" i="1"/>
  <c r="DK173" i="1"/>
  <c r="CJ173" i="1"/>
  <c r="CP157" i="1"/>
  <c r="BO157" i="1"/>
  <c r="CW173" i="1"/>
  <c r="BV173" i="1"/>
  <c r="BS157" i="1"/>
  <c r="CT157" i="1"/>
  <c r="CY161" i="1"/>
  <c r="BX161" i="1"/>
  <c r="DC161" i="1"/>
  <c r="CB161" i="1"/>
  <c r="DL173" i="1"/>
  <c r="CK173" i="1"/>
  <c r="DG169" i="1"/>
  <c r="CF169" i="1"/>
  <c r="CV173" i="1"/>
  <c r="BU173" i="1"/>
  <c r="AJ157" i="1"/>
  <c r="CN157" i="1"/>
  <c r="BM157" i="1"/>
  <c r="CQ161" i="1"/>
  <c r="BP161" i="1"/>
  <c r="CI169" i="1"/>
  <c r="EK169" i="1" s="1"/>
  <c r="BU159" i="1"/>
  <c r="DW159" i="1" s="1"/>
  <c r="DF173" i="1"/>
  <c r="CE173" i="1"/>
  <c r="CP173" i="1"/>
  <c r="BO173" i="1"/>
  <c r="CU173" i="1"/>
  <c r="BT173" i="1"/>
  <c r="CR167" i="1"/>
  <c r="BQ167" i="1"/>
  <c r="CR165" i="1"/>
  <c r="BQ165" i="1"/>
  <c r="CQ165" i="1"/>
  <c r="BP165" i="1"/>
  <c r="CO171" i="1"/>
  <c r="BN171" i="1"/>
  <c r="DJ167" i="1"/>
  <c r="CI167" i="1"/>
  <c r="CV161" i="1"/>
  <c r="BU161" i="1"/>
  <c r="DA161" i="1"/>
  <c r="BZ161" i="1"/>
  <c r="CW169" i="1"/>
  <c r="BV169" i="1"/>
  <c r="CN169" i="1"/>
  <c r="AJ169" i="1"/>
  <c r="CD171" i="1"/>
  <c r="EF171" i="1" s="1"/>
  <c r="CI157" i="1"/>
  <c r="BX157" i="1"/>
  <c r="CD157" i="1"/>
  <c r="CS157" i="1"/>
  <c r="DT157" i="1" s="1"/>
  <c r="CB173" i="1"/>
  <c r="DC173" i="1"/>
  <c r="CX173" i="1"/>
  <c r="BW173" i="1"/>
  <c r="CZ161" i="1"/>
  <c r="BY161" i="1"/>
  <c r="CJ169" i="1"/>
  <c r="DK169" i="1"/>
  <c r="DD165" i="1"/>
  <c r="CC165" i="1"/>
  <c r="DC167" i="1"/>
  <c r="CB167" i="1"/>
  <c r="CG173" i="1"/>
  <c r="EI173" i="1" s="1"/>
  <c r="CH165" i="1"/>
  <c r="DI165" i="1"/>
  <c r="CI173" i="1"/>
  <c r="DJ173" i="1"/>
  <c r="BQ169" i="1"/>
  <c r="CR169" i="1"/>
  <c r="CA173" i="1"/>
  <c r="DB173" i="1"/>
  <c r="BN157" i="1"/>
  <c r="DH169" i="1"/>
  <c r="CG169" i="1"/>
  <c r="CP161" i="1"/>
  <c r="BO161" i="1"/>
  <c r="CR161" i="1"/>
  <c r="BQ161" i="1"/>
  <c r="DE169" i="1"/>
  <c r="CD169" i="1"/>
  <c r="CX157" i="1"/>
  <c r="CW161" i="1"/>
  <c r="BV161" i="1"/>
  <c r="DX157" i="1"/>
  <c r="CZ167" i="1"/>
  <c r="BY167" i="1"/>
  <c r="DB161" i="1"/>
  <c r="CA161" i="1"/>
  <c r="CU161" i="1"/>
  <c r="BT161" i="1"/>
  <c r="CZ165" i="1"/>
  <c r="BY165" i="1"/>
  <c r="DE167" i="1"/>
  <c r="CD167" i="1"/>
  <c r="BQ173" i="1"/>
  <c r="CR173" i="1"/>
  <c r="DD161" i="1"/>
  <c r="CC161" i="1"/>
  <c r="DB159" i="1"/>
  <c r="CA159" i="1"/>
  <c r="DA173" i="1"/>
  <c r="BZ173" i="1"/>
  <c r="DD169" i="1"/>
  <c r="CC169" i="1"/>
  <c r="CD173" i="1"/>
  <c r="DE173" i="1"/>
  <c r="CT161" i="1"/>
  <c r="BS161" i="1"/>
  <c r="BY157" i="1"/>
  <c r="CS173" i="1"/>
  <c r="BR173" i="1"/>
  <c r="CC157" i="1"/>
  <c r="CA157" i="1"/>
  <c r="CB157" i="1"/>
  <c r="DH157" i="1"/>
  <c r="DK161" i="1"/>
  <c r="CJ161" i="1"/>
  <c r="DA169" i="1"/>
  <c r="BZ169" i="1"/>
  <c r="DI173" i="1"/>
  <c r="CH173" i="1"/>
  <c r="BX169" i="1"/>
  <c r="CY169" i="1"/>
  <c r="CV163" i="1"/>
  <c r="BU163" i="1"/>
  <c r="CT169" i="1"/>
  <c r="BS169" i="1"/>
  <c r="CZ173" i="1"/>
  <c r="BY173" i="1"/>
  <c r="DJ159" i="1"/>
  <c r="CI159" i="1"/>
  <c r="CH161" i="1"/>
  <c r="EJ161" i="1" s="1"/>
  <c r="CZ169" i="1"/>
  <c r="BY169" i="1"/>
  <c r="DK171" i="1"/>
  <c r="CJ171" i="1"/>
  <c r="CS169" i="1"/>
  <c r="BR169" i="1"/>
  <c r="BT171" i="1"/>
  <c r="CU171" i="1"/>
  <c r="CX161" i="1"/>
  <c r="BW161" i="1"/>
  <c r="DI169" i="1"/>
  <c r="CH169" i="1"/>
  <c r="DD171" i="1"/>
  <c r="CC171" i="1"/>
  <c r="BS173" i="1"/>
  <c r="CT173" i="1"/>
  <c r="DG173" i="1"/>
  <c r="EH173" i="1" s="1"/>
  <c r="CB165" i="1"/>
  <c r="DC165" i="1"/>
  <c r="BX171" i="1"/>
  <c r="DZ171" i="1" s="1"/>
  <c r="CC167" i="1"/>
  <c r="DD167" i="1"/>
  <c r="CV171" i="1"/>
  <c r="BU171" i="1"/>
  <c r="BW171" i="1"/>
  <c r="CX171" i="1"/>
  <c r="CS159" i="1"/>
  <c r="BR159" i="1"/>
  <c r="CX167" i="1"/>
  <c r="BW167" i="1"/>
  <c r="CH159" i="1"/>
  <c r="EJ159" i="1" s="1"/>
  <c r="BN163" i="1"/>
  <c r="DP163" i="1" s="1"/>
  <c r="DE161" i="1"/>
  <c r="CD161" i="1"/>
  <c r="CU167" i="1"/>
  <c r="BT167" i="1"/>
  <c r="DL167" i="1"/>
  <c r="CK167" i="1"/>
  <c r="DC163" i="1"/>
  <c r="CB163" i="1"/>
  <c r="DE159" i="1"/>
  <c r="CD159" i="1"/>
  <c r="BP167" i="1"/>
  <c r="CQ167" i="1"/>
  <c r="DK163" i="1"/>
  <c r="CJ163" i="1"/>
  <c r="CW159" i="1"/>
  <c r="BV159" i="1"/>
  <c r="CX159" i="1"/>
  <c r="BW159" i="1"/>
  <c r="BZ171" i="1"/>
  <c r="DA171" i="1"/>
  <c r="CY159" i="1"/>
  <c r="BX159" i="1"/>
  <c r="CV167" i="1"/>
  <c r="BU167" i="1"/>
  <c r="DD163" i="1"/>
  <c r="CC163" i="1"/>
  <c r="DG171" i="1"/>
  <c r="CF171" i="1"/>
  <c r="CT165" i="1"/>
  <c r="BS165" i="1"/>
  <c r="CY163" i="1"/>
  <c r="BX163" i="1"/>
  <c r="DF171" i="1"/>
  <c r="CE171" i="1"/>
  <c r="DK167" i="1"/>
  <c r="CJ167" i="1"/>
  <c r="BO169" i="1"/>
  <c r="DQ169" i="1" s="1"/>
  <c r="BN169" i="1"/>
  <c r="CO169" i="1"/>
  <c r="DF167" i="1"/>
  <c r="CE167" i="1"/>
  <c r="CV165" i="1"/>
  <c r="BU165" i="1"/>
  <c r="BP171" i="1"/>
  <c r="CQ171" i="1"/>
  <c r="CT163" i="1"/>
  <c r="BS163" i="1"/>
  <c r="CO173" i="1"/>
  <c r="BN173" i="1"/>
  <c r="CG163" i="1"/>
  <c r="EI163" i="1" s="1"/>
  <c r="CS171" i="1"/>
  <c r="BR171" i="1"/>
  <c r="CN167" i="1"/>
  <c r="AJ167" i="1"/>
  <c r="BM167" i="1"/>
  <c r="DC171" i="1"/>
  <c r="CB171" i="1"/>
  <c r="CW171" i="1"/>
  <c r="BV171" i="1"/>
  <c r="BP169" i="1"/>
  <c r="CQ169" i="1"/>
  <c r="DB167" i="1"/>
  <c r="CA167" i="1"/>
  <c r="CP165" i="1"/>
  <c r="BO165" i="1"/>
  <c r="DH167" i="1"/>
  <c r="EI167" i="1" s="1"/>
  <c r="DG165" i="1"/>
  <c r="EH165" i="1" s="1"/>
  <c r="DL169" i="1"/>
  <c r="EM169" i="1" s="1"/>
  <c r="BO171" i="1"/>
  <c r="DQ171" i="1" s="1"/>
  <c r="CP167" i="1"/>
  <c r="BO167" i="1"/>
  <c r="CR159" i="1"/>
  <c r="BQ159" i="1"/>
  <c r="CA171" i="1"/>
  <c r="DB171" i="1"/>
  <c r="BZ167" i="1"/>
  <c r="EB167" i="1" s="1"/>
  <c r="BQ163" i="1"/>
  <c r="DS163" i="1" s="1"/>
  <c r="DH165" i="1"/>
  <c r="CG165" i="1"/>
  <c r="CP159" i="1"/>
  <c r="BO159" i="1"/>
  <c r="DJ165" i="1"/>
  <c r="EK165" i="1" s="1"/>
  <c r="DG167" i="1"/>
  <c r="CF167" i="1"/>
  <c r="CH171" i="1"/>
  <c r="EJ171" i="1" s="1"/>
  <c r="DA163" i="1"/>
  <c r="BZ163" i="1"/>
  <c r="DG163" i="1"/>
  <c r="CF163" i="1"/>
  <c r="CC159" i="1"/>
  <c r="DD159" i="1"/>
  <c r="CX163" i="1"/>
  <c r="BW163" i="1"/>
  <c r="AJ165" i="1"/>
  <c r="BM165" i="1"/>
  <c r="CN165" i="1"/>
  <c r="CH163" i="1"/>
  <c r="DI163" i="1"/>
  <c r="BT163" i="1"/>
  <c r="CU163" i="1"/>
  <c r="DK165" i="1"/>
  <c r="CJ165" i="1"/>
  <c r="DJ163" i="1"/>
  <c r="CI163" i="1"/>
  <c r="DF165" i="1"/>
  <c r="CE165" i="1"/>
  <c r="CO165" i="1"/>
  <c r="BN165" i="1"/>
  <c r="BQ171" i="1"/>
  <c r="DS171" i="1" s="1"/>
  <c r="AJ163" i="1"/>
  <c r="CN163" i="1"/>
  <c r="BM163" i="1"/>
  <c r="DA159" i="1"/>
  <c r="BZ159" i="1"/>
  <c r="DL163" i="1"/>
  <c r="CK163" i="1"/>
  <c r="CE159" i="1"/>
  <c r="EG159" i="1" s="1"/>
  <c r="DG159" i="1"/>
  <c r="CF159" i="1"/>
  <c r="DH159" i="1"/>
  <c r="CG159" i="1"/>
  <c r="BZ165" i="1"/>
  <c r="DA165" i="1"/>
  <c r="CJ159" i="1"/>
  <c r="DK159" i="1"/>
  <c r="AJ159" i="1"/>
  <c r="DJ171" i="1"/>
  <c r="CI171" i="1"/>
  <c r="BX167" i="1"/>
  <c r="DZ167" i="1" s="1"/>
  <c r="BN167" i="1"/>
  <c r="DP167" i="1" s="1"/>
  <c r="CS165" i="1"/>
  <c r="BR165" i="1"/>
  <c r="DE165" i="1"/>
  <c r="EF165" i="1" s="1"/>
  <c r="BY171" i="1"/>
  <c r="EA171" i="1" s="1"/>
  <c r="DB165" i="1"/>
  <c r="CA165" i="1"/>
  <c r="CT167" i="1"/>
  <c r="BS167" i="1"/>
  <c r="BP163" i="1"/>
  <c r="DR163" i="1" s="1"/>
  <c r="BS171" i="1"/>
  <c r="DU171" i="1" s="1"/>
  <c r="BT159" i="1"/>
  <c r="DV159" i="1" s="1"/>
  <c r="CX165" i="1"/>
  <c r="DY165" i="1" s="1"/>
  <c r="DF163" i="1"/>
  <c r="EG163" i="1" s="1"/>
  <c r="CS163" i="1"/>
  <c r="DT163" i="1" s="1"/>
  <c r="CS167" i="1"/>
  <c r="DT167" i="1" s="1"/>
  <c r="BV163" i="1"/>
  <c r="DX163" i="1" s="1"/>
  <c r="BP159" i="1"/>
  <c r="DR159" i="1" s="1"/>
  <c r="AJ171" i="1"/>
  <c r="CW167" i="1"/>
  <c r="DX167" i="1" s="1"/>
  <c r="CP163" i="1"/>
  <c r="DQ163" i="1" s="1"/>
  <c r="DC159" i="1"/>
  <c r="ED159" i="1" s="1"/>
  <c r="BX165" i="1"/>
  <c r="DZ165" i="1" s="1"/>
  <c r="BS159" i="1"/>
  <c r="DU159" i="1" s="1"/>
  <c r="CN171" i="1"/>
  <c r="CN159" i="1"/>
  <c r="BM159" i="1"/>
  <c r="CH167" i="1"/>
  <c r="EJ167" i="1" s="1"/>
  <c r="CM171" i="1" l="1"/>
  <c r="CM169" i="1"/>
  <c r="DN159" i="1"/>
  <c r="DN163" i="1"/>
  <c r="CM165" i="1"/>
  <c r="CM167" i="1"/>
  <c r="DN161" i="1"/>
  <c r="DO171" i="1"/>
  <c r="DN171" i="1"/>
  <c r="DN173" i="1"/>
  <c r="CM161" i="1"/>
  <c r="DN167" i="1"/>
  <c r="CM157" i="1"/>
  <c r="CM159" i="1"/>
  <c r="CM163" i="1"/>
  <c r="DN165" i="1"/>
  <c r="DO169" i="1"/>
  <c r="DN169" i="1"/>
  <c r="DN157" i="1"/>
  <c r="CM173" i="1"/>
  <c r="DP173" i="1"/>
  <c r="EG167" i="1"/>
  <c r="DP159" i="1"/>
  <c r="EG169" i="1"/>
  <c r="DR173" i="1"/>
  <c r="EG161" i="1"/>
  <c r="DU169" i="1"/>
  <c r="EB169" i="1"/>
  <c r="DU161" i="1"/>
  <c r="EE169" i="1"/>
  <c r="EC159" i="1"/>
  <c r="EA165" i="1"/>
  <c r="EC161" i="1"/>
  <c r="EF169" i="1"/>
  <c r="DQ161" i="1"/>
  <c r="EH159" i="1"/>
  <c r="DU163" i="1"/>
  <c r="DW165" i="1"/>
  <c r="EI161" i="1"/>
  <c r="EB161" i="1"/>
  <c r="DO159" i="1"/>
  <c r="EC165" i="1"/>
  <c r="DT165" i="1"/>
  <c r="DX159" i="1"/>
  <c r="EE171" i="1"/>
  <c r="DY161" i="1"/>
  <c r="DT169" i="1"/>
  <c r="EA169" i="1"/>
  <c r="ED167" i="1"/>
  <c r="DY173" i="1"/>
  <c r="EI171" i="1"/>
  <c r="EH161" i="1"/>
  <c r="EC163" i="1"/>
  <c r="EM157" i="1"/>
  <c r="DR169" i="1"/>
  <c r="EB173" i="1"/>
  <c r="EE161" i="1"/>
  <c r="EF167" i="1"/>
  <c r="DV161" i="1"/>
  <c r="EA167" i="1"/>
  <c r="DS161" i="1"/>
  <c r="EI169" i="1"/>
  <c r="EE165" i="1"/>
  <c r="EA161" i="1"/>
  <c r="EE173" i="1"/>
  <c r="EM165" i="1"/>
  <c r="EB159" i="1"/>
  <c r="EG165" i="1"/>
  <c r="EL165" i="1"/>
  <c r="DX169" i="1"/>
  <c r="DW169" i="1"/>
  <c r="EH157" i="1"/>
  <c r="EI159" i="1"/>
  <c r="DY163" i="1"/>
  <c r="EH163" i="1"/>
  <c r="DQ167" i="1"/>
  <c r="EC167" i="1"/>
  <c r="DX171" i="1"/>
  <c r="DT171" i="1"/>
  <c r="EL167" i="1"/>
  <c r="DZ163" i="1"/>
  <c r="EH171" i="1"/>
  <c r="DW167" i="1"/>
  <c r="ED165" i="1"/>
  <c r="DU167" i="1"/>
  <c r="EM159" i="1"/>
  <c r="EA173" i="1"/>
  <c r="DW163" i="1"/>
  <c r="EJ173" i="1"/>
  <c r="EL161" i="1"/>
  <c r="DO161" i="1"/>
  <c r="DV163" i="1"/>
  <c r="DO165" i="1"/>
  <c r="EB163" i="1"/>
  <c r="EI165" i="1"/>
  <c r="DS159" i="1"/>
  <c r="EM167" i="1"/>
  <c r="EF161" i="1"/>
  <c r="DT159" i="1"/>
  <c r="DW171" i="1"/>
  <c r="EJ169" i="1"/>
  <c r="EL171" i="1"/>
  <c r="DX161" i="1"/>
  <c r="DW161" i="1"/>
  <c r="DO173" i="1"/>
  <c r="EA163" i="1"/>
  <c r="ED157" i="1"/>
  <c r="EB165" i="1"/>
  <c r="EE159" i="1"/>
  <c r="DR171" i="1"/>
  <c r="DY171" i="1"/>
  <c r="EE167" i="1"/>
  <c r="DZ169" i="1"/>
  <c r="EJ163" i="1"/>
  <c r="DO167" i="1"/>
  <c r="EB171" i="1"/>
  <c r="DR167" i="1"/>
  <c r="EE157" i="1"/>
  <c r="EC173" i="1"/>
  <c r="DZ157" i="1"/>
  <c r="EK171" i="1"/>
  <c r="EL159" i="1"/>
  <c r="EM163" i="1"/>
  <c r="DO163" i="1"/>
  <c r="DP165" i="1"/>
  <c r="EK163" i="1"/>
  <c r="EH167" i="1"/>
  <c r="DQ159" i="1"/>
  <c r="EC171" i="1"/>
  <c r="DQ165" i="1"/>
  <c r="ED171" i="1"/>
  <c r="DP169" i="1"/>
  <c r="EG171" i="1"/>
  <c r="DU165" i="1"/>
  <c r="EE163" i="1"/>
  <c r="DZ159" i="1"/>
  <c r="DY159" i="1"/>
  <c r="EL163" i="1"/>
  <c r="EF159" i="1"/>
  <c r="ED163" i="1"/>
  <c r="DV167" i="1"/>
  <c r="DY167" i="1"/>
  <c r="DU173" i="1"/>
  <c r="DV171" i="1"/>
  <c r="EK159" i="1"/>
  <c r="DT173" i="1"/>
  <c r="EK173" i="1"/>
  <c r="ED173" i="1"/>
  <c r="EK157" i="1"/>
  <c r="EK167" i="1"/>
  <c r="DR165" i="1"/>
  <c r="DS167" i="1"/>
  <c r="DQ173" i="1"/>
  <c r="EH169" i="1"/>
  <c r="ED161" i="1"/>
  <c r="DX173" i="1"/>
  <c r="DQ157" i="1"/>
  <c r="DV165" i="1"/>
  <c r="DS157" i="1"/>
  <c r="DY169" i="1"/>
  <c r="DR157" i="1"/>
  <c r="DV169" i="1"/>
  <c r="DP161" i="1"/>
  <c r="EG157" i="1"/>
  <c r="EI157" i="1"/>
  <c r="EB157" i="1"/>
  <c r="DP171" i="1"/>
  <c r="DS165" i="1"/>
  <c r="DV173" i="1"/>
  <c r="EG173" i="1"/>
  <c r="DR161" i="1"/>
  <c r="DW173" i="1"/>
  <c r="EM173" i="1"/>
  <c r="DZ161" i="1"/>
  <c r="EL173" i="1"/>
  <c r="ED169" i="1"/>
  <c r="EM161" i="1"/>
  <c r="EC169" i="1"/>
  <c r="DZ173" i="1"/>
  <c r="DT161" i="1"/>
  <c r="EM171" i="1"/>
  <c r="DW157" i="1"/>
  <c r="DP157" i="1"/>
  <c r="EC157" i="1"/>
  <c r="EA157" i="1"/>
  <c r="EF173" i="1"/>
  <c r="DS173" i="1"/>
  <c r="DS169" i="1"/>
  <c r="EJ165" i="1"/>
  <c r="EL169" i="1"/>
  <c r="EF157" i="1"/>
  <c r="DO157" i="1"/>
  <c r="DU157" i="1"/>
  <c r="DY157" i="1"/>
  <c r="EJ157" i="1"/>
  <c r="CV160" i="1"/>
  <c r="CV3" i="1" s="1"/>
  <c r="DF160" i="1" l="1"/>
  <c r="CE160" i="1"/>
  <c r="DI160" i="1"/>
  <c r="CH160" i="1"/>
  <c r="DB160" i="1"/>
  <c r="CA160" i="1"/>
  <c r="BU160" i="1"/>
  <c r="CV5" i="1"/>
  <c r="CV8" i="1" s="1"/>
  <c r="DK160" i="1" l="1"/>
  <c r="CJ160" i="1"/>
  <c r="CY160" i="1"/>
  <c r="BX160" i="1"/>
  <c r="CO160" i="1"/>
  <c r="BN160" i="1"/>
  <c r="BS160" i="1"/>
  <c r="CT160" i="1"/>
  <c r="DD160" i="1"/>
  <c r="CC160" i="1"/>
  <c r="CR160" i="1"/>
  <c r="BQ160" i="1"/>
  <c r="DW160" i="1"/>
  <c r="BU3" i="1"/>
  <c r="BU5" i="1"/>
  <c r="CU160" i="1"/>
  <c r="BT160" i="1"/>
  <c r="CS160" i="1"/>
  <c r="BR160" i="1"/>
  <c r="CF160" i="1"/>
  <c r="DG160" i="1"/>
  <c r="DB3" i="1"/>
  <c r="DB5" i="1"/>
  <c r="CG160" i="1"/>
  <c r="DH160" i="1"/>
  <c r="CK160" i="1"/>
  <c r="DL160" i="1"/>
  <c r="CX160" i="1"/>
  <c r="BW160" i="1"/>
  <c r="CA5" i="1"/>
  <c r="CA8" i="1" s="1"/>
  <c r="CA3" i="1"/>
  <c r="EC160" i="1"/>
  <c r="CP160" i="1"/>
  <c r="BO160" i="1"/>
  <c r="DE160" i="1"/>
  <c r="CD160" i="1"/>
  <c r="CH5" i="1"/>
  <c r="CH3" i="1"/>
  <c r="EJ160" i="1"/>
  <c r="CE3" i="1"/>
  <c r="CE5" i="1"/>
  <c r="EG160" i="1"/>
  <c r="CZ160" i="1"/>
  <c r="BY160" i="1"/>
  <c r="CQ160" i="1"/>
  <c r="BP160" i="1"/>
  <c r="BZ160" i="1"/>
  <c r="DA160" i="1"/>
  <c r="DC160" i="1"/>
  <c r="CB160" i="1"/>
  <c r="DJ160" i="1"/>
  <c r="CI160" i="1"/>
  <c r="BV160" i="1"/>
  <c r="CW160" i="1"/>
  <c r="AJ160" i="1"/>
  <c r="BM160" i="1"/>
  <c r="CN160" i="1"/>
  <c r="DI5" i="1"/>
  <c r="DI8" i="1" s="1"/>
  <c r="DI3" i="1"/>
  <c r="DF5" i="1"/>
  <c r="DF3" i="1"/>
  <c r="DN160" i="1" l="1"/>
  <c r="CM160" i="1"/>
  <c r="BU8" i="1"/>
  <c r="CH8" i="1"/>
  <c r="CE8" i="1"/>
  <c r="DF8" i="1"/>
  <c r="DB8" i="1"/>
  <c r="DJ3" i="1"/>
  <c r="DJ5" i="1"/>
  <c r="BZ3" i="1"/>
  <c r="BZ5" i="1"/>
  <c r="EB160" i="1"/>
  <c r="CZ3" i="1"/>
  <c r="CZ5" i="1"/>
  <c r="CK5" i="1"/>
  <c r="CK3" i="1"/>
  <c r="EM160" i="1"/>
  <c r="BQ3" i="1"/>
  <c r="BQ5" i="1"/>
  <c r="DS160" i="1"/>
  <c r="CT3" i="1"/>
  <c r="CT5" i="1"/>
  <c r="BX3" i="1"/>
  <c r="DZ160" i="1"/>
  <c r="BX5" i="1"/>
  <c r="CP5" i="1"/>
  <c r="CP3" i="1"/>
  <c r="DT160" i="1"/>
  <c r="BR5" i="1"/>
  <c r="BR3" i="1"/>
  <c r="CW3" i="1"/>
  <c r="CW5" i="1"/>
  <c r="CB3" i="1"/>
  <c r="CB5" i="1"/>
  <c r="ED160" i="1"/>
  <c r="BP5" i="1"/>
  <c r="BP3" i="1"/>
  <c r="DR160" i="1"/>
  <c r="EG3" i="1"/>
  <c r="EG5" i="1"/>
  <c r="EJ5" i="1"/>
  <c r="EJ3" i="1"/>
  <c r="CD3" i="1"/>
  <c r="EF160" i="1"/>
  <c r="CD5" i="1"/>
  <c r="EC3" i="1"/>
  <c r="EC5" i="1"/>
  <c r="BW5" i="1"/>
  <c r="BW3" i="1"/>
  <c r="DY160" i="1"/>
  <c r="DH5" i="1"/>
  <c r="DH3" i="1"/>
  <c r="CS5" i="1"/>
  <c r="CS3" i="1"/>
  <c r="CR3" i="1"/>
  <c r="CR5" i="1"/>
  <c r="BS5" i="1"/>
  <c r="BS3" i="1"/>
  <c r="DU160" i="1"/>
  <c r="CY3" i="1"/>
  <c r="CY5" i="1"/>
  <c r="CN3" i="1"/>
  <c r="CN5" i="1"/>
  <c r="BV3" i="1"/>
  <c r="DX160" i="1"/>
  <c r="BV5" i="1"/>
  <c r="DC5" i="1"/>
  <c r="DC3" i="1"/>
  <c r="CQ5" i="1"/>
  <c r="CQ3" i="1"/>
  <c r="DE3" i="1"/>
  <c r="DE5" i="1"/>
  <c r="CX5" i="1"/>
  <c r="CX3" i="1"/>
  <c r="CG5" i="1"/>
  <c r="EI160" i="1"/>
  <c r="CG3" i="1"/>
  <c r="DG3" i="1"/>
  <c r="DG5" i="1"/>
  <c r="BT3" i="1"/>
  <c r="BT5" i="1"/>
  <c r="DV160" i="1"/>
  <c r="CC3" i="1"/>
  <c r="CC5" i="1"/>
  <c r="EE160" i="1"/>
  <c r="BN3" i="1"/>
  <c r="BN5" i="1"/>
  <c r="DP160" i="1"/>
  <c r="CJ5" i="1"/>
  <c r="CJ3" i="1"/>
  <c r="EL160" i="1"/>
  <c r="BM3" i="1"/>
  <c r="BM5" i="1"/>
  <c r="DO160" i="1"/>
  <c r="CI3" i="1"/>
  <c r="EK160" i="1"/>
  <c r="CI5" i="1"/>
  <c r="DA3" i="1"/>
  <c r="DA5" i="1"/>
  <c r="BY3" i="1"/>
  <c r="EA160" i="1"/>
  <c r="BY5" i="1"/>
  <c r="DQ160" i="1"/>
  <c r="BO5" i="1"/>
  <c r="BO3" i="1"/>
  <c r="DL3" i="1"/>
  <c r="DL5" i="1"/>
  <c r="CF5" i="1"/>
  <c r="CF3" i="1"/>
  <c r="EH160" i="1"/>
  <c r="CU3" i="1"/>
  <c r="CU5" i="1"/>
  <c r="DW5" i="1"/>
  <c r="DW3" i="1"/>
  <c r="DD3" i="1"/>
  <c r="DD5" i="1"/>
  <c r="CO5" i="1"/>
  <c r="CO3" i="1"/>
  <c r="DK5" i="1"/>
  <c r="DK3" i="1"/>
  <c r="EJ8" i="1" l="1"/>
  <c r="DA8" i="1"/>
  <c r="CB8" i="1"/>
  <c r="DJ8" i="1"/>
  <c r="BO8" i="1"/>
  <c r="CJ8" i="1"/>
  <c r="BN8" i="1"/>
  <c r="CC8" i="1"/>
  <c r="CU8" i="1"/>
  <c r="DE8" i="1"/>
  <c r="CK8" i="1"/>
  <c r="CR8" i="1"/>
  <c r="DH8" i="1"/>
  <c r="CZ8" i="1"/>
  <c r="CY8" i="1"/>
  <c r="CO8" i="1"/>
  <c r="CF8" i="1"/>
  <c r="CX8" i="1"/>
  <c r="EG8" i="1"/>
  <c r="CP8" i="1"/>
  <c r="CW8" i="1"/>
  <c r="BX8" i="1"/>
  <c r="BQ8" i="1"/>
  <c r="CQ8" i="1"/>
  <c r="BV8" i="1"/>
  <c r="BT8" i="1"/>
  <c r="BS8" i="1"/>
  <c r="BP8" i="1"/>
  <c r="EC8" i="1"/>
  <c r="BZ8" i="1"/>
  <c r="CT8" i="1"/>
  <c r="DK8" i="1"/>
  <c r="DD8" i="1"/>
  <c r="DW8" i="1"/>
  <c r="BY8" i="1"/>
  <c r="EK3" i="1"/>
  <c r="EK5" i="1"/>
  <c r="CM11" i="1"/>
  <c r="DP5" i="1"/>
  <c r="DP3" i="1"/>
  <c r="EE5" i="1"/>
  <c r="EE3" i="1"/>
  <c r="DG8" i="1"/>
  <c r="EI3" i="1"/>
  <c r="EI5" i="1"/>
  <c r="DX5" i="1"/>
  <c r="DX3" i="1"/>
  <c r="DN3" i="1"/>
  <c r="BW8" i="1"/>
  <c r="DZ3" i="1"/>
  <c r="DZ5" i="1"/>
  <c r="CG8" i="1"/>
  <c r="DN11" i="1"/>
  <c r="DU3" i="1"/>
  <c r="DU5" i="1"/>
  <c r="BR8" i="1"/>
  <c r="EB3" i="1"/>
  <c r="EB5" i="1"/>
  <c r="EH5" i="1"/>
  <c r="EH3" i="1"/>
  <c r="EA5" i="1"/>
  <c r="EA3" i="1"/>
  <c r="CM5" i="1"/>
  <c r="DL8" i="1"/>
  <c r="DQ5" i="1"/>
  <c r="DQ3" i="1"/>
  <c r="CM3" i="1"/>
  <c r="DC8" i="1"/>
  <c r="CS8" i="1"/>
  <c r="DY3" i="1"/>
  <c r="DY5" i="1"/>
  <c r="CD8" i="1"/>
  <c r="DT3" i="1"/>
  <c r="DT5" i="1"/>
  <c r="DS3" i="1"/>
  <c r="DS5" i="1"/>
  <c r="EM3" i="1"/>
  <c r="EM5" i="1"/>
  <c r="CI8" i="1"/>
  <c r="DO5" i="1"/>
  <c r="DO3" i="1"/>
  <c r="EL3" i="1"/>
  <c r="EL5" i="1"/>
  <c r="DV5" i="1"/>
  <c r="DV3" i="1"/>
  <c r="DN5" i="1"/>
  <c r="CN8" i="1"/>
  <c r="EF3" i="1"/>
  <c r="EF5" i="1"/>
  <c r="DR5" i="1"/>
  <c r="DR3" i="1"/>
  <c r="ED3" i="1"/>
  <c r="ED5" i="1"/>
  <c r="ED8" i="1" s="1"/>
  <c r="DZ8" i="1" l="1"/>
  <c r="DY8" i="1"/>
  <c r="DP8" i="1"/>
  <c r="EH8" i="1"/>
  <c r="DR8" i="1"/>
  <c r="EM8" i="1"/>
  <c r="DS8" i="1"/>
  <c r="EI8" i="1"/>
  <c r="EK8" i="1"/>
  <c r="DV8" i="1"/>
  <c r="EO11" i="1"/>
  <c r="DQ8" i="1"/>
  <c r="DX8" i="1"/>
  <c r="EE8" i="1"/>
  <c r="EF8" i="1"/>
  <c r="EL8" i="1"/>
  <c r="EO3" i="1"/>
  <c r="EA8" i="1"/>
  <c r="DO8" i="1"/>
  <c r="EO5" i="1"/>
  <c r="DT8" i="1"/>
  <c r="EB8" i="1"/>
  <c r="DU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CDA34-A400-4C3D-B535-3D2A4DAA4BE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<sst xmlns="http://schemas.openxmlformats.org/spreadsheetml/2006/main" count="1665" uniqueCount="354">
  <si>
    <t>PG_ACC_PROF</t>
  </si>
  <si>
    <t>PG_ACC_VRF</t>
  </si>
  <si>
    <t>PG_Chillers Daikin</t>
  </si>
  <si>
    <t>PG_Chillers Kentatsu</t>
  </si>
  <si>
    <t>PG_Chillers MIDEA</t>
  </si>
  <si>
    <t>PG_Daichi DFT 2026</t>
  </si>
  <si>
    <t>PG_Fancoils KENTATSU</t>
  </si>
  <si>
    <t>PG_Kent LCAC (o/f-0)</t>
  </si>
  <si>
    <t>PG_Packaged MIDEA</t>
  </si>
  <si>
    <t>PG_VRF Daikin</t>
  </si>
  <si>
    <t>PG_VRF_Kentatsu</t>
  </si>
  <si>
    <t>PG_VRF_Midea</t>
  </si>
  <si>
    <t>СОВМ (ДИЛ+ДПП)</t>
  </si>
  <si>
    <t>Аксессуары чиллер-фанкойл</t>
  </si>
  <si>
    <t>3. PROF ACC</t>
  </si>
  <si>
    <t>ACC_PROF</t>
  </si>
  <si>
    <t>Аксессуары мультизональных систем</t>
  </si>
  <si>
    <t>2. VRF ACC</t>
  </si>
  <si>
    <t>ACC_VRF</t>
  </si>
  <si>
    <t>Чиллеры</t>
  </si>
  <si>
    <t>3. PROF</t>
  </si>
  <si>
    <t>Чиллеры_DAIKIN</t>
  </si>
  <si>
    <t>Чиллеры_KENTATSU</t>
  </si>
  <si>
    <t>Чиллеры_MIDEA</t>
  </si>
  <si>
    <t>DFT кондиционеры</t>
  </si>
  <si>
    <t>2. VRF</t>
  </si>
  <si>
    <t>Фанкойлы</t>
  </si>
  <si>
    <t>Фанкойлы_KENTATSU</t>
  </si>
  <si>
    <t>Полупромышленные кондиционеры</t>
  </si>
  <si>
    <t>1. RAC</t>
  </si>
  <si>
    <t>Kent LCAC (o/f-0)</t>
  </si>
  <si>
    <t>Компрессорно-конденсаторные блоки</t>
  </si>
  <si>
    <t>Компрессорно-конденсаторные блоки_MIDEA</t>
  </si>
  <si>
    <t>Системы VRF</t>
  </si>
  <si>
    <t>Системы VRF_DAIKIN</t>
  </si>
  <si>
    <t>Системы VRF_KENTATSU</t>
  </si>
  <si>
    <t>Системы VRF_MIDEA</t>
  </si>
  <si>
    <t>ШТ</t>
  </si>
  <si>
    <t>Sales new, $</t>
  </si>
  <si>
    <t>DDP new, $</t>
  </si>
  <si>
    <t>НАЦ.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</si>
  <si>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</si>
  <si>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</si>
  <si>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</si>
  <si>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</si>
  <si>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</si>
  <si>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</si>
  <si>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</si>
  <si>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</si>
  <si>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</si>
  <si>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</si>
  <si>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</si>
  <si>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</si>
  <si>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</si>
  <si>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</si>
  <si>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</si>
  <si>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</si>
  <si>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</si>
  <si>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</si>
  <si>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</si>
  <si>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</si>
  <si>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</si>
  <si>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</si>
  <si>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</si>
  <si>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</si>
  <si>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</si>
  <si>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План от янв 26 usd</t>
  </si>
  <si>
    <t>Названия строк</t>
  </si>
  <si>
    <t>Cовместные продажи</t>
  </si>
  <si>
    <t>ДПП</t>
  </si>
  <si>
    <t>Общий итог</t>
  </si>
  <si>
    <t>Аксессуары RAC</t>
  </si>
  <si>
    <t>Аксессуары для ККБ</t>
  </si>
  <si>
    <t>Бытовые вентиляторы</t>
  </si>
  <si>
    <t>Бытовые кондиционеры</t>
  </si>
  <si>
    <t>Гидромодули</t>
  </si>
  <si>
    <t>Запчасти кондиционирование</t>
  </si>
  <si>
    <t>Канальная вентиляция</t>
  </si>
  <si>
    <t>Компактные вентиляционные установки</t>
  </si>
  <si>
    <t>Мобильные кондиционеры</t>
  </si>
  <si>
    <t>Модульные чиллеры</t>
  </si>
  <si>
    <t>Облачные аксессуары</t>
  </si>
  <si>
    <t>Облачные кондиционеры</t>
  </si>
  <si>
    <t>Оконные кондиционеры</t>
  </si>
  <si>
    <t>Отопительные котлы</t>
  </si>
  <si>
    <t>Охладители</t>
  </si>
  <si>
    <t>Прецизионные кондиционеры</t>
  </si>
  <si>
    <t>Системы мульти-сплит</t>
  </si>
  <si>
    <t>Системы управления RAC</t>
  </si>
  <si>
    <t>Системы управления мультизональных систем</t>
  </si>
  <si>
    <t>Центральные кондиционеры</t>
  </si>
  <si>
    <t>Названия столбцов</t>
  </si>
  <si>
    <t>PG_ACC_BRANDING</t>
  </si>
  <si>
    <t>PG_ACC_RAC</t>
  </si>
  <si>
    <t>PG_Chillers Branded</t>
  </si>
  <si>
    <t>PG_Chillers_modular_KENTATSU</t>
  </si>
  <si>
    <t>PG_Chillers_modular_MIDEA</t>
  </si>
  <si>
    <t>PG_Daichi Spl (inv-1) (Alpine) [MRAC]</t>
  </si>
  <si>
    <t>PG_Fancoils Daikin</t>
  </si>
  <si>
    <t>PG_Fancoils MIDEA</t>
  </si>
  <si>
    <t>PG_Hydraulic Modules</t>
  </si>
  <si>
    <t>PG_Kent Spl (inv-1) (Tiba) [MRAC]</t>
  </si>
  <si>
    <t>PG_Kent Spl (inv-1) (Yuki) [MRAC]</t>
  </si>
  <si>
    <t>PG_Kent Spl (o/f-0) (Kanami) [MRAC]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</si>
  <si>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</si>
  <si>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</si>
  <si>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</si>
  <si>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</si>
  <si>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</si>
  <si>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</si>
  <si>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PG_VRF Daichi+Noname</t>
  </si>
  <si>
    <t>PG_Канальная вентиляция</t>
  </si>
  <si>
    <t>PG_Компактные вентиляционные установки</t>
  </si>
  <si>
    <t>PG_Центральные кондиционеры</t>
  </si>
  <si>
    <t>PG_Cloud_Controls_LCAC</t>
  </si>
  <si>
    <t>PG_Cloud_Controls_D-BT</t>
  </si>
  <si>
    <t>PG_Cloud_Controls_Wall-Mount</t>
  </si>
  <si>
    <t>PG_Cloud_Controls_DCM</t>
  </si>
  <si>
    <t>PG_HEAT_WHBc/FSBc</t>
  </si>
  <si>
    <t>1. RAC ACC</t>
  </si>
  <si>
    <t>ACC_RAC</t>
  </si>
  <si>
    <t>Чиллеры_Branding</t>
  </si>
  <si>
    <t>Модульные чиллеры_KENTATSU</t>
  </si>
  <si>
    <t>Модульные чиллеры_MIDEA</t>
  </si>
  <si>
    <t>Daichi Spl (inv-1) (Alpine) [MRAC]</t>
  </si>
  <si>
    <t>Фанкойлы_DAIKIN</t>
  </si>
  <si>
    <t>Фанкойлы_MIDEA</t>
  </si>
  <si>
    <t>Kent Spl (inv-1) (Tiba) [GREE]</t>
  </si>
  <si>
    <t>Kent Spl (inv-1) (Yuki) [MRAC]</t>
  </si>
  <si>
    <t>Kent Spl (o/f-0) (Kanami) [MRAC]</t>
  </si>
  <si>
    <t>Компрессорно-конденсаторные блоки_DAIKIN</t>
  </si>
  <si>
    <t>Компрессорно-конденсаторные блоки_KENTATSU</t>
  </si>
  <si>
    <t>Компрессорно-конденсаторные блоки_Branding</t>
  </si>
  <si>
    <t>Прецизионные кондиционеры_EnviCool</t>
  </si>
  <si>
    <t>Прецизионные кондиционеры_KENTATSU</t>
  </si>
  <si>
    <t>Системы VRF_Branding</t>
  </si>
  <si>
    <t>4. VENT</t>
  </si>
  <si>
    <t>ВЕНТ Канальная</t>
  </si>
  <si>
    <t>ВЕНТ Компакт</t>
  </si>
  <si>
    <t>ВЕНТ AHU</t>
  </si>
  <si>
    <t>Облачные контроллеры LCAC</t>
  </si>
  <si>
    <t>7. CLOUD (CONTROLS)</t>
  </si>
  <si>
    <t>Cloud_Controls_LCAC</t>
  </si>
  <si>
    <t>Облачные контроллеры D-BT</t>
  </si>
  <si>
    <t>Cloud_Controls_D-BT</t>
  </si>
  <si>
    <t>Облачные контроллеры настенные</t>
  </si>
  <si>
    <t>Cloud_Controls_Wall-Mount</t>
  </si>
  <si>
    <t>Центральные контроллеры DCM</t>
  </si>
  <si>
    <t>Cloud_Controls_DCM</t>
  </si>
  <si>
    <t>5. HEAT</t>
  </si>
  <si>
    <t>HEAT_WHBc/FSBc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</si>
  <si>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</si>
  <si>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</si>
  <si>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</si>
  <si>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</si>
  <si>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</si>
  <si>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</si>
  <si>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</si>
  <si>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</si>
  <si>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</si>
  <si>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</si>
  <si>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</si>
  <si>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</si>
  <si>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</si>
  <si>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</si>
  <si>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</si>
  <si>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</si>
  <si>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</si>
  <si>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</si>
  <si>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</si>
  <si>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</si>
  <si>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</si>
  <si>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</si>
  <si>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</si>
  <si>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</si>
  <si>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</si>
  <si>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</si>
  <si>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</si>
  <si>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</si>
  <si>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</si>
  <si>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</si>
  <si>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</si>
  <si>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</si>
  <si>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</si>
  <si>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</si>
  <si>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</si>
  <si>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</si>
  <si>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</si>
  <si>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</si>
  <si>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</si>
  <si>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</si>
  <si>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</si>
  <si>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</si>
  <si>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</si>
  <si>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</si>
  <si>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</si>
  <si>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</si>
  <si>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</si>
  <si>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</si>
  <si>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</si>
  <si>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</si>
  <si>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</si>
  <si>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</si>
  <si>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</si>
  <si>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</si>
  <si>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</si>
  <si>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</si>
  <si>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</si>
  <si>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</si>
  <si>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</si>
  <si>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</si>
  <si>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</si>
  <si>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</si>
  <si>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</si>
  <si>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</si>
  <si>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</si>
  <si>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</si>
  <si>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</si>
  <si>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</si>
  <si>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</si>
  <si>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</si>
  <si>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</si>
  <si>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</si>
  <si>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</si>
  <si>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</si>
  <si>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</si>
  <si>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</si>
  <si>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</si>
  <si>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</si>
  <si>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</si>
  <si>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</si>
  <si>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</si>
  <si>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</si>
  <si>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</si>
  <si>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ДИЛЕРСКИЙ</t>
  </si>
  <si>
    <t>AirLab Spl (inv-1) (Gen 1) [Haier]</t>
  </si>
  <si>
    <t>AirLab Spl (o/f-0) (Gen 1) [Haier]</t>
  </si>
  <si>
    <t>Axioma Spl (inv-1) (Серия F) [Haier]</t>
  </si>
  <si>
    <t>Axioma Spl (inv-1) (Серия H) [TCL]</t>
  </si>
  <si>
    <t>Axioma Spl (o/f-0) (Серия F) [Haier]</t>
  </si>
  <si>
    <t>Axioma Spl (o/f-0) (Серия H) [TCL]</t>
  </si>
  <si>
    <t>CoolUP (inv-1) PreOrd</t>
  </si>
  <si>
    <t>CoolUP (o/f-0) PreOrd</t>
  </si>
  <si>
    <t>Daichi Spl (inv-1) (AIR-I) [TCL]</t>
  </si>
  <si>
    <t>Daichi Spl (inv-1) (EVO) [GREE]</t>
  </si>
  <si>
    <t>Daichi Spl (inv-1) (ICE 2) [GREE]</t>
  </si>
  <si>
    <t>Daichi Spl (inv-1) (Miracle) [TCL]</t>
  </si>
  <si>
    <t>Daichi Spl (inv-1) (O2) [GREE] PreOrd</t>
  </si>
  <si>
    <t>Daichi Spl (inv-1) (SIB) [GREE]</t>
  </si>
  <si>
    <t>Daichi Spl (inv-1) (Unique) [Haier]</t>
  </si>
  <si>
    <t>Daichi Spl (o/f-0) (AIR) [TCL]</t>
  </si>
  <si>
    <t>Daichi Spl (o/f-0) (Alpine) [MRAC]</t>
  </si>
  <si>
    <t>Daichi Spl (o/f-0) (Everest) [TCL] PreOrd</t>
  </si>
  <si>
    <t>Daichi Spl (o/f-0) (ICE) [GREE]</t>
  </si>
  <si>
    <t>Daichi Spl (o/f-0) (Miracle) [TCL]</t>
  </si>
  <si>
    <t>Daikin Spl Other</t>
  </si>
  <si>
    <t>Ecoletta (inv-1) PreOrd</t>
  </si>
  <si>
    <t>Ecoletta (o/f-0) PreOrd</t>
  </si>
  <si>
    <t>Kent Spl (inv-1) (Atama) [TCL]</t>
  </si>
  <si>
    <t>Kent Spl (inv-1) (Haruki) [TCL]</t>
  </si>
  <si>
    <t>Kent Spl (inv-1) (Kanami) [MRAC]</t>
  </si>
  <si>
    <t>Kent Spl (inv-1) (Kumo) [MRAC]</t>
  </si>
  <si>
    <t>Kent Spl (inv-1) (Omori) [MRAC]</t>
  </si>
  <si>
    <t>Kent Spl (inv-1) (OTARI) [GREE]</t>
  </si>
  <si>
    <t>Kent Spl (inv-1) (Sempai) [MRAC]</t>
  </si>
  <si>
    <t>Kent Spl (inv-1) (Tamashi) [GREE]</t>
  </si>
  <si>
    <t>Kent Spl (inv-1) (Tokachi) [GREE]</t>
  </si>
  <si>
    <t>Kent Spl (o/f-0) (Atama) [TCL]</t>
  </si>
  <si>
    <t>Kent Spl (o/f-0) (Haruki) [TCL]</t>
  </si>
  <si>
    <t>Kent Spl (o/f-0) (Ichi) [MRAC]</t>
  </si>
  <si>
    <t>Kent Spl (o/f-0) (Kumo) [MRAC]</t>
  </si>
  <si>
    <t>Kent Spl (o/f-0) (Naomi) [MRAC]</t>
  </si>
  <si>
    <t>Kent Spl (o/f-0) (Tiba) [GREE]</t>
  </si>
  <si>
    <t>Midea Spl (inv-1) (Brezzeless E) [MRAC]</t>
  </si>
  <si>
    <t>Midea Spl (inv-1) (Brezzeless) [MRAC]</t>
  </si>
  <si>
    <t>Midea Spl (inv-1) (Easy) [MRAC]</t>
  </si>
  <si>
    <t>Midea Spl (inv-1) (Gaia) [MRAC]</t>
  </si>
  <si>
    <t>Midea Spl (inv-1) (Heat Force) [MRAC]</t>
  </si>
  <si>
    <t>Midea Spl (inv-1) (Persona) [MRAC]</t>
  </si>
  <si>
    <t>Midea Spl (inv-1) (Pramount) [MRAC]</t>
  </si>
  <si>
    <t>Midea Spl (inv-1) (Primary) [MRAC] PreOrd</t>
  </si>
  <si>
    <t>Midea Spl (inv-1) (Unlimited) [MRAC]</t>
  </si>
  <si>
    <t>Midea Spl (o/f-0) (EASY) [MRAC]</t>
  </si>
  <si>
    <t>Midea Spl (o/f-0) (Persona) [MRAC]</t>
  </si>
  <si>
    <t>Midea Spl (o/f-0) (Pramount) [MRAC]</t>
  </si>
  <si>
    <t>Midea Spl (o/f-0) (Primary) [MRAC] PreOrd</t>
  </si>
  <si>
    <t>Midea Spl (o/f-0) (Unlimited) [MRAC]</t>
  </si>
  <si>
    <t>Mobile AC Midea (inv-1)</t>
  </si>
  <si>
    <t>Mobile AC Midea (o/f-0)</t>
  </si>
  <si>
    <t>Window AC Axioma</t>
  </si>
  <si>
    <t>Daichi LCAC inv</t>
  </si>
  <si>
    <t>Daichi LCAC on-off</t>
  </si>
  <si>
    <t>Daikin LCAC</t>
  </si>
  <si>
    <t>Kent LCAC (inv-1)</t>
  </si>
  <si>
    <t>Kentatsu LCAC big duct</t>
  </si>
  <si>
    <t>Midea LCAC (inv-1)</t>
  </si>
  <si>
    <t>Midea LCAC (o/f-0)</t>
  </si>
  <si>
    <t>Midea LCAC big duct</t>
  </si>
  <si>
    <t>Multi Axioma</t>
  </si>
  <si>
    <t>Multi Daichi</t>
  </si>
  <si>
    <t>Multi Daikin</t>
  </si>
  <si>
    <t>Multi Kentatsu</t>
  </si>
  <si>
    <t>Multi Midea</t>
  </si>
  <si>
    <t>Системы VRF_BOSCH</t>
  </si>
  <si>
    <t>Системы VRF_DAIKIN(Лежак)</t>
  </si>
  <si>
    <t>Системы VRF_KENTATSU(Лежак)</t>
  </si>
  <si>
    <t>Системы VRF_MIDEA(Лежак)</t>
  </si>
  <si>
    <t>HEAT_ACC</t>
  </si>
  <si>
    <t>HEAT_Spare Parts</t>
  </si>
  <si>
    <t>HEAT_EWHB</t>
  </si>
  <si>
    <t>HEAT_FSBnc/SFB</t>
  </si>
  <si>
    <t>HEAT_GWH</t>
  </si>
  <si>
    <t>HEAT_WHBnc CN</t>
  </si>
  <si>
    <t>HEAT_WHBnc CN+</t>
  </si>
  <si>
    <t>HEAT_WHBnc TR</t>
  </si>
  <si>
    <t>Cloud_Controls_RAC</t>
  </si>
  <si>
    <t>ЗЧ Китай</t>
  </si>
  <si>
    <t>8. SPARE PARTS</t>
  </si>
  <si>
    <t>Аксессуары отопление</t>
  </si>
  <si>
    <t>Запчасти отопление</t>
  </si>
  <si>
    <t>Облачные контроллеры RAC</t>
  </si>
  <si>
    <t>ДПП центр</t>
  </si>
  <si>
    <t>*</t>
  </si>
  <si>
    <t>1. RAC*</t>
  </si>
  <si>
    <t>ОТГРУЗКИ</t>
  </si>
  <si>
    <t>ОТГРУЗКИ В DDP</t>
  </si>
  <si>
    <t>ВАЛОВАЯ ПРИБЫЛЬ</t>
  </si>
  <si>
    <t>ВСЕГО</t>
  </si>
  <si>
    <t>ШТУКИ</t>
  </si>
  <si>
    <t>СЕЗОННОСТЬ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</si>
  <si>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</si>
  <si>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</si>
  <si>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</si>
  <si>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</si>
  <si>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</si>
  <si>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</si>
  <si>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</si>
  <si>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</si>
  <si>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</si>
  <si>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</si>
  <si>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</si>
  <si>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</si>
  <si>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Q1</t>
  </si>
  <si>
    <t>Q2</t>
  </si>
  <si>
    <t>Q3</t>
  </si>
  <si>
    <t>Q4</t>
  </si>
  <si>
    <t>КВАРТАЛ 1</t>
  </si>
  <si>
    <t>КВАРТАЛ 2</t>
  </si>
  <si>
    <t>КВАРТАЛ 3</t>
  </si>
  <si>
    <t>КВАРТАЛ 4</t>
  </si>
  <si>
    <t>Првоерка итого</t>
  </si>
  <si>
    <t>Проверка филиала АСТР</t>
  </si>
  <si>
    <t>Канал</t>
  </si>
  <si>
    <t>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</si>
</sst>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9"/>
      <name val="Arial Narrow"/>
      <family val="2"/>
      <charset val="204"/>
    </font>
    <font>
      <b/>
      <sz val="9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b/>
      <sz val="14"/>
      <name val="Arial Narrow"/>
      <family val="2"/>
      <charset val="204"/>
    </font>
    <font>
      <b/>
      <sz val="11"/>
      <color theme="1"/>
      <name val="Calibri"/>
      <family val="2"/>
      <scheme val="minor"/>
    </font>
    <font>
      <b/>
      <sz val="12"/>
      <color rgb="FF0070C0"/>
      <name val="Arial Narrow"/>
      <family val="2"/>
      <charset val="204"/>
    </font>
    <font>
      <b/>
      <sz val="14"/>
      <color rgb="FF0070C0"/>
      <name val="Arial Narrow"/>
      <family val="2"/>
      <charset val="204"/>
    </font>
    <font>
      <b/>
      <sz val="14"/>
      <color rgb="FFC00000"/>
      <name val="Arial Narrow"/>
      <family val="2"/>
      <charset val="204"/>
    </font>
    <font>
      <sz val="14"/>
      <color rgb="FFC00000"/>
      <name val="Arial Narrow"/>
      <family val="2"/>
      <charset val="204"/>
    </font>
    <font>
      <b/>
      <sz val="12"/>
      <color rgb="FFC00000"/>
      <name val="Arial Narrow"/>
      <family val="2"/>
      <charset val="204"/>
    </font>
    <font>
      <sz val="12"/>
      <color rgb="FFC00000"/>
      <name val="Arial Narrow"/>
      <family val="2"/>
      <charset val="204"/>
    </font>
    <font>
      <sz val="14"/>
      <color rgb="FF0070C0"/>
      <name val="Arial Narrow"/>
      <family val="2"/>
      <charset val="204"/>
    </font>
    <font>
      <sz val="14"/>
      <name val="Arial Narrow"/>
      <family val="2"/>
      <charset val="204"/>
    </font>
    <font>
      <sz val="12"/>
      <color rgb="FF0070C0"/>
      <name val="Arial Narrow"/>
      <family val="2"/>
      <charset val="204"/>
    </font>
    <font>
      <b/>
      <sz val="14"/>
      <color theme="9" tint="-0.249977111117893"/>
      <name val="Arial Narrow"/>
      <family val="2"/>
      <charset val="204"/>
    </font>
    <font>
      <sz val="11"/>
      <color theme="9" tint="-0.249977111117893"/>
      <name val="Arial Narrow"/>
      <family val="2"/>
      <charset val="204"/>
    </font>
    <font>
      <sz val="12"/>
      <color theme="9" tint="-0.249977111117893"/>
      <name val="Arial Narrow"/>
      <family val="2"/>
      <charset val="204"/>
    </font>
    <font>
      <b/>
      <sz val="12"/>
      <color theme="9" tint="-0.249977111117893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rgb="FF7030A0"/>
      <name val="Arial Narrow"/>
      <family val="2"/>
      <charset val="204"/>
    </font>
    <font>
      <b/>
      <sz val="14"/>
      <color rgb="FF7030A0"/>
      <name val="Arial Narrow"/>
      <family val="2"/>
      <charset val="204"/>
    </font>
    <font>
      <sz val="11"/>
      <color rgb="FF7030A0"/>
      <name val="Arial Narrow"/>
      <family val="2"/>
      <charset val="204"/>
    </font>
    <font>
      <sz val="12"/>
      <color rgb="FF7030A0"/>
      <name val="Arial Narrow"/>
      <family val="2"/>
      <charset val="204"/>
    </font>
    <font>
      <sz val="14"/>
      <color rgb="FF7030A0"/>
      <name val="Arial Narrow"/>
      <family val="2"/>
      <charset val="204"/>
    </font>
    <font>
      <i/>
      <sz val="11"/>
      <color rgb="FF7030A0"/>
      <name val="Arial Narrow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/>
    <xf numFmtId="9" fontId="5" fillId="0" borderId="0" xfId="1" applyFont="1" applyAlignment="1">
      <alignment horizontal="center"/>
    </xf>
    <xf numFmtId="0" fontId="8" fillId="0" borderId="5" xfId="0" applyFont="1" applyBorder="1"/>
    <xf numFmtId="0" fontId="0" fillId="2" borderId="0" xfId="0" applyFill="1"/>
    <xf numFmtId="0" fontId="2" fillId="2" borderId="0" xfId="0" applyFont="1" applyFill="1"/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top" wrapText="1"/>
    </xf>
    <xf numFmtId="3" fontId="11" fillId="4" borderId="1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right" vertical="center"/>
    </xf>
    <xf numFmtId="3" fontId="12" fillId="4" borderId="0" xfId="0" applyNumberFormat="1" applyFont="1" applyFill="1"/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right" vertical="center"/>
    </xf>
    <xf numFmtId="3" fontId="15" fillId="4" borderId="0" xfId="0" applyNumberFormat="1" applyFont="1" applyFill="1"/>
    <xf numFmtId="4" fontId="7" fillId="4" borderId="0" xfId="0" applyNumberFormat="1" applyFont="1" applyFill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right" vertical="center"/>
    </xf>
    <xf numFmtId="4" fontId="7" fillId="4" borderId="0" xfId="0" applyNumberFormat="1" applyFont="1" applyFill="1" applyAlignment="1">
      <alignment horizontal="right" vertical="center"/>
    </xf>
    <xf numFmtId="4" fontId="16" fillId="4" borderId="0" xfId="0" applyNumberFormat="1" applyFont="1" applyFill="1"/>
    <xf numFmtId="3" fontId="14" fillId="0" borderId="0" xfId="0" applyNumberFormat="1" applyFont="1"/>
    <xf numFmtId="3" fontId="17" fillId="0" borderId="0" xfId="0" applyNumberFormat="1" applyFont="1"/>
    <xf numFmtId="3" fontId="19" fillId="0" borderId="0" xfId="0" applyNumberFormat="1" applyFont="1"/>
    <xf numFmtId="9" fontId="0" fillId="0" borderId="0" xfId="1" applyFont="1"/>
    <xf numFmtId="0" fontId="0" fillId="8" borderId="0" xfId="0" applyFill="1"/>
    <xf numFmtId="0" fontId="0" fillId="8" borderId="0" xfId="0" applyFill="1" applyAlignment="1">
      <alignment horizontal="center"/>
    </xf>
    <xf numFmtId="0" fontId="11" fillId="8" borderId="6" xfId="0" applyFont="1" applyFill="1" applyBorder="1" applyAlignment="1">
      <alignment horizontal="left" vertical="center"/>
    </xf>
    <xf numFmtId="0" fontId="0" fillId="8" borderId="7" xfId="0" applyFill="1" applyBorder="1"/>
    <xf numFmtId="0" fontId="0" fillId="8" borderId="8" xfId="0" applyFill="1" applyBorder="1"/>
    <xf numFmtId="3" fontId="14" fillId="0" borderId="9" xfId="0" applyNumberFormat="1" applyFont="1" applyBorder="1"/>
    <xf numFmtId="3" fontId="14" fillId="8" borderId="10" xfId="0" applyNumberFormat="1" applyFont="1" applyFill="1" applyBorder="1"/>
    <xf numFmtId="9" fontId="22" fillId="0" borderId="9" xfId="1" applyFont="1" applyBorder="1"/>
    <xf numFmtId="9" fontId="22" fillId="0" borderId="0" xfId="1" applyFont="1" applyBorder="1"/>
    <xf numFmtId="0" fontId="10" fillId="5" borderId="6" xfId="0" applyFont="1" applyFill="1" applyBorder="1" applyAlignment="1">
      <alignment horizontal="left" vertical="center"/>
    </xf>
    <xf numFmtId="0" fontId="0" fillId="5" borderId="7" xfId="0" applyFill="1" applyBorder="1"/>
    <xf numFmtId="0" fontId="0" fillId="7" borderId="8" xfId="0" applyFill="1" applyBorder="1"/>
    <xf numFmtId="3" fontId="17" fillId="0" borderId="9" xfId="0" applyNumberFormat="1" applyFont="1" applyBorder="1"/>
    <xf numFmtId="0" fontId="0" fillId="5" borderId="8" xfId="0" applyFill="1" applyBorder="1"/>
    <xf numFmtId="3" fontId="17" fillId="5" borderId="10" xfId="0" applyNumberFormat="1" applyFont="1" applyFill="1" applyBorder="1"/>
    <xf numFmtId="0" fontId="0" fillId="7" borderId="7" xfId="0" applyFill="1" applyBorder="1"/>
    <xf numFmtId="3" fontId="20" fillId="0" borderId="9" xfId="0" applyNumberFormat="1" applyFont="1" applyBorder="1"/>
    <xf numFmtId="3" fontId="20" fillId="0" borderId="0" xfId="0" applyNumberFormat="1" applyFont="1"/>
    <xf numFmtId="3" fontId="20" fillId="7" borderId="10" xfId="0" applyNumberFormat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3" fontId="14" fillId="3" borderId="9" xfId="0" applyNumberFormat="1" applyFont="1" applyFill="1" applyBorder="1"/>
    <xf numFmtId="3" fontId="14" fillId="3" borderId="0" xfId="0" applyNumberFormat="1" applyFont="1" applyFill="1"/>
    <xf numFmtId="3" fontId="17" fillId="3" borderId="9" xfId="0" applyNumberFormat="1" applyFont="1" applyFill="1" applyBorder="1"/>
    <xf numFmtId="3" fontId="17" fillId="3" borderId="0" xfId="0" applyNumberFormat="1" applyFont="1" applyFill="1"/>
    <xf numFmtId="3" fontId="20" fillId="3" borderId="9" xfId="0" applyNumberFormat="1" applyFont="1" applyFill="1" applyBorder="1"/>
    <xf numFmtId="3" fontId="20" fillId="3" borderId="0" xfId="0" applyNumberFormat="1" applyFont="1" applyFill="1"/>
    <xf numFmtId="3" fontId="20" fillId="3" borderId="10" xfId="0" applyNumberFormat="1" applyFon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3" fontId="14" fillId="9" borderId="9" xfId="0" applyNumberFormat="1" applyFont="1" applyFill="1" applyBorder="1"/>
    <xf numFmtId="3" fontId="14" fillId="9" borderId="0" xfId="0" applyNumberFormat="1" applyFont="1" applyFill="1"/>
    <xf numFmtId="3" fontId="17" fillId="9" borderId="9" xfId="0" applyNumberFormat="1" applyFont="1" applyFill="1" applyBorder="1"/>
    <xf numFmtId="3" fontId="17" fillId="9" borderId="0" xfId="0" applyNumberFormat="1" applyFont="1" applyFill="1"/>
    <xf numFmtId="3" fontId="20" fillId="9" borderId="9" xfId="0" applyNumberFormat="1" applyFont="1" applyFill="1" applyBorder="1"/>
    <xf numFmtId="3" fontId="20" fillId="9" borderId="0" xfId="0" applyNumberFormat="1" applyFont="1" applyFill="1"/>
    <xf numFmtId="3" fontId="20" fillId="9" borderId="10" xfId="0" applyNumberFormat="1" applyFont="1" applyFill="1" applyBorder="1"/>
    <xf numFmtId="0" fontId="0" fillId="10" borderId="0" xfId="0" applyFill="1"/>
    <xf numFmtId="0" fontId="0" fillId="10" borderId="0" xfId="0" applyFill="1" applyAlignment="1">
      <alignment horizontal="center"/>
    </xf>
    <xf numFmtId="3" fontId="14" fillId="10" borderId="9" xfId="0" applyNumberFormat="1" applyFont="1" applyFill="1" applyBorder="1"/>
    <xf numFmtId="3" fontId="14" fillId="10" borderId="0" xfId="0" applyNumberFormat="1" applyFont="1" applyFill="1"/>
    <xf numFmtId="3" fontId="17" fillId="10" borderId="9" xfId="0" applyNumberFormat="1" applyFont="1" applyFill="1" applyBorder="1"/>
    <xf numFmtId="3" fontId="17" fillId="10" borderId="0" xfId="0" applyNumberFormat="1" applyFont="1" applyFill="1"/>
    <xf numFmtId="3" fontId="20" fillId="10" borderId="9" xfId="0" applyNumberFormat="1" applyFont="1" applyFill="1" applyBorder="1"/>
    <xf numFmtId="3" fontId="20" fillId="10" borderId="0" xfId="0" applyNumberFormat="1" applyFont="1" applyFill="1"/>
    <xf numFmtId="3" fontId="20" fillId="10" borderId="10" xfId="0" applyNumberFormat="1" applyFont="1" applyFill="1" applyBorder="1"/>
    <xf numFmtId="3" fontId="14" fillId="0" borderId="2" xfId="0" applyNumberFormat="1" applyFont="1" applyBorder="1"/>
    <xf numFmtId="3" fontId="14" fillId="0" borderId="3" xfId="0" applyNumberFormat="1" applyFont="1" applyBorder="1"/>
    <xf numFmtId="3" fontId="14" fillId="6" borderId="3" xfId="0" applyNumberFormat="1" applyFont="1" applyFill="1" applyBorder="1"/>
    <xf numFmtId="3" fontId="13" fillId="8" borderId="4" xfId="0" applyNumberFormat="1" applyFont="1" applyFill="1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6" borderId="3" xfId="0" applyNumberFormat="1" applyFont="1" applyFill="1" applyBorder="1"/>
    <xf numFmtId="3" fontId="9" fillId="5" borderId="4" xfId="0" applyNumberFormat="1" applyFont="1" applyFill="1" applyBorder="1"/>
    <xf numFmtId="3" fontId="20" fillId="0" borderId="3" xfId="0" applyNumberFormat="1" applyFont="1" applyBorder="1"/>
    <xf numFmtId="3" fontId="20" fillId="6" borderId="3" xfId="0" applyNumberFormat="1" applyFont="1" applyFill="1" applyBorder="1"/>
    <xf numFmtId="3" fontId="21" fillId="7" borderId="4" xfId="0" applyNumberFormat="1" applyFont="1" applyFill="1" applyBorder="1"/>
    <xf numFmtId="3" fontId="13" fillId="3" borderId="10" xfId="0" applyNumberFormat="1" applyFont="1" applyFill="1" applyBorder="1"/>
    <xf numFmtId="3" fontId="13" fillId="9" borderId="10" xfId="0" applyNumberFormat="1" applyFont="1" applyFill="1" applyBorder="1"/>
    <xf numFmtId="3" fontId="13" fillId="10" borderId="10" xfId="0" applyNumberFormat="1" applyFont="1" applyFill="1" applyBorder="1"/>
    <xf numFmtId="0" fontId="10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top"/>
    </xf>
    <xf numFmtId="0" fontId="23" fillId="6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left" vertical="top"/>
    </xf>
    <xf numFmtId="0" fontId="18" fillId="7" borderId="7" xfId="0" applyFont="1" applyFill="1" applyBorder="1" applyAlignment="1">
      <alignment horizontal="left" vertical="center"/>
    </xf>
    <xf numFmtId="3" fontId="9" fillId="3" borderId="10" xfId="0" applyNumberFormat="1" applyFont="1" applyFill="1" applyBorder="1"/>
    <xf numFmtId="3" fontId="9" fillId="9" borderId="10" xfId="0" applyNumberFormat="1" applyFont="1" applyFill="1" applyBorder="1"/>
    <xf numFmtId="3" fontId="9" fillId="10" borderId="10" xfId="0" applyNumberFormat="1" applyFont="1" applyFill="1" applyBorder="1"/>
    <xf numFmtId="0" fontId="2" fillId="0" borderId="0" xfId="0" applyFont="1"/>
    <xf numFmtId="0" fontId="2" fillId="3" borderId="0" xfId="0" applyFont="1" applyFill="1"/>
    <xf numFmtId="0" fontId="2" fillId="9" borderId="0" xfId="0" applyFont="1" applyFill="1"/>
    <xf numFmtId="0" fontId="2" fillId="10" borderId="0" xfId="0" applyFont="1" applyFill="1"/>
    <xf numFmtId="9" fontId="0" fillId="11" borderId="0" xfId="1" applyFont="1" applyFill="1" applyAlignment="1">
      <alignment horizontal="center"/>
    </xf>
    <xf numFmtId="9" fontId="0" fillId="12" borderId="0" xfId="1" applyFont="1" applyFill="1" applyAlignment="1">
      <alignment horizontal="center"/>
    </xf>
    <xf numFmtId="0" fontId="0" fillId="5" borderId="0" xfId="0" applyFill="1"/>
    <xf numFmtId="3" fontId="12" fillId="5" borderId="0" xfId="0" applyNumberFormat="1" applyFont="1" applyFill="1"/>
    <xf numFmtId="3" fontId="5" fillId="0" borderId="0" xfId="0" applyNumberFormat="1" applyFont="1"/>
    <xf numFmtId="9" fontId="23" fillId="0" borderId="0" xfId="1" applyFont="1"/>
    <xf numFmtId="4" fontId="23" fillId="0" borderId="9" xfId="0" applyNumberFormat="1" applyFont="1" applyBorder="1"/>
    <xf numFmtId="4" fontId="23" fillId="0" borderId="0" xfId="0" applyNumberFormat="1" applyFont="1"/>
    <xf numFmtId="3" fontId="25" fillId="0" borderId="0" xfId="0" applyNumberFormat="1" applyFont="1" applyAlignment="1">
      <alignment vertical="center"/>
    </xf>
    <xf numFmtId="3" fontId="25" fillId="2" borderId="0" xfId="0" applyNumberFormat="1" applyFont="1" applyFill="1" applyAlignment="1">
      <alignment vertical="center"/>
    </xf>
    <xf numFmtId="0" fontId="25" fillId="7" borderId="6" xfId="0" applyFont="1" applyFill="1" applyBorder="1" applyAlignment="1">
      <alignment horizontal="left" vertical="center"/>
    </xf>
    <xf numFmtId="0" fontId="26" fillId="7" borderId="7" xfId="0" applyFont="1" applyFill="1" applyBorder="1"/>
    <xf numFmtId="0" fontId="26" fillId="7" borderId="8" xfId="0" applyFont="1" applyFill="1" applyBorder="1"/>
    <xf numFmtId="0" fontId="27" fillId="4" borderId="9" xfId="0" applyFont="1" applyFill="1" applyBorder="1" applyAlignment="1">
      <alignment horizontal="left" vertical="top"/>
    </xf>
    <xf numFmtId="0" fontId="27" fillId="4" borderId="0" xfId="0" applyFont="1" applyFill="1" applyAlignment="1">
      <alignment horizontal="center" vertical="top"/>
    </xf>
    <xf numFmtId="0" fontId="27" fillId="6" borderId="0" xfId="0" applyFont="1" applyFill="1" applyAlignment="1">
      <alignment horizontal="center" vertical="top"/>
    </xf>
    <xf numFmtId="0" fontId="28" fillId="4" borderId="10" xfId="0" applyFont="1" applyFill="1" applyBorder="1" applyAlignment="1">
      <alignment horizontal="center" vertical="center" wrapText="1"/>
    </xf>
    <xf numFmtId="3" fontId="27" fillId="0" borderId="2" xfId="0" applyNumberFormat="1" applyFont="1" applyBorder="1"/>
    <xf numFmtId="3" fontId="27" fillId="0" borderId="3" xfId="0" applyNumberFormat="1" applyFont="1" applyBorder="1"/>
    <xf numFmtId="3" fontId="27" fillId="6" borderId="3" xfId="0" applyNumberFormat="1" applyFont="1" applyFill="1" applyBorder="1"/>
    <xf numFmtId="3" fontId="24" fillId="8" borderId="4" xfId="0" applyNumberFormat="1" applyFont="1" applyFill="1" applyBorder="1"/>
    <xf numFmtId="4" fontId="27" fillId="0" borderId="9" xfId="0" applyNumberFormat="1" applyFont="1" applyBorder="1"/>
    <xf numFmtId="4" fontId="27" fillId="0" borderId="0" xfId="0" applyNumberFormat="1" applyFont="1"/>
    <xf numFmtId="3" fontId="27" fillId="8" borderId="10" xfId="0" applyNumberFormat="1" applyFont="1" applyFill="1" applyBorder="1"/>
    <xf numFmtId="3" fontId="27" fillId="3" borderId="9" xfId="0" applyNumberFormat="1" applyFont="1" applyFill="1" applyBorder="1"/>
    <xf numFmtId="3" fontId="27" fillId="3" borderId="0" xfId="0" applyNumberFormat="1" applyFont="1" applyFill="1"/>
    <xf numFmtId="3" fontId="24" fillId="3" borderId="10" xfId="0" applyNumberFormat="1" applyFont="1" applyFill="1" applyBorder="1"/>
    <xf numFmtId="3" fontId="27" fillId="9" borderId="9" xfId="0" applyNumberFormat="1" applyFont="1" applyFill="1" applyBorder="1"/>
    <xf numFmtId="3" fontId="27" fillId="9" borderId="0" xfId="0" applyNumberFormat="1" applyFont="1" applyFill="1"/>
    <xf numFmtId="3" fontId="24" fillId="9" borderId="10" xfId="0" applyNumberFormat="1" applyFont="1" applyFill="1" applyBorder="1"/>
    <xf numFmtId="3" fontId="27" fillId="10" borderId="9" xfId="0" applyNumberFormat="1" applyFont="1" applyFill="1" applyBorder="1"/>
    <xf numFmtId="3" fontId="27" fillId="10" borderId="0" xfId="0" applyNumberFormat="1" applyFont="1" applyFill="1"/>
    <xf numFmtId="3" fontId="24" fillId="10" borderId="10" xfId="0" applyNumberFormat="1" applyFont="1" applyFill="1" applyBorder="1"/>
    <xf numFmtId="9" fontId="29" fillId="0" borderId="9" xfId="1" applyFont="1" applyBorder="1"/>
    <xf numFmtId="9" fontId="29" fillId="0" borderId="0" xfId="1" applyFont="1" applyBorder="1"/>
    <xf numFmtId="3" fontId="27" fillId="0" borderId="9" xfId="0" applyNumberFormat="1" applyFont="1" applyBorder="1"/>
    <xf numFmtId="3" fontId="27" fillId="0" borderId="0" xfId="0" applyNumberFormat="1" applyFont="1"/>
    <xf numFmtId="0" fontId="30" fillId="0" borderId="0" xfId="0" applyFont="1"/>
    <xf numFmtId="0" fontId="31" fillId="0" borderId="0" xfId="0" applyFont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3" fontId="14" fillId="11" borderId="0" xfId="0" applyNumberFormat="1" applyFont="1" applyFill="1"/>
    <xf numFmtId="0" fontId="32" fillId="11" borderId="7" xfId="0" applyFont="1" applyFill="1" applyBorder="1"/>
    <xf numFmtId="0" fontId="0" fillId="11" borderId="7" xfId="0" applyFill="1" applyBorder="1"/>
    <xf numFmtId="3" fontId="14" fillId="5" borderId="0" xfId="0" applyNumberFormat="1" applyFont="1" applyFill="1"/>
    <xf numFmtId="0" fontId="32" fillId="5" borderId="7" xfId="0" applyFont="1" applyFill="1" applyBorder="1"/>
    <xf numFmtId="0" fontId="32" fillId="3" borderId="7" xfId="0" applyFont="1" applyFill="1" applyBorder="1"/>
    <xf numFmtId="0" fontId="0" fillId="3" borderId="7" xfId="0" applyFill="1" applyBorder="1"/>
    <xf numFmtId="0" fontId="32" fillId="9" borderId="7" xfId="0" applyFont="1" applyFill="1" applyBorder="1"/>
    <xf numFmtId="0" fontId="0" fillId="9" borderId="7" xfId="0" applyFill="1" applyBorder="1"/>
    <xf numFmtId="9" fontId="14" fillId="0" borderId="0" xfId="1" applyFont="1" applyFill="1"/>
    <xf numFmtId="3" fontId="0" fillId="0" borderId="0" xfId="0" applyNumberFormat="1"/>
    <xf numFmtId="9" fontId="27" fillId="0" borderId="0" xfId="1" applyFont="1" applyAlignment="1">
      <alignment horizontal="center"/>
    </xf>
    <xf numFmtId="0" fontId="26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D1E0"/>
      <color rgb="FFCCFFCC"/>
      <color rgb="FFFFE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 " refreshedDate="46108.531736342593" backgroundQuery="1" createdVersion="6" refreshedVersion="6" minRefreshableVersion="3" recordCount="0" supportSubquery="1" supportAdvancedDrill="1" xr:uid="{BB96C057-404B-4D9E-B70F-4A0D97DF5E92}">
  <cacheSource type="external" connectionId="1"/>
  <cacheFields count="4">
    <cacheField name="[Measures].[План от янв 26 usd]" caption="План от янв 26 usd" numFmtId="0" hierarchy="103" level="32767"/>
    <cacheField name="[Подразделение].[Канал продаж].[Канал продаж]" caption="Канал продаж" numFmtId="0" hierarchy="24" level="1">
      <sharedItems count="1">
        <s v="[Подразделение].[Канал продаж].&amp;[Cовместные продажи]" c="Cовместные продажи"/>
      </sharedItems>
    </cacheField>
    <cacheField name="[Товар].[Группа(ru)].[Группа(ru)]" caption="Группа(ru)" numFmtId="0" hierarchy="37" level="1">
      <sharedItems count="28">
        <s v="[Товар].[Группа(ru)].&amp;[DFT кондиционеры]" c="DFT кондиционеры"/>
        <s v="[Товар].[Группа(ru)].&amp;[Аксессуары RAC]" c="Аксессуары RAC"/>
        <s v="[Товар].[Группа(ru)].&amp;[Аксессуары для ККБ]" c="Аксессуары для ККБ"/>
        <s v="[Товар].[Группа(ru)].&amp;[Аксессуары мультизональных систем]" c="Аксессуары мультизональных систем"/>
        <s v="[Товар].[Группа(ru)].&amp;[Аксессуары чиллер-фанкойл]" c="Аксессуары чиллер-фанкойл"/>
        <s v="[Товар].[Группа(ru)].&amp;[Бытовые вентиляторы]" c="Бытовые вентиляторы"/>
        <s v="[Товар].[Группа(ru)].&amp;[Бытовые кондиционеры]" c="Бытовые кондиционеры"/>
        <s v="[Товар].[Группа(ru)].&amp;[Гидромодули]" c="Гидромодули"/>
        <s v="[Товар].[Группа(ru)].&amp;[Запчасти кондиционирование]" c="Запчасти кондиционирование"/>
        <s v="[Товар].[Группа(ru)].&amp;[Канальная вентиляция]" c="Канальная вентиляция"/>
        <s v="[Товар].[Группа(ru)].&amp;[Компактные вентиляционные установки]" c="Компактные вентиляционные установки"/>
        <s v="[Товар].[Группа(ru)].&amp;[Компрессорно-конденсаторные блоки]" c="Компрессорно-конденсаторные блоки"/>
        <s v="[Товар].[Группа(ru)].&amp;[Мобильные кондиционеры]" c="Мобильные кондиционеры"/>
        <s v="[Товар].[Группа(ru)].&amp;[Модульные чиллеры]" c="Модульные чиллеры"/>
        <s v="[Товар].[Группа(ru)].&amp;[Облачные аксессуары]" c="Облачные аксессуары"/>
        <s v="[Товар].[Группа(ru)].&amp;[Облачные кондиционеры]" c="Облачные кондиционеры"/>
        <s v="[Товар].[Группа(ru)].&amp;[Оконные кондиционеры]" c="Оконные кондиционеры"/>
        <s v="[Товар].[Группа(ru)].&amp;[Отопительные котлы]" c="Отопительные котлы"/>
        <s v="[Товар].[Группа(ru)].&amp;[Охладители]" c="Охладители"/>
        <s v="[Товар].[Группа(ru)].&amp;[Полупромышленные кондиционеры]" c="Полупромышленные кондиционеры"/>
        <s v="[Товар].[Группа(ru)].&amp;[Прецизионные кондиционеры]" c="Прецизионные кондиционеры"/>
        <s v="[Товар].[Группа(ru)].&amp;[Системы VRF]" c="Системы VRF"/>
        <s v="[Товар].[Группа(ru)].&amp;[Системы мульти-сплит]" c="Системы мульти-сплит"/>
        <s v="[Товар].[Группа(ru)].&amp;[Системы управления RAC]" c="Системы управления RAC"/>
        <s v="[Товар].[Группа(ru)].&amp;[Системы управления мультизональных систем]" c="Системы управления мультизональных систем"/>
        <s v="[Товар].[Группа(ru)].&amp;[Фанкойлы]" c="Фанкойлы"/>
        <s v="[Товар].[Группа(ru)].&amp;[Центральные кондиционеры]" c="Центральные кондиционеры"/>
        <s v="[Товар].[Группа(ru)].&amp;[Чиллеры]" c="Чиллеры"/>
      </sharedItems>
    </cacheField>
    <cacheField name="[Подразделение].[Подразделение].[Подразделение]" caption="Подразделение" numFmtId="0" hierarchy="25" level="1">
      <sharedItems count="26">
        <s v="[Подразделение].[Подразделение].&amp;[Д-Астрахань]" c="Д-Астрахань"/>
        <s v="[Подразделение].[Подразделение].&amp;[Д-Байкал]" c="Д-Байкал"/>
        <s v="[Подразделение].[Подразделение].&amp;[Д-Балтика]" c="Д-Балтика"/>
        <s v="[Подразделение].[Подразделение].&amp;[Д-Беларусь]" c="Д-Беларусь"/>
        <s v="[Подразделение].[Подразделение].&amp;[Д-Владивосток]" c="Д-Владивосток"/>
        <s v="[Подразделение].[Подразделение].&amp;[Д-Волга]" c="Д-Волга"/>
        <s v="[Подразделение].[Подразделение].&amp;[Д-Казань]" c="Д-Казань"/>
        <s v="[Подразделение].[Подразделение].&amp;[Д-Казахстан]" c="Д-Казахстан"/>
        <s v="[Подразделение].[Подразделение].&amp;[Д-Красноярск]" c="Д-Красноярск"/>
        <s v="[Подразделение].[Подразделение].&amp;[Д-Крым]" c="Д-Крым"/>
        <s v="[Подразделение].[Подразделение].&amp;[Д-Москва]" c="Д-Москва"/>
        <s v="[Подразделение].[Подразделение].&amp;[Д-НиНо]" c="Д-НиНо"/>
        <s v="[Подразделение].[Подразделение].&amp;[Д-Омск]" c="Д-Омск"/>
        <s v="[Подразделение].[Подразделение].&amp;[Д-Питер]" c="Д-Питер"/>
        <s v="[Подразделение].[Подразделение].&amp;[ДПП]" c="ДПП"/>
        <s v="[Подразделение].[Подразделение].&amp;[Д-Ростов]" c="Д-Ростов"/>
        <s v="[Подразделение].[Подразделение].&amp;[Д-Сибирь]" c="Д-Сибирь"/>
        <s v="[Подразделение].[Подразделение].&amp;[Д-Сочи]" c="Д-Сочи"/>
        <s v="[Подразделение].[Подразделение].&amp;[Д-Урал]" c="Д-Урал"/>
        <s v="[Подразделение].[Подразделение].&amp;[Д-Уфа]" c="Д-Уфа"/>
        <s v="[Подразделение].[Подразделение].&amp;[Д-Хабаровск]" c="Д-Хабаровск"/>
        <s v="[Подразделение].[Подразделение].&amp;[Д-ЦФО]" c="Д-ЦФО"/>
        <s v="[Подразделение].[Подразделение].&amp;[Д-Черноземье]" c="Д-Черноземье"/>
        <s v="[Подразделение].[Подразделение].&amp;[Д-Юг]" c="Д-Юг"/>
        <s v="[Подразделение].[Подразделение].&amp;[Катюша]" c="Катюша"/>
        <s v="[Подразделение].[Подразделение].&amp;[Термотрейд]" c="Термотрейд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2" unbalanced="0">
      <fieldsUsage count="2">
        <fieldUsage x="-1"/>
        <fieldUsage x="1"/>
      </fieldsUsage>
    </cacheHierarchy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>
      <fieldsUsage count="2">
        <fieldUsage x="-1"/>
        <fieldUsage x="3"/>
      </fieldsUsage>
    </cacheHierarchy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0" unbalanced="0"/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0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2" unbalanced="0">
      <fieldsUsage count="2">
        <fieldUsage x="-1"/>
        <fieldUsage x="2"/>
      </fieldsUsage>
    </cacheHierarchy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18720-C961-48C6-AFEF-D50277461109}" name="Сводная таблица5" cacheId="0" applyNumberFormats="0" applyBorderFormats="0" applyFontFormats="0" applyPatternFormats="0" applyAlignmentFormats="0" applyWidthHeightFormats="1" dataCaption="Значения" showError="1" updatedVersion="6" minRefreshableVersion="3" useAutoFormatting="1" itemPrintTitles="1" createdVersion="6" indent="0" outline="1" outlineData="1" multipleFieldFilters="0" fieldListSortAscending="1">
  <location ref="B2:AC33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Col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1"/>
    <field x="2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Fields count="1">
    <field x="3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fld="0" showDataAs="percentOfRow" baseField="0" baseItem="0" numFmtId="10"/>
  </dataFields>
  <conditionalFormats count="1">
    <conditionalFormat priority="1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2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</conditionalFormat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37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3981-EC5E-4B1E-B2B8-C4BD3EF13DE7}">
  <dimension ref="A1:JU191"/>
  <sheetViews>
    <sheetView zoomScale="70" zoomScaleNormal="70" workbookViewId="0">
      <pane xSplit="36" ySplit="19" topLeftCell="AK191" activePane="bottomRight" state="frozen"/>
      <selection pane="topRight" activeCell="AK1" sqref="AK1"/>
      <selection pane="bottomLeft" activeCell="A20" sqref="A20"/>
      <selection pane="bottomRight" activeCell="A19" sqref="A19:AJ191"/>
    </sheetView>
  </sheetViews>
  <sheetFormatPr defaultRowHeight="16.5" outlineLevelRow="1" outlineLevelCol="1" x14ac:dyDescent="0.3"/>
  <cols>
    <col min="1" max="1" width="19" customWidth="1"/>
    <col min="2" max="2" width="10.28515625" customWidth="1"/>
    <col min="3" max="3" width="21.42578125" customWidth="1"/>
    <col min="4" max="4" width="16" customWidth="1"/>
    <col min="5" max="5" width="14.42578125" customWidth="1"/>
    <col min="6" max="6" width="9.140625" customWidth="1" outlineLevel="1"/>
    <col min="7" max="7" width="16.140625" customWidth="1"/>
    <col min="8" max="8" width="16" customWidth="1"/>
    <col min="9" max="9" width="12.7109375" customWidth="1"/>
    <col min="10" max="35" width="6.7109375" style="7" customWidth="1" outlineLevel="1"/>
    <col min="36" max="36" width="12.140625" customWidth="1" outlineLevel="1"/>
    <col min="37" max="62" width="7.28515625" style="7" customWidth="1"/>
    <col min="63" max="63" width="11.28515625" style="7" customWidth="1"/>
    <col min="65" max="90" width="11.140625" customWidth="1"/>
    <col min="91" max="91" width="14" customWidth="1"/>
    <col min="92" max="101" width="9.7109375" customWidth="1" outlineLevel="1"/>
    <col min="102" max="102" width="10.7109375" customWidth="1" outlineLevel="1"/>
    <col min="103" max="104" width="9.7109375" customWidth="1" outlineLevel="1"/>
    <col min="105" max="106" width="10.7109375" customWidth="1" outlineLevel="1"/>
    <col min="107" max="108" width="9.7109375" customWidth="1" outlineLevel="1"/>
    <col min="109" max="109" width="10.7109375" customWidth="1" outlineLevel="1"/>
    <col min="110" max="114" width="9.7109375" customWidth="1" outlineLevel="1"/>
    <col min="115" max="115" width="9.28515625" customWidth="1" outlineLevel="1"/>
    <col min="116" max="116" width="9.7109375" customWidth="1" outlineLevel="1"/>
    <col min="117" max="117" width="10.7109375" customWidth="1" outlineLevel="1"/>
    <col min="118" max="118" width="12.5703125" customWidth="1" outlineLevel="1"/>
    <col min="119" max="119" width="11.85546875" customWidth="1" outlineLevel="1"/>
    <col min="120" max="128" width="9.7109375" customWidth="1" outlineLevel="1"/>
    <col min="129" max="129" width="10.7109375" customWidth="1" outlineLevel="1"/>
    <col min="130" max="141" width="9.7109375" customWidth="1" outlineLevel="1"/>
    <col min="142" max="142" width="9.28515625" customWidth="1" outlineLevel="1"/>
    <col min="143" max="144" width="9.7109375" customWidth="1" outlineLevel="1"/>
    <col min="145" max="145" width="14.85546875" customWidth="1" outlineLevel="1"/>
    <col min="166" max="191" width="10.7109375" customWidth="1"/>
    <col min="192" max="192" width="12.28515625" customWidth="1"/>
    <col min="194" max="220" width="13.42578125" customWidth="1"/>
    <col min="222" max="248" width="13.42578125" customWidth="1"/>
    <col min="250" max="276" width="13.42578125" customWidth="1"/>
    <col min="277" max="277" width="15.28515625" customWidth="1"/>
    <col min="280" max="280" width="14.7109375" customWidth="1"/>
  </cols>
  <sheetData>
    <row r="1" spans="1:281" ht="18.75" x14ac:dyDescent="0.3"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0"/>
      <c r="AK1" s="115" t="s">
        <v>328</v>
      </c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7"/>
      <c r="BM1" s="32" t="s">
        <v>324</v>
      </c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4"/>
      <c r="CN1" s="39" t="s">
        <v>325</v>
      </c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3"/>
      <c r="DO1" s="97" t="s">
        <v>326</v>
      </c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1"/>
      <c r="FJ1" s="32" t="s">
        <v>324</v>
      </c>
      <c r="FK1" s="33"/>
      <c r="FL1" s="33"/>
      <c r="FM1" s="152" t="s">
        <v>346</v>
      </c>
      <c r="FN1" s="15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4"/>
      <c r="GL1" s="32" t="s">
        <v>324</v>
      </c>
      <c r="GM1" s="33"/>
      <c r="GN1" s="33"/>
      <c r="GO1" s="151" t="s">
        <v>347</v>
      </c>
      <c r="GP1" s="40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4"/>
      <c r="HN1" s="32" t="s">
        <v>324</v>
      </c>
      <c r="HO1" s="33"/>
      <c r="HP1" s="33"/>
      <c r="HQ1" s="148" t="s">
        <v>348</v>
      </c>
      <c r="HR1" s="149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4"/>
      <c r="IP1" s="32" t="s">
        <v>324</v>
      </c>
      <c r="IQ1" s="33"/>
      <c r="IR1" s="33"/>
      <c r="IS1" s="154" t="s">
        <v>349</v>
      </c>
      <c r="IT1" s="155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4"/>
    </row>
    <row r="2" spans="1:281" ht="18.75" thickBot="1" x14ac:dyDescent="0.35">
      <c r="AK2" s="118" t="s">
        <v>41</v>
      </c>
      <c r="AL2" s="119" t="s">
        <v>42</v>
      </c>
      <c r="AM2" s="119" t="s">
        <v>43</v>
      </c>
      <c r="AN2" s="119" t="s">
        <v>44</v>
      </c>
      <c r="AO2" s="119" t="s">
        <v>45</v>
      </c>
      <c r="AP2" s="119" t="s">
        <v>46</v>
      </c>
      <c r="AQ2" s="119" t="s">
        <v>47</v>
      </c>
      <c r="AR2" s="119" t="s">
        <v>48</v>
      </c>
      <c r="AS2" s="119" t="s">
        <v>49</v>
      </c>
      <c r="AT2" s="119" t="s">
        <v>50</v>
      </c>
      <c r="AU2" s="119" t="s">
        <v>51</v>
      </c>
      <c r="AV2" s="119" t="s">
        <v>52</v>
      </c>
      <c r="AW2" s="119" t="s">
        <v>53</v>
      </c>
      <c r="AX2" s="119" t="s">
        <v>54</v>
      </c>
      <c r="AY2" s="119" t="s">
        <v>55</v>
      </c>
      <c r="AZ2" s="119" t="s">
        <v>56</v>
      </c>
      <c r="BA2" s="119" t="s">
        <v>57</v>
      </c>
      <c r="BB2" s="119" t="s">
        <v>58</v>
      </c>
      <c r="BC2" s="119" t="s">
        <v>59</v>
      </c>
      <c r="BD2" s="119" t="s">
        <v>60</v>
      </c>
      <c r="BE2" s="119" t="s">
        <v>61</v>
      </c>
      <c r="BF2" s="119" t="s">
        <v>62</v>
      </c>
      <c r="BG2" s="119" t="s">
        <v>63</v>
      </c>
      <c r="BH2" s="119" t="s">
        <v>64</v>
      </c>
      <c r="BI2" s="119" t="s">
        <v>65</v>
      </c>
      <c r="BJ2" s="120" t="s">
        <v>321</v>
      </c>
      <c r="BK2" s="121"/>
      <c r="BM2" s="96" t="s">
        <v>41</v>
      </c>
      <c r="BN2" s="92" t="s">
        <v>42</v>
      </c>
      <c r="BO2" s="92" t="s">
        <v>43</v>
      </c>
      <c r="BP2" s="92" t="s">
        <v>44</v>
      </c>
      <c r="BQ2" s="92" t="s">
        <v>45</v>
      </c>
      <c r="BR2" s="92" t="s">
        <v>46</v>
      </c>
      <c r="BS2" s="92" t="s">
        <v>47</v>
      </c>
      <c r="BT2" s="92" t="s">
        <v>48</v>
      </c>
      <c r="BU2" s="92" t="s">
        <v>49</v>
      </c>
      <c r="BV2" s="92" t="s">
        <v>50</v>
      </c>
      <c r="BW2" s="92" t="s">
        <v>51</v>
      </c>
      <c r="BX2" s="92" t="s">
        <v>52</v>
      </c>
      <c r="BY2" s="92" t="s">
        <v>53</v>
      </c>
      <c r="BZ2" s="92" t="s">
        <v>54</v>
      </c>
      <c r="CA2" s="92" t="s">
        <v>55</v>
      </c>
      <c r="CB2" s="92" t="s">
        <v>56</v>
      </c>
      <c r="CC2" s="92" t="s">
        <v>57</v>
      </c>
      <c r="CD2" s="92" t="s">
        <v>58</v>
      </c>
      <c r="CE2" s="92" t="s">
        <v>59</v>
      </c>
      <c r="CF2" s="92" t="s">
        <v>60</v>
      </c>
      <c r="CG2" s="92" t="s">
        <v>61</v>
      </c>
      <c r="CH2" s="92" t="s">
        <v>62</v>
      </c>
      <c r="CI2" s="92" t="s">
        <v>63</v>
      </c>
      <c r="CJ2" s="92" t="s">
        <v>64</v>
      </c>
      <c r="CK2" s="92" t="s">
        <v>65</v>
      </c>
      <c r="CL2" s="93" t="s">
        <v>321</v>
      </c>
      <c r="CM2" s="95"/>
      <c r="CN2" s="96" t="s">
        <v>41</v>
      </c>
      <c r="CO2" s="92" t="s">
        <v>42</v>
      </c>
      <c r="CP2" s="92" t="s">
        <v>43</v>
      </c>
      <c r="CQ2" s="92" t="s">
        <v>44</v>
      </c>
      <c r="CR2" s="92" t="s">
        <v>45</v>
      </c>
      <c r="CS2" s="92" t="s">
        <v>46</v>
      </c>
      <c r="CT2" s="92" t="s">
        <v>47</v>
      </c>
      <c r="CU2" s="92" t="s">
        <v>48</v>
      </c>
      <c r="CV2" s="92" t="s">
        <v>49</v>
      </c>
      <c r="CW2" s="92" t="s">
        <v>50</v>
      </c>
      <c r="CX2" s="92" t="s">
        <v>51</v>
      </c>
      <c r="CY2" s="92" t="s">
        <v>52</v>
      </c>
      <c r="CZ2" s="92" t="s">
        <v>53</v>
      </c>
      <c r="DA2" s="92" t="s">
        <v>54</v>
      </c>
      <c r="DB2" s="92" t="s">
        <v>55</v>
      </c>
      <c r="DC2" s="92" t="s">
        <v>56</v>
      </c>
      <c r="DD2" s="92" t="s">
        <v>57</v>
      </c>
      <c r="DE2" s="92" t="s">
        <v>58</v>
      </c>
      <c r="DF2" s="92" t="s">
        <v>59</v>
      </c>
      <c r="DG2" s="92" t="s">
        <v>60</v>
      </c>
      <c r="DH2" s="92" t="s">
        <v>61</v>
      </c>
      <c r="DI2" s="92" t="s">
        <v>62</v>
      </c>
      <c r="DJ2" s="92" t="s">
        <v>63</v>
      </c>
      <c r="DK2" s="92" t="s">
        <v>64</v>
      </c>
      <c r="DL2" s="92" t="s">
        <v>65</v>
      </c>
      <c r="DM2" s="93" t="s">
        <v>321</v>
      </c>
      <c r="DN2" s="95"/>
      <c r="DO2" s="92" t="s">
        <v>41</v>
      </c>
      <c r="DP2" s="92" t="s">
        <v>42</v>
      </c>
      <c r="DQ2" s="92" t="s">
        <v>43</v>
      </c>
      <c r="DR2" s="92" t="s">
        <v>44</v>
      </c>
      <c r="DS2" s="92" t="s">
        <v>45</v>
      </c>
      <c r="DT2" s="92" t="s">
        <v>46</v>
      </c>
      <c r="DU2" s="92" t="s">
        <v>47</v>
      </c>
      <c r="DV2" s="92" t="s">
        <v>48</v>
      </c>
      <c r="DW2" s="92" t="s">
        <v>49</v>
      </c>
      <c r="DX2" s="92" t="s">
        <v>50</v>
      </c>
      <c r="DY2" s="92" t="s">
        <v>51</v>
      </c>
      <c r="DZ2" s="92" t="s">
        <v>52</v>
      </c>
      <c r="EA2" s="92" t="s">
        <v>53</v>
      </c>
      <c r="EB2" s="92" t="s">
        <v>54</v>
      </c>
      <c r="EC2" s="92" t="s">
        <v>55</v>
      </c>
      <c r="ED2" s="92" t="s">
        <v>56</v>
      </c>
      <c r="EE2" s="92" t="s">
        <v>57</v>
      </c>
      <c r="EF2" s="92" t="s">
        <v>58</v>
      </c>
      <c r="EG2" s="92" t="s">
        <v>59</v>
      </c>
      <c r="EH2" s="92" t="s">
        <v>60</v>
      </c>
      <c r="EI2" s="92" t="s">
        <v>61</v>
      </c>
      <c r="EJ2" s="92" t="s">
        <v>62</v>
      </c>
      <c r="EK2" s="92" t="s">
        <v>63</v>
      </c>
      <c r="EL2" s="92" t="s">
        <v>64</v>
      </c>
      <c r="EM2" s="92" t="s">
        <v>65</v>
      </c>
      <c r="EN2" s="93" t="s">
        <v>321</v>
      </c>
      <c r="EO2" s="94"/>
      <c r="FJ2" s="96" t="s">
        <v>41</v>
      </c>
      <c r="FK2" s="92" t="s">
        <v>42</v>
      </c>
      <c r="FL2" s="92" t="s">
        <v>43</v>
      </c>
      <c r="FM2" s="92" t="s">
        <v>44</v>
      </c>
      <c r="FN2" s="92" t="s">
        <v>45</v>
      </c>
      <c r="FO2" s="92" t="s">
        <v>46</v>
      </c>
      <c r="FP2" s="92" t="s">
        <v>47</v>
      </c>
      <c r="FQ2" s="92" t="s">
        <v>48</v>
      </c>
      <c r="FR2" s="92" t="s">
        <v>49</v>
      </c>
      <c r="FS2" s="92" t="s">
        <v>50</v>
      </c>
      <c r="FT2" s="92" t="s">
        <v>51</v>
      </c>
      <c r="FU2" s="92" t="s">
        <v>52</v>
      </c>
      <c r="FV2" s="92" t="s">
        <v>53</v>
      </c>
      <c r="FW2" s="92" t="s">
        <v>54</v>
      </c>
      <c r="FX2" s="92" t="s">
        <v>55</v>
      </c>
      <c r="FY2" s="92" t="s">
        <v>56</v>
      </c>
      <c r="FZ2" s="92" t="s">
        <v>57</v>
      </c>
      <c r="GA2" s="92" t="s">
        <v>58</v>
      </c>
      <c r="GB2" s="92" t="s">
        <v>59</v>
      </c>
      <c r="GC2" s="92" t="s">
        <v>60</v>
      </c>
      <c r="GD2" s="92" t="s">
        <v>61</v>
      </c>
      <c r="GE2" s="92" t="s">
        <v>62</v>
      </c>
      <c r="GF2" s="92" t="s">
        <v>63</v>
      </c>
      <c r="GG2" s="92" t="s">
        <v>64</v>
      </c>
      <c r="GH2" s="92" t="s">
        <v>65</v>
      </c>
      <c r="GI2" s="93" t="s">
        <v>321</v>
      </c>
      <c r="GJ2" s="95"/>
      <c r="GL2" s="96" t="s">
        <v>41</v>
      </c>
      <c r="GM2" s="92" t="s">
        <v>42</v>
      </c>
      <c r="GN2" s="92" t="s">
        <v>43</v>
      </c>
      <c r="GO2" s="92" t="s">
        <v>44</v>
      </c>
      <c r="GP2" s="92" t="s">
        <v>45</v>
      </c>
      <c r="GQ2" s="92" t="s">
        <v>46</v>
      </c>
      <c r="GR2" s="92" t="s">
        <v>47</v>
      </c>
      <c r="GS2" s="92" t="s">
        <v>48</v>
      </c>
      <c r="GT2" s="92" t="s">
        <v>49</v>
      </c>
      <c r="GU2" s="92" t="s">
        <v>50</v>
      </c>
      <c r="GV2" s="92" t="s">
        <v>51</v>
      </c>
      <c r="GW2" s="92" t="s">
        <v>52</v>
      </c>
      <c r="GX2" s="92" t="s">
        <v>53</v>
      </c>
      <c r="GY2" s="92" t="s">
        <v>54</v>
      </c>
      <c r="GZ2" s="92" t="s">
        <v>55</v>
      </c>
      <c r="HA2" s="92" t="s">
        <v>56</v>
      </c>
      <c r="HB2" s="92" t="s">
        <v>57</v>
      </c>
      <c r="HC2" s="92" t="s">
        <v>58</v>
      </c>
      <c r="HD2" s="92" t="s">
        <v>59</v>
      </c>
      <c r="HE2" s="92" t="s">
        <v>60</v>
      </c>
      <c r="HF2" s="92" t="s">
        <v>61</v>
      </c>
      <c r="HG2" s="92" t="s">
        <v>62</v>
      </c>
      <c r="HH2" s="92" t="s">
        <v>63</v>
      </c>
      <c r="HI2" s="92" t="s">
        <v>64</v>
      </c>
      <c r="HJ2" s="92" t="s">
        <v>65</v>
      </c>
      <c r="HK2" s="93" t="s">
        <v>321</v>
      </c>
      <c r="HL2" s="95"/>
      <c r="HN2" s="96" t="s">
        <v>41</v>
      </c>
      <c r="HO2" s="92" t="s">
        <v>42</v>
      </c>
      <c r="HP2" s="92" t="s">
        <v>43</v>
      </c>
      <c r="HQ2" s="92" t="s">
        <v>44</v>
      </c>
      <c r="HR2" s="92" t="s">
        <v>45</v>
      </c>
      <c r="HS2" s="92" t="s">
        <v>46</v>
      </c>
      <c r="HT2" s="92" t="s">
        <v>47</v>
      </c>
      <c r="HU2" s="92" t="s">
        <v>48</v>
      </c>
      <c r="HV2" s="92" t="s">
        <v>49</v>
      </c>
      <c r="HW2" s="92" t="s">
        <v>50</v>
      </c>
      <c r="HX2" s="92" t="s">
        <v>51</v>
      </c>
      <c r="HY2" s="92" t="s">
        <v>52</v>
      </c>
      <c r="HZ2" s="92" t="s">
        <v>53</v>
      </c>
      <c r="IA2" s="92" t="s">
        <v>54</v>
      </c>
      <c r="IB2" s="92" t="s">
        <v>55</v>
      </c>
      <c r="IC2" s="92" t="s">
        <v>56</v>
      </c>
      <c r="ID2" s="92" t="s">
        <v>57</v>
      </c>
      <c r="IE2" s="92" t="s">
        <v>58</v>
      </c>
      <c r="IF2" s="92" t="s">
        <v>59</v>
      </c>
      <c r="IG2" s="92" t="s">
        <v>60</v>
      </c>
      <c r="IH2" s="92" t="s">
        <v>61</v>
      </c>
      <c r="II2" s="92" t="s">
        <v>62</v>
      </c>
      <c r="IJ2" s="92" t="s">
        <v>63</v>
      </c>
      <c r="IK2" s="92" t="s">
        <v>64</v>
      </c>
      <c r="IL2" s="92" t="s">
        <v>65</v>
      </c>
      <c r="IM2" s="93" t="s">
        <v>321</v>
      </c>
      <c r="IN2" s="95"/>
      <c r="IP2" s="96" t="s">
        <v>41</v>
      </c>
      <c r="IQ2" s="92" t="s">
        <v>42</v>
      </c>
      <c r="IR2" s="92" t="s">
        <v>43</v>
      </c>
      <c r="IS2" s="92" t="s">
        <v>44</v>
      </c>
      <c r="IT2" s="92" t="s">
        <v>45</v>
      </c>
      <c r="IU2" s="92" t="s">
        <v>46</v>
      </c>
      <c r="IV2" s="92" t="s">
        <v>47</v>
      </c>
      <c r="IW2" s="92" t="s">
        <v>48</v>
      </c>
      <c r="IX2" s="92" t="s">
        <v>49</v>
      </c>
      <c r="IY2" s="92" t="s">
        <v>50</v>
      </c>
      <c r="IZ2" s="92" t="s">
        <v>51</v>
      </c>
      <c r="JA2" s="92" t="s">
        <v>52</v>
      </c>
      <c r="JB2" s="92" t="s">
        <v>53</v>
      </c>
      <c r="JC2" s="92" t="s">
        <v>54</v>
      </c>
      <c r="JD2" s="92" t="s">
        <v>55</v>
      </c>
      <c r="JE2" s="92" t="s">
        <v>56</v>
      </c>
      <c r="JF2" s="92" t="s">
        <v>57</v>
      </c>
      <c r="JG2" s="92" t="s">
        <v>58</v>
      </c>
      <c r="JH2" s="92" t="s">
        <v>59</v>
      </c>
      <c r="JI2" s="92" t="s">
        <v>60</v>
      </c>
      <c r="JJ2" s="92" t="s">
        <v>61</v>
      </c>
      <c r="JK2" s="92" t="s">
        <v>62</v>
      </c>
      <c r="JL2" s="92" t="s">
        <v>63</v>
      </c>
      <c r="JM2" s="92" t="s">
        <v>64</v>
      </c>
      <c r="JN2" s="92" t="s">
        <v>65</v>
      </c>
      <c r="JO2" s="93" t="s">
        <v>321</v>
      </c>
      <c r="JP2" s="95"/>
    </row>
    <row r="3" spans="1:281" ht="18.75" thickBot="1" x14ac:dyDescent="0.35">
      <c r="A3" s="101" t="s">
        <v>322</v>
      </c>
      <c r="D3" s="101" t="s">
        <v>327</v>
      </c>
      <c r="G3" s="15">
        <f t="shared" ref="G3:H3" si="0">SUMIFS(G$20:G$191,$A$20:$A$191,$A3)</f>
        <v>264185488.06680393</v>
      </c>
      <c r="H3" s="20">
        <f t="shared" si="0"/>
        <v>164896050.68311968</v>
      </c>
      <c r="AK3" s="122">
        <f t="shared" ref="AK3:BJ3" si="1">SUMIFS(AK$20:AK$191,$A$20:$A$191,$A3)</f>
        <v>15895.688321566889</v>
      </c>
      <c r="AL3" s="123">
        <f t="shared" si="1"/>
        <v>11956.173458171555</v>
      </c>
      <c r="AM3" s="123">
        <f t="shared" si="1"/>
        <v>4825.6674941195115</v>
      </c>
      <c r="AN3" s="123">
        <f t="shared" si="1"/>
        <v>6997.1520189211224</v>
      </c>
      <c r="AO3" s="123">
        <f t="shared" si="1"/>
        <v>11013.891654177369</v>
      </c>
      <c r="AP3" s="123">
        <f t="shared" si="1"/>
        <v>21138.109932079053</v>
      </c>
      <c r="AQ3" s="123">
        <f t="shared" si="1"/>
        <v>4989.0831837409687</v>
      </c>
      <c r="AR3" s="123">
        <f t="shared" si="1"/>
        <v>4193.5815022145625</v>
      </c>
      <c r="AS3" s="123">
        <f t="shared" si="1"/>
        <v>11610.030215601746</v>
      </c>
      <c r="AT3" s="123">
        <f t="shared" si="1"/>
        <v>31336.55931765413</v>
      </c>
      <c r="AU3" s="123">
        <f t="shared" si="1"/>
        <v>32407.944334962503</v>
      </c>
      <c r="AV3" s="123">
        <f t="shared" si="1"/>
        <v>9138.2325371860097</v>
      </c>
      <c r="AW3" s="123">
        <f t="shared" si="1"/>
        <v>5071.2888557425522</v>
      </c>
      <c r="AX3" s="123">
        <f t="shared" si="1"/>
        <v>18364.645920519364</v>
      </c>
      <c r="AY3" s="123">
        <f t="shared" si="1"/>
        <v>41794.277408919945</v>
      </c>
      <c r="AZ3" s="123">
        <f t="shared" si="1"/>
        <v>19700.809416516757</v>
      </c>
      <c r="BA3" s="123">
        <f t="shared" si="1"/>
        <v>5908.0435306671416</v>
      </c>
      <c r="BB3" s="123">
        <f t="shared" si="1"/>
        <v>23456.898560323283</v>
      </c>
      <c r="BC3" s="123">
        <f t="shared" si="1"/>
        <v>6776.2252160472935</v>
      </c>
      <c r="BD3" s="123">
        <f t="shared" si="1"/>
        <v>6661.8471987898238</v>
      </c>
      <c r="BE3" s="123">
        <f t="shared" si="1"/>
        <v>16182.264801124096</v>
      </c>
      <c r="BF3" s="123">
        <f t="shared" si="1"/>
        <v>9067.5526257212841</v>
      </c>
      <c r="BG3" s="123">
        <f t="shared" si="1"/>
        <v>26633.993979559124</v>
      </c>
      <c r="BH3" s="123">
        <f t="shared" si="1"/>
        <v>1862.8227565157304</v>
      </c>
      <c r="BI3" s="123">
        <f t="shared" si="1"/>
        <v>11052.866869558631</v>
      </c>
      <c r="BJ3" s="124">
        <f t="shared" si="1"/>
        <v>5147.1936022864011</v>
      </c>
      <c r="BK3" s="125">
        <f>SUM(AK3:BJ3)</f>
        <v>363182.84471268684</v>
      </c>
      <c r="BM3" s="76">
        <f t="shared" ref="BM3:CL3" si="2">SUMIFS(BM$20:BM$191,$A$20:$A$191,$A3)</f>
        <v>7807925.1474701529</v>
      </c>
      <c r="BN3" s="77">
        <f t="shared" si="2"/>
        <v>6084431.2802950228</v>
      </c>
      <c r="BO3" s="77">
        <f t="shared" si="2"/>
        <v>3739073.2985344287</v>
      </c>
      <c r="BP3" s="77">
        <f t="shared" si="2"/>
        <v>3241812.3866087152</v>
      </c>
      <c r="BQ3" s="77">
        <f t="shared" si="2"/>
        <v>5330272.9237109795</v>
      </c>
      <c r="BR3" s="77">
        <f t="shared" si="2"/>
        <v>12599184.836250896</v>
      </c>
      <c r="BS3" s="77">
        <f t="shared" si="2"/>
        <v>5284880.655826048</v>
      </c>
      <c r="BT3" s="77">
        <f t="shared" si="2"/>
        <v>3713258.2484689672</v>
      </c>
      <c r="BU3" s="77">
        <f t="shared" si="2"/>
        <v>5228939.3673272943</v>
      </c>
      <c r="BV3" s="77">
        <f t="shared" si="2"/>
        <v>11856370.012965143</v>
      </c>
      <c r="BW3" s="77">
        <f t="shared" si="2"/>
        <v>36506138.743126079</v>
      </c>
      <c r="BX3" s="77">
        <f t="shared" si="2"/>
        <v>5560320.4825224662</v>
      </c>
      <c r="BY3" s="77">
        <f t="shared" si="2"/>
        <v>3104690.2466240106</v>
      </c>
      <c r="BZ3" s="77">
        <f t="shared" si="2"/>
        <v>18020030.115699366</v>
      </c>
      <c r="CA3" s="77">
        <f t="shared" si="2"/>
        <v>21747746.90482419</v>
      </c>
      <c r="CB3" s="77">
        <f t="shared" si="2"/>
        <v>13685595.694351954</v>
      </c>
      <c r="CC3" s="77">
        <f t="shared" si="2"/>
        <v>3858535.4016890163</v>
      </c>
      <c r="CD3" s="77">
        <f t="shared" si="2"/>
        <v>16283912.380357437</v>
      </c>
      <c r="CE3" s="77">
        <f t="shared" si="2"/>
        <v>5011030.9765457008</v>
      </c>
      <c r="CF3" s="77">
        <f t="shared" si="2"/>
        <v>4346556.7702507591</v>
      </c>
      <c r="CG3" s="77">
        <f t="shared" si="2"/>
        <v>10973560.700613042</v>
      </c>
      <c r="CH3" s="77">
        <f t="shared" si="2"/>
        <v>5429511.5914571099</v>
      </c>
      <c r="CI3" s="77">
        <f t="shared" si="2"/>
        <v>14308607.587952135</v>
      </c>
      <c r="CJ3" s="77">
        <f t="shared" si="2"/>
        <v>2244084.219645048</v>
      </c>
      <c r="CK3" s="77">
        <f t="shared" si="2"/>
        <v>14054207.152898423</v>
      </c>
      <c r="CL3" s="78">
        <f t="shared" si="2"/>
        <v>24164787.845632691</v>
      </c>
      <c r="CM3" s="79">
        <f>SUM(BM3:CL3)</f>
        <v>264185464.97164711</v>
      </c>
      <c r="CN3" s="80">
        <f t="shared" ref="CN3:DM3" si="3">SUMIFS(CN$20:CN$191,$A$20:$A$191,$A3)</f>
        <v>5052887.2673764173</v>
      </c>
      <c r="CO3" s="81">
        <f t="shared" si="3"/>
        <v>3847845.0072097895</v>
      </c>
      <c r="CP3" s="81">
        <f t="shared" si="3"/>
        <v>2391379.3193265554</v>
      </c>
      <c r="CQ3" s="81">
        <f t="shared" si="3"/>
        <v>2093763.3615254515</v>
      </c>
      <c r="CR3" s="81">
        <f t="shared" si="3"/>
        <v>3370331.3641947289</v>
      </c>
      <c r="CS3" s="81">
        <f t="shared" si="3"/>
        <v>8107067.3087129286</v>
      </c>
      <c r="CT3" s="81">
        <f t="shared" si="3"/>
        <v>3235359.486221788</v>
      </c>
      <c r="CU3" s="81">
        <f t="shared" si="3"/>
        <v>2262534.979699811</v>
      </c>
      <c r="CV3" s="81">
        <f t="shared" si="3"/>
        <v>3349260.8855674104</v>
      </c>
      <c r="CW3" s="81">
        <f t="shared" si="3"/>
        <v>7909224.1665713042</v>
      </c>
      <c r="CX3" s="81">
        <f t="shared" si="3"/>
        <v>21168136.598167606</v>
      </c>
      <c r="CY3" s="81">
        <f t="shared" si="3"/>
        <v>3479859.0935210567</v>
      </c>
      <c r="CZ3" s="81">
        <f t="shared" si="3"/>
        <v>2027237.0748690744</v>
      </c>
      <c r="DA3" s="81">
        <f t="shared" si="3"/>
        <v>11026246.100443421</v>
      </c>
      <c r="DB3" s="81">
        <f t="shared" si="3"/>
        <v>14024529.366142971</v>
      </c>
      <c r="DC3" s="81">
        <f t="shared" si="3"/>
        <v>8588924.7910270207</v>
      </c>
      <c r="DD3" s="81">
        <f t="shared" si="3"/>
        <v>2411040.2402515877</v>
      </c>
      <c r="DE3" s="81">
        <f t="shared" si="3"/>
        <v>9990589.5285860673</v>
      </c>
      <c r="DF3" s="81">
        <f t="shared" si="3"/>
        <v>3074435.4332759995</v>
      </c>
      <c r="DG3" s="81">
        <f t="shared" si="3"/>
        <v>2699352.4393378086</v>
      </c>
      <c r="DH3" s="81">
        <f t="shared" si="3"/>
        <v>6870628.1151528005</v>
      </c>
      <c r="DI3" s="81">
        <f t="shared" si="3"/>
        <v>3399506.3539099498</v>
      </c>
      <c r="DJ3" s="81">
        <f t="shared" si="3"/>
        <v>9196364.6390467398</v>
      </c>
      <c r="DK3" s="81">
        <f t="shared" si="3"/>
        <v>1278349.3900763867</v>
      </c>
      <c r="DL3" s="81">
        <f t="shared" si="3"/>
        <v>8200630.6950646592</v>
      </c>
      <c r="DM3" s="82">
        <f t="shared" si="3"/>
        <v>15840548.989612054</v>
      </c>
      <c r="DN3" s="83">
        <f>SUM(CN3:DM3)</f>
        <v>164896031.99489141</v>
      </c>
      <c r="DO3" s="84">
        <f t="shared" ref="DO3:EN3" si="4">SUMIFS(DO$20:DO$191,$A$20:$A$191,$A3)</f>
        <v>2755037.880093737</v>
      </c>
      <c r="DP3" s="84">
        <f t="shared" si="4"/>
        <v>2236586.2730852333</v>
      </c>
      <c r="DQ3" s="84">
        <f t="shared" si="4"/>
        <v>1347693.979207874</v>
      </c>
      <c r="DR3" s="84">
        <f t="shared" si="4"/>
        <v>1148049.0250832636</v>
      </c>
      <c r="DS3" s="84">
        <f t="shared" si="4"/>
        <v>1959941.5595162481</v>
      </c>
      <c r="DT3" s="84">
        <f t="shared" si="4"/>
        <v>4492117.5275379717</v>
      </c>
      <c r="DU3" s="84">
        <f t="shared" si="4"/>
        <v>2049521.1696042591</v>
      </c>
      <c r="DV3" s="84">
        <f t="shared" si="4"/>
        <v>1450723.2687691564</v>
      </c>
      <c r="DW3" s="84">
        <f t="shared" si="4"/>
        <v>1879678.4817598872</v>
      </c>
      <c r="DX3" s="84">
        <f t="shared" si="4"/>
        <v>3947145.8463938329</v>
      </c>
      <c r="DY3" s="84">
        <f t="shared" si="4"/>
        <v>15338002.144958494</v>
      </c>
      <c r="DZ3" s="84">
        <f t="shared" si="4"/>
        <v>2080461.3890014123</v>
      </c>
      <c r="EA3" s="84">
        <f t="shared" si="4"/>
        <v>1077453.1717549355</v>
      </c>
      <c r="EB3" s="84">
        <f t="shared" si="4"/>
        <v>6993784.0152559485</v>
      </c>
      <c r="EC3" s="84">
        <f t="shared" si="4"/>
        <v>7723217.5386812193</v>
      </c>
      <c r="ED3" s="84">
        <f t="shared" si="4"/>
        <v>5096670.9033249384</v>
      </c>
      <c r="EE3" s="84">
        <f t="shared" si="4"/>
        <v>1447495.161437426</v>
      </c>
      <c r="EF3" s="84">
        <f t="shared" si="4"/>
        <v>6293322.8517713686</v>
      </c>
      <c r="EG3" s="84">
        <f t="shared" si="4"/>
        <v>1936595.5432696983</v>
      </c>
      <c r="EH3" s="84">
        <f t="shared" si="4"/>
        <v>1647204.3309129535</v>
      </c>
      <c r="EI3" s="84">
        <f t="shared" si="4"/>
        <v>4102932.5854602382</v>
      </c>
      <c r="EJ3" s="84">
        <f t="shared" si="4"/>
        <v>2030005.2375471606</v>
      </c>
      <c r="EK3" s="84">
        <f t="shared" si="4"/>
        <v>5112242.9489054121</v>
      </c>
      <c r="EL3" s="84">
        <f t="shared" si="4"/>
        <v>965734.82956866198</v>
      </c>
      <c r="EM3" s="84">
        <f t="shared" si="4"/>
        <v>5853576.4578337623</v>
      </c>
      <c r="EN3" s="85">
        <f t="shared" si="4"/>
        <v>8324238.8560206434</v>
      </c>
      <c r="EO3" s="86">
        <f>SUM(DO3:EN3)</f>
        <v>99289432.976755738</v>
      </c>
      <c r="FJ3" s="76">
        <f t="shared" ref="FJ3:GI3" si="5">SUMIFS(FJ$20:FJ$191,$A$20:$A$191,$A3)</f>
        <v>1102407.0350579408</v>
      </c>
      <c r="FK3" s="77">
        <f t="shared" si="5"/>
        <v>867166.89123641839</v>
      </c>
      <c r="FL3" s="77">
        <f t="shared" si="5"/>
        <v>553342.02958301769</v>
      </c>
      <c r="FM3" s="77">
        <f t="shared" si="5"/>
        <v>429808.19274869864</v>
      </c>
      <c r="FN3" s="77">
        <f t="shared" si="5"/>
        <v>724832.0976841962</v>
      </c>
      <c r="FO3" s="77">
        <f t="shared" si="5"/>
        <v>1799238.6253473463</v>
      </c>
      <c r="FP3" s="77">
        <f t="shared" si="5"/>
        <v>799482.37215930794</v>
      </c>
      <c r="FQ3" s="77">
        <f t="shared" si="5"/>
        <v>562018.63211985666</v>
      </c>
      <c r="FR3" s="77">
        <f t="shared" si="5"/>
        <v>723022.75905918458</v>
      </c>
      <c r="FS3" s="77">
        <f t="shared" si="5"/>
        <v>1483851.9400368517</v>
      </c>
      <c r="FT3" s="77">
        <f t="shared" si="5"/>
        <v>5671649.3018675316</v>
      </c>
      <c r="FU3" s="77">
        <f t="shared" si="5"/>
        <v>828319.73983541538</v>
      </c>
      <c r="FV3" s="77">
        <f t="shared" si="5"/>
        <v>454236.29259066272</v>
      </c>
      <c r="FW3" s="77">
        <f t="shared" si="5"/>
        <v>2793326.9552452704</v>
      </c>
      <c r="FX3" s="77">
        <f t="shared" si="5"/>
        <v>3047519.8854266801</v>
      </c>
      <c r="FY3" s="77">
        <f t="shared" si="5"/>
        <v>2026351.5688988671</v>
      </c>
      <c r="FZ3" s="77">
        <f t="shared" si="5"/>
        <v>587015.25148106704</v>
      </c>
      <c r="GA3" s="77">
        <f t="shared" si="5"/>
        <v>2422031.1017580186</v>
      </c>
      <c r="GB3" s="77">
        <f t="shared" si="5"/>
        <v>770887.70401550713</v>
      </c>
      <c r="GC3" s="77">
        <f t="shared" si="5"/>
        <v>661877.81063391501</v>
      </c>
      <c r="GD3" s="77">
        <f t="shared" si="5"/>
        <v>1797142.4874572037</v>
      </c>
      <c r="GE3" s="77">
        <f t="shared" si="5"/>
        <v>815248.40373355697</v>
      </c>
      <c r="GF3" s="77">
        <f t="shared" si="5"/>
        <v>2124376.5813705213</v>
      </c>
      <c r="GG3" s="77">
        <f t="shared" si="5"/>
        <v>371354.25746386556</v>
      </c>
      <c r="GH3" s="77">
        <f t="shared" si="5"/>
        <v>2259725.2010387816</v>
      </c>
      <c r="GI3" s="78">
        <f t="shared" si="5"/>
        <v>3500853.5675541637</v>
      </c>
      <c r="GJ3" s="79">
        <f>SUM(FJ3:GI3)</f>
        <v>39177086.685403846</v>
      </c>
      <c r="GL3" s="76">
        <f t="shared" ref="GL3:HK3" si="6">SUMIFS(GL$20:GL$191,$A$20:$A$191,$A3)</f>
        <v>2694641.6727125151</v>
      </c>
      <c r="GM3" s="77">
        <f t="shared" si="6"/>
        <v>2091681.8112539784</v>
      </c>
      <c r="GN3" s="77">
        <f t="shared" si="6"/>
        <v>1126895.9617265647</v>
      </c>
      <c r="GO3" s="77">
        <f t="shared" si="6"/>
        <v>1168899.515733344</v>
      </c>
      <c r="GP3" s="77">
        <f t="shared" si="6"/>
        <v>1908601.5194237099</v>
      </c>
      <c r="GQ3" s="77">
        <f t="shared" si="6"/>
        <v>4135512.8951149313</v>
      </c>
      <c r="GR3" s="77">
        <f t="shared" si="6"/>
        <v>1527079.3171365228</v>
      </c>
      <c r="GS3" s="77">
        <f t="shared" si="6"/>
        <v>1133926.2246691487</v>
      </c>
      <c r="GT3" s="77">
        <f t="shared" si="6"/>
        <v>1885116.9076392776</v>
      </c>
      <c r="GU3" s="77">
        <f t="shared" si="6"/>
        <v>4582942.3100795923</v>
      </c>
      <c r="GV3" s="77">
        <f t="shared" si="6"/>
        <v>10831689.248815557</v>
      </c>
      <c r="GW3" s="77">
        <f t="shared" si="6"/>
        <v>1818862.088108035</v>
      </c>
      <c r="GX3" s="77">
        <f t="shared" si="6"/>
        <v>986157.79701790668</v>
      </c>
      <c r="GY3" s="77">
        <f t="shared" si="6"/>
        <v>5317119.5085617546</v>
      </c>
      <c r="GZ3" s="77">
        <f t="shared" si="6"/>
        <v>7395034.1151880212</v>
      </c>
      <c r="HA3" s="77">
        <f t="shared" si="6"/>
        <v>4322569.3959887037</v>
      </c>
      <c r="HB3" s="77">
        <f t="shared" si="6"/>
        <v>1228007.4081402412</v>
      </c>
      <c r="HC3" s="77">
        <f t="shared" si="6"/>
        <v>5226422.9857991571</v>
      </c>
      <c r="HD3" s="77">
        <f t="shared" si="6"/>
        <v>1565445.0329340515</v>
      </c>
      <c r="HE3" s="77">
        <f t="shared" si="6"/>
        <v>1367172.6377817695</v>
      </c>
      <c r="HF3" s="77">
        <f t="shared" si="6"/>
        <v>3425028.6448125988</v>
      </c>
      <c r="HG3" s="77">
        <f t="shared" si="6"/>
        <v>1765929.4575563322</v>
      </c>
      <c r="HH3" s="77">
        <f t="shared" si="6"/>
        <v>4861888.9235208426</v>
      </c>
      <c r="HI3" s="77">
        <f t="shared" si="6"/>
        <v>634918.65515441028</v>
      </c>
      <c r="HJ3" s="77">
        <f t="shared" si="6"/>
        <v>3986654.8732020957</v>
      </c>
      <c r="HK3" s="78">
        <f t="shared" si="6"/>
        <v>5947589.2343465406</v>
      </c>
      <c r="HL3" s="79">
        <f>SUM(GL3:HK3)</f>
        <v>82935788.14241761</v>
      </c>
      <c r="HN3" s="76">
        <f t="shared" ref="HN3:IM3" si="7">SUMIFS(HN$20:HN$191,$A$20:$A$191,$A3)</f>
        <v>2291420.372940321</v>
      </c>
      <c r="HO3" s="77">
        <f t="shared" si="7"/>
        <v>1777812.9499678486</v>
      </c>
      <c r="HP3" s="77">
        <f t="shared" si="7"/>
        <v>1110465.725713735</v>
      </c>
      <c r="HQ3" s="77">
        <f t="shared" si="7"/>
        <v>966733.30280782527</v>
      </c>
      <c r="HR3" s="77">
        <f t="shared" si="7"/>
        <v>1573506.4158630336</v>
      </c>
      <c r="HS3" s="77">
        <f t="shared" si="7"/>
        <v>3686543.078924248</v>
      </c>
      <c r="HT3" s="77">
        <f t="shared" si="7"/>
        <v>1535933.7177596048</v>
      </c>
      <c r="HU3" s="77">
        <f t="shared" si="7"/>
        <v>1057553.6170486843</v>
      </c>
      <c r="HV3" s="77">
        <f t="shared" si="7"/>
        <v>1547395.5992510379</v>
      </c>
      <c r="HW3" s="77">
        <f t="shared" si="7"/>
        <v>3618347.4601602242</v>
      </c>
      <c r="HX3" s="77">
        <f t="shared" si="7"/>
        <v>10430811.707005931</v>
      </c>
      <c r="HY3" s="77">
        <f t="shared" si="7"/>
        <v>1620427.7433409544</v>
      </c>
      <c r="HZ3" s="77">
        <f t="shared" si="7"/>
        <v>917744.57385628531</v>
      </c>
      <c r="IA3" s="77">
        <f t="shared" si="7"/>
        <v>5216391.7577795805</v>
      </c>
      <c r="IB3" s="77">
        <f t="shared" si="7"/>
        <v>6470131.0167762917</v>
      </c>
      <c r="IC3" s="77">
        <f t="shared" si="7"/>
        <v>4009299.837164334</v>
      </c>
      <c r="ID3" s="77">
        <f t="shared" si="7"/>
        <v>1087797.2751371404</v>
      </c>
      <c r="IE3" s="77">
        <f t="shared" si="7"/>
        <v>4718325.0142461685</v>
      </c>
      <c r="IF3" s="77">
        <f t="shared" si="7"/>
        <v>1446201.642486196</v>
      </c>
      <c r="IG3" s="77">
        <f t="shared" si="7"/>
        <v>1260909.7760807164</v>
      </c>
      <c r="IH3" s="77">
        <f t="shared" si="7"/>
        <v>3124448.2317654421</v>
      </c>
      <c r="II3" s="77">
        <f t="shared" si="7"/>
        <v>1577973.4436015503</v>
      </c>
      <c r="IJ3" s="77">
        <f t="shared" si="7"/>
        <v>4133525.8783518532</v>
      </c>
      <c r="IK3" s="77">
        <f t="shared" si="7"/>
        <v>621206.41637670633</v>
      </c>
      <c r="IL3" s="77">
        <f t="shared" si="7"/>
        <v>3999733.141661311</v>
      </c>
      <c r="IM3" s="78">
        <f t="shared" si="7"/>
        <v>6877370.0540491547</v>
      </c>
      <c r="IN3" s="79">
        <f>SUM(HN3:IM3)</f>
        <v>76678009.750116169</v>
      </c>
      <c r="IP3" s="76">
        <f t="shared" ref="IP3:JO3" si="8">SUMIFS(IP$20:IP$191,$A$20:$A$191,$A3)</f>
        <v>1719456.0667593777</v>
      </c>
      <c r="IQ3" s="77">
        <f t="shared" si="8"/>
        <v>1347769.6278367764</v>
      </c>
      <c r="IR3" s="77">
        <f t="shared" si="8"/>
        <v>948369.58151111309</v>
      </c>
      <c r="IS3" s="77">
        <f t="shared" si="8"/>
        <v>676371.37531884841</v>
      </c>
      <c r="IT3" s="77">
        <f t="shared" si="8"/>
        <v>1123332.8907400363</v>
      </c>
      <c r="IU3" s="77">
        <f t="shared" si="8"/>
        <v>2977890.2368643652</v>
      </c>
      <c r="IV3" s="77">
        <f t="shared" si="8"/>
        <v>1422385.2487706111</v>
      </c>
      <c r="IW3" s="77">
        <f t="shared" si="8"/>
        <v>959759.77463127684</v>
      </c>
      <c r="IX3" s="77">
        <f t="shared" si="8"/>
        <v>1073404.1013777968</v>
      </c>
      <c r="IY3" s="77">
        <f t="shared" si="8"/>
        <v>2171228.3026884748</v>
      </c>
      <c r="IZ3" s="77">
        <f t="shared" si="8"/>
        <v>9571988.4854370691</v>
      </c>
      <c r="JA3" s="77">
        <f t="shared" si="8"/>
        <v>1292710.9112380643</v>
      </c>
      <c r="JB3" s="77">
        <f t="shared" si="8"/>
        <v>746551.58315915521</v>
      </c>
      <c r="JC3" s="77">
        <f t="shared" si="8"/>
        <v>4693191.8941127714</v>
      </c>
      <c r="JD3" s="77">
        <f t="shared" si="8"/>
        <v>4835061.8874331918</v>
      </c>
      <c r="JE3" s="77">
        <f t="shared" si="8"/>
        <v>3327374.8923000516</v>
      </c>
      <c r="JF3" s="77">
        <f t="shared" si="8"/>
        <v>955715.46693056438</v>
      </c>
      <c r="JG3" s="77">
        <f t="shared" si="8"/>
        <v>3917133.2785540898</v>
      </c>
      <c r="JH3" s="77">
        <f t="shared" si="8"/>
        <v>1228496.5971099443</v>
      </c>
      <c r="JI3" s="77">
        <f t="shared" si="8"/>
        <v>1056596.5457543575</v>
      </c>
      <c r="JJ3" s="77">
        <f t="shared" si="8"/>
        <v>2626941.3365777973</v>
      </c>
      <c r="JK3" s="77">
        <f t="shared" si="8"/>
        <v>1270360.2865656703</v>
      </c>
      <c r="JL3" s="77">
        <f t="shared" si="8"/>
        <v>3188816.2047089334</v>
      </c>
      <c r="JM3" s="77">
        <f t="shared" si="8"/>
        <v>616604.89065006713</v>
      </c>
      <c r="JN3" s="77">
        <f t="shared" si="8"/>
        <v>3808093.9369962313</v>
      </c>
      <c r="JO3" s="78">
        <f t="shared" si="8"/>
        <v>7838974.9896828346</v>
      </c>
      <c r="JP3" s="79">
        <f>SUM(IP3:JO3)</f>
        <v>65394580.393709466</v>
      </c>
      <c r="JT3" s="77">
        <f>SUMIFS(JT$20:JT$191,$A$20:$A$191,$A3)</f>
        <v>7807925.1474701529</v>
      </c>
      <c r="JU3" s="29">
        <f t="shared" ref="JU3:JU14" si="9">IFERROR(JT3/BM3,0)</f>
        <v>1</v>
      </c>
    </row>
    <row r="4" spans="1:281" x14ac:dyDescent="0.3">
      <c r="A4" s="101"/>
      <c r="D4" s="101" t="s">
        <v>322</v>
      </c>
      <c r="I4" s="111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  <c r="BM4" s="111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36"/>
      <c r="CN4" s="42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44"/>
      <c r="DO4" s="46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8"/>
      <c r="FJ4" s="111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36"/>
      <c r="GL4" s="111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36"/>
      <c r="HN4" s="111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36"/>
      <c r="IP4" s="111"/>
      <c r="IQ4" s="112"/>
      <c r="IR4" s="112"/>
      <c r="IS4" s="112"/>
      <c r="IT4" s="112"/>
      <c r="IU4" s="112"/>
      <c r="IV4" s="112"/>
      <c r="IW4" s="112"/>
      <c r="IX4" s="112"/>
      <c r="IY4" s="112"/>
      <c r="IZ4" s="112"/>
      <c r="JA4" s="112"/>
      <c r="JB4" s="112"/>
      <c r="JC4" s="112"/>
      <c r="JD4" s="112"/>
      <c r="JE4" s="112"/>
      <c r="JF4" s="112"/>
      <c r="JG4" s="112"/>
      <c r="JH4" s="112"/>
      <c r="JI4" s="112"/>
      <c r="JJ4" s="112"/>
      <c r="JK4" s="112"/>
      <c r="JL4" s="112"/>
      <c r="JM4" s="112"/>
      <c r="JN4" s="112"/>
      <c r="JO4" s="112"/>
      <c r="JP4" s="36"/>
      <c r="JT4" s="112"/>
      <c r="JU4" s="29">
        <f t="shared" si="9"/>
        <v>0</v>
      </c>
    </row>
    <row r="5" spans="1:281" ht="18" x14ac:dyDescent="0.3">
      <c r="A5" s="102" t="s">
        <v>234</v>
      </c>
      <c r="B5" s="49"/>
      <c r="C5" s="49"/>
      <c r="D5" s="102" t="s">
        <v>322</v>
      </c>
      <c r="E5" s="49"/>
      <c r="F5" s="113">
        <f>SUMIFS(F$20:F$191,$A$20:$A$191,$A5,$D$20:$D$191,$D5)</f>
        <v>356583.00500026008</v>
      </c>
      <c r="G5" s="15">
        <f t="shared" ref="G5:H7" si="10">SUMIFS(G$20:G$191,$A$20:$A$191,$A5,$D$20:$D$191,$D5)</f>
        <v>229747785.90894842</v>
      </c>
      <c r="H5" s="20">
        <f t="shared" si="10"/>
        <v>142506505.14601853</v>
      </c>
      <c r="I5" s="23">
        <f t="shared" ref="I5:I14" si="11">G5/H5</f>
        <v>1.6121915674904705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49"/>
      <c r="AK5" s="129">
        <f t="shared" ref="AK5:AT7" si="12">SUMIFS(AK$20:AK$191,$A$20:$A$191,$A5,$D$20:$D$191,$D5)</f>
        <v>15893.310118967634</v>
      </c>
      <c r="AL5" s="130">
        <f t="shared" si="12"/>
        <v>11934.52892885634</v>
      </c>
      <c r="AM5" s="130">
        <f t="shared" si="12"/>
        <v>4825.6674941195115</v>
      </c>
      <c r="AN5" s="130">
        <f t="shared" si="12"/>
        <v>6997.1520189211224</v>
      </c>
      <c r="AO5" s="130">
        <f t="shared" si="12"/>
        <v>11013.891654177369</v>
      </c>
      <c r="AP5" s="130">
        <f t="shared" si="12"/>
        <v>20988.910336624438</v>
      </c>
      <c r="AQ5" s="130">
        <f t="shared" si="12"/>
        <v>4988.0337547044101</v>
      </c>
      <c r="AR5" s="130">
        <f t="shared" si="12"/>
        <v>4146.7528842788124</v>
      </c>
      <c r="AS5" s="130">
        <f t="shared" si="12"/>
        <v>11608.810814867807</v>
      </c>
      <c r="AT5" s="130">
        <f t="shared" si="12"/>
        <v>31336.55931765413</v>
      </c>
      <c r="AU5" s="130">
        <f t="shared" ref="AU5:BD7" si="13">SUMIFS(AU$20:AU$191,$A$20:$A$191,$A5,$D$20:$D$191,$D5)</f>
        <v>32407.944334962503</v>
      </c>
      <c r="AV5" s="130">
        <f t="shared" si="13"/>
        <v>9138.2325371860097</v>
      </c>
      <c r="AW5" s="130">
        <f t="shared" si="13"/>
        <v>5071.2888557425522</v>
      </c>
      <c r="AX5" s="130">
        <f t="shared" si="13"/>
        <v>17943.909891212177</v>
      </c>
      <c r="AY5" s="130">
        <f t="shared" si="13"/>
        <v>41793.05800818601</v>
      </c>
      <c r="AZ5" s="130">
        <f t="shared" si="13"/>
        <v>19587.70916700493</v>
      </c>
      <c r="BA5" s="130">
        <f t="shared" si="13"/>
        <v>5874.3573359603806</v>
      </c>
      <c r="BB5" s="130">
        <f t="shared" si="13"/>
        <v>23367.881641594544</v>
      </c>
      <c r="BC5" s="130">
        <f t="shared" si="13"/>
        <v>6776.2252160472935</v>
      </c>
      <c r="BD5" s="130">
        <f t="shared" si="13"/>
        <v>6661.8471987898238</v>
      </c>
      <c r="BE5" s="130">
        <f t="shared" ref="BE5:BJ7" si="14">SUMIFS(BE$20:BE$191,$A$20:$A$191,$A5,$D$20:$D$191,$D5)</f>
        <v>16089.247864710602</v>
      </c>
      <c r="BF5" s="130">
        <f t="shared" si="14"/>
        <v>9066.0376540056186</v>
      </c>
      <c r="BG5" s="130">
        <f t="shared" si="14"/>
        <v>26155.798058038465</v>
      </c>
      <c r="BH5" s="130">
        <f t="shared" si="14"/>
        <v>1862.8227565157304</v>
      </c>
      <c r="BI5" s="130">
        <f t="shared" si="14"/>
        <v>11052.866869558631</v>
      </c>
      <c r="BJ5" s="130">
        <f t="shared" si="14"/>
        <v>0</v>
      </c>
      <c r="BK5" s="131">
        <f>SUM(AK5:BJ5)</f>
        <v>356582.8447126869</v>
      </c>
      <c r="BM5" s="51">
        <f t="shared" ref="BM5:BV7" si="15">SUMIFS(BM$20:BM$191,$A$20:$A$191,$A5,$D$20:$D$191,$D5)</f>
        <v>7710987.3419481982</v>
      </c>
      <c r="BN5" s="52">
        <f t="shared" si="15"/>
        <v>5956737.0577107454</v>
      </c>
      <c r="BO5" s="52">
        <f t="shared" si="15"/>
        <v>3711440.6730074221</v>
      </c>
      <c r="BP5" s="52">
        <f t="shared" si="15"/>
        <v>3241812.3866087152</v>
      </c>
      <c r="BQ5" s="52">
        <f t="shared" si="15"/>
        <v>5302640.2981839729</v>
      </c>
      <c r="BR5" s="52">
        <f t="shared" si="15"/>
        <v>11519360.999738531</v>
      </c>
      <c r="BS5" s="52">
        <f t="shared" si="15"/>
        <v>5238859.1896258527</v>
      </c>
      <c r="BT5" s="52">
        <f t="shared" si="15"/>
        <v>3578301.9673686484</v>
      </c>
      <c r="BU5" s="52">
        <f t="shared" si="15"/>
        <v>5179939.5363656795</v>
      </c>
      <c r="BV5" s="52">
        <f t="shared" si="15"/>
        <v>11828737.387438137</v>
      </c>
      <c r="BW5" s="52">
        <f t="shared" ref="BW5:CF7" si="16">SUMIFS(BW$20:BW$191,$A$20:$A$191,$A5,$D$20:$D$191,$D5)</f>
        <v>36506138.743126079</v>
      </c>
      <c r="BX5" s="52">
        <f t="shared" si="16"/>
        <v>5532687.8569954596</v>
      </c>
      <c r="BY5" s="52">
        <f t="shared" si="16"/>
        <v>3074690.7061319188</v>
      </c>
      <c r="BZ5" s="52">
        <f t="shared" si="16"/>
        <v>15717980.036634127</v>
      </c>
      <c r="CA5" s="52">
        <f t="shared" si="16"/>
        <v>21704547.033804119</v>
      </c>
      <c r="CB5" s="52">
        <f t="shared" si="16"/>
        <v>12989288.385219142</v>
      </c>
      <c r="CC5" s="52">
        <f t="shared" si="16"/>
        <v>3659443.1751414947</v>
      </c>
      <c r="CD5" s="52">
        <f t="shared" si="16"/>
        <v>15785666.330205124</v>
      </c>
      <c r="CE5" s="52">
        <f t="shared" si="16"/>
        <v>4983398.3510186952</v>
      </c>
      <c r="CF5" s="52">
        <f t="shared" si="16"/>
        <v>4318924.1447237525</v>
      </c>
      <c r="CG5" s="52">
        <f t="shared" ref="CG5:CL7" si="17">SUMIFS(CG$20:CG$191,$A$20:$A$191,$A5,$D$20:$D$191,$D5)</f>
        <v>9407566.0236539394</v>
      </c>
      <c r="CH5" s="52">
        <f t="shared" si="17"/>
        <v>5375332.5558982892</v>
      </c>
      <c r="CI5" s="52">
        <f t="shared" si="17"/>
        <v>11124991.260700075</v>
      </c>
      <c r="CJ5" s="52">
        <f t="shared" si="17"/>
        <v>2244084.219645048</v>
      </c>
      <c r="CK5" s="52">
        <f t="shared" si="17"/>
        <v>14054207.152898423</v>
      </c>
      <c r="CL5" s="52">
        <f t="shared" si="17"/>
        <v>0</v>
      </c>
      <c r="CM5" s="87">
        <f>SUM(BM5:CL5)</f>
        <v>229747762.81379154</v>
      </c>
      <c r="CN5" s="53">
        <f t="shared" ref="CN5:CW7" si="18">SUMIFS(CN$20:CN$191,$A$20:$A$191,$A5)</f>
        <v>4993963.4197698273</v>
      </c>
      <c r="CO5" s="54">
        <f t="shared" si="18"/>
        <v>3763742.3562464495</v>
      </c>
      <c r="CP5" s="54">
        <f t="shared" si="18"/>
        <v>2373024.1248663389</v>
      </c>
      <c r="CQ5" s="54">
        <f t="shared" si="18"/>
        <v>2093763.3615254515</v>
      </c>
      <c r="CR5" s="54">
        <f t="shared" si="18"/>
        <v>3351976.1697345129</v>
      </c>
      <c r="CS5" s="54">
        <f t="shared" si="18"/>
        <v>7435607.294031702</v>
      </c>
      <c r="CT5" s="54">
        <f t="shared" si="18"/>
        <v>3207202.1628113422</v>
      </c>
      <c r="CU5" s="54">
        <f t="shared" si="18"/>
        <v>2175908.8095759088</v>
      </c>
      <c r="CV5" s="54">
        <f t="shared" si="18"/>
        <v>3319515.9517158777</v>
      </c>
      <c r="CW5" s="54">
        <f t="shared" si="18"/>
        <v>7890868.9721110882</v>
      </c>
      <c r="CX5" s="54">
        <f t="shared" ref="CX5:DG7" si="19">SUMIFS(CX$20:CX$191,$A$20:$A$191,$A5)</f>
        <v>21168136.598167606</v>
      </c>
      <c r="CY5" s="54">
        <f t="shared" si="19"/>
        <v>3461503.8990608403</v>
      </c>
      <c r="CZ5" s="54">
        <f t="shared" si="19"/>
        <v>2007309.6380458414</v>
      </c>
      <c r="DA5" s="54">
        <f t="shared" si="19"/>
        <v>9545749.2062158976</v>
      </c>
      <c r="DB5" s="54">
        <f t="shared" si="19"/>
        <v>13998637.102479599</v>
      </c>
      <c r="DC5" s="54">
        <f t="shared" si="19"/>
        <v>8141207.773105273</v>
      </c>
      <c r="DD5" s="54">
        <f t="shared" si="19"/>
        <v>2282674.1216453696</v>
      </c>
      <c r="DE5" s="54">
        <f t="shared" si="19"/>
        <v>9668109.8348705098</v>
      </c>
      <c r="DF5" s="54">
        <f t="shared" si="19"/>
        <v>3056080.2388157831</v>
      </c>
      <c r="DG5" s="54">
        <f t="shared" si="19"/>
        <v>2680997.2448775922</v>
      </c>
      <c r="DH5" s="54">
        <f t="shared" ref="DH5:DM7" si="20">SUMIFS(DH$20:DH$191,$A$20:$A$191,$A5)</f>
        <v>5897129.4693943188</v>
      </c>
      <c r="DI5" s="54">
        <f t="shared" si="20"/>
        <v>3367000.6570378607</v>
      </c>
      <c r="DJ5" s="54">
        <f t="shared" si="20"/>
        <v>7147397.9665442323</v>
      </c>
      <c r="DK5" s="54">
        <f t="shared" si="20"/>
        <v>1278349.3900763867</v>
      </c>
      <c r="DL5" s="54">
        <f t="shared" si="20"/>
        <v>8200630.6950646592</v>
      </c>
      <c r="DM5" s="54">
        <f t="shared" si="20"/>
        <v>0</v>
      </c>
      <c r="DN5" s="98">
        <f>SUM(CN5:DM5)</f>
        <v>142506486.45779029</v>
      </c>
      <c r="DO5" s="55">
        <f t="shared" ref="DO5:DX7" si="21">SUMIFS(DO$20:DO$191,$A$20:$A$191,$A5)</f>
        <v>2717023.9221783741</v>
      </c>
      <c r="DP5" s="56">
        <f t="shared" si="21"/>
        <v>2192994.7014642949</v>
      </c>
      <c r="DQ5" s="56">
        <f t="shared" si="21"/>
        <v>1338416.5481410837</v>
      </c>
      <c r="DR5" s="56">
        <f t="shared" si="21"/>
        <v>1148049.0250832636</v>
      </c>
      <c r="DS5" s="56">
        <f t="shared" si="21"/>
        <v>1950664.1284494575</v>
      </c>
      <c r="DT5" s="56">
        <f t="shared" si="21"/>
        <v>4083753.7057068301</v>
      </c>
      <c r="DU5" s="56">
        <f t="shared" si="21"/>
        <v>2031657.0268145096</v>
      </c>
      <c r="DV5" s="56">
        <f t="shared" si="21"/>
        <v>1402393.15779274</v>
      </c>
      <c r="DW5" s="56">
        <f t="shared" si="21"/>
        <v>1860423.5846498064</v>
      </c>
      <c r="DX5" s="56">
        <f t="shared" si="21"/>
        <v>3937868.4153270433</v>
      </c>
      <c r="DY5" s="56">
        <f t="shared" ref="DY5:EH7" si="22">SUMIFS(DY$20:DY$191,$A$20:$A$191,$A5)</f>
        <v>15338002.144958494</v>
      </c>
      <c r="DZ5" s="56">
        <f t="shared" si="22"/>
        <v>2071183.9579346222</v>
      </c>
      <c r="EA5" s="56">
        <f t="shared" si="22"/>
        <v>1067381.0680860768</v>
      </c>
      <c r="EB5" s="56">
        <f t="shared" si="22"/>
        <v>6172230.8304182366</v>
      </c>
      <c r="EC5" s="56">
        <f t="shared" si="22"/>
        <v>7705909.9313245229</v>
      </c>
      <c r="ED5" s="56">
        <f t="shared" si="22"/>
        <v>4848080.6121138753</v>
      </c>
      <c r="EE5" s="56">
        <f t="shared" si="22"/>
        <v>1376769.0534961235</v>
      </c>
      <c r="EF5" s="56">
        <f t="shared" si="22"/>
        <v>6117556.4953346159</v>
      </c>
      <c r="EG5" s="56">
        <f t="shared" si="22"/>
        <v>1927318.1122029077</v>
      </c>
      <c r="EH5" s="56">
        <f t="shared" si="22"/>
        <v>1637926.8998461631</v>
      </c>
      <c r="EI5" s="56">
        <f t="shared" ref="EI5:EN7" si="23">SUMIFS(EI$20:EI$191,$A$20:$A$191,$A5)</f>
        <v>3510436.554259616</v>
      </c>
      <c r="EJ5" s="56">
        <f t="shared" si="23"/>
        <v>2008331.8988604294</v>
      </c>
      <c r="EK5" s="56">
        <f t="shared" si="23"/>
        <v>3977593.2941558575</v>
      </c>
      <c r="EL5" s="56">
        <f t="shared" si="23"/>
        <v>965734.82956866198</v>
      </c>
      <c r="EM5" s="56">
        <f t="shared" si="23"/>
        <v>5853576.4578337623</v>
      </c>
      <c r="EN5" s="56">
        <f t="shared" si="23"/>
        <v>0</v>
      </c>
      <c r="EO5" s="57">
        <f>SUM(DO5:EN5)</f>
        <v>87241276.356001377</v>
      </c>
      <c r="FJ5" s="51">
        <f t="shared" ref="FJ5:FS7" si="24">SUMIFS(FJ$20:FJ$191,$A$20:$A$191,$A5,$D$20:$D$191,$D5)</f>
        <v>1073736.6161966647</v>
      </c>
      <c r="FK5" s="52">
        <f t="shared" si="24"/>
        <v>841634.93810450519</v>
      </c>
      <c r="FL5" s="52">
        <f t="shared" si="24"/>
        <v>542532.07735388621</v>
      </c>
      <c r="FM5" s="52">
        <f t="shared" si="24"/>
        <v>429808.19274869864</v>
      </c>
      <c r="FN5" s="52">
        <f t="shared" si="24"/>
        <v>714022.1454550646</v>
      </c>
      <c r="FO5" s="52">
        <f t="shared" si="24"/>
        <v>1606582.9564180246</v>
      </c>
      <c r="FP5" s="52">
        <f t="shared" si="24"/>
        <v>785561.24069779308</v>
      </c>
      <c r="FQ5" s="52">
        <f t="shared" si="24"/>
        <v>540083.9058184271</v>
      </c>
      <c r="FR5" s="52">
        <f t="shared" si="24"/>
        <v>708597.72271552566</v>
      </c>
      <c r="FS5" s="52">
        <f t="shared" si="24"/>
        <v>1473041.9878077202</v>
      </c>
      <c r="FT5" s="52">
        <f t="shared" ref="FT5:GC7" si="25">SUMIFS(FT$20:FT$191,$A$20:$A$191,$A5,$D$20:$D$191,$D5)</f>
        <v>5671649.3018675316</v>
      </c>
      <c r="FU5" s="52">
        <f t="shared" si="25"/>
        <v>817509.78760628391</v>
      </c>
      <c r="FV5" s="52">
        <f t="shared" si="25"/>
        <v>442500.397306356</v>
      </c>
      <c r="FW5" s="52">
        <f t="shared" si="25"/>
        <v>2400664.6749965125</v>
      </c>
      <c r="FX5" s="52">
        <f t="shared" si="25"/>
        <v>3035363.8079207437</v>
      </c>
      <c r="FY5" s="52">
        <f t="shared" si="25"/>
        <v>1895041.4190103232</v>
      </c>
      <c r="FZ5" s="52">
        <f t="shared" si="25"/>
        <v>550507.21378323564</v>
      </c>
      <c r="GA5" s="52">
        <f t="shared" si="25"/>
        <v>2334293.0254595741</v>
      </c>
      <c r="GB5" s="52">
        <f t="shared" si="25"/>
        <v>760077.75178637565</v>
      </c>
      <c r="GC5" s="52">
        <f t="shared" si="25"/>
        <v>651067.85840478353</v>
      </c>
      <c r="GD5" s="52">
        <f t="shared" ref="GD5:GI7" si="26">SUMIFS(GD$20:GD$191,$A$20:$A$191,$A5,$D$20:$D$191,$D5)</f>
        <v>1367040.8059125904</v>
      </c>
      <c r="GE5" s="52">
        <f t="shared" si="26"/>
        <v>799947.10585337889</v>
      </c>
      <c r="GF5" s="52">
        <f t="shared" si="26"/>
        <v>1500736.2727918003</v>
      </c>
      <c r="GG5" s="52">
        <f t="shared" si="26"/>
        <v>371354.25746386556</v>
      </c>
      <c r="GH5" s="52">
        <f t="shared" si="26"/>
        <v>2259725.2010387816</v>
      </c>
      <c r="GI5" s="52">
        <f t="shared" si="26"/>
        <v>0</v>
      </c>
      <c r="GJ5" s="87">
        <f>SUM(FJ5:GI5)</f>
        <v>33573080.664518446</v>
      </c>
      <c r="GL5" s="51">
        <f t="shared" ref="GL5:GU7" si="27">SUMIFS(GL$20:GL$191,$A$20:$A$191,$A5,$D$20:$D$191,$D5)</f>
        <v>2676598.8903009784</v>
      </c>
      <c r="GM5" s="52">
        <f t="shared" si="27"/>
        <v>2063466.9633918535</v>
      </c>
      <c r="GN5" s="52">
        <f t="shared" si="27"/>
        <v>1122934.9742157313</v>
      </c>
      <c r="GO5" s="52">
        <f t="shared" si="27"/>
        <v>1168899.515733344</v>
      </c>
      <c r="GP5" s="52">
        <f t="shared" si="27"/>
        <v>1904640.5319128768</v>
      </c>
      <c r="GQ5" s="52">
        <f t="shared" si="27"/>
        <v>3886586.0739412527</v>
      </c>
      <c r="GR5" s="52">
        <f t="shared" si="27"/>
        <v>1518652.32275492</v>
      </c>
      <c r="GS5" s="52">
        <f t="shared" si="27"/>
        <v>1097828.0325604945</v>
      </c>
      <c r="GT5" s="52">
        <f t="shared" si="27"/>
        <v>1875966.5725248603</v>
      </c>
      <c r="GU5" s="52">
        <f t="shared" si="27"/>
        <v>4578981.3225687593</v>
      </c>
      <c r="GV5" s="52">
        <f t="shared" ref="GV5:HE7" si="28">SUMIFS(GV$20:GV$191,$A$20:$A$191,$A5,$D$20:$D$191,$D5)</f>
        <v>10831689.248815557</v>
      </c>
      <c r="GW5" s="52">
        <f t="shared" si="28"/>
        <v>1814901.1005972016</v>
      </c>
      <c r="GX5" s="52">
        <f t="shared" si="28"/>
        <v>981857.52504035679</v>
      </c>
      <c r="GY5" s="52">
        <f t="shared" si="28"/>
        <v>4776860.7440623511</v>
      </c>
      <c r="GZ5" s="52">
        <f t="shared" si="28"/>
        <v>7386715.1729815761</v>
      </c>
      <c r="HA5" s="52">
        <f t="shared" si="28"/>
        <v>4164698.753774574</v>
      </c>
      <c r="HB5" s="52">
        <f t="shared" si="28"/>
        <v>1182476.2824988859</v>
      </c>
      <c r="HC5" s="52">
        <f t="shared" si="28"/>
        <v>5111106.8741651541</v>
      </c>
      <c r="HD5" s="52">
        <f t="shared" si="28"/>
        <v>1561484.045423218</v>
      </c>
      <c r="HE5" s="52">
        <f t="shared" si="28"/>
        <v>1363211.6502709363</v>
      </c>
      <c r="HF5" s="52">
        <f t="shared" ref="HF5:HK7" si="29">SUMIFS(HF$20:HF$191,$A$20:$A$191,$A5,$D$20:$D$191,$D5)</f>
        <v>3121846.3993853964</v>
      </c>
      <c r="HG5" s="52">
        <f t="shared" si="29"/>
        <v>1755521.2746130426</v>
      </c>
      <c r="HH5" s="52">
        <f t="shared" si="29"/>
        <v>4153290.4532656237</v>
      </c>
      <c r="HI5" s="52">
        <f t="shared" si="29"/>
        <v>634918.65515441028</v>
      </c>
      <c r="HJ5" s="52">
        <f t="shared" si="29"/>
        <v>3986654.8732020957</v>
      </c>
      <c r="HK5" s="52">
        <f t="shared" si="29"/>
        <v>0</v>
      </c>
      <c r="HL5" s="87">
        <f>SUM(GL5:HK5)</f>
        <v>74721788.25315547</v>
      </c>
      <c r="HN5" s="51">
        <f t="shared" ref="HN5:HW7" si="30">SUMIFS(HN$20:HN$191,$A$20:$A$191,$A5,$D$20:$D$191,$D5)</f>
        <v>2268953.6303213723</v>
      </c>
      <c r="HO5" s="52">
        <f t="shared" si="30"/>
        <v>1744013.3397154489</v>
      </c>
      <c r="HP5" s="52">
        <f t="shared" si="30"/>
        <v>1104978.3936057827</v>
      </c>
      <c r="HQ5" s="52">
        <f t="shared" si="30"/>
        <v>966733.30280782527</v>
      </c>
      <c r="HR5" s="52">
        <f t="shared" si="30"/>
        <v>1568019.0837550813</v>
      </c>
      <c r="HS5" s="52">
        <f t="shared" si="30"/>
        <v>3393026.5653046444</v>
      </c>
      <c r="HT5" s="52">
        <f t="shared" si="30"/>
        <v>1525375.2782656166</v>
      </c>
      <c r="HU5" s="52">
        <f t="shared" si="30"/>
        <v>1018967.1578210822</v>
      </c>
      <c r="HV5" s="52">
        <f t="shared" si="30"/>
        <v>1536015.8133868047</v>
      </c>
      <c r="HW5" s="52">
        <f t="shared" si="30"/>
        <v>3612860.1280522714</v>
      </c>
      <c r="HX5" s="52">
        <f t="shared" ref="HX5:IG7" si="31">SUMIFS(HX$20:HX$191,$A$20:$A$191,$A5,$D$20:$D$191,$D5)</f>
        <v>10430811.707005931</v>
      </c>
      <c r="HY5" s="52">
        <f t="shared" si="31"/>
        <v>1614940.4112330021</v>
      </c>
      <c r="HZ5" s="52">
        <f t="shared" si="31"/>
        <v>911787.2158916872</v>
      </c>
      <c r="IA5" s="52">
        <f t="shared" si="31"/>
        <v>4583166.8688748507</v>
      </c>
      <c r="IB5" s="52">
        <f t="shared" si="31"/>
        <v>6459902.996471975</v>
      </c>
      <c r="IC5" s="52">
        <f t="shared" si="31"/>
        <v>3822219.3029851634</v>
      </c>
      <c r="ID5" s="52">
        <f t="shared" si="31"/>
        <v>1033949.0720562362</v>
      </c>
      <c r="IE5" s="52">
        <f t="shared" si="31"/>
        <v>4582316.3299399121</v>
      </c>
      <c r="IF5" s="52">
        <f t="shared" si="31"/>
        <v>1440714.3103782437</v>
      </c>
      <c r="IG5" s="52">
        <f t="shared" si="31"/>
        <v>1255422.4439727643</v>
      </c>
      <c r="IH5" s="52">
        <f t="shared" ref="IH5:IM7" si="32">SUMIFS(IH$20:IH$191,$A$20:$A$191,$A5,$D$20:$D$191,$D5)</f>
        <v>2750160.2326636575</v>
      </c>
      <c r="II5" s="52">
        <f t="shared" si="32"/>
        <v>1565165.3837556418</v>
      </c>
      <c r="IJ5" s="52">
        <f t="shared" si="32"/>
        <v>3287218.0676614866</v>
      </c>
      <c r="IK5" s="52">
        <f t="shared" si="32"/>
        <v>621206.41637670633</v>
      </c>
      <c r="IL5" s="52">
        <f t="shared" si="32"/>
        <v>3999733.141661311</v>
      </c>
      <c r="IM5" s="52">
        <f t="shared" si="32"/>
        <v>0</v>
      </c>
      <c r="IN5" s="87">
        <f>SUM(HN5:IM5)</f>
        <v>67097656.593964502</v>
      </c>
      <c r="IP5" s="51">
        <f t="shared" ref="IP5:IY7" si="33">SUMIFS(IP$20:IP$191,$A$20:$A$191,$A5,$D$20:$D$191,$D5)</f>
        <v>1691698.2051291838</v>
      </c>
      <c r="IQ5" s="52">
        <f t="shared" si="33"/>
        <v>1307621.8164989369</v>
      </c>
      <c r="IR5" s="52">
        <f t="shared" si="33"/>
        <v>940995.22783202364</v>
      </c>
      <c r="IS5" s="52">
        <f t="shared" si="33"/>
        <v>676371.37531884841</v>
      </c>
      <c r="IT5" s="52">
        <f t="shared" si="33"/>
        <v>1115958.5370609469</v>
      </c>
      <c r="IU5" s="52">
        <f t="shared" si="33"/>
        <v>2633165.4040746023</v>
      </c>
      <c r="IV5" s="52">
        <f t="shared" si="33"/>
        <v>1409270.347907522</v>
      </c>
      <c r="IW5" s="52">
        <f t="shared" si="33"/>
        <v>921422.87116864405</v>
      </c>
      <c r="IX5" s="52">
        <f t="shared" si="33"/>
        <v>1059359.4277384928</v>
      </c>
      <c r="IY5" s="52">
        <f t="shared" si="33"/>
        <v>2163853.9490093854</v>
      </c>
      <c r="IZ5" s="52">
        <f t="shared" ref="IZ5:JI7" si="34">SUMIFS(IZ$20:IZ$191,$A$20:$A$191,$A5,$D$20:$D$191,$D5)</f>
        <v>9571988.4854370691</v>
      </c>
      <c r="JA5" s="52">
        <f t="shared" si="34"/>
        <v>1285336.5575589747</v>
      </c>
      <c r="JB5" s="52">
        <f t="shared" si="34"/>
        <v>738545.56789351779</v>
      </c>
      <c r="JC5" s="52">
        <f t="shared" si="34"/>
        <v>3957287.7487004227</v>
      </c>
      <c r="JD5" s="52">
        <f t="shared" si="34"/>
        <v>4822565.056429822</v>
      </c>
      <c r="JE5" s="52">
        <f t="shared" si="34"/>
        <v>3107328.9094490833</v>
      </c>
      <c r="JF5" s="52">
        <f t="shared" si="34"/>
        <v>892510.60680313502</v>
      </c>
      <c r="JG5" s="52">
        <f t="shared" si="34"/>
        <v>3757950.1006404809</v>
      </c>
      <c r="JH5" s="52">
        <f t="shared" si="34"/>
        <v>1221122.2434308545</v>
      </c>
      <c r="JI5" s="52">
        <f t="shared" si="34"/>
        <v>1049222.1920752681</v>
      </c>
      <c r="JJ5" s="52">
        <f t="shared" ref="JJ5:JO7" si="35">SUMIFS(JJ$20:JJ$191,$A$20:$A$191,$A5,$D$20:$D$191,$D5)</f>
        <v>2168518.5856922898</v>
      </c>
      <c r="JK5" s="52">
        <f t="shared" si="35"/>
        <v>1254698.7916762261</v>
      </c>
      <c r="JL5" s="52">
        <f t="shared" si="35"/>
        <v>2183746.4669811754</v>
      </c>
      <c r="JM5" s="52">
        <f t="shared" si="35"/>
        <v>616604.89065006713</v>
      </c>
      <c r="JN5" s="52">
        <f t="shared" si="35"/>
        <v>3808093.9369962313</v>
      </c>
      <c r="JO5" s="52">
        <f t="shared" si="35"/>
        <v>0</v>
      </c>
      <c r="JP5" s="87">
        <f>SUM(IP5:JO5)</f>
        <v>54355237.302153185</v>
      </c>
      <c r="JT5" s="52">
        <f>SUMIFS(JT$20:JT$191,$A$20:$A$191,$A5,$D$20:$D$191,$D5)</f>
        <v>7710987.3419481972</v>
      </c>
      <c r="JU5" s="29">
        <f t="shared" si="9"/>
        <v>0.99999999999999989</v>
      </c>
    </row>
    <row r="6" spans="1:281" ht="18" x14ac:dyDescent="0.3">
      <c r="A6" s="103" t="s">
        <v>69</v>
      </c>
      <c r="B6" s="58"/>
      <c r="C6" s="58"/>
      <c r="D6" s="103" t="s">
        <v>322</v>
      </c>
      <c r="E6" s="58"/>
      <c r="F6" s="113">
        <f>SUMIFS(F$20:F$191,$A$20:$A$191,$A6,$D$20:$D$191,$D6)</f>
        <v>55542.463307595841</v>
      </c>
      <c r="G6" s="15">
        <f t="shared" si="10"/>
        <v>30419521.157855492</v>
      </c>
      <c r="H6" s="20">
        <f t="shared" si="10"/>
        <v>19950352.537101123</v>
      </c>
      <c r="I6" s="23">
        <f t="shared" si="11"/>
        <v>1.5247610838598036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8"/>
      <c r="AK6" s="132">
        <f t="shared" si="12"/>
        <v>0</v>
      </c>
      <c r="AL6" s="133">
        <f t="shared" si="12"/>
        <v>21.644529315214317</v>
      </c>
      <c r="AM6" s="133">
        <f t="shared" si="12"/>
        <v>0</v>
      </c>
      <c r="AN6" s="133">
        <f t="shared" si="12"/>
        <v>0</v>
      </c>
      <c r="AO6" s="133">
        <f t="shared" si="12"/>
        <v>0</v>
      </c>
      <c r="AP6" s="133">
        <f t="shared" si="12"/>
        <v>130.90055509542833</v>
      </c>
      <c r="AQ6" s="133">
        <f t="shared" si="12"/>
        <v>0</v>
      </c>
      <c r="AR6" s="133">
        <f t="shared" si="12"/>
        <v>46.828617935751623</v>
      </c>
      <c r="AS6" s="133">
        <f t="shared" si="12"/>
        <v>0</v>
      </c>
      <c r="AT6" s="133">
        <f t="shared" si="12"/>
        <v>0</v>
      </c>
      <c r="AU6" s="133">
        <f t="shared" si="13"/>
        <v>0</v>
      </c>
      <c r="AV6" s="133">
        <f t="shared" si="13"/>
        <v>0</v>
      </c>
      <c r="AW6" s="133">
        <f t="shared" si="13"/>
        <v>0</v>
      </c>
      <c r="AX6" s="133">
        <f t="shared" si="13"/>
        <v>405.63337335014791</v>
      </c>
      <c r="AY6" s="133">
        <f t="shared" si="13"/>
        <v>0</v>
      </c>
      <c r="AZ6" s="133">
        <f t="shared" si="13"/>
        <v>108.22264657607158</v>
      </c>
      <c r="BA6" s="133">
        <f t="shared" si="13"/>
        <v>32.466793972821471</v>
      </c>
      <c r="BB6" s="133">
        <f t="shared" si="13"/>
        <v>86.578117260857269</v>
      </c>
      <c r="BC6" s="133">
        <f t="shared" si="13"/>
        <v>0</v>
      </c>
      <c r="BD6" s="133">
        <f t="shared" si="13"/>
        <v>0</v>
      </c>
      <c r="BE6" s="133">
        <f t="shared" si="14"/>
        <v>64.933587945642941</v>
      </c>
      <c r="BF6" s="133">
        <f t="shared" si="14"/>
        <v>0</v>
      </c>
      <c r="BG6" s="133">
        <f t="shared" si="14"/>
        <v>455.59817626166455</v>
      </c>
      <c r="BH6" s="133">
        <f t="shared" si="14"/>
        <v>0</v>
      </c>
      <c r="BI6" s="133">
        <f t="shared" si="14"/>
        <v>0</v>
      </c>
      <c r="BJ6" s="133">
        <f t="shared" si="14"/>
        <v>5147.1936022864011</v>
      </c>
      <c r="BK6" s="134">
        <f t="shared" ref="BK6:BK7" si="36">SUM(AK6:BJ6)</f>
        <v>6500.0000000000009</v>
      </c>
      <c r="BM6" s="60">
        <f t="shared" si="15"/>
        <v>0</v>
      </c>
      <c r="BN6" s="61">
        <f t="shared" si="15"/>
        <v>100061.5970572715</v>
      </c>
      <c r="BO6" s="61">
        <f t="shared" si="15"/>
        <v>0</v>
      </c>
      <c r="BP6" s="61">
        <f t="shared" si="15"/>
        <v>0</v>
      </c>
      <c r="BQ6" s="61">
        <f t="shared" si="15"/>
        <v>0</v>
      </c>
      <c r="BR6" s="61">
        <f t="shared" si="15"/>
        <v>645176.80515014485</v>
      </c>
      <c r="BS6" s="61">
        <f t="shared" si="15"/>
        <v>0</v>
      </c>
      <c r="BT6" s="61">
        <f t="shared" si="15"/>
        <v>134956.28110031862</v>
      </c>
      <c r="BU6" s="61">
        <f t="shared" si="15"/>
        <v>0</v>
      </c>
      <c r="BV6" s="61">
        <f t="shared" si="15"/>
        <v>0</v>
      </c>
      <c r="BW6" s="61">
        <f t="shared" si="16"/>
        <v>0</v>
      </c>
      <c r="BX6" s="61">
        <f t="shared" si="16"/>
        <v>0</v>
      </c>
      <c r="BY6" s="61">
        <f t="shared" si="16"/>
        <v>0</v>
      </c>
      <c r="BZ6" s="61">
        <f t="shared" si="16"/>
        <v>1843982.2398111986</v>
      </c>
      <c r="CA6" s="61">
        <f t="shared" si="16"/>
        <v>0</v>
      </c>
      <c r="CB6" s="61">
        <f t="shared" si="16"/>
        <v>500307.985286357</v>
      </c>
      <c r="CC6" s="61">
        <f t="shared" si="16"/>
        <v>150092.39558590722</v>
      </c>
      <c r="CD6" s="61">
        <f t="shared" si="16"/>
        <v>400246.38822908589</v>
      </c>
      <c r="CE6" s="61">
        <f t="shared" si="16"/>
        <v>0</v>
      </c>
      <c r="CF6" s="61">
        <f t="shared" si="16"/>
        <v>0</v>
      </c>
      <c r="CG6" s="61">
        <f t="shared" si="17"/>
        <v>300184.79117181449</v>
      </c>
      <c r="CH6" s="61">
        <f t="shared" si="17"/>
        <v>0</v>
      </c>
      <c r="CI6" s="61">
        <f t="shared" si="17"/>
        <v>2179724.8288307008</v>
      </c>
      <c r="CJ6" s="61">
        <f t="shared" si="17"/>
        <v>0</v>
      </c>
      <c r="CK6" s="61">
        <f t="shared" si="17"/>
        <v>0</v>
      </c>
      <c r="CL6" s="61">
        <f t="shared" si="17"/>
        <v>24164787.845632691</v>
      </c>
      <c r="CM6" s="88">
        <f t="shared" ref="CM6:CM14" si="37">SUM(BM6:CL6)</f>
        <v>30419521.157855488</v>
      </c>
      <c r="CN6" s="62">
        <f t="shared" si="18"/>
        <v>0</v>
      </c>
      <c r="CO6" s="63">
        <f t="shared" si="18"/>
        <v>65747.45650312338</v>
      </c>
      <c r="CP6" s="63">
        <f t="shared" si="18"/>
        <v>0</v>
      </c>
      <c r="CQ6" s="63">
        <f t="shared" si="18"/>
        <v>0</v>
      </c>
      <c r="CR6" s="63">
        <f t="shared" si="18"/>
        <v>0</v>
      </c>
      <c r="CS6" s="63">
        <f t="shared" si="18"/>
        <v>424814.66622040694</v>
      </c>
      <c r="CT6" s="63">
        <f t="shared" si="18"/>
        <v>0</v>
      </c>
      <c r="CU6" s="63">
        <f t="shared" si="18"/>
        <v>86626.17012390212</v>
      </c>
      <c r="CV6" s="63">
        <f t="shared" si="18"/>
        <v>0</v>
      </c>
      <c r="CW6" s="63">
        <f t="shared" si="18"/>
        <v>0</v>
      </c>
      <c r="CX6" s="63">
        <f t="shared" si="19"/>
        <v>0</v>
      </c>
      <c r="CY6" s="63">
        <f t="shared" si="19"/>
        <v>0</v>
      </c>
      <c r="CZ6" s="63">
        <f t="shared" si="19"/>
        <v>0</v>
      </c>
      <c r="DA6" s="63">
        <f t="shared" si="19"/>
        <v>1210945.0811986346</v>
      </c>
      <c r="DB6" s="63">
        <f t="shared" si="19"/>
        <v>0</v>
      </c>
      <c r="DC6" s="63">
        <f t="shared" si="19"/>
        <v>328737.28251561651</v>
      </c>
      <c r="DD6" s="63">
        <f t="shared" si="19"/>
        <v>98621.184754685004</v>
      </c>
      <c r="DE6" s="63">
        <f t="shared" si="19"/>
        <v>262989.82601249346</v>
      </c>
      <c r="DF6" s="63">
        <f t="shared" si="19"/>
        <v>0</v>
      </c>
      <c r="DG6" s="63">
        <f t="shared" si="19"/>
        <v>0</v>
      </c>
      <c r="DH6" s="63">
        <f t="shared" si="20"/>
        <v>197242.36950937007</v>
      </c>
      <c r="DI6" s="63">
        <f t="shared" si="20"/>
        <v>0</v>
      </c>
      <c r="DJ6" s="63">
        <f t="shared" si="20"/>
        <v>1434079.5106508415</v>
      </c>
      <c r="DK6" s="63">
        <f t="shared" si="20"/>
        <v>0</v>
      </c>
      <c r="DL6" s="63">
        <f t="shared" si="20"/>
        <v>0</v>
      </c>
      <c r="DM6" s="63">
        <f t="shared" si="20"/>
        <v>15840548.989612054</v>
      </c>
      <c r="DN6" s="99">
        <f>SUM(CN6:DM6)</f>
        <v>19950352.537101127</v>
      </c>
      <c r="DO6" s="64">
        <f t="shared" si="21"/>
        <v>0</v>
      </c>
      <c r="DP6" s="65">
        <f t="shared" si="21"/>
        <v>34314.140554148129</v>
      </c>
      <c r="DQ6" s="65">
        <f t="shared" si="21"/>
        <v>0</v>
      </c>
      <c r="DR6" s="65">
        <f t="shared" si="21"/>
        <v>0</v>
      </c>
      <c r="DS6" s="65">
        <f t="shared" si="21"/>
        <v>0</v>
      </c>
      <c r="DT6" s="65">
        <f t="shared" si="21"/>
        <v>220362.13892973811</v>
      </c>
      <c r="DU6" s="65">
        <f t="shared" si="21"/>
        <v>0</v>
      </c>
      <c r="DV6" s="65">
        <f t="shared" si="21"/>
        <v>48330.110976416479</v>
      </c>
      <c r="DW6" s="65">
        <f t="shared" si="21"/>
        <v>0</v>
      </c>
      <c r="DX6" s="65">
        <f t="shared" si="21"/>
        <v>0</v>
      </c>
      <c r="DY6" s="65">
        <f t="shared" si="22"/>
        <v>0</v>
      </c>
      <c r="DZ6" s="65">
        <f t="shared" si="22"/>
        <v>0</v>
      </c>
      <c r="EA6" s="65">
        <f t="shared" si="22"/>
        <v>0</v>
      </c>
      <c r="EB6" s="65">
        <f t="shared" si="22"/>
        <v>633037.15861256386</v>
      </c>
      <c r="EC6" s="65">
        <f t="shared" si="22"/>
        <v>0</v>
      </c>
      <c r="ED6" s="65">
        <f t="shared" si="22"/>
        <v>171570.70277074049</v>
      </c>
      <c r="EE6" s="65">
        <f t="shared" si="22"/>
        <v>51471.210831222197</v>
      </c>
      <c r="EF6" s="65">
        <f t="shared" si="22"/>
        <v>137256.56221659252</v>
      </c>
      <c r="EG6" s="65">
        <f t="shared" si="22"/>
        <v>0</v>
      </c>
      <c r="EH6" s="65">
        <f t="shared" si="22"/>
        <v>0</v>
      </c>
      <c r="EI6" s="65">
        <f t="shared" si="23"/>
        <v>102942.42166244439</v>
      </c>
      <c r="EJ6" s="65">
        <f t="shared" si="23"/>
        <v>0</v>
      </c>
      <c r="EK6" s="65">
        <f t="shared" si="23"/>
        <v>745645.3181798585</v>
      </c>
      <c r="EL6" s="65">
        <f t="shared" si="23"/>
        <v>0</v>
      </c>
      <c r="EM6" s="65">
        <f t="shared" si="23"/>
        <v>0</v>
      </c>
      <c r="EN6" s="65">
        <f t="shared" si="23"/>
        <v>8324238.8560206434</v>
      </c>
      <c r="EO6" s="66">
        <f>SUM(DO6:EN6)</f>
        <v>10469168.620754369</v>
      </c>
      <c r="FJ6" s="60">
        <f t="shared" si="24"/>
        <v>0</v>
      </c>
      <c r="FK6" s="61">
        <f t="shared" si="24"/>
        <v>14722.000902781689</v>
      </c>
      <c r="FL6" s="61">
        <f t="shared" si="24"/>
        <v>0</v>
      </c>
      <c r="FM6" s="61">
        <f t="shared" si="24"/>
        <v>0</v>
      </c>
      <c r="FN6" s="61">
        <f t="shared" si="24"/>
        <v>0</v>
      </c>
      <c r="FO6" s="61">
        <f t="shared" si="24"/>
        <v>93809.200999096516</v>
      </c>
      <c r="FP6" s="61">
        <f t="shared" si="24"/>
        <v>0</v>
      </c>
      <c r="FQ6" s="61">
        <f t="shared" si="24"/>
        <v>21934.726301429579</v>
      </c>
      <c r="FR6" s="61">
        <f t="shared" si="24"/>
        <v>0</v>
      </c>
      <c r="FS6" s="61">
        <f t="shared" si="24"/>
        <v>0</v>
      </c>
      <c r="FT6" s="61">
        <f t="shared" si="25"/>
        <v>0</v>
      </c>
      <c r="FU6" s="61">
        <f t="shared" si="25"/>
        <v>0</v>
      </c>
      <c r="FV6" s="61">
        <f t="shared" si="25"/>
        <v>0</v>
      </c>
      <c r="FW6" s="61">
        <f t="shared" si="25"/>
        <v>272218.67764622107</v>
      </c>
      <c r="FX6" s="61">
        <f t="shared" si="25"/>
        <v>0</v>
      </c>
      <c r="FY6" s="61">
        <f t="shared" si="25"/>
        <v>73610.004513908323</v>
      </c>
      <c r="FZ6" s="61">
        <f t="shared" si="25"/>
        <v>22083.001354172524</v>
      </c>
      <c r="GA6" s="61">
        <f t="shared" si="25"/>
        <v>58888.003611126725</v>
      </c>
      <c r="GB6" s="61">
        <f t="shared" si="25"/>
        <v>0</v>
      </c>
      <c r="GC6" s="61">
        <f t="shared" si="25"/>
        <v>0</v>
      </c>
      <c r="GD6" s="61">
        <f t="shared" si="26"/>
        <v>44166.002708345048</v>
      </c>
      <c r="GE6" s="61">
        <f t="shared" si="26"/>
        <v>0</v>
      </c>
      <c r="GF6" s="61">
        <f t="shared" si="26"/>
        <v>318827.18146643514</v>
      </c>
      <c r="GG6" s="61">
        <f t="shared" si="26"/>
        <v>0</v>
      </c>
      <c r="GH6" s="61">
        <f t="shared" si="26"/>
        <v>0</v>
      </c>
      <c r="GI6" s="61">
        <f t="shared" si="26"/>
        <v>3500853.5675541637</v>
      </c>
      <c r="GJ6" s="88">
        <f t="shared" ref="GJ6:GJ7" si="38">SUM(FJ6:GI6)</f>
        <v>4421112.3670576802</v>
      </c>
      <c r="GL6" s="60">
        <f t="shared" si="27"/>
        <v>0</v>
      </c>
      <c r="GM6" s="61">
        <f t="shared" si="27"/>
        <v>24253.860351291944</v>
      </c>
      <c r="GN6" s="61">
        <f t="shared" si="27"/>
        <v>0</v>
      </c>
      <c r="GO6" s="61">
        <f t="shared" si="27"/>
        <v>0</v>
      </c>
      <c r="GP6" s="61">
        <f t="shared" si="27"/>
        <v>0</v>
      </c>
      <c r="GQ6" s="61">
        <f t="shared" si="27"/>
        <v>154711.4034694384</v>
      </c>
      <c r="GR6" s="61">
        <f t="shared" si="27"/>
        <v>0</v>
      </c>
      <c r="GS6" s="61">
        <f t="shared" si="27"/>
        <v>36098.192108653966</v>
      </c>
      <c r="GT6" s="61">
        <f t="shared" si="27"/>
        <v>0</v>
      </c>
      <c r="GU6" s="61">
        <f t="shared" si="27"/>
        <v>0</v>
      </c>
      <c r="GV6" s="61">
        <f t="shared" si="28"/>
        <v>0</v>
      </c>
      <c r="GW6" s="61">
        <f t="shared" si="28"/>
        <v>0</v>
      </c>
      <c r="GX6" s="61">
        <f t="shared" si="28"/>
        <v>0</v>
      </c>
      <c r="GY6" s="61">
        <f t="shared" si="28"/>
        <v>448260.17378112004</v>
      </c>
      <c r="GZ6" s="61">
        <f t="shared" si="28"/>
        <v>0</v>
      </c>
      <c r="HA6" s="61">
        <f t="shared" si="28"/>
        <v>121269.30175645955</v>
      </c>
      <c r="HB6" s="61">
        <f t="shared" si="28"/>
        <v>36380.790526937904</v>
      </c>
      <c r="HC6" s="61">
        <f t="shared" si="28"/>
        <v>97015.441405167745</v>
      </c>
      <c r="HD6" s="61">
        <f t="shared" si="28"/>
        <v>0</v>
      </c>
      <c r="HE6" s="61">
        <f t="shared" si="28"/>
        <v>0</v>
      </c>
      <c r="HF6" s="61">
        <f t="shared" si="29"/>
        <v>72761.581053875809</v>
      </c>
      <c r="HG6" s="61">
        <f t="shared" si="29"/>
        <v>0</v>
      </c>
      <c r="HH6" s="61">
        <f t="shared" si="29"/>
        <v>525288.56015175581</v>
      </c>
      <c r="HI6" s="61">
        <f t="shared" si="29"/>
        <v>0</v>
      </c>
      <c r="HJ6" s="61">
        <f t="shared" si="29"/>
        <v>0</v>
      </c>
      <c r="HK6" s="61">
        <f t="shared" si="29"/>
        <v>5947589.2343465406</v>
      </c>
      <c r="HL6" s="88">
        <f t="shared" ref="HL6:HL7" si="39">SUM(GL6:HK6)</f>
        <v>7463628.5389512423</v>
      </c>
      <c r="HN6" s="60">
        <f t="shared" si="30"/>
        <v>0</v>
      </c>
      <c r="HO6" s="61">
        <f t="shared" si="30"/>
        <v>28312.278144447606</v>
      </c>
      <c r="HP6" s="61">
        <f t="shared" si="30"/>
        <v>0</v>
      </c>
      <c r="HQ6" s="61">
        <f t="shared" si="30"/>
        <v>0</v>
      </c>
      <c r="HR6" s="61">
        <f t="shared" si="30"/>
        <v>0</v>
      </c>
      <c r="HS6" s="61">
        <f t="shared" si="30"/>
        <v>182452.94715290275</v>
      </c>
      <c r="HT6" s="61">
        <f t="shared" si="30"/>
        <v>0</v>
      </c>
      <c r="HU6" s="61">
        <f t="shared" si="30"/>
        <v>38586.459227602281</v>
      </c>
      <c r="HV6" s="61">
        <f t="shared" si="30"/>
        <v>0</v>
      </c>
      <c r="HW6" s="61">
        <f t="shared" si="30"/>
        <v>0</v>
      </c>
      <c r="HX6" s="61">
        <f t="shared" si="31"/>
        <v>0</v>
      </c>
      <c r="HY6" s="61">
        <f t="shared" si="31"/>
        <v>0</v>
      </c>
      <c r="HZ6" s="61">
        <f t="shared" si="31"/>
        <v>0</v>
      </c>
      <c r="IA6" s="61">
        <f t="shared" si="31"/>
        <v>521833.69842732651</v>
      </c>
      <c r="IB6" s="61">
        <f t="shared" si="31"/>
        <v>0</v>
      </c>
      <c r="IC6" s="61">
        <f t="shared" si="31"/>
        <v>141561.39072223785</v>
      </c>
      <c r="ID6" s="61">
        <f t="shared" si="31"/>
        <v>42468.417216671391</v>
      </c>
      <c r="IE6" s="61">
        <f t="shared" si="31"/>
        <v>113249.11257779041</v>
      </c>
      <c r="IF6" s="61">
        <f t="shared" si="31"/>
        <v>0</v>
      </c>
      <c r="IG6" s="61">
        <f t="shared" si="31"/>
        <v>0</v>
      </c>
      <c r="IH6" s="61">
        <f t="shared" si="32"/>
        <v>84936.834433342796</v>
      </c>
      <c r="II6" s="61">
        <f t="shared" si="32"/>
        <v>0</v>
      </c>
      <c r="IJ6" s="61">
        <f t="shared" si="32"/>
        <v>616388.46528794686</v>
      </c>
      <c r="IK6" s="61">
        <f t="shared" si="32"/>
        <v>0</v>
      </c>
      <c r="IL6" s="61">
        <f t="shared" si="32"/>
        <v>0</v>
      </c>
      <c r="IM6" s="61">
        <f t="shared" si="32"/>
        <v>6877370.0540491547</v>
      </c>
      <c r="IN6" s="88">
        <f t="shared" ref="IN6:IN7" si="40">SUM(HN6:IM6)</f>
        <v>8647159.6572394241</v>
      </c>
      <c r="IP6" s="60">
        <f t="shared" si="33"/>
        <v>0</v>
      </c>
      <c r="IQ6" s="61">
        <f t="shared" si="33"/>
        <v>32773.457658750274</v>
      </c>
      <c r="IR6" s="61">
        <f t="shared" si="33"/>
        <v>0</v>
      </c>
      <c r="IS6" s="61">
        <f t="shared" si="33"/>
        <v>0</v>
      </c>
      <c r="IT6" s="61">
        <f t="shared" si="33"/>
        <v>0</v>
      </c>
      <c r="IU6" s="61">
        <f t="shared" si="33"/>
        <v>214203.25352870737</v>
      </c>
      <c r="IV6" s="61">
        <f t="shared" si="33"/>
        <v>0</v>
      </c>
      <c r="IW6" s="61">
        <f t="shared" si="33"/>
        <v>38336.90346263277</v>
      </c>
      <c r="IX6" s="61">
        <f t="shared" si="33"/>
        <v>0</v>
      </c>
      <c r="IY6" s="61">
        <f t="shared" si="33"/>
        <v>0</v>
      </c>
      <c r="IZ6" s="61">
        <f t="shared" si="34"/>
        <v>0</v>
      </c>
      <c r="JA6" s="61">
        <f t="shared" si="34"/>
        <v>0</v>
      </c>
      <c r="JB6" s="61">
        <f t="shared" si="34"/>
        <v>0</v>
      </c>
      <c r="JC6" s="61">
        <f t="shared" si="34"/>
        <v>601669.68995653058</v>
      </c>
      <c r="JD6" s="61">
        <f t="shared" si="34"/>
        <v>0</v>
      </c>
      <c r="JE6" s="61">
        <f t="shared" si="34"/>
        <v>163867.28829375119</v>
      </c>
      <c r="JF6" s="61">
        <f t="shared" si="34"/>
        <v>49160.186488125401</v>
      </c>
      <c r="JG6" s="61">
        <f t="shared" si="34"/>
        <v>131093.83063500104</v>
      </c>
      <c r="JH6" s="61">
        <f t="shared" si="34"/>
        <v>0</v>
      </c>
      <c r="JI6" s="61">
        <f t="shared" si="34"/>
        <v>0</v>
      </c>
      <c r="JJ6" s="61">
        <f t="shared" si="35"/>
        <v>98320.372976250801</v>
      </c>
      <c r="JK6" s="61">
        <f t="shared" si="35"/>
        <v>0</v>
      </c>
      <c r="JL6" s="61">
        <f t="shared" si="35"/>
        <v>719220.62192456238</v>
      </c>
      <c r="JM6" s="61">
        <f t="shared" si="35"/>
        <v>0</v>
      </c>
      <c r="JN6" s="61">
        <f t="shared" si="35"/>
        <v>0</v>
      </c>
      <c r="JO6" s="61">
        <f t="shared" si="35"/>
        <v>7838974.9896828346</v>
      </c>
      <c r="JP6" s="88">
        <f t="shared" ref="JP6:JP7" si="41">SUM(IP6:JO6)</f>
        <v>9887620.5946071465</v>
      </c>
      <c r="JT6" s="61">
        <f>SUMIFS(JT$20:JT$191,$A$20:$A$191,$A6,$D$20:$D$191,$D6)</f>
        <v>0</v>
      </c>
      <c r="JU6" s="29">
        <f t="shared" si="9"/>
        <v>0</v>
      </c>
    </row>
    <row r="7" spans="1:281" ht="18" x14ac:dyDescent="0.3">
      <c r="A7" s="104" t="s">
        <v>12</v>
      </c>
      <c r="B7" s="67"/>
      <c r="C7" s="67"/>
      <c r="D7" s="104" t="s">
        <v>322</v>
      </c>
      <c r="E7" s="67"/>
      <c r="F7" s="113">
        <f>SUMIFS(F$20:F$191,$A$20:$A$191,$A7,$D$20:$D$191,$D7)</f>
        <v>4824</v>
      </c>
      <c r="G7" s="15">
        <f t="shared" si="10"/>
        <v>4018181</v>
      </c>
      <c r="H7" s="20">
        <f t="shared" si="10"/>
        <v>2439193</v>
      </c>
      <c r="I7" s="23">
        <f t="shared" si="11"/>
        <v>1.6473403293630311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7"/>
      <c r="AK7" s="135">
        <f t="shared" si="12"/>
        <v>2.3782025992521376</v>
      </c>
      <c r="AL7" s="136">
        <f t="shared" si="12"/>
        <v>0</v>
      </c>
      <c r="AM7" s="136">
        <f t="shared" si="12"/>
        <v>0</v>
      </c>
      <c r="AN7" s="136">
        <f t="shared" si="12"/>
        <v>0</v>
      </c>
      <c r="AO7" s="136">
        <f t="shared" si="12"/>
        <v>0</v>
      </c>
      <c r="AP7" s="136">
        <f t="shared" si="12"/>
        <v>18.299040359183792</v>
      </c>
      <c r="AQ7" s="136">
        <f t="shared" si="12"/>
        <v>1.0494290365582073</v>
      </c>
      <c r="AR7" s="136">
        <f t="shared" si="12"/>
        <v>0</v>
      </c>
      <c r="AS7" s="136">
        <f t="shared" si="12"/>
        <v>1.2194007339393844</v>
      </c>
      <c r="AT7" s="136">
        <f t="shared" si="12"/>
        <v>0</v>
      </c>
      <c r="AU7" s="136">
        <f t="shared" si="13"/>
        <v>0</v>
      </c>
      <c r="AV7" s="136">
        <f t="shared" si="13"/>
        <v>0</v>
      </c>
      <c r="AW7" s="136">
        <f t="shared" si="13"/>
        <v>0</v>
      </c>
      <c r="AX7" s="136">
        <f t="shared" si="13"/>
        <v>15.102655957040611</v>
      </c>
      <c r="AY7" s="136">
        <f t="shared" si="13"/>
        <v>1.2194007339393844</v>
      </c>
      <c r="AZ7" s="136">
        <f t="shared" si="13"/>
        <v>4.8776029357575377</v>
      </c>
      <c r="BA7" s="136">
        <f t="shared" si="13"/>
        <v>1.2194007339393844</v>
      </c>
      <c r="BB7" s="136">
        <f t="shared" si="13"/>
        <v>2.4388014678787688</v>
      </c>
      <c r="BC7" s="136">
        <f t="shared" si="13"/>
        <v>0</v>
      </c>
      <c r="BD7" s="136">
        <f t="shared" si="13"/>
        <v>0</v>
      </c>
      <c r="BE7" s="136">
        <f t="shared" si="14"/>
        <v>28.083348467851511</v>
      </c>
      <c r="BF7" s="136">
        <f t="shared" si="14"/>
        <v>1.5149717156657776</v>
      </c>
      <c r="BG7" s="136">
        <f t="shared" si="14"/>
        <v>22.597745258993495</v>
      </c>
      <c r="BH7" s="136">
        <f t="shared" si="14"/>
        <v>0</v>
      </c>
      <c r="BI7" s="136">
        <f t="shared" si="14"/>
        <v>0</v>
      </c>
      <c r="BJ7" s="136">
        <f t="shared" si="14"/>
        <v>0</v>
      </c>
      <c r="BK7" s="137">
        <f t="shared" si="36"/>
        <v>100</v>
      </c>
      <c r="BM7" s="69">
        <f t="shared" si="15"/>
        <v>96937.805521954491</v>
      </c>
      <c r="BN7" s="70">
        <f t="shared" si="15"/>
        <v>27632.625527006541</v>
      </c>
      <c r="BO7" s="70">
        <f t="shared" si="15"/>
        <v>27632.625527006541</v>
      </c>
      <c r="BP7" s="70">
        <f t="shared" si="15"/>
        <v>0</v>
      </c>
      <c r="BQ7" s="70">
        <f t="shared" si="15"/>
        <v>27632.625527006541</v>
      </c>
      <c r="BR7" s="70">
        <f t="shared" si="15"/>
        <v>434647.03136222292</v>
      </c>
      <c r="BS7" s="70">
        <f t="shared" si="15"/>
        <v>46021.466200195398</v>
      </c>
      <c r="BT7" s="70">
        <f t="shared" si="15"/>
        <v>0</v>
      </c>
      <c r="BU7" s="70">
        <f t="shared" si="15"/>
        <v>48999.830961613523</v>
      </c>
      <c r="BV7" s="70">
        <f t="shared" si="15"/>
        <v>27632.625527006541</v>
      </c>
      <c r="BW7" s="70">
        <f t="shared" si="16"/>
        <v>0</v>
      </c>
      <c r="BX7" s="70">
        <f t="shared" si="16"/>
        <v>27632.625527006541</v>
      </c>
      <c r="BY7" s="70">
        <f t="shared" si="16"/>
        <v>29999.540492091954</v>
      </c>
      <c r="BZ7" s="70">
        <f t="shared" si="16"/>
        <v>458067.83925404091</v>
      </c>
      <c r="CA7" s="70">
        <f t="shared" si="16"/>
        <v>43199.871020068451</v>
      </c>
      <c r="CB7" s="70">
        <f t="shared" si="16"/>
        <v>195999.32384645409</v>
      </c>
      <c r="CC7" s="70">
        <f t="shared" si="16"/>
        <v>48999.830961613523</v>
      </c>
      <c r="CD7" s="70">
        <f t="shared" si="16"/>
        <v>97999.661923227046</v>
      </c>
      <c r="CE7" s="70">
        <f t="shared" si="16"/>
        <v>27632.625527006541</v>
      </c>
      <c r="CF7" s="70">
        <f t="shared" si="16"/>
        <v>27632.625527006541</v>
      </c>
      <c r="CG7" s="70">
        <f t="shared" si="17"/>
        <v>1265809.8857872894</v>
      </c>
      <c r="CH7" s="70">
        <f t="shared" si="17"/>
        <v>54179.035558820411</v>
      </c>
      <c r="CI7" s="70">
        <f t="shared" si="17"/>
        <v>1003891.498421362</v>
      </c>
      <c r="CJ7" s="70">
        <f t="shared" si="17"/>
        <v>0</v>
      </c>
      <c r="CK7" s="70">
        <f t="shared" si="17"/>
        <v>0</v>
      </c>
      <c r="CL7" s="70">
        <f t="shared" si="17"/>
        <v>0</v>
      </c>
      <c r="CM7" s="89">
        <f t="shared" si="37"/>
        <v>4018181</v>
      </c>
      <c r="CN7" s="71">
        <f t="shared" si="18"/>
        <v>58923.847606590927</v>
      </c>
      <c r="CO7" s="72">
        <f t="shared" si="18"/>
        <v>18355.194460216146</v>
      </c>
      <c r="CP7" s="72">
        <f t="shared" si="18"/>
        <v>18355.194460216146</v>
      </c>
      <c r="CQ7" s="72">
        <f t="shared" si="18"/>
        <v>0</v>
      </c>
      <c r="CR7" s="72">
        <f t="shared" si="18"/>
        <v>18355.194460216146</v>
      </c>
      <c r="CS7" s="72">
        <f t="shared" si="18"/>
        <v>246645.34846081975</v>
      </c>
      <c r="CT7" s="72">
        <f t="shared" si="18"/>
        <v>28157.323410445886</v>
      </c>
      <c r="CU7" s="72">
        <f t="shared" si="18"/>
        <v>0</v>
      </c>
      <c r="CV7" s="72">
        <f t="shared" si="18"/>
        <v>29744.933851532929</v>
      </c>
      <c r="CW7" s="72">
        <f t="shared" si="18"/>
        <v>18355.194460216146</v>
      </c>
      <c r="CX7" s="72">
        <f t="shared" si="19"/>
        <v>0</v>
      </c>
      <c r="CY7" s="72">
        <f t="shared" si="19"/>
        <v>18355.194460216146</v>
      </c>
      <c r="CZ7" s="72">
        <f t="shared" si="19"/>
        <v>19927.436823232925</v>
      </c>
      <c r="DA7" s="72">
        <f t="shared" si="19"/>
        <v>269551.81302889343</v>
      </c>
      <c r="DB7" s="72">
        <f t="shared" si="19"/>
        <v>25892.263663371599</v>
      </c>
      <c r="DC7" s="72">
        <f t="shared" si="19"/>
        <v>118979.73540613172</v>
      </c>
      <c r="DD7" s="72">
        <f t="shared" si="19"/>
        <v>29744.933851532929</v>
      </c>
      <c r="DE7" s="72">
        <f t="shared" si="19"/>
        <v>59489.867703065858</v>
      </c>
      <c r="DF7" s="72">
        <f t="shared" si="19"/>
        <v>18355.194460216146</v>
      </c>
      <c r="DG7" s="72">
        <f t="shared" si="19"/>
        <v>18355.194460216146</v>
      </c>
      <c r="DH7" s="72">
        <f t="shared" si="20"/>
        <v>776256.27624911093</v>
      </c>
      <c r="DI7" s="72">
        <f t="shared" si="20"/>
        <v>32505.6968720894</v>
      </c>
      <c r="DJ7" s="72">
        <f t="shared" si="20"/>
        <v>614887.16185166838</v>
      </c>
      <c r="DK7" s="72">
        <f t="shared" si="20"/>
        <v>0</v>
      </c>
      <c r="DL7" s="72">
        <f t="shared" si="20"/>
        <v>0</v>
      </c>
      <c r="DM7" s="72">
        <f t="shared" si="20"/>
        <v>0</v>
      </c>
      <c r="DN7" s="100">
        <f>SUM(CN7:DM7)</f>
        <v>2439192.9999999995</v>
      </c>
      <c r="DO7" s="73">
        <f t="shared" si="21"/>
        <v>38013.957915363586</v>
      </c>
      <c r="DP7" s="74">
        <f t="shared" si="21"/>
        <v>9277.4310667903956</v>
      </c>
      <c r="DQ7" s="74">
        <f t="shared" si="21"/>
        <v>9277.4310667903956</v>
      </c>
      <c r="DR7" s="74">
        <f t="shared" si="21"/>
        <v>0</v>
      </c>
      <c r="DS7" s="74">
        <f t="shared" si="21"/>
        <v>9277.4310667903956</v>
      </c>
      <c r="DT7" s="74">
        <f t="shared" si="21"/>
        <v>188001.68290140311</v>
      </c>
      <c r="DU7" s="74">
        <f t="shared" si="21"/>
        <v>17864.14278974952</v>
      </c>
      <c r="DV7" s="74">
        <f t="shared" si="21"/>
        <v>0</v>
      </c>
      <c r="DW7" s="74">
        <f t="shared" si="21"/>
        <v>19254.897110080605</v>
      </c>
      <c r="DX7" s="74">
        <f t="shared" si="21"/>
        <v>9277.4310667903956</v>
      </c>
      <c r="DY7" s="74">
        <f t="shared" si="22"/>
        <v>0</v>
      </c>
      <c r="DZ7" s="74">
        <f t="shared" si="22"/>
        <v>9277.4310667903956</v>
      </c>
      <c r="EA7" s="74">
        <f t="shared" si="22"/>
        <v>10072.10366885903</v>
      </c>
      <c r="EB7" s="74">
        <f t="shared" si="22"/>
        <v>188516.02622514742</v>
      </c>
      <c r="EC7" s="74">
        <f t="shared" si="22"/>
        <v>17307.607356696848</v>
      </c>
      <c r="ED7" s="74">
        <f t="shared" si="22"/>
        <v>77019.588440322419</v>
      </c>
      <c r="EE7" s="74">
        <f t="shared" si="22"/>
        <v>19254.897110080605</v>
      </c>
      <c r="EF7" s="74">
        <f t="shared" si="22"/>
        <v>38509.79422016121</v>
      </c>
      <c r="EG7" s="74">
        <f t="shared" si="22"/>
        <v>9277.4310667903956</v>
      </c>
      <c r="EH7" s="74">
        <f t="shared" si="22"/>
        <v>9277.4310667903956</v>
      </c>
      <c r="EI7" s="74">
        <f t="shared" si="23"/>
        <v>489553.60953817848</v>
      </c>
      <c r="EJ7" s="74">
        <f t="shared" si="23"/>
        <v>21673.338686731022</v>
      </c>
      <c r="EK7" s="74">
        <f t="shared" si="23"/>
        <v>389004.33656969341</v>
      </c>
      <c r="EL7" s="74">
        <f t="shared" si="23"/>
        <v>0</v>
      </c>
      <c r="EM7" s="74">
        <f t="shared" si="23"/>
        <v>0</v>
      </c>
      <c r="EN7" s="74">
        <f t="shared" si="23"/>
        <v>0</v>
      </c>
      <c r="EO7" s="75">
        <f>SUM(DO7:EN7)</f>
        <v>1578987.9999999998</v>
      </c>
      <c r="FJ7" s="69">
        <f t="shared" si="24"/>
        <v>28670.418861275757</v>
      </c>
      <c r="FK7" s="70">
        <f t="shared" si="24"/>
        <v>10809.95222913153</v>
      </c>
      <c r="FL7" s="70">
        <f t="shared" si="24"/>
        <v>10809.95222913153</v>
      </c>
      <c r="FM7" s="70">
        <f t="shared" si="24"/>
        <v>0</v>
      </c>
      <c r="FN7" s="70">
        <f t="shared" si="24"/>
        <v>10809.95222913153</v>
      </c>
      <c r="FO7" s="70">
        <f t="shared" si="24"/>
        <v>98846.467930225437</v>
      </c>
      <c r="FP7" s="70">
        <f t="shared" si="24"/>
        <v>13921.131461514891</v>
      </c>
      <c r="FQ7" s="70">
        <f t="shared" si="24"/>
        <v>0</v>
      </c>
      <c r="FR7" s="70">
        <f t="shared" si="24"/>
        <v>14425.036343658809</v>
      </c>
      <c r="FS7" s="70">
        <f t="shared" si="24"/>
        <v>10809.95222913153</v>
      </c>
      <c r="FT7" s="70">
        <f t="shared" si="25"/>
        <v>0</v>
      </c>
      <c r="FU7" s="70">
        <f t="shared" si="25"/>
        <v>10809.95222913153</v>
      </c>
      <c r="FV7" s="70">
        <f t="shared" si="25"/>
        <v>11735.895284306771</v>
      </c>
      <c r="FW7" s="70">
        <f t="shared" si="25"/>
        <v>120443.60260253685</v>
      </c>
      <c r="FX7" s="70">
        <f t="shared" si="25"/>
        <v>12156.077505936271</v>
      </c>
      <c r="FY7" s="70">
        <f t="shared" si="25"/>
        <v>57700.145374635234</v>
      </c>
      <c r="FZ7" s="70">
        <f t="shared" si="25"/>
        <v>14425.036343658809</v>
      </c>
      <c r="GA7" s="70">
        <f t="shared" si="25"/>
        <v>28850.072687317617</v>
      </c>
      <c r="GB7" s="70">
        <f t="shared" si="25"/>
        <v>10809.95222913153</v>
      </c>
      <c r="GC7" s="70">
        <f t="shared" si="25"/>
        <v>10809.95222913153</v>
      </c>
      <c r="GD7" s="70">
        <f t="shared" si="26"/>
        <v>385935.67883626721</v>
      </c>
      <c r="GE7" s="70">
        <f t="shared" si="26"/>
        <v>15301.297880177968</v>
      </c>
      <c r="GF7" s="70">
        <f t="shared" si="26"/>
        <v>304813.12711228587</v>
      </c>
      <c r="GG7" s="70">
        <f t="shared" si="26"/>
        <v>0</v>
      </c>
      <c r="GH7" s="70">
        <f t="shared" si="26"/>
        <v>0</v>
      </c>
      <c r="GI7" s="70">
        <f t="shared" si="26"/>
        <v>0</v>
      </c>
      <c r="GJ7" s="89">
        <f t="shared" si="38"/>
        <v>1182893.6538277182</v>
      </c>
      <c r="GL7" s="69">
        <f t="shared" si="27"/>
        <v>18042.782411536249</v>
      </c>
      <c r="GM7" s="70">
        <f t="shared" si="27"/>
        <v>3960.9875108333072</v>
      </c>
      <c r="GN7" s="70">
        <f t="shared" si="27"/>
        <v>3960.9875108333072</v>
      </c>
      <c r="GO7" s="70">
        <f t="shared" si="27"/>
        <v>0</v>
      </c>
      <c r="GP7" s="70">
        <f t="shared" si="27"/>
        <v>3960.9875108333072</v>
      </c>
      <c r="GQ7" s="70">
        <f t="shared" si="27"/>
        <v>94215.417704240477</v>
      </c>
      <c r="GR7" s="70">
        <f t="shared" si="27"/>
        <v>8426.9943816028681</v>
      </c>
      <c r="GS7" s="70">
        <f t="shared" si="27"/>
        <v>0</v>
      </c>
      <c r="GT7" s="70">
        <f t="shared" si="27"/>
        <v>9150.3351144172484</v>
      </c>
      <c r="GU7" s="70">
        <f t="shared" si="27"/>
        <v>3960.9875108333072</v>
      </c>
      <c r="GV7" s="70">
        <f t="shared" si="28"/>
        <v>0</v>
      </c>
      <c r="GW7" s="70">
        <f t="shared" si="28"/>
        <v>3960.9875108333072</v>
      </c>
      <c r="GX7" s="70">
        <f t="shared" si="28"/>
        <v>4300.2719775498299</v>
      </c>
      <c r="GY7" s="70">
        <f t="shared" si="28"/>
        <v>91998.590718284773</v>
      </c>
      <c r="GZ7" s="70">
        <f t="shared" si="28"/>
        <v>8318.9422064454557</v>
      </c>
      <c r="HA7" s="70">
        <f t="shared" si="28"/>
        <v>36601.340457668994</v>
      </c>
      <c r="HB7" s="70">
        <f t="shared" si="28"/>
        <v>9150.3351144172484</v>
      </c>
      <c r="HC7" s="70">
        <f t="shared" si="28"/>
        <v>18300.670228834497</v>
      </c>
      <c r="HD7" s="70">
        <f t="shared" si="28"/>
        <v>3960.9875108333072</v>
      </c>
      <c r="HE7" s="70">
        <f t="shared" si="28"/>
        <v>3960.9875108333072</v>
      </c>
      <c r="HF7" s="70">
        <f t="shared" si="29"/>
        <v>230420.664373326</v>
      </c>
      <c r="HG7" s="70">
        <f t="shared" si="29"/>
        <v>10408.182943289436</v>
      </c>
      <c r="HH7" s="70">
        <f t="shared" si="29"/>
        <v>183309.91010346307</v>
      </c>
      <c r="HI7" s="70">
        <f t="shared" si="29"/>
        <v>0</v>
      </c>
      <c r="HJ7" s="70">
        <f t="shared" si="29"/>
        <v>0</v>
      </c>
      <c r="HK7" s="70">
        <f t="shared" si="29"/>
        <v>0</v>
      </c>
      <c r="HL7" s="89">
        <f t="shared" si="39"/>
        <v>750371.35031090933</v>
      </c>
      <c r="HN7" s="69">
        <f t="shared" si="30"/>
        <v>22466.742618948319</v>
      </c>
      <c r="HO7" s="70">
        <f t="shared" si="30"/>
        <v>5487.3321079521857</v>
      </c>
      <c r="HP7" s="70">
        <f t="shared" si="30"/>
        <v>5487.3321079521857</v>
      </c>
      <c r="HQ7" s="70">
        <f t="shared" si="30"/>
        <v>0</v>
      </c>
      <c r="HR7" s="70">
        <f t="shared" si="30"/>
        <v>5487.3321079521857</v>
      </c>
      <c r="HS7" s="70">
        <f t="shared" si="30"/>
        <v>111063.56646670031</v>
      </c>
      <c r="HT7" s="70">
        <f t="shared" si="30"/>
        <v>10558.439493988297</v>
      </c>
      <c r="HU7" s="70">
        <f t="shared" si="30"/>
        <v>0</v>
      </c>
      <c r="HV7" s="70">
        <f t="shared" si="30"/>
        <v>11379.785864233287</v>
      </c>
      <c r="HW7" s="70">
        <f t="shared" si="30"/>
        <v>5487.3321079521857</v>
      </c>
      <c r="HX7" s="70">
        <f t="shared" si="31"/>
        <v>0</v>
      </c>
      <c r="HY7" s="70">
        <f t="shared" si="31"/>
        <v>5487.3321079521857</v>
      </c>
      <c r="HZ7" s="70">
        <f t="shared" si="31"/>
        <v>5957.3579645980535</v>
      </c>
      <c r="IA7" s="70">
        <f t="shared" si="31"/>
        <v>111391.19047740339</v>
      </c>
      <c r="IB7" s="70">
        <f t="shared" si="31"/>
        <v>10228.020304316746</v>
      </c>
      <c r="IC7" s="70">
        <f t="shared" si="31"/>
        <v>45519.143456933147</v>
      </c>
      <c r="ID7" s="70">
        <f t="shared" si="31"/>
        <v>11379.785864233287</v>
      </c>
      <c r="IE7" s="70">
        <f t="shared" si="31"/>
        <v>22759.571728466573</v>
      </c>
      <c r="IF7" s="70">
        <f t="shared" si="31"/>
        <v>5487.3321079521857</v>
      </c>
      <c r="IG7" s="70">
        <f t="shared" si="31"/>
        <v>5487.3321079521857</v>
      </c>
      <c r="IH7" s="70">
        <f t="shared" si="32"/>
        <v>289351.16466844047</v>
      </c>
      <c r="II7" s="70">
        <f t="shared" si="32"/>
        <v>12808.059845908581</v>
      </c>
      <c r="IJ7" s="70">
        <f t="shared" si="32"/>
        <v>229919.34540241913</v>
      </c>
      <c r="IK7" s="70">
        <f t="shared" si="32"/>
        <v>0</v>
      </c>
      <c r="IL7" s="70">
        <f t="shared" si="32"/>
        <v>0</v>
      </c>
      <c r="IM7" s="70">
        <f t="shared" si="32"/>
        <v>0</v>
      </c>
      <c r="IN7" s="89">
        <f t="shared" si="40"/>
        <v>933193.49891225493</v>
      </c>
      <c r="IP7" s="69">
        <f t="shared" si="33"/>
        <v>27757.861630194187</v>
      </c>
      <c r="IQ7" s="70">
        <f t="shared" si="33"/>
        <v>7374.3536790895196</v>
      </c>
      <c r="IR7" s="70">
        <f t="shared" si="33"/>
        <v>7374.3536790895196</v>
      </c>
      <c r="IS7" s="70">
        <f t="shared" si="33"/>
        <v>0</v>
      </c>
      <c r="IT7" s="70">
        <f t="shared" si="33"/>
        <v>7374.3536790895196</v>
      </c>
      <c r="IU7" s="70">
        <f t="shared" si="33"/>
        <v>130521.57926105669</v>
      </c>
      <c r="IV7" s="70">
        <f t="shared" si="33"/>
        <v>13114.900863089353</v>
      </c>
      <c r="IW7" s="70">
        <f t="shared" si="33"/>
        <v>0</v>
      </c>
      <c r="IX7" s="70">
        <f t="shared" si="33"/>
        <v>14044.673639304192</v>
      </c>
      <c r="IY7" s="70">
        <f t="shared" si="33"/>
        <v>7374.3536790895196</v>
      </c>
      <c r="IZ7" s="70">
        <f t="shared" si="34"/>
        <v>0</v>
      </c>
      <c r="JA7" s="70">
        <f t="shared" si="34"/>
        <v>7374.3536790895196</v>
      </c>
      <c r="JB7" s="70">
        <f t="shared" si="34"/>
        <v>8006.0152656373011</v>
      </c>
      <c r="JC7" s="70">
        <f t="shared" si="34"/>
        <v>134234.45545581594</v>
      </c>
      <c r="JD7" s="70">
        <f t="shared" si="34"/>
        <v>12496.831003369976</v>
      </c>
      <c r="JE7" s="70">
        <f t="shared" si="34"/>
        <v>56178.694557216768</v>
      </c>
      <c r="JF7" s="70">
        <f t="shared" si="34"/>
        <v>14044.673639304192</v>
      </c>
      <c r="JG7" s="70">
        <f t="shared" si="34"/>
        <v>28089.347278608384</v>
      </c>
      <c r="JH7" s="70">
        <f t="shared" si="34"/>
        <v>7374.3536790895196</v>
      </c>
      <c r="JI7" s="70">
        <f t="shared" si="34"/>
        <v>7374.3536790895196</v>
      </c>
      <c r="JJ7" s="70">
        <f t="shared" si="35"/>
        <v>360102.37790925591</v>
      </c>
      <c r="JK7" s="70">
        <f t="shared" si="35"/>
        <v>15661.494889444435</v>
      </c>
      <c r="JL7" s="70">
        <f t="shared" si="35"/>
        <v>285849.11580319394</v>
      </c>
      <c r="JM7" s="70">
        <f t="shared" si="35"/>
        <v>0</v>
      </c>
      <c r="JN7" s="70">
        <f t="shared" si="35"/>
        <v>0</v>
      </c>
      <c r="JO7" s="70">
        <f t="shared" si="35"/>
        <v>0</v>
      </c>
      <c r="JP7" s="89">
        <f t="shared" si="41"/>
        <v>1151722.4969491179</v>
      </c>
      <c r="JT7" s="70">
        <f>SUMIFS(JT$20:JT$191,$A$20:$A$191,$A7,$D$20:$D$191,$D7)</f>
        <v>96937.805521954491</v>
      </c>
      <c r="JU7" s="29">
        <f t="shared" si="9"/>
        <v>1</v>
      </c>
    </row>
    <row r="8" spans="1:281" x14ac:dyDescent="0.3">
      <c r="A8" s="101"/>
      <c r="D8" s="101"/>
      <c r="AK8" s="138">
        <f>SUM(AK5:AK7)/AK3</f>
        <v>0.99999999999999978</v>
      </c>
      <c r="AL8" s="139">
        <f t="shared" ref="AL8:BJ8" si="42">SUM(AL5:AL7)/AL3</f>
        <v>0.99999999999999989</v>
      </c>
      <c r="AM8" s="139">
        <f t="shared" si="42"/>
        <v>1</v>
      </c>
      <c r="AN8" s="139">
        <f t="shared" si="42"/>
        <v>1</v>
      </c>
      <c r="AO8" s="139">
        <f t="shared" si="42"/>
        <v>1</v>
      </c>
      <c r="AP8" s="139">
        <f t="shared" si="42"/>
        <v>0.99999999999999978</v>
      </c>
      <c r="AQ8" s="139">
        <f t="shared" si="42"/>
        <v>1</v>
      </c>
      <c r="AR8" s="139">
        <f t="shared" si="42"/>
        <v>1.0000000000000004</v>
      </c>
      <c r="AS8" s="139">
        <f t="shared" si="42"/>
        <v>1</v>
      </c>
      <c r="AT8" s="139">
        <f t="shared" si="42"/>
        <v>1</v>
      </c>
      <c r="AU8" s="139">
        <f t="shared" si="42"/>
        <v>1</v>
      </c>
      <c r="AV8" s="139">
        <f t="shared" si="42"/>
        <v>1</v>
      </c>
      <c r="AW8" s="139">
        <f t="shared" si="42"/>
        <v>1</v>
      </c>
      <c r="AX8" s="139">
        <f t="shared" si="42"/>
        <v>1.0000000000000002</v>
      </c>
      <c r="AY8" s="139">
        <f t="shared" si="42"/>
        <v>1.0000000000000002</v>
      </c>
      <c r="AZ8" s="139">
        <f t="shared" si="42"/>
        <v>1.0000000000000002</v>
      </c>
      <c r="BA8" s="139">
        <f t="shared" si="42"/>
        <v>1</v>
      </c>
      <c r="BB8" s="139">
        <f t="shared" si="42"/>
        <v>0.99999999999999989</v>
      </c>
      <c r="BC8" s="139">
        <f t="shared" si="42"/>
        <v>1</v>
      </c>
      <c r="BD8" s="139">
        <f t="shared" si="42"/>
        <v>1</v>
      </c>
      <c r="BE8" s="139">
        <f t="shared" si="42"/>
        <v>1</v>
      </c>
      <c r="BF8" s="139">
        <f t="shared" si="42"/>
        <v>1</v>
      </c>
      <c r="BG8" s="139">
        <f t="shared" si="42"/>
        <v>1</v>
      </c>
      <c r="BH8" s="139">
        <f t="shared" si="42"/>
        <v>1</v>
      </c>
      <c r="BI8" s="139">
        <f t="shared" si="42"/>
        <v>1</v>
      </c>
      <c r="BJ8" s="139">
        <f t="shared" si="42"/>
        <v>1</v>
      </c>
      <c r="BK8" s="128"/>
      <c r="BM8" s="37">
        <f>SUM(BM5:BM7)/BM3</f>
        <v>1</v>
      </c>
      <c r="BN8" s="38">
        <f t="shared" ref="BN8:CL8" si="43">SUM(BN5:BN7)/BN3</f>
        <v>1.0000000000000002</v>
      </c>
      <c r="BO8" s="38">
        <f t="shared" si="43"/>
        <v>1</v>
      </c>
      <c r="BP8" s="38">
        <f t="shared" si="43"/>
        <v>1</v>
      </c>
      <c r="BQ8" s="38">
        <f t="shared" si="43"/>
        <v>1</v>
      </c>
      <c r="BR8" s="38">
        <f t="shared" si="43"/>
        <v>1.0000000000000002</v>
      </c>
      <c r="BS8" s="38">
        <f t="shared" si="43"/>
        <v>1</v>
      </c>
      <c r="BT8" s="38">
        <f t="shared" si="43"/>
        <v>1</v>
      </c>
      <c r="BU8" s="38">
        <f t="shared" si="43"/>
        <v>0.99999999999999978</v>
      </c>
      <c r="BV8" s="38">
        <f t="shared" si="43"/>
        <v>1</v>
      </c>
      <c r="BW8" s="38">
        <f t="shared" si="43"/>
        <v>1</v>
      </c>
      <c r="BX8" s="38">
        <f t="shared" si="43"/>
        <v>1</v>
      </c>
      <c r="BY8" s="38">
        <f t="shared" si="43"/>
        <v>1</v>
      </c>
      <c r="BZ8" s="38">
        <f t="shared" si="43"/>
        <v>1</v>
      </c>
      <c r="CA8" s="38">
        <f t="shared" si="43"/>
        <v>0.99999999999999978</v>
      </c>
      <c r="CB8" s="38">
        <f t="shared" si="43"/>
        <v>0.99999999999999989</v>
      </c>
      <c r="CC8" s="38">
        <f t="shared" si="43"/>
        <v>0.99999999999999978</v>
      </c>
      <c r="CD8" s="38">
        <f t="shared" si="43"/>
        <v>1</v>
      </c>
      <c r="CE8" s="38">
        <f t="shared" si="43"/>
        <v>1.0000000000000002</v>
      </c>
      <c r="CF8" s="38">
        <f t="shared" si="43"/>
        <v>1</v>
      </c>
      <c r="CG8" s="38">
        <f t="shared" si="43"/>
        <v>1.0000000000000002</v>
      </c>
      <c r="CH8" s="38">
        <f t="shared" si="43"/>
        <v>1</v>
      </c>
      <c r="CI8" s="38">
        <f t="shared" si="43"/>
        <v>1.0000000000000002</v>
      </c>
      <c r="CJ8" s="38">
        <f t="shared" si="43"/>
        <v>1</v>
      </c>
      <c r="CK8" s="38">
        <f t="shared" si="43"/>
        <v>1</v>
      </c>
      <c r="CL8" s="38">
        <f t="shared" si="43"/>
        <v>1</v>
      </c>
      <c r="CM8" s="36"/>
      <c r="CN8" s="37">
        <f>SUM(CN5:CN7)/CN3</f>
        <v>1.0000000000000002</v>
      </c>
      <c r="CO8" s="38">
        <f t="shared" ref="CO8" si="44">SUM(CO5:CO7)/CO3</f>
        <v>0.99999999999999989</v>
      </c>
      <c r="CP8" s="38">
        <f t="shared" ref="CP8" si="45">SUM(CP5:CP7)/CP3</f>
        <v>0.99999999999999978</v>
      </c>
      <c r="CQ8" s="38">
        <f t="shared" ref="CQ8" si="46">SUM(CQ5:CQ7)/CQ3</f>
        <v>1</v>
      </c>
      <c r="CR8" s="38">
        <f t="shared" ref="CR8" si="47">SUM(CR5:CR7)/CR3</f>
        <v>1</v>
      </c>
      <c r="CS8" s="38">
        <f t="shared" ref="CS8" si="48">SUM(CS5:CS7)/CS3</f>
        <v>1</v>
      </c>
      <c r="CT8" s="38">
        <f t="shared" ref="CT8" si="49">SUM(CT5:CT7)/CT3</f>
        <v>1</v>
      </c>
      <c r="CU8" s="38">
        <f t="shared" ref="CU8" si="50">SUM(CU5:CU7)/CU3</f>
        <v>1</v>
      </c>
      <c r="CV8" s="38">
        <f t="shared" ref="CV8" si="51">SUM(CV5:CV7)/CV3</f>
        <v>1.0000000000000002</v>
      </c>
      <c r="CW8" s="38">
        <f t="shared" ref="CW8" si="52">SUM(CW5:CW7)/CW3</f>
        <v>1</v>
      </c>
      <c r="CX8" s="38">
        <f t="shared" ref="CX8" si="53">SUM(CX5:CX7)/CX3</f>
        <v>1</v>
      </c>
      <c r="CY8" s="38">
        <f t="shared" ref="CY8" si="54">SUM(CY5:CY7)/CY3</f>
        <v>0.99999999999999989</v>
      </c>
      <c r="CZ8" s="38">
        <f t="shared" ref="CZ8" si="55">SUM(CZ5:CZ7)/CZ3</f>
        <v>1</v>
      </c>
      <c r="DA8" s="38">
        <f t="shared" ref="DA8" si="56">SUM(DA5:DA7)/DA3</f>
        <v>1.0000000000000004</v>
      </c>
      <c r="DB8" s="38">
        <f t="shared" ref="DB8" si="57">SUM(DB5:DB7)/DB3</f>
        <v>1</v>
      </c>
      <c r="DC8" s="38">
        <f t="shared" ref="DC8" si="58">SUM(DC5:DC7)/DC3</f>
        <v>1.0000000000000002</v>
      </c>
      <c r="DD8" s="38">
        <f t="shared" ref="DD8" si="59">SUM(DD5:DD7)/DD3</f>
        <v>1</v>
      </c>
      <c r="DE8" s="38">
        <f t="shared" ref="DE8" si="60">SUM(DE5:DE7)/DE3</f>
        <v>1.0000000000000002</v>
      </c>
      <c r="DF8" s="38">
        <f t="shared" ref="DF8" si="61">SUM(DF5:DF7)/DF3</f>
        <v>0.99999999999999989</v>
      </c>
      <c r="DG8" s="38">
        <f t="shared" ref="DG8" si="62">SUM(DG5:DG7)/DG3</f>
        <v>0.99999999999999978</v>
      </c>
      <c r="DH8" s="38">
        <f t="shared" ref="DH8" si="63">SUM(DH5:DH7)/DH3</f>
        <v>0.99999999999999989</v>
      </c>
      <c r="DI8" s="38">
        <f t="shared" ref="DI8" si="64">SUM(DI5:DI7)/DI3</f>
        <v>1.0000000000000002</v>
      </c>
      <c r="DJ8" s="38">
        <f t="shared" ref="DJ8" si="65">SUM(DJ5:DJ7)/DJ3</f>
        <v>1.0000000000000002</v>
      </c>
      <c r="DK8" s="38">
        <f t="shared" ref="DK8" si="66">SUM(DK5:DK7)/DK3</f>
        <v>1</v>
      </c>
      <c r="DL8" s="38">
        <f t="shared" ref="DL8" si="67">SUM(DL5:DL7)/DL3</f>
        <v>1</v>
      </c>
      <c r="DM8" s="38">
        <f t="shared" ref="DM8" si="68">SUM(DM5:DM7)/DM3</f>
        <v>1</v>
      </c>
      <c r="DN8" s="44"/>
      <c r="DO8" s="37">
        <f t="shared" ref="DO8" si="69">SUM(DO5:DO7)/DO3</f>
        <v>1.0000000000000002</v>
      </c>
      <c r="DP8" s="38">
        <f t="shared" ref="DP8" si="70">SUM(DP5:DP7)/DP3</f>
        <v>1.0000000000000002</v>
      </c>
      <c r="DQ8" s="38">
        <f t="shared" ref="DQ8" si="71">SUM(DQ5:DQ7)/DQ3</f>
        <v>1</v>
      </c>
      <c r="DR8" s="38">
        <f t="shared" ref="DR8" si="72">SUM(DR5:DR7)/DR3</f>
        <v>1</v>
      </c>
      <c r="DS8" s="38">
        <f t="shared" ref="DS8" si="73">SUM(DS5:DS7)/DS3</f>
        <v>0.99999999999999989</v>
      </c>
      <c r="DT8" s="38">
        <f t="shared" ref="DT8" si="74">SUM(DT5:DT7)/DT3</f>
        <v>0.99999999999999978</v>
      </c>
      <c r="DU8" s="38">
        <f t="shared" ref="DU8" si="75">SUM(DU5:DU7)/DU3</f>
        <v>1</v>
      </c>
      <c r="DV8" s="38">
        <f t="shared" ref="DV8" si="76">SUM(DV5:DV7)/DV3</f>
        <v>1</v>
      </c>
      <c r="DW8" s="38">
        <f t="shared" ref="DW8" si="77">SUM(DW5:DW7)/DW3</f>
        <v>0.99999999999999989</v>
      </c>
      <c r="DX8" s="38">
        <f t="shared" ref="DX8" si="78">SUM(DX5:DX7)/DX3</f>
        <v>1.0000000000000002</v>
      </c>
      <c r="DY8" s="38">
        <f t="shared" ref="DY8" si="79">SUM(DY5:DY7)/DY3</f>
        <v>1</v>
      </c>
      <c r="DZ8" s="38">
        <f t="shared" ref="DZ8" si="80">SUM(DZ5:DZ7)/DZ3</f>
        <v>1.0000000000000002</v>
      </c>
      <c r="EA8" s="38">
        <f t="shared" ref="EA8" si="81">SUM(EA5:EA7)/EA3</f>
        <v>1.0000000000000002</v>
      </c>
      <c r="EB8" s="38">
        <f t="shared" ref="EB8" si="82">SUM(EB5:EB7)/EB3</f>
        <v>1</v>
      </c>
      <c r="EC8" s="38">
        <f t="shared" ref="EC8" si="83">SUM(EC5:EC7)/EC3</f>
        <v>1</v>
      </c>
      <c r="ED8" s="38">
        <f t="shared" ref="ED8" si="84">SUM(ED5:ED7)/ED3</f>
        <v>1</v>
      </c>
      <c r="EE8" s="38">
        <f t="shared" ref="EE8" si="85">SUM(EE5:EE7)/EE3</f>
        <v>1.0000000000000002</v>
      </c>
      <c r="EF8" s="38">
        <f t="shared" ref="EF8" si="86">SUM(EF5:EF7)/EF3</f>
        <v>1.0000000000000002</v>
      </c>
      <c r="EG8" s="38">
        <f t="shared" ref="EG8" si="87">SUM(EG5:EG7)/EG3</f>
        <v>0.99999999999999989</v>
      </c>
      <c r="EH8" s="38">
        <f t="shared" ref="EH8" si="88">SUM(EH5:EH7)/EH3</f>
        <v>1</v>
      </c>
      <c r="EI8" s="38">
        <f t="shared" ref="EI8" si="89">SUM(EI5:EI7)/EI3</f>
        <v>1.0000000000000002</v>
      </c>
      <c r="EJ8" s="38">
        <f t="shared" ref="EJ8" si="90">SUM(EJ5:EJ7)/EJ3</f>
        <v>0.99999999999999989</v>
      </c>
      <c r="EK8" s="38">
        <f t="shared" ref="EK8" si="91">SUM(EK5:EK7)/EK3</f>
        <v>0.99999999999999967</v>
      </c>
      <c r="EL8" s="38">
        <f t="shared" ref="EL8" si="92">SUM(EL5:EL7)/EL3</f>
        <v>1</v>
      </c>
      <c r="EM8" s="38">
        <f t="shared" ref="EM8" si="93">SUM(EM5:EM7)/EM3</f>
        <v>1</v>
      </c>
      <c r="EN8" s="38">
        <f t="shared" ref="EN8" si="94">SUM(EN5:EN7)/EN3</f>
        <v>1</v>
      </c>
      <c r="EO8" s="48"/>
      <c r="FJ8" s="37">
        <f>SUM(FJ5:FJ7)/FJ3</f>
        <v>0.99999999999999978</v>
      </c>
      <c r="FK8" s="38">
        <f t="shared" ref="FK8:GI8" si="95">SUM(FK5:FK7)/FK3</f>
        <v>1</v>
      </c>
      <c r="FL8" s="38">
        <f t="shared" si="95"/>
        <v>1</v>
      </c>
      <c r="FM8" s="38">
        <f t="shared" si="95"/>
        <v>1</v>
      </c>
      <c r="FN8" s="38">
        <f t="shared" si="95"/>
        <v>0.99999999999999989</v>
      </c>
      <c r="FO8" s="38">
        <f t="shared" si="95"/>
        <v>1.0000000000000002</v>
      </c>
      <c r="FP8" s="38">
        <f t="shared" si="95"/>
        <v>1</v>
      </c>
      <c r="FQ8" s="38">
        <f t="shared" si="95"/>
        <v>1</v>
      </c>
      <c r="FR8" s="38">
        <f t="shared" si="95"/>
        <v>0.99999999999999989</v>
      </c>
      <c r="FS8" s="38">
        <f t="shared" si="95"/>
        <v>1</v>
      </c>
      <c r="FT8" s="38">
        <f t="shared" si="95"/>
        <v>1</v>
      </c>
      <c r="FU8" s="38">
        <f t="shared" si="95"/>
        <v>1</v>
      </c>
      <c r="FV8" s="38">
        <f t="shared" si="95"/>
        <v>1.0000000000000002</v>
      </c>
      <c r="FW8" s="38">
        <f t="shared" si="95"/>
        <v>1</v>
      </c>
      <c r="FX8" s="38">
        <f t="shared" si="95"/>
        <v>1</v>
      </c>
      <c r="FY8" s="38">
        <f t="shared" si="95"/>
        <v>0.99999999999999989</v>
      </c>
      <c r="FZ8" s="38">
        <f t="shared" si="95"/>
        <v>0.99999999999999978</v>
      </c>
      <c r="GA8" s="38">
        <f t="shared" si="95"/>
        <v>1</v>
      </c>
      <c r="GB8" s="38">
        <f t="shared" si="95"/>
        <v>1</v>
      </c>
      <c r="GC8" s="38">
        <f t="shared" si="95"/>
        <v>1</v>
      </c>
      <c r="GD8" s="38">
        <f t="shared" si="95"/>
        <v>0.99999999999999933</v>
      </c>
      <c r="GE8" s="38">
        <f t="shared" si="95"/>
        <v>0.99999999999999989</v>
      </c>
      <c r="GF8" s="38">
        <f t="shared" si="95"/>
        <v>1</v>
      </c>
      <c r="GG8" s="38">
        <f t="shared" si="95"/>
        <v>1</v>
      </c>
      <c r="GH8" s="38">
        <f t="shared" si="95"/>
        <v>1</v>
      </c>
      <c r="GI8" s="38">
        <f t="shared" si="95"/>
        <v>1</v>
      </c>
      <c r="GJ8" s="36"/>
      <c r="GL8" s="37">
        <f>SUM(GL5:GL7)/GL3</f>
        <v>0.99999999999999978</v>
      </c>
      <c r="GM8" s="38">
        <f t="shared" ref="GM8:HK8" si="96">SUM(GM5:GM7)/GM3</f>
        <v>1.0000000000000002</v>
      </c>
      <c r="GN8" s="38">
        <f t="shared" si="96"/>
        <v>0.99999999999999978</v>
      </c>
      <c r="GO8" s="38">
        <f t="shared" si="96"/>
        <v>1</v>
      </c>
      <c r="GP8" s="38">
        <f t="shared" si="96"/>
        <v>1.0000000000000002</v>
      </c>
      <c r="GQ8" s="38">
        <f t="shared" si="96"/>
        <v>1</v>
      </c>
      <c r="GR8" s="38">
        <f t="shared" si="96"/>
        <v>1</v>
      </c>
      <c r="GS8" s="38">
        <f t="shared" si="96"/>
        <v>0.99999999999999978</v>
      </c>
      <c r="GT8" s="38">
        <f t="shared" si="96"/>
        <v>1</v>
      </c>
      <c r="GU8" s="38">
        <f t="shared" si="96"/>
        <v>1</v>
      </c>
      <c r="GV8" s="38">
        <f t="shared" si="96"/>
        <v>1</v>
      </c>
      <c r="GW8" s="38">
        <f t="shared" si="96"/>
        <v>0.99999999999999989</v>
      </c>
      <c r="GX8" s="38">
        <f t="shared" si="96"/>
        <v>1</v>
      </c>
      <c r="GY8" s="38">
        <f t="shared" si="96"/>
        <v>1.0000000000000004</v>
      </c>
      <c r="GZ8" s="38">
        <f t="shared" si="96"/>
        <v>1</v>
      </c>
      <c r="HA8" s="38">
        <f t="shared" si="96"/>
        <v>0.99999999999999978</v>
      </c>
      <c r="HB8" s="38">
        <f t="shared" si="96"/>
        <v>1</v>
      </c>
      <c r="HC8" s="38">
        <f t="shared" si="96"/>
        <v>0.99999999999999978</v>
      </c>
      <c r="HD8" s="38">
        <f t="shared" si="96"/>
        <v>1</v>
      </c>
      <c r="HE8" s="38">
        <f t="shared" si="96"/>
        <v>1</v>
      </c>
      <c r="HF8" s="38">
        <f t="shared" si="96"/>
        <v>0.99999999999999989</v>
      </c>
      <c r="HG8" s="38">
        <f t="shared" si="96"/>
        <v>0.99999999999999989</v>
      </c>
      <c r="HH8" s="38">
        <f t="shared" si="96"/>
        <v>1</v>
      </c>
      <c r="HI8" s="38">
        <f t="shared" si="96"/>
        <v>1</v>
      </c>
      <c r="HJ8" s="38">
        <f t="shared" si="96"/>
        <v>1</v>
      </c>
      <c r="HK8" s="38">
        <f t="shared" si="96"/>
        <v>1</v>
      </c>
      <c r="HL8" s="36"/>
      <c r="HN8" s="37">
        <f>SUM(HN5:HN7)/HN3</f>
        <v>0.99999999999999978</v>
      </c>
      <c r="HO8" s="38">
        <f t="shared" ref="HO8:IM8" si="97">SUM(HO5:HO7)/HO3</f>
        <v>1</v>
      </c>
      <c r="HP8" s="38">
        <f t="shared" si="97"/>
        <v>0.99999999999999978</v>
      </c>
      <c r="HQ8" s="38">
        <f t="shared" si="97"/>
        <v>1</v>
      </c>
      <c r="HR8" s="38">
        <f t="shared" si="97"/>
        <v>0.99999999999999989</v>
      </c>
      <c r="HS8" s="38">
        <f t="shared" si="97"/>
        <v>0.99999999999999989</v>
      </c>
      <c r="HT8" s="38">
        <f t="shared" si="97"/>
        <v>1.0000000000000002</v>
      </c>
      <c r="HU8" s="38">
        <f t="shared" si="97"/>
        <v>1.0000000000000002</v>
      </c>
      <c r="HV8" s="38">
        <f t="shared" si="97"/>
        <v>1</v>
      </c>
      <c r="HW8" s="38">
        <f t="shared" si="97"/>
        <v>0.99999999999999989</v>
      </c>
      <c r="HX8" s="38">
        <f t="shared" si="97"/>
        <v>1</v>
      </c>
      <c r="HY8" s="38">
        <f t="shared" si="97"/>
        <v>0.99999999999999989</v>
      </c>
      <c r="HZ8" s="38">
        <f t="shared" si="97"/>
        <v>1</v>
      </c>
      <c r="IA8" s="38">
        <f t="shared" si="97"/>
        <v>1</v>
      </c>
      <c r="IB8" s="38">
        <f t="shared" si="97"/>
        <v>1</v>
      </c>
      <c r="IC8" s="38">
        <f t="shared" si="97"/>
        <v>1.0000000000000002</v>
      </c>
      <c r="ID8" s="38">
        <f t="shared" si="97"/>
        <v>1.0000000000000004</v>
      </c>
      <c r="IE8" s="38">
        <f t="shared" si="97"/>
        <v>1.0000000000000002</v>
      </c>
      <c r="IF8" s="38">
        <f t="shared" si="97"/>
        <v>0.99999999999999989</v>
      </c>
      <c r="IG8" s="38">
        <f t="shared" si="97"/>
        <v>1</v>
      </c>
      <c r="IH8" s="38">
        <f t="shared" si="97"/>
        <v>0.99999999999999956</v>
      </c>
      <c r="II8" s="38">
        <f t="shared" si="97"/>
        <v>1</v>
      </c>
      <c r="IJ8" s="38">
        <f t="shared" si="97"/>
        <v>0.99999999999999989</v>
      </c>
      <c r="IK8" s="38">
        <f t="shared" si="97"/>
        <v>1</v>
      </c>
      <c r="IL8" s="38">
        <f t="shared" si="97"/>
        <v>1</v>
      </c>
      <c r="IM8" s="38">
        <f t="shared" si="97"/>
        <v>1</v>
      </c>
      <c r="IN8" s="36"/>
      <c r="IP8" s="37">
        <f>SUM(IP5:IP7)/IP3</f>
        <v>1.0000000000000002</v>
      </c>
      <c r="IQ8" s="38">
        <f t="shared" ref="IQ8:JO8" si="98">SUM(IQ5:IQ7)/IQ3</f>
        <v>1.0000000000000002</v>
      </c>
      <c r="IR8" s="38">
        <f t="shared" si="98"/>
        <v>1.0000000000000002</v>
      </c>
      <c r="IS8" s="38">
        <f t="shared" si="98"/>
        <v>1</v>
      </c>
      <c r="IT8" s="38">
        <f t="shared" si="98"/>
        <v>1.0000000000000002</v>
      </c>
      <c r="IU8" s="38">
        <f t="shared" si="98"/>
        <v>1.0000000000000002</v>
      </c>
      <c r="IV8" s="38">
        <f t="shared" si="98"/>
        <v>1.0000000000000002</v>
      </c>
      <c r="IW8" s="38">
        <f t="shared" si="98"/>
        <v>1</v>
      </c>
      <c r="IX8" s="38">
        <f t="shared" si="98"/>
        <v>1.0000000000000002</v>
      </c>
      <c r="IY8" s="38">
        <f t="shared" si="98"/>
        <v>1</v>
      </c>
      <c r="IZ8" s="38">
        <f t="shared" si="98"/>
        <v>1</v>
      </c>
      <c r="JA8" s="38">
        <f t="shared" si="98"/>
        <v>1</v>
      </c>
      <c r="JB8" s="38">
        <f t="shared" si="98"/>
        <v>0.99999999999999989</v>
      </c>
      <c r="JC8" s="38">
        <f t="shared" si="98"/>
        <v>0.99999999999999956</v>
      </c>
      <c r="JD8" s="38">
        <f t="shared" si="98"/>
        <v>1</v>
      </c>
      <c r="JE8" s="38">
        <f t="shared" si="98"/>
        <v>1</v>
      </c>
      <c r="JF8" s="38">
        <f t="shared" si="98"/>
        <v>1.0000000000000002</v>
      </c>
      <c r="JG8" s="38">
        <f t="shared" si="98"/>
        <v>1.0000000000000002</v>
      </c>
      <c r="JH8" s="38">
        <f t="shared" si="98"/>
        <v>0.99999999999999978</v>
      </c>
      <c r="JI8" s="38">
        <f t="shared" si="98"/>
        <v>1.0000000000000002</v>
      </c>
      <c r="JJ8" s="38">
        <f t="shared" si="98"/>
        <v>0.99999999999999967</v>
      </c>
      <c r="JK8" s="38">
        <f t="shared" si="98"/>
        <v>1.0000000000000002</v>
      </c>
      <c r="JL8" s="38">
        <f t="shared" si="98"/>
        <v>0.99999999999999944</v>
      </c>
      <c r="JM8" s="38">
        <f t="shared" si="98"/>
        <v>1</v>
      </c>
      <c r="JN8" s="38">
        <f t="shared" si="98"/>
        <v>1</v>
      </c>
      <c r="JO8" s="38">
        <f t="shared" si="98"/>
        <v>1</v>
      </c>
      <c r="JP8" s="36"/>
      <c r="JT8" s="38">
        <f t="shared" ref="JT8" si="99">SUM(JT5:JT7)/JT3</f>
        <v>0.99999999999999989</v>
      </c>
      <c r="JU8" s="29">
        <f t="shared" si="9"/>
        <v>0.99999999999999989</v>
      </c>
    </row>
    <row r="9" spans="1:281" ht="18" x14ac:dyDescent="0.3">
      <c r="A9" s="101" t="s">
        <v>234</v>
      </c>
      <c r="C9" t="s">
        <v>74</v>
      </c>
      <c r="D9" s="101" t="s">
        <v>323</v>
      </c>
      <c r="F9" s="113">
        <f t="shared" ref="F9:F14" si="100">SUMIFS(F$20:F$191,$A$20:$A$191,$A9,$D$20:$D$191,$D9,$C$20:$C$191,$C9)</f>
        <v>326349.00500026008</v>
      </c>
      <c r="G9" s="15">
        <f t="shared" ref="G9:H14" si="101">SUMIFS(G$20:G$191,$A$20:$A$191,$A9,$D$20:$D$191,$D9,$C$20:$C$191,$C9)</f>
        <v>107666264.1560616</v>
      </c>
      <c r="H9" s="20">
        <f t="shared" si="101"/>
        <v>70892011.643329278</v>
      </c>
      <c r="I9" s="23">
        <f t="shared" si="11"/>
        <v>1.5187361969321782</v>
      </c>
      <c r="AK9" s="140">
        <f t="shared" ref="AK9:AT14" si="102">SUMIFS(AK$20:AK$191,$A$20:$A$191,$A9,$D$20:$D$191,$D9,$C$20:$C$191,$C9)</f>
        <v>15038.994789729904</v>
      </c>
      <c r="AL9" s="141">
        <f t="shared" si="102"/>
        <v>10890.576345497524</v>
      </c>
      <c r="AM9" s="141">
        <f t="shared" si="102"/>
        <v>4016.8331775377246</v>
      </c>
      <c r="AN9" s="141">
        <f t="shared" si="102"/>
        <v>6908.2479159132463</v>
      </c>
      <c r="AO9" s="141">
        <f t="shared" si="102"/>
        <v>10312.61060415547</v>
      </c>
      <c r="AP9" s="141">
        <f t="shared" si="102"/>
        <v>19924.321982491347</v>
      </c>
      <c r="AQ9" s="141">
        <f t="shared" si="102"/>
        <v>4348.0718944217515</v>
      </c>
      <c r="AR9" s="141">
        <f t="shared" si="102"/>
        <v>3136.8714995614628</v>
      </c>
      <c r="AS9" s="141">
        <f t="shared" si="102"/>
        <v>10947.367411836194</v>
      </c>
      <c r="AT9" s="141">
        <f t="shared" si="102"/>
        <v>30236.359703476042</v>
      </c>
      <c r="AU9" s="141">
        <f t="shared" ref="AU9:BD14" si="103">SUMIFS(AU$20:AU$191,$A$20:$A$191,$A9,$D$20:$D$191,$D9,$C$20:$C$191,$C9)</f>
        <v>27937.683315039725</v>
      </c>
      <c r="AV9" s="141">
        <f t="shared" si="103"/>
        <v>8485.0205250449053</v>
      </c>
      <c r="AW9" s="141">
        <f t="shared" si="103"/>
        <v>4719.0165942767426</v>
      </c>
      <c r="AX9" s="141">
        <f t="shared" si="103"/>
        <v>14481.440964427367</v>
      </c>
      <c r="AY9" s="141">
        <f t="shared" si="103"/>
        <v>38695.235584164868</v>
      </c>
      <c r="AZ9" s="141">
        <f t="shared" si="103"/>
        <v>17621.206592506445</v>
      </c>
      <c r="BA9" s="141">
        <f t="shared" si="103"/>
        <v>5412.1216363852182</v>
      </c>
      <c r="BB9" s="141">
        <f t="shared" si="103"/>
        <v>20884.071820282068</v>
      </c>
      <c r="BC9" s="141">
        <f t="shared" si="103"/>
        <v>6251.8837313620461</v>
      </c>
      <c r="BD9" s="141">
        <f t="shared" si="103"/>
        <v>5971.6839629179385</v>
      </c>
      <c r="BE9" s="141">
        <f t="shared" ref="BE9:BJ14" si="104">SUMIFS(BE$20:BE$191,$A$20:$A$191,$A9,$D$20:$D$191,$D9,$C$20:$C$191,$C9)</f>
        <v>14696.718266564008</v>
      </c>
      <c r="BF9" s="141">
        <f t="shared" si="104"/>
        <v>8471.3561132735013</v>
      </c>
      <c r="BG9" s="141">
        <f t="shared" si="104"/>
        <v>25424.40739944109</v>
      </c>
      <c r="BH9" s="141">
        <f t="shared" si="104"/>
        <v>1862.8227565157304</v>
      </c>
      <c r="BI9" s="141">
        <f t="shared" si="104"/>
        <v>9673.9201258645207</v>
      </c>
      <c r="BJ9" s="141">
        <f t="shared" si="104"/>
        <v>0</v>
      </c>
      <c r="BK9" s="128">
        <f t="shared" ref="BK9" si="105">SUM(AK9:BJ9)</f>
        <v>326348.84471268684</v>
      </c>
      <c r="BM9" s="35">
        <f t="shared" ref="BM9:BM14" si="106">SUMIFS(BM$20:BM$191,$A$20:$A$191,$A9,$D$20:$D$191,$D9,$C$20:$C$191,$C9)</f>
        <v>4707605.6253567925</v>
      </c>
      <c r="BN9" s="26">
        <f t="shared" ref="BN9:CN14" si="107">SUMIFS(BN$20:BN$191,$A$20:$A$191,$A9,$D$20:$D$191,$D9,$C$20:$C$191,$C9)</f>
        <v>3408436.8377455231</v>
      </c>
      <c r="BO9" s="26">
        <f t="shared" si="107"/>
        <v>1297598.5729873348</v>
      </c>
      <c r="BP9" s="26">
        <f t="shared" si="107"/>
        <v>2187843.8386465847</v>
      </c>
      <c r="BQ9" s="26">
        <f t="shared" si="107"/>
        <v>3286952.4910717085</v>
      </c>
      <c r="BR9" s="26">
        <f t="shared" si="107"/>
        <v>6359507.1511162659</v>
      </c>
      <c r="BS9" s="26">
        <f t="shared" si="107"/>
        <v>1513481.0646576644</v>
      </c>
      <c r="BT9" s="26">
        <f t="shared" si="107"/>
        <v>1180209.3776662203</v>
      </c>
      <c r="BU9" s="26">
        <f t="shared" si="107"/>
        <v>3380533.8997187759</v>
      </c>
      <c r="BV9" s="26">
        <f t="shared" si="107"/>
        <v>9423459.6772482917</v>
      </c>
      <c r="BW9" s="26">
        <f t="shared" si="107"/>
        <v>11385971.056380522</v>
      </c>
      <c r="BX9" s="26">
        <f t="shared" si="107"/>
        <v>2798530.9359778687</v>
      </c>
      <c r="BY9" s="26">
        <f t="shared" si="107"/>
        <v>1520064.1017135493</v>
      </c>
      <c r="BZ9" s="26">
        <f t="shared" si="107"/>
        <v>5027821.6383756725</v>
      </c>
      <c r="CA9" s="26">
        <f t="shared" si="107"/>
        <v>11861225.413201882</v>
      </c>
      <c r="CB9" s="26">
        <f t="shared" si="107"/>
        <v>5649539.2626613313</v>
      </c>
      <c r="CC9" s="26">
        <f t="shared" si="107"/>
        <v>1887838.9873692505</v>
      </c>
      <c r="CD9" s="26">
        <f t="shared" si="107"/>
        <v>6931701.3711478794</v>
      </c>
      <c r="CE9" s="26">
        <f t="shared" si="107"/>
        <v>2045264.2288541135</v>
      </c>
      <c r="CF9" s="26">
        <f t="shared" si="107"/>
        <v>1802999.3911184913</v>
      </c>
      <c r="CG9" s="26">
        <f t="shared" si="107"/>
        <v>4788471.7774214856</v>
      </c>
      <c r="CH9" s="26">
        <f t="shared" si="107"/>
        <v>2699752.094663606</v>
      </c>
      <c r="CI9" s="26">
        <f t="shared" si="107"/>
        <v>8269113.564469018</v>
      </c>
      <c r="CJ9" s="26">
        <f t="shared" si="107"/>
        <v>646316.44723807287</v>
      </c>
      <c r="CK9" s="26">
        <f t="shared" si="107"/>
        <v>3606002.2540968666</v>
      </c>
      <c r="CL9" s="26">
        <f t="shared" si="107"/>
        <v>0</v>
      </c>
      <c r="CM9" s="36">
        <f t="shared" si="37"/>
        <v>107666241.0609048</v>
      </c>
      <c r="CN9" s="42">
        <f t="shared" si="107"/>
        <v>3132879.7973825014</v>
      </c>
      <c r="CO9" s="27">
        <f t="shared" ref="CN9:DM14" si="108">SUMIFS(CO$20:CO$191,$A$20:$A$191,$A9,$D$20:$D$191,$D9,$C$20:$C$191,$C9)</f>
        <v>2228951.6268164469</v>
      </c>
      <c r="CP9" s="27">
        <f t="shared" si="108"/>
        <v>841758.91484706907</v>
      </c>
      <c r="CQ9" s="27">
        <f t="shared" si="108"/>
        <v>1455735.5883324314</v>
      </c>
      <c r="CR9" s="27">
        <f t="shared" si="108"/>
        <v>2144731.7336481973</v>
      </c>
      <c r="CS9" s="27">
        <f t="shared" si="108"/>
        <v>4191438.6472580852</v>
      </c>
      <c r="CT9" s="27">
        <f t="shared" si="108"/>
        <v>975450.77621742222</v>
      </c>
      <c r="CU9" s="27">
        <f t="shared" si="108"/>
        <v>758792.18273556663</v>
      </c>
      <c r="CV9" s="27">
        <f t="shared" si="108"/>
        <v>2240370.0668488862</v>
      </c>
      <c r="CW9" s="27">
        <f t="shared" si="108"/>
        <v>6449110.043598081</v>
      </c>
      <c r="CX9" s="27">
        <f t="shared" si="108"/>
        <v>7182553.4786618017</v>
      </c>
      <c r="CY9" s="27">
        <f t="shared" si="108"/>
        <v>1820397.6249723914</v>
      </c>
      <c r="CZ9" s="27">
        <f t="shared" si="108"/>
        <v>988181.30682941352</v>
      </c>
      <c r="DA9" s="27">
        <f t="shared" si="108"/>
        <v>3233486.9830229506</v>
      </c>
      <c r="DB9" s="27">
        <f t="shared" si="108"/>
        <v>8108725.135189902</v>
      </c>
      <c r="DC9" s="27">
        <f t="shared" si="108"/>
        <v>3686186.8628070564</v>
      </c>
      <c r="DD9" s="27">
        <f t="shared" si="108"/>
        <v>1221807.8380479221</v>
      </c>
      <c r="DE9" s="27">
        <f t="shared" si="108"/>
        <v>4507173.66010556</v>
      </c>
      <c r="DF9" s="27">
        <f t="shared" si="108"/>
        <v>1336816.4505330799</v>
      </c>
      <c r="DG9" s="27">
        <f t="shared" si="108"/>
        <v>1188256.9317023437</v>
      </c>
      <c r="DH9" s="27">
        <f t="shared" si="108"/>
        <v>3116279.9180395696</v>
      </c>
      <c r="DI9" s="27">
        <f t="shared" si="108"/>
        <v>1761932.5522730965</v>
      </c>
      <c r="DJ9" s="27">
        <f t="shared" si="108"/>
        <v>5481932.6388456468</v>
      </c>
      <c r="DK9" s="27">
        <f t="shared" si="108"/>
        <v>410729.37010563974</v>
      </c>
      <c r="DL9" s="27">
        <f t="shared" si="108"/>
        <v>2428312.8262799275</v>
      </c>
      <c r="DM9" s="27">
        <f t="shared" si="108"/>
        <v>0</v>
      </c>
      <c r="DN9" s="44">
        <f t="shared" ref="DN9:DN14" si="109">SUM(CN9:DM9)</f>
        <v>70891992.955100983</v>
      </c>
      <c r="DO9" s="46">
        <f t="shared" ref="DO9:EN14" si="110">SUMIFS(DO$20:DO$191,$A$20:$A$191,$A9,$D$20:$D$191,$D9,$C$20:$C$191,$C9)</f>
        <v>1574725.8279742922</v>
      </c>
      <c r="DP9" s="47">
        <f t="shared" si="110"/>
        <v>1179485.2109290755</v>
      </c>
      <c r="DQ9" s="47">
        <f t="shared" si="110"/>
        <v>455839.65814026602</v>
      </c>
      <c r="DR9" s="47">
        <f t="shared" si="110"/>
        <v>732108.25031415303</v>
      </c>
      <c r="DS9" s="47">
        <f t="shared" si="110"/>
        <v>1142220.7574235108</v>
      </c>
      <c r="DT9" s="47">
        <f t="shared" si="110"/>
        <v>2168068.5038581807</v>
      </c>
      <c r="DU9" s="47">
        <f t="shared" si="110"/>
        <v>538030.28844024299</v>
      </c>
      <c r="DV9" s="47">
        <f t="shared" si="110"/>
        <v>421417.19493065344</v>
      </c>
      <c r="DW9" s="47">
        <f t="shared" si="110"/>
        <v>1140163.8328698897</v>
      </c>
      <c r="DX9" s="47">
        <f t="shared" si="110"/>
        <v>2974349.6336502093</v>
      </c>
      <c r="DY9" s="47">
        <f t="shared" si="110"/>
        <v>4203417.5777187161</v>
      </c>
      <c r="DZ9" s="47">
        <f t="shared" si="110"/>
        <v>978133.31100547791</v>
      </c>
      <c r="EA9" s="47">
        <f t="shared" si="110"/>
        <v>531882.79488413571</v>
      </c>
      <c r="EB9" s="47">
        <f t="shared" si="110"/>
        <v>1794334.6553527219</v>
      </c>
      <c r="EC9" s="47">
        <f t="shared" si="110"/>
        <v>3752500.2780119809</v>
      </c>
      <c r="ED9" s="47">
        <f t="shared" si="110"/>
        <v>1963352.3998542735</v>
      </c>
      <c r="EE9" s="47">
        <f t="shared" si="110"/>
        <v>666031.14932132827</v>
      </c>
      <c r="EF9" s="47">
        <f t="shared" si="110"/>
        <v>2424527.7110423227</v>
      </c>
      <c r="EG9" s="47">
        <f t="shared" si="110"/>
        <v>708447.77832103334</v>
      </c>
      <c r="EH9" s="47">
        <f t="shared" si="110"/>
        <v>614742.4594161479</v>
      </c>
      <c r="EI9" s="47">
        <f t="shared" si="110"/>
        <v>1672191.8593819169</v>
      </c>
      <c r="EJ9" s="47">
        <f t="shared" si="110"/>
        <v>937819.54239051079</v>
      </c>
      <c r="EK9" s="47">
        <f t="shared" si="110"/>
        <v>2787180.9256233745</v>
      </c>
      <c r="EL9" s="47">
        <f t="shared" si="110"/>
        <v>235587.07713243322</v>
      </c>
      <c r="EM9" s="47">
        <f t="shared" si="110"/>
        <v>1177689.4278169395</v>
      </c>
      <c r="EN9" s="47">
        <f t="shared" si="110"/>
        <v>0</v>
      </c>
      <c r="EO9" s="48">
        <f t="shared" ref="EO9:EO14" si="111">SUM(DO9:EN9)</f>
        <v>36774248.105803788</v>
      </c>
      <c r="FJ9" s="35">
        <f t="shared" ref="FJ9:GI14" si="112">SUMIFS(FJ$20:FJ$191,$A$20:$A$191,$A9,$D$20:$D$191,$D9,$C$20:$C$191,$C9)</f>
        <v>608041.32904872601</v>
      </c>
      <c r="FK9" s="26">
        <f t="shared" si="112"/>
        <v>454613.29569509614</v>
      </c>
      <c r="FL9" s="26">
        <f t="shared" si="112"/>
        <v>170511.26819084008</v>
      </c>
      <c r="FM9" s="26">
        <f t="shared" si="112"/>
        <v>263492.02070776606</v>
      </c>
      <c r="FN9" s="26">
        <f t="shared" si="112"/>
        <v>413556.83634304919</v>
      </c>
      <c r="FO9" s="26">
        <f t="shared" si="112"/>
        <v>802741.70305903791</v>
      </c>
      <c r="FP9" s="26">
        <f t="shared" si="112"/>
        <v>203041.97168575379</v>
      </c>
      <c r="FQ9" s="26">
        <f t="shared" si="112"/>
        <v>168221.80705267374</v>
      </c>
      <c r="FR9" s="26">
        <f t="shared" si="112"/>
        <v>432034.69178036484</v>
      </c>
      <c r="FS9" s="26">
        <f t="shared" si="112"/>
        <v>1124608.9061471322</v>
      </c>
      <c r="FT9" s="26">
        <f t="shared" si="112"/>
        <v>1562062.3729374222</v>
      </c>
      <c r="FU9" s="26">
        <f t="shared" si="112"/>
        <v>379167.32957910508</v>
      </c>
      <c r="FV9" s="26">
        <f t="shared" si="112"/>
        <v>202668.06294817969</v>
      </c>
      <c r="FW9" s="26">
        <f t="shared" si="112"/>
        <v>689284.30133130238</v>
      </c>
      <c r="FX9" s="26">
        <f t="shared" si="112"/>
        <v>1462649.0368096498</v>
      </c>
      <c r="FY9" s="26">
        <f t="shared" si="112"/>
        <v>733118.90495078661</v>
      </c>
      <c r="FZ9" s="26">
        <f t="shared" si="112"/>
        <v>277472.57950141135</v>
      </c>
      <c r="GA9" s="26">
        <f t="shared" si="112"/>
        <v>923194.56624498102</v>
      </c>
      <c r="GB9" s="26">
        <f t="shared" si="112"/>
        <v>275077.1568733395</v>
      </c>
      <c r="GC9" s="26">
        <f t="shared" si="112"/>
        <v>246052.41525117049</v>
      </c>
      <c r="GD9" s="26">
        <f t="shared" si="112"/>
        <v>640375.60881920473</v>
      </c>
      <c r="GE9" s="26">
        <f t="shared" si="112"/>
        <v>369090.03385923029</v>
      </c>
      <c r="GF9" s="26">
        <f t="shared" si="112"/>
        <v>1054909.1452195742</v>
      </c>
      <c r="GG9" s="26">
        <f t="shared" si="112"/>
        <v>89679.506606870753</v>
      </c>
      <c r="GH9" s="26">
        <f t="shared" si="112"/>
        <v>534539.00750943006</v>
      </c>
      <c r="GI9" s="26">
        <f t="shared" si="112"/>
        <v>0</v>
      </c>
      <c r="GJ9" s="36">
        <f t="shared" ref="GJ9:GJ14" si="113">SUM(FJ9:GI9)</f>
        <v>14080203.858152097</v>
      </c>
      <c r="GL9" s="35">
        <f t="shared" ref="GL9:HK14" si="114">SUMIFS(GL$20:GL$191,$A$20:$A$191,$A9,$D$20:$D$191,$D9,$C$20:$C$191,$C9)</f>
        <v>1938808.0535923056</v>
      </c>
      <c r="GM9" s="26">
        <f t="shared" si="114"/>
        <v>1405882.0612633887</v>
      </c>
      <c r="GN9" s="26">
        <f t="shared" si="114"/>
        <v>536702.24909946416</v>
      </c>
      <c r="GO9" s="26">
        <f t="shared" si="114"/>
        <v>918084.28492948425</v>
      </c>
      <c r="GP9" s="26">
        <f t="shared" si="114"/>
        <v>1378523.7816844564</v>
      </c>
      <c r="GQ9" s="26">
        <f t="shared" si="114"/>
        <v>2651829.1409824844</v>
      </c>
      <c r="GR9" s="26">
        <f t="shared" si="114"/>
        <v>621025.92595071543</v>
      </c>
      <c r="GS9" s="26">
        <f t="shared" si="114"/>
        <v>472878.8971684213</v>
      </c>
      <c r="GT9" s="26">
        <f t="shared" si="114"/>
        <v>1406002.0609358787</v>
      </c>
      <c r="GU9" s="26">
        <f t="shared" si="114"/>
        <v>3936083.6568647642</v>
      </c>
      <c r="GV9" s="26">
        <f t="shared" si="114"/>
        <v>4608301.1743048206</v>
      </c>
      <c r="GW9" s="26">
        <f t="shared" si="114"/>
        <v>1139601.7467148816</v>
      </c>
      <c r="GX9" s="26">
        <f t="shared" si="114"/>
        <v>623001.86482588295</v>
      </c>
      <c r="GY9" s="26">
        <f t="shared" si="114"/>
        <v>2051961.8522248613</v>
      </c>
      <c r="GZ9" s="26">
        <f t="shared" si="114"/>
        <v>4925218.430644149</v>
      </c>
      <c r="HA9" s="26">
        <f t="shared" si="114"/>
        <v>2347367.621614648</v>
      </c>
      <c r="HB9" s="26">
        <f t="shared" si="114"/>
        <v>744417.87265395396</v>
      </c>
      <c r="HC9" s="26">
        <f t="shared" si="114"/>
        <v>2854260.4783058739</v>
      </c>
      <c r="HD9" s="26">
        <f t="shared" si="114"/>
        <v>836645.36956215359</v>
      </c>
      <c r="HE9" s="26">
        <f t="shared" si="114"/>
        <v>735446.35238672886</v>
      </c>
      <c r="HF9" s="26">
        <f t="shared" si="114"/>
        <v>1963795.6356437993</v>
      </c>
      <c r="HG9" s="26">
        <f t="shared" si="114"/>
        <v>1099721.9458853879</v>
      </c>
      <c r="HH9" s="26">
        <f t="shared" si="114"/>
        <v>3424460.9175911928</v>
      </c>
      <c r="HI9" s="26">
        <f t="shared" si="114"/>
        <v>258514.34665751935</v>
      </c>
      <c r="HJ9" s="26">
        <f t="shared" si="114"/>
        <v>1418494.2434471315</v>
      </c>
      <c r="HK9" s="26">
        <f t="shared" si="114"/>
        <v>0</v>
      </c>
      <c r="HL9" s="36">
        <f t="shared" ref="HL9:HL14" si="115">SUM(GL9:HK9)</f>
        <v>44297029.964934364</v>
      </c>
      <c r="HN9" s="35">
        <f t="shared" ref="HN9:IM14" si="116">SUMIFS(HN$20:HN$191,$A$20:$A$191,$A9,$D$20:$D$191,$D9,$C$20:$C$191,$C9)</f>
        <v>1365763.8213441391</v>
      </c>
      <c r="HO9" s="26">
        <f t="shared" si="116"/>
        <v>979160.92492320645</v>
      </c>
      <c r="HP9" s="26">
        <f t="shared" si="116"/>
        <v>372954.72601779125</v>
      </c>
      <c r="HQ9" s="26">
        <f t="shared" si="116"/>
        <v>658018.93793865864</v>
      </c>
      <c r="HR9" s="26">
        <f t="shared" si="116"/>
        <v>958074.4563919435</v>
      </c>
      <c r="HS9" s="26">
        <f t="shared" si="116"/>
        <v>1854035.7807028198</v>
      </c>
      <c r="HT9" s="26">
        <f t="shared" si="116"/>
        <v>434235.69035832305</v>
      </c>
      <c r="HU9" s="26">
        <f t="shared" si="116"/>
        <v>337241.90889629687</v>
      </c>
      <c r="HV9" s="26">
        <f t="shared" si="116"/>
        <v>990187.17522932775</v>
      </c>
      <c r="HW9" s="26">
        <f t="shared" si="116"/>
        <v>2861877.5596924005</v>
      </c>
      <c r="HX9" s="26">
        <f t="shared" si="116"/>
        <v>3252956.3256318253</v>
      </c>
      <c r="HY9" s="26">
        <f t="shared" si="116"/>
        <v>803718.11850821052</v>
      </c>
      <c r="HZ9" s="26">
        <f t="shared" si="116"/>
        <v>435311.9720375422</v>
      </c>
      <c r="IA9" s="26">
        <f t="shared" si="116"/>
        <v>1437566.0772205065</v>
      </c>
      <c r="IB9" s="26">
        <f t="shared" si="116"/>
        <v>3514746.5017314344</v>
      </c>
      <c r="IC9" s="26">
        <f t="shared" si="116"/>
        <v>1639335.2012114427</v>
      </c>
      <c r="ID9" s="26">
        <f t="shared" si="116"/>
        <v>531511.25709694123</v>
      </c>
      <c r="IE9" s="26">
        <f t="shared" si="116"/>
        <v>1991072.9548899131</v>
      </c>
      <c r="IF9" s="26">
        <f t="shared" si="116"/>
        <v>588065.86267253698</v>
      </c>
      <c r="IG9" s="26">
        <f t="shared" si="116"/>
        <v>516071.6240271143</v>
      </c>
      <c r="IH9" s="26">
        <f t="shared" si="116"/>
        <v>1376777.882972606</v>
      </c>
      <c r="II9" s="26">
        <f t="shared" si="116"/>
        <v>771289.33601907711</v>
      </c>
      <c r="IJ9" s="26">
        <f t="shared" si="116"/>
        <v>2429419.7646415359</v>
      </c>
      <c r="IK9" s="26">
        <f t="shared" si="116"/>
        <v>181043.44668534634</v>
      </c>
      <c r="IL9" s="26">
        <f t="shared" si="116"/>
        <v>1018553.852384084</v>
      </c>
      <c r="IM9" s="26">
        <f t="shared" si="116"/>
        <v>0</v>
      </c>
      <c r="IN9" s="36">
        <f t="shared" ref="IN9:IN14" si="117">SUM(HN9:IM9)</f>
        <v>31298991.159225021</v>
      </c>
      <c r="IP9" s="35">
        <f t="shared" ref="IP9:JO14" si="118">SUMIFS(IP$20:IP$191,$A$20:$A$191,$A9,$D$20:$D$191,$D9,$C$20:$C$191,$C9)</f>
        <v>794992.42137162166</v>
      </c>
      <c r="IQ9" s="26">
        <f t="shared" si="118"/>
        <v>568780.55586383084</v>
      </c>
      <c r="IR9" s="26">
        <f t="shared" si="118"/>
        <v>217430.32967923931</v>
      </c>
      <c r="IS9" s="26">
        <f t="shared" si="118"/>
        <v>348248.59507067571</v>
      </c>
      <c r="IT9" s="26">
        <f t="shared" si="118"/>
        <v>536797.41665225895</v>
      </c>
      <c r="IU9" s="26">
        <f t="shared" si="118"/>
        <v>1050900.526371923</v>
      </c>
      <c r="IV9" s="26">
        <f t="shared" si="118"/>
        <v>255177.47666287259</v>
      </c>
      <c r="IW9" s="26">
        <f t="shared" si="118"/>
        <v>201866.7645488281</v>
      </c>
      <c r="IX9" s="26">
        <f t="shared" si="118"/>
        <v>552309.97177320474</v>
      </c>
      <c r="IY9" s="26">
        <f t="shared" si="118"/>
        <v>1500889.5545439955</v>
      </c>
      <c r="IZ9" s="26">
        <f t="shared" si="118"/>
        <v>1962651.1835064499</v>
      </c>
      <c r="JA9" s="26">
        <f t="shared" si="118"/>
        <v>476043.74117567262</v>
      </c>
      <c r="JB9" s="26">
        <f t="shared" si="118"/>
        <v>259082.2019019443</v>
      </c>
      <c r="JC9" s="26">
        <f t="shared" si="118"/>
        <v>849009.40759900399</v>
      </c>
      <c r="JD9" s="26">
        <f t="shared" si="118"/>
        <v>1958611.4440166499</v>
      </c>
      <c r="JE9" s="26">
        <f t="shared" si="118"/>
        <v>929717.53488445247</v>
      </c>
      <c r="JF9" s="26">
        <f t="shared" si="118"/>
        <v>334437.27811694442</v>
      </c>
      <c r="JG9" s="26">
        <f t="shared" si="118"/>
        <v>1163173.3717071139</v>
      </c>
      <c r="JH9" s="26">
        <f t="shared" si="118"/>
        <v>345475.8397460836</v>
      </c>
      <c r="JI9" s="26">
        <f t="shared" si="118"/>
        <v>305428.99945347809</v>
      </c>
      <c r="JJ9" s="26">
        <f t="shared" si="118"/>
        <v>807522.64998587687</v>
      </c>
      <c r="JK9" s="26">
        <f t="shared" si="118"/>
        <v>459650.77889991231</v>
      </c>
      <c r="JL9" s="26">
        <f t="shared" si="118"/>
        <v>1360323.737016716</v>
      </c>
      <c r="JM9" s="26">
        <f t="shared" si="118"/>
        <v>117079.14728833656</v>
      </c>
      <c r="JN9" s="26">
        <f t="shared" si="118"/>
        <v>634415.15075622115</v>
      </c>
      <c r="JO9" s="26">
        <f t="shared" si="118"/>
        <v>0</v>
      </c>
      <c r="JP9" s="36">
        <f t="shared" ref="JP9:JP14" si="119">SUM(IP9:JO9)</f>
        <v>17990016.078593306</v>
      </c>
      <c r="JT9" s="26">
        <f t="shared" ref="JT9:JT14" si="120">SUMIFS(JT$20:JT$191,$A$20:$A$191,$A9,$D$20:$D$191,$D9,$C$20:$C$191,$C9)</f>
        <v>4707605.6253567925</v>
      </c>
      <c r="JU9" s="29">
        <f t="shared" si="9"/>
        <v>1</v>
      </c>
    </row>
    <row r="10" spans="1:281" ht="18" x14ac:dyDescent="0.3">
      <c r="A10" s="101" t="s">
        <v>234</v>
      </c>
      <c r="C10" t="s">
        <v>79</v>
      </c>
      <c r="D10" s="101" t="s">
        <v>323</v>
      </c>
      <c r="F10" s="113">
        <f t="shared" si="100"/>
        <v>3057</v>
      </c>
      <c r="G10" s="15">
        <f t="shared" si="101"/>
        <v>646680</v>
      </c>
      <c r="H10" s="20">
        <f t="shared" si="101"/>
        <v>482296</v>
      </c>
      <c r="I10" s="23">
        <f t="shared" si="11"/>
        <v>1.3408363328744173</v>
      </c>
      <c r="AK10" s="140">
        <f t="shared" si="102"/>
        <v>152.85002152817219</v>
      </c>
      <c r="AL10" s="141">
        <f t="shared" si="102"/>
        <v>132.03945521682456</v>
      </c>
      <c r="AM10" s="141">
        <f>SUMIFS(AM$20:AM$191,$A$20:$A$191,$A10,$D$20:$D$191,$D10,$C$20:$C$191,$C10)</f>
        <v>2.8704229394961907</v>
      </c>
      <c r="AN10" s="141">
        <f t="shared" si="102"/>
        <v>0</v>
      </c>
      <c r="AO10" s="141">
        <f t="shared" si="102"/>
        <v>0</v>
      </c>
      <c r="AP10" s="141">
        <f t="shared" si="102"/>
        <v>402.57638670089813</v>
      </c>
      <c r="AQ10" s="141">
        <f t="shared" si="102"/>
        <v>0</v>
      </c>
      <c r="AR10" s="141">
        <f t="shared" si="102"/>
        <v>0</v>
      </c>
      <c r="AS10" s="141">
        <f t="shared" si="102"/>
        <v>2.8704229394961849</v>
      </c>
      <c r="AT10" s="141">
        <f t="shared" si="102"/>
        <v>10.046480288236621</v>
      </c>
      <c r="AU10" s="141">
        <f t="shared" si="103"/>
        <v>1222.8001722253775</v>
      </c>
      <c r="AV10" s="141">
        <f t="shared" si="103"/>
        <v>4.3056344092442975</v>
      </c>
      <c r="AW10" s="141">
        <f t="shared" si="103"/>
        <v>4.3056344092442878</v>
      </c>
      <c r="AX10" s="141">
        <f t="shared" si="103"/>
        <v>611.40008611268956</v>
      </c>
      <c r="AY10" s="141">
        <f t="shared" si="103"/>
        <v>305.70004305634438</v>
      </c>
      <c r="AZ10" s="141">
        <f t="shared" si="103"/>
        <v>53.102824380679436</v>
      </c>
      <c r="BA10" s="141">
        <f t="shared" si="103"/>
        <v>5.7408458789923715</v>
      </c>
      <c r="BB10" s="141">
        <f t="shared" si="103"/>
        <v>41.621132622694681</v>
      </c>
      <c r="BC10" s="141">
        <f t="shared" si="103"/>
        <v>12.916903227732785</v>
      </c>
      <c r="BD10" s="141">
        <f t="shared" si="103"/>
        <v>0</v>
      </c>
      <c r="BE10" s="141">
        <f t="shared" si="104"/>
        <v>58.843670259671839</v>
      </c>
      <c r="BF10" s="141">
        <f t="shared" si="104"/>
        <v>5.7408458789923742</v>
      </c>
      <c r="BG10" s="141">
        <f t="shared" si="104"/>
        <v>2.8704229394961902</v>
      </c>
      <c r="BH10" s="141">
        <f t="shared" si="104"/>
        <v>0</v>
      </c>
      <c r="BI10" s="141">
        <f t="shared" si="104"/>
        <v>24.398594985717558</v>
      </c>
      <c r="BJ10" s="141">
        <f t="shared" si="104"/>
        <v>0</v>
      </c>
      <c r="BK10" s="128">
        <f t="shared" ref="BK10" si="121">SUM(AK10:BJ10)</f>
        <v>3057.0000000000009</v>
      </c>
      <c r="BM10" s="35">
        <f t="shared" si="106"/>
        <v>32334.004554085179</v>
      </c>
      <c r="BN10" s="26">
        <f t="shared" si="107"/>
        <v>27931.722243904525</v>
      </c>
      <c r="BO10" s="26">
        <f t="shared" si="107"/>
        <v>607.21135312836009</v>
      </c>
      <c r="BP10" s="26">
        <f t="shared" si="107"/>
        <v>0</v>
      </c>
      <c r="BQ10" s="26">
        <f t="shared" si="107"/>
        <v>0</v>
      </c>
      <c r="BR10" s="26">
        <f t="shared" si="107"/>
        <v>85161.301194549174</v>
      </c>
      <c r="BS10" s="26">
        <f t="shared" si="107"/>
        <v>0</v>
      </c>
      <c r="BT10" s="26">
        <f t="shared" si="107"/>
        <v>0</v>
      </c>
      <c r="BU10" s="26">
        <f t="shared" si="107"/>
        <v>607.21135312835872</v>
      </c>
      <c r="BV10" s="26">
        <f t="shared" si="107"/>
        <v>2125.2397359492506</v>
      </c>
      <c r="BW10" s="26">
        <f t="shared" si="107"/>
        <v>258672.03643268143</v>
      </c>
      <c r="BX10" s="26">
        <f t="shared" si="107"/>
        <v>910.81702969254241</v>
      </c>
      <c r="BY10" s="26">
        <f t="shared" si="107"/>
        <v>910.81702969254047</v>
      </c>
      <c r="BZ10" s="26">
        <f t="shared" si="107"/>
        <v>129336.01821634089</v>
      </c>
      <c r="CA10" s="26">
        <f t="shared" si="107"/>
        <v>64668.009108170358</v>
      </c>
      <c r="CB10" s="26">
        <f t="shared" si="107"/>
        <v>11233.410032874641</v>
      </c>
      <c r="CC10" s="26">
        <f t="shared" si="107"/>
        <v>1214.4227062567181</v>
      </c>
      <c r="CD10" s="26">
        <f t="shared" si="107"/>
        <v>8804.5646203612032</v>
      </c>
      <c r="CE10" s="26">
        <f t="shared" si="107"/>
        <v>2732.451089077605</v>
      </c>
      <c r="CF10" s="26">
        <f t="shared" si="107"/>
        <v>0</v>
      </c>
      <c r="CG10" s="26">
        <f t="shared" si="107"/>
        <v>12447.832739131369</v>
      </c>
      <c r="CH10" s="26">
        <f t="shared" si="107"/>
        <v>1214.4227062567186</v>
      </c>
      <c r="CI10" s="26">
        <f t="shared" si="107"/>
        <v>607.21135312835997</v>
      </c>
      <c r="CJ10" s="26">
        <f t="shared" si="107"/>
        <v>0</v>
      </c>
      <c r="CK10" s="26">
        <f t="shared" si="107"/>
        <v>5161.2965015910468</v>
      </c>
      <c r="CL10" s="26">
        <f t="shared" si="107"/>
        <v>0</v>
      </c>
      <c r="CM10" s="36">
        <f t="shared" si="37"/>
        <v>646680.00000000047</v>
      </c>
      <c r="CN10" s="42">
        <f t="shared" si="108"/>
        <v>24114.803396451207</v>
      </c>
      <c r="CO10" s="27">
        <f t="shared" si="108"/>
        <v>20831.567253272369</v>
      </c>
      <c r="CP10" s="27">
        <f t="shared" si="108"/>
        <v>452.8601576798348</v>
      </c>
      <c r="CQ10" s="27">
        <f t="shared" si="108"/>
        <v>0</v>
      </c>
      <c r="CR10" s="27">
        <f t="shared" si="108"/>
        <v>0</v>
      </c>
      <c r="CS10" s="27">
        <f t="shared" si="108"/>
        <v>63513.569185572909</v>
      </c>
      <c r="CT10" s="27">
        <f t="shared" si="108"/>
        <v>0</v>
      </c>
      <c r="CU10" s="27">
        <f t="shared" si="108"/>
        <v>0</v>
      </c>
      <c r="CV10" s="27">
        <f t="shared" si="108"/>
        <v>452.86015767983378</v>
      </c>
      <c r="CW10" s="27">
        <f t="shared" si="108"/>
        <v>1585.0105518794144</v>
      </c>
      <c r="CX10" s="27">
        <f t="shared" si="108"/>
        <v>192918.42717160966</v>
      </c>
      <c r="CY10" s="27">
        <f t="shared" si="108"/>
        <v>679.29023651975399</v>
      </c>
      <c r="CZ10" s="27">
        <f t="shared" si="108"/>
        <v>679.29023651975251</v>
      </c>
      <c r="DA10" s="27">
        <f t="shared" si="108"/>
        <v>96459.213585804959</v>
      </c>
      <c r="DB10" s="27">
        <f t="shared" si="108"/>
        <v>48229.606792902414</v>
      </c>
      <c r="DC10" s="27">
        <f t="shared" si="108"/>
        <v>8377.9129170769284</v>
      </c>
      <c r="DD10" s="27">
        <f t="shared" si="108"/>
        <v>905.72031535966801</v>
      </c>
      <c r="DE10" s="27">
        <f t="shared" si="108"/>
        <v>6566.4722863575907</v>
      </c>
      <c r="DF10" s="27">
        <f t="shared" si="108"/>
        <v>2037.8707095592451</v>
      </c>
      <c r="DG10" s="27">
        <f t="shared" si="108"/>
        <v>0</v>
      </c>
      <c r="DH10" s="27">
        <f t="shared" si="108"/>
        <v>9283.6332324366012</v>
      </c>
      <c r="DI10" s="27">
        <f t="shared" si="108"/>
        <v>905.72031535966823</v>
      </c>
      <c r="DJ10" s="27">
        <f t="shared" si="108"/>
        <v>452.86015767983469</v>
      </c>
      <c r="DK10" s="27">
        <f t="shared" si="108"/>
        <v>0</v>
      </c>
      <c r="DL10" s="27">
        <f t="shared" si="108"/>
        <v>3849.3113402785852</v>
      </c>
      <c r="DM10" s="27">
        <f t="shared" si="108"/>
        <v>0</v>
      </c>
      <c r="DN10" s="44">
        <f t="shared" si="109"/>
        <v>482296.00000000023</v>
      </c>
      <c r="DO10" s="46">
        <f t="shared" si="110"/>
        <v>8219.2011576339719</v>
      </c>
      <c r="DP10" s="47">
        <f t="shared" si="110"/>
        <v>7100.1549906321552</v>
      </c>
      <c r="DQ10" s="47">
        <f t="shared" si="110"/>
        <v>154.35119544852532</v>
      </c>
      <c r="DR10" s="47">
        <f t="shared" si="110"/>
        <v>0</v>
      </c>
      <c r="DS10" s="47">
        <f t="shared" si="110"/>
        <v>0</v>
      </c>
      <c r="DT10" s="47">
        <f t="shared" si="110"/>
        <v>21647.732008976262</v>
      </c>
      <c r="DU10" s="47">
        <f t="shared" si="110"/>
        <v>0</v>
      </c>
      <c r="DV10" s="47">
        <f t="shared" si="110"/>
        <v>0</v>
      </c>
      <c r="DW10" s="47">
        <f t="shared" si="110"/>
        <v>154.35119544852498</v>
      </c>
      <c r="DX10" s="47">
        <f t="shared" si="110"/>
        <v>540.22918406983626</v>
      </c>
      <c r="DY10" s="47">
        <f t="shared" si="110"/>
        <v>65753.609261071761</v>
      </c>
      <c r="DZ10" s="47">
        <f t="shared" si="110"/>
        <v>231.5267931727885</v>
      </c>
      <c r="EA10" s="47">
        <f t="shared" si="110"/>
        <v>231.52679317278796</v>
      </c>
      <c r="EB10" s="47">
        <f t="shared" si="110"/>
        <v>32876.804630535931</v>
      </c>
      <c r="EC10" s="47">
        <f t="shared" si="110"/>
        <v>16438.40231526794</v>
      </c>
      <c r="ED10" s="47">
        <f t="shared" si="110"/>
        <v>2855.4971157977129</v>
      </c>
      <c r="EE10" s="47">
        <f t="shared" si="110"/>
        <v>308.70239089705018</v>
      </c>
      <c r="EF10" s="47">
        <f t="shared" si="110"/>
        <v>2238.092334003612</v>
      </c>
      <c r="EG10" s="47">
        <f t="shared" si="110"/>
        <v>694.58037951836002</v>
      </c>
      <c r="EH10" s="47">
        <f t="shared" si="110"/>
        <v>0</v>
      </c>
      <c r="EI10" s="47">
        <f t="shared" si="110"/>
        <v>3164.1995066947666</v>
      </c>
      <c r="EJ10" s="47">
        <f t="shared" si="110"/>
        <v>308.70239089705024</v>
      </c>
      <c r="EK10" s="47">
        <f t="shared" si="110"/>
        <v>154.35119544852532</v>
      </c>
      <c r="EL10" s="47">
        <f t="shared" si="110"/>
        <v>0</v>
      </c>
      <c r="EM10" s="47">
        <f t="shared" si="110"/>
        <v>1311.9851613124615</v>
      </c>
      <c r="EN10" s="47">
        <f t="shared" si="110"/>
        <v>0</v>
      </c>
      <c r="EO10" s="48">
        <f t="shared" si="111"/>
        <v>164384.00000000003</v>
      </c>
      <c r="FJ10" s="35">
        <f t="shared" si="112"/>
        <v>1940.0399465283097</v>
      </c>
      <c r="FK10" s="26">
        <f t="shared" si="112"/>
        <v>1675.9030524000398</v>
      </c>
      <c r="FL10" s="26">
        <f t="shared" si="112"/>
        <v>36.432675052174822</v>
      </c>
      <c r="FM10" s="26">
        <f t="shared" si="112"/>
        <v>0</v>
      </c>
      <c r="FN10" s="26">
        <f t="shared" si="112"/>
        <v>0</v>
      </c>
      <c r="FO10" s="26">
        <f t="shared" si="112"/>
        <v>5109.6772111662394</v>
      </c>
      <c r="FP10" s="26">
        <f t="shared" si="112"/>
        <v>0</v>
      </c>
      <c r="FQ10" s="26">
        <f t="shared" si="112"/>
        <v>0</v>
      </c>
      <c r="FR10" s="26">
        <f t="shared" si="112"/>
        <v>36.432675052174744</v>
      </c>
      <c r="FS10" s="26">
        <f t="shared" si="112"/>
        <v>127.51436268261132</v>
      </c>
      <c r="FT10" s="26">
        <f t="shared" si="112"/>
        <v>15520.319572226477</v>
      </c>
      <c r="FU10" s="26">
        <f t="shared" si="112"/>
        <v>54.649012578262379</v>
      </c>
      <c r="FV10" s="26">
        <f t="shared" si="112"/>
        <v>54.649012578262258</v>
      </c>
      <c r="FW10" s="26">
        <f t="shared" si="112"/>
        <v>7760.1597861132495</v>
      </c>
      <c r="FX10" s="26">
        <f t="shared" si="112"/>
        <v>3880.0798930566193</v>
      </c>
      <c r="FY10" s="26">
        <f t="shared" si="112"/>
        <v>674.00448846523307</v>
      </c>
      <c r="FZ10" s="26">
        <f t="shared" si="112"/>
        <v>72.865350104349531</v>
      </c>
      <c r="GA10" s="26">
        <f t="shared" si="112"/>
        <v>528.27378825653386</v>
      </c>
      <c r="GB10" s="26">
        <f t="shared" si="112"/>
        <v>163.94703773478579</v>
      </c>
      <c r="GC10" s="26">
        <f t="shared" si="112"/>
        <v>0</v>
      </c>
      <c r="GD10" s="26">
        <f t="shared" si="112"/>
        <v>746.86983856958318</v>
      </c>
      <c r="GE10" s="26">
        <f t="shared" si="112"/>
        <v>72.86535010434956</v>
      </c>
      <c r="GF10" s="26">
        <f t="shared" si="112"/>
        <v>36.432675052174815</v>
      </c>
      <c r="GG10" s="26">
        <f t="shared" si="112"/>
        <v>0</v>
      </c>
      <c r="GH10" s="26">
        <f t="shared" si="112"/>
        <v>309.67773794348517</v>
      </c>
      <c r="GI10" s="26">
        <f t="shared" si="112"/>
        <v>0</v>
      </c>
      <c r="GJ10" s="36">
        <f t="shared" si="113"/>
        <v>38800.793465664916</v>
      </c>
      <c r="GL10" s="35">
        <f t="shared" si="114"/>
        <v>19400.403038748111</v>
      </c>
      <c r="GM10" s="26">
        <f t="shared" si="114"/>
        <v>16759.033610937309</v>
      </c>
      <c r="GN10" s="26">
        <f t="shared" si="114"/>
        <v>364.32681762907248</v>
      </c>
      <c r="GO10" s="26">
        <f t="shared" si="114"/>
        <v>0</v>
      </c>
      <c r="GP10" s="26">
        <f t="shared" si="114"/>
        <v>0</v>
      </c>
      <c r="GQ10" s="26">
        <f t="shared" si="114"/>
        <v>51096.781523454549</v>
      </c>
      <c r="GR10" s="26">
        <f t="shared" si="114"/>
        <v>0</v>
      </c>
      <c r="GS10" s="26">
        <f t="shared" si="114"/>
        <v>0</v>
      </c>
      <c r="GT10" s="26">
        <f t="shared" si="114"/>
        <v>364.32681762907168</v>
      </c>
      <c r="GU10" s="26">
        <f t="shared" si="114"/>
        <v>1275.1438617017479</v>
      </c>
      <c r="GV10" s="26">
        <f t="shared" si="114"/>
        <v>155203.22430998489</v>
      </c>
      <c r="GW10" s="26">
        <f t="shared" si="114"/>
        <v>546.49022644361003</v>
      </c>
      <c r="GX10" s="26">
        <f t="shared" si="114"/>
        <v>546.49022644360889</v>
      </c>
      <c r="GY10" s="26">
        <f t="shared" si="114"/>
        <v>77601.612154992545</v>
      </c>
      <c r="GZ10" s="26">
        <f t="shared" si="114"/>
        <v>38800.806077496221</v>
      </c>
      <c r="HA10" s="26">
        <f t="shared" si="114"/>
        <v>6740.0461261378277</v>
      </c>
      <c r="HB10" s="26">
        <f t="shared" si="114"/>
        <v>728.65363525814371</v>
      </c>
      <c r="HC10" s="26">
        <f t="shared" si="114"/>
        <v>5282.7388556215401</v>
      </c>
      <c r="HD10" s="26">
        <f t="shared" si="114"/>
        <v>1639.4706793308167</v>
      </c>
      <c r="HE10" s="26">
        <f t="shared" si="114"/>
        <v>0</v>
      </c>
      <c r="HF10" s="26">
        <f t="shared" si="114"/>
        <v>7468.6997613959775</v>
      </c>
      <c r="HG10" s="26">
        <f t="shared" si="114"/>
        <v>728.65363525814394</v>
      </c>
      <c r="HH10" s="26">
        <f t="shared" si="114"/>
        <v>364.32681762907242</v>
      </c>
      <c r="HI10" s="26">
        <f t="shared" si="114"/>
        <v>0</v>
      </c>
      <c r="HJ10" s="26">
        <f t="shared" si="114"/>
        <v>3096.7779498471077</v>
      </c>
      <c r="HK10" s="26">
        <f t="shared" si="114"/>
        <v>0</v>
      </c>
      <c r="HL10" s="36">
        <f t="shared" si="115"/>
        <v>388008.00612593931</v>
      </c>
      <c r="HN10" s="35">
        <f t="shared" si="116"/>
        <v>9376.8614432035029</v>
      </c>
      <c r="HO10" s="26">
        <f t="shared" si="116"/>
        <v>8100.19955657015</v>
      </c>
      <c r="HP10" s="26">
        <f t="shared" si="116"/>
        <v>176.09129470804697</v>
      </c>
      <c r="HQ10" s="26">
        <f t="shared" si="116"/>
        <v>0</v>
      </c>
      <c r="HR10" s="26">
        <f t="shared" si="116"/>
        <v>0</v>
      </c>
      <c r="HS10" s="26">
        <f t="shared" si="116"/>
        <v>24696.777669109277</v>
      </c>
      <c r="HT10" s="26">
        <f t="shared" si="116"/>
        <v>0</v>
      </c>
      <c r="HU10" s="26">
        <f t="shared" si="116"/>
        <v>0</v>
      </c>
      <c r="HV10" s="26">
        <f t="shared" si="116"/>
        <v>176.0912947080466</v>
      </c>
      <c r="HW10" s="26">
        <f t="shared" si="116"/>
        <v>616.31953147816171</v>
      </c>
      <c r="HX10" s="26">
        <f t="shared" si="116"/>
        <v>75014.891545628023</v>
      </c>
      <c r="HY10" s="26">
        <f t="shared" si="116"/>
        <v>264.13694206207117</v>
      </c>
      <c r="HZ10" s="26">
        <f t="shared" si="116"/>
        <v>264.13694206207055</v>
      </c>
      <c r="IA10" s="26">
        <f t="shared" si="116"/>
        <v>37507.445772814062</v>
      </c>
      <c r="IB10" s="26">
        <f t="shared" si="116"/>
        <v>18753.722886407006</v>
      </c>
      <c r="IC10" s="26">
        <f t="shared" si="116"/>
        <v>3257.688952098863</v>
      </c>
      <c r="ID10" s="26">
        <f t="shared" si="116"/>
        <v>352.18258941609338</v>
      </c>
      <c r="IE10" s="26">
        <f t="shared" si="116"/>
        <v>2553.3237732666762</v>
      </c>
      <c r="IF10" s="26">
        <f t="shared" si="116"/>
        <v>792.41082618620703</v>
      </c>
      <c r="IG10" s="26">
        <f t="shared" si="116"/>
        <v>0</v>
      </c>
      <c r="IH10" s="26">
        <f t="shared" si="116"/>
        <v>3609.8715415149591</v>
      </c>
      <c r="II10" s="26">
        <f t="shared" si="116"/>
        <v>352.18258941609349</v>
      </c>
      <c r="IJ10" s="26">
        <f t="shared" si="116"/>
        <v>176.09129470804695</v>
      </c>
      <c r="IK10" s="26">
        <f t="shared" si="116"/>
        <v>0</v>
      </c>
      <c r="IL10" s="26">
        <f t="shared" si="116"/>
        <v>1496.7760050183954</v>
      </c>
      <c r="IM10" s="26">
        <f t="shared" si="116"/>
        <v>0</v>
      </c>
      <c r="IN10" s="36">
        <f t="shared" si="117"/>
        <v>187537.20245037577</v>
      </c>
      <c r="IP10" s="35">
        <f t="shared" si="118"/>
        <v>1616.7001256052588</v>
      </c>
      <c r="IQ10" s="26">
        <f t="shared" si="118"/>
        <v>1396.5860239970289</v>
      </c>
      <c r="IR10" s="26">
        <f t="shared" si="118"/>
        <v>30.360565739065887</v>
      </c>
      <c r="IS10" s="26">
        <f t="shared" si="118"/>
        <v>0</v>
      </c>
      <c r="IT10" s="26">
        <f t="shared" si="118"/>
        <v>0</v>
      </c>
      <c r="IU10" s="26">
        <f t="shared" si="118"/>
        <v>4258.0647908191113</v>
      </c>
      <c r="IV10" s="26">
        <f t="shared" si="118"/>
        <v>0</v>
      </c>
      <c r="IW10" s="26">
        <f t="shared" si="118"/>
        <v>0</v>
      </c>
      <c r="IX10" s="26">
        <f t="shared" si="118"/>
        <v>30.360565739065819</v>
      </c>
      <c r="IY10" s="26">
        <f t="shared" si="118"/>
        <v>106.26198008673012</v>
      </c>
      <c r="IZ10" s="26">
        <f t="shared" si="118"/>
        <v>12933.60100484207</v>
      </c>
      <c r="JA10" s="26">
        <f t="shared" si="118"/>
        <v>45.540848608598949</v>
      </c>
      <c r="JB10" s="26">
        <f t="shared" si="118"/>
        <v>45.54084860859885</v>
      </c>
      <c r="JC10" s="26">
        <f t="shared" si="118"/>
        <v>6466.8005024210433</v>
      </c>
      <c r="JD10" s="26">
        <f t="shared" si="118"/>
        <v>3233.4002512105176</v>
      </c>
      <c r="JE10" s="26">
        <f t="shared" si="118"/>
        <v>561.67046617271785</v>
      </c>
      <c r="JF10" s="26">
        <f t="shared" si="118"/>
        <v>60.721131478131667</v>
      </c>
      <c r="JG10" s="26">
        <f t="shared" si="118"/>
        <v>440.22820321645446</v>
      </c>
      <c r="JH10" s="26">
        <f t="shared" si="118"/>
        <v>136.62254582579573</v>
      </c>
      <c r="JI10" s="26">
        <f t="shared" si="118"/>
        <v>0</v>
      </c>
      <c r="JJ10" s="26">
        <f t="shared" si="118"/>
        <v>622.39159765085003</v>
      </c>
      <c r="JK10" s="26">
        <f t="shared" si="118"/>
        <v>60.721131478131696</v>
      </c>
      <c r="JL10" s="26">
        <f t="shared" si="118"/>
        <v>30.36056573906588</v>
      </c>
      <c r="JM10" s="26">
        <f t="shared" si="118"/>
        <v>0</v>
      </c>
      <c r="JN10" s="26">
        <f t="shared" si="118"/>
        <v>258.06480878205934</v>
      </c>
      <c r="JO10" s="26">
        <f t="shared" si="118"/>
        <v>0</v>
      </c>
      <c r="JP10" s="36">
        <f t="shared" si="119"/>
        <v>32333.997958020293</v>
      </c>
      <c r="JT10" s="26">
        <f t="shared" si="120"/>
        <v>32334.004554085182</v>
      </c>
      <c r="JU10" s="29">
        <f t="shared" si="9"/>
        <v>1.0000000000000002</v>
      </c>
    </row>
    <row r="11" spans="1:281" ht="18" x14ac:dyDescent="0.3">
      <c r="A11" s="101" t="s">
        <v>234</v>
      </c>
      <c r="C11" t="s">
        <v>28</v>
      </c>
      <c r="D11" s="101" t="s">
        <v>323</v>
      </c>
      <c r="F11" s="113">
        <f t="shared" si="100"/>
        <v>17824</v>
      </c>
      <c r="G11" s="15">
        <f t="shared" si="101"/>
        <v>28882045</v>
      </c>
      <c r="H11" s="20">
        <f t="shared" si="101"/>
        <v>17049983</v>
      </c>
      <c r="I11" s="23">
        <f t="shared" si="11"/>
        <v>1.6939632725733509</v>
      </c>
      <c r="AK11" s="140">
        <f t="shared" si="102"/>
        <v>610.12171145441141</v>
      </c>
      <c r="AL11" s="141">
        <f t="shared" si="102"/>
        <v>777.31010951451231</v>
      </c>
      <c r="AM11" s="141">
        <f t="shared" si="102"/>
        <v>378.49398643372547</v>
      </c>
      <c r="AN11" s="141">
        <f t="shared" si="102"/>
        <v>26.991051201899911</v>
      </c>
      <c r="AO11" s="141">
        <f t="shared" si="102"/>
        <v>475.38154667585763</v>
      </c>
      <c r="AP11" s="141">
        <f t="shared" si="102"/>
        <v>533.98613285889485</v>
      </c>
      <c r="AQ11" s="141">
        <f t="shared" si="102"/>
        <v>494.76536853170427</v>
      </c>
      <c r="AR11" s="141">
        <f t="shared" si="102"/>
        <v>333.57738704694526</v>
      </c>
      <c r="AS11" s="141">
        <f t="shared" si="102"/>
        <v>480.32054860724122</v>
      </c>
      <c r="AT11" s="141">
        <f t="shared" si="102"/>
        <v>783.20238090761461</v>
      </c>
      <c r="AU11" s="141">
        <f t="shared" si="103"/>
        <v>1505.0994571944059</v>
      </c>
      <c r="AV11" s="141">
        <f t="shared" si="103"/>
        <v>394.5391349008579</v>
      </c>
      <c r="AW11" s="141">
        <f t="shared" si="103"/>
        <v>304.1377740849548</v>
      </c>
      <c r="AX11" s="141">
        <f t="shared" si="103"/>
        <v>1697.9325522286269</v>
      </c>
      <c r="AY11" s="141">
        <f t="shared" si="103"/>
        <v>2337.7774990659827</v>
      </c>
      <c r="AZ11" s="141">
        <f t="shared" si="103"/>
        <v>1475.8864532736857</v>
      </c>
      <c r="BA11" s="141">
        <f t="shared" si="103"/>
        <v>168.8616180895983</v>
      </c>
      <c r="BB11" s="141">
        <f t="shared" si="103"/>
        <v>1239.4667289974709</v>
      </c>
      <c r="BC11" s="141">
        <f t="shared" si="103"/>
        <v>407.56232014592013</v>
      </c>
      <c r="BD11" s="141">
        <f t="shared" si="103"/>
        <v>542.27060343183871</v>
      </c>
      <c r="BE11" s="141">
        <f t="shared" si="104"/>
        <v>1016.7242887055643</v>
      </c>
      <c r="BF11" s="141">
        <f t="shared" si="104"/>
        <v>435.9217506501621</v>
      </c>
      <c r="BG11" s="141">
        <f t="shared" si="104"/>
        <v>621.11094756711066</v>
      </c>
      <c r="BH11" s="141">
        <f t="shared" si="104"/>
        <v>0</v>
      </c>
      <c r="BI11" s="141">
        <f t="shared" si="104"/>
        <v>782.5586484310129</v>
      </c>
      <c r="BJ11" s="141">
        <f t="shared" si="104"/>
        <v>0</v>
      </c>
      <c r="BK11" s="128">
        <f t="shared" ref="BK11:BK12" si="122">SUM(AK11:BJ11)</f>
        <v>17823.999999999996</v>
      </c>
      <c r="BM11" s="35">
        <f t="shared" si="106"/>
        <v>889947.6937198115</v>
      </c>
      <c r="BN11" s="26">
        <f t="shared" si="107"/>
        <v>1102804.5482969512</v>
      </c>
      <c r="BO11" s="26">
        <f t="shared" si="107"/>
        <v>527502.79165734793</v>
      </c>
      <c r="BP11" s="26">
        <f t="shared" si="107"/>
        <v>70766.215248799199</v>
      </c>
      <c r="BQ11" s="26">
        <f t="shared" si="107"/>
        <v>651321.22407058359</v>
      </c>
      <c r="BR11" s="26">
        <f t="shared" si="107"/>
        <v>804852.44479969889</v>
      </c>
      <c r="BS11" s="26">
        <f t="shared" si="107"/>
        <v>1119677.8493157423</v>
      </c>
      <c r="BT11" s="26">
        <f t="shared" si="107"/>
        <v>535980.49713129562</v>
      </c>
      <c r="BU11" s="26">
        <f t="shared" si="107"/>
        <v>685963.94996969553</v>
      </c>
      <c r="BV11" s="26">
        <f t="shared" si="107"/>
        <v>1085347.9245290775</v>
      </c>
      <c r="BW11" s="26">
        <f t="shared" si="107"/>
        <v>3486096.4637655821</v>
      </c>
      <c r="BX11" s="26">
        <f t="shared" si="107"/>
        <v>608727.73998505739</v>
      </c>
      <c r="BY11" s="26">
        <f t="shared" si="107"/>
        <v>436457.81415426754</v>
      </c>
      <c r="BZ11" s="26">
        <f t="shared" si="107"/>
        <v>2713870.2389316978</v>
      </c>
      <c r="CA11" s="26">
        <f t="shared" si="107"/>
        <v>3466455.5351079321</v>
      </c>
      <c r="CB11" s="26">
        <f t="shared" si="107"/>
        <v>2154823.0090159746</v>
      </c>
      <c r="CC11" s="26">
        <f t="shared" si="107"/>
        <v>267197.82402613363</v>
      </c>
      <c r="CD11" s="26">
        <f t="shared" si="107"/>
        <v>1986760.305199685</v>
      </c>
      <c r="CE11" s="26">
        <f t="shared" si="107"/>
        <v>655905.26812040596</v>
      </c>
      <c r="CF11" s="26">
        <f t="shared" si="107"/>
        <v>783663.62881737971</v>
      </c>
      <c r="CG11" s="26">
        <f t="shared" si="107"/>
        <v>1472549.2114992184</v>
      </c>
      <c r="CH11" s="26">
        <f t="shared" si="107"/>
        <v>646148.85671227169</v>
      </c>
      <c r="CI11" s="26">
        <f t="shared" si="107"/>
        <v>929273.3161765656</v>
      </c>
      <c r="CJ11" s="26">
        <f t="shared" si="107"/>
        <v>0</v>
      </c>
      <c r="CK11" s="26">
        <f t="shared" si="107"/>
        <v>1799950.6497488229</v>
      </c>
      <c r="CL11" s="26">
        <f t="shared" si="107"/>
        <v>0</v>
      </c>
      <c r="CM11" s="36">
        <f t="shared" si="37"/>
        <v>28882045</v>
      </c>
      <c r="CN11" s="42">
        <f t="shared" si="108"/>
        <v>531199.20789039019</v>
      </c>
      <c r="CO11" s="27">
        <f t="shared" si="108"/>
        <v>658934.05612613156</v>
      </c>
      <c r="CP11" s="27">
        <f t="shared" si="108"/>
        <v>316638.33935142116</v>
      </c>
      <c r="CQ11" s="27">
        <f t="shared" si="108"/>
        <v>40247.823362209281</v>
      </c>
      <c r="CR11" s="27">
        <f t="shared" si="108"/>
        <v>392672.89073138061</v>
      </c>
      <c r="CS11" s="27">
        <f t="shared" si="108"/>
        <v>478849.24178584805</v>
      </c>
      <c r="CT11" s="27">
        <f t="shared" si="108"/>
        <v>645654.53428564512</v>
      </c>
      <c r="CU11" s="27">
        <f t="shared" si="108"/>
        <v>318099.85404251504</v>
      </c>
      <c r="CV11" s="27">
        <f t="shared" si="108"/>
        <v>410151.8983102357</v>
      </c>
      <c r="CW11" s="27">
        <f t="shared" si="108"/>
        <v>654629.03003453568</v>
      </c>
      <c r="CX11" s="27">
        <f t="shared" si="108"/>
        <v>2000960.0534162102</v>
      </c>
      <c r="CY11" s="27">
        <f t="shared" si="108"/>
        <v>359535.37332727632</v>
      </c>
      <c r="CZ11" s="27">
        <f t="shared" si="108"/>
        <v>259802.7145617982</v>
      </c>
      <c r="DA11" s="27">
        <f t="shared" si="108"/>
        <v>1605971.9238794851</v>
      </c>
      <c r="DB11" s="27">
        <f t="shared" si="108"/>
        <v>2052905.6774102191</v>
      </c>
      <c r="DC11" s="27">
        <f t="shared" si="108"/>
        <v>1287018.5841221113</v>
      </c>
      <c r="DD11" s="27">
        <f t="shared" si="108"/>
        <v>158146.23004316844</v>
      </c>
      <c r="DE11" s="27">
        <f t="shared" si="108"/>
        <v>1175591.537444867</v>
      </c>
      <c r="DF11" s="27">
        <f t="shared" si="108"/>
        <v>385667.19032490673</v>
      </c>
      <c r="DG11" s="27">
        <f t="shared" si="108"/>
        <v>468358.61548710067</v>
      </c>
      <c r="DH11" s="27">
        <f t="shared" si="108"/>
        <v>877755.29150919453</v>
      </c>
      <c r="DI11" s="27">
        <f t="shared" si="108"/>
        <v>384793.03790394287</v>
      </c>
      <c r="DJ11" s="27">
        <f t="shared" si="108"/>
        <v>552860.1322150972</v>
      </c>
      <c r="DK11" s="27">
        <f t="shared" si="108"/>
        <v>0</v>
      </c>
      <c r="DL11" s="27">
        <f t="shared" si="108"/>
        <v>1033539.7624343089</v>
      </c>
      <c r="DM11" s="27">
        <f t="shared" si="108"/>
        <v>0</v>
      </c>
      <c r="DN11" s="44">
        <f t="shared" si="109"/>
        <v>17049983</v>
      </c>
      <c r="DO11" s="46">
        <f t="shared" si="110"/>
        <v>358748.48582942149</v>
      </c>
      <c r="DP11" s="47">
        <f t="shared" si="110"/>
        <v>443870.49217081966</v>
      </c>
      <c r="DQ11" s="47">
        <f t="shared" si="110"/>
        <v>210864.45230592674</v>
      </c>
      <c r="DR11" s="47">
        <f t="shared" si="110"/>
        <v>30518.391886589903</v>
      </c>
      <c r="DS11" s="47">
        <f t="shared" si="110"/>
        <v>258648.33333920297</v>
      </c>
      <c r="DT11" s="47">
        <f t="shared" si="110"/>
        <v>326003.2030138509</v>
      </c>
      <c r="DU11" s="47">
        <f t="shared" si="110"/>
        <v>474023.31503009709</v>
      </c>
      <c r="DV11" s="47">
        <f t="shared" si="110"/>
        <v>217880.64308878063</v>
      </c>
      <c r="DW11" s="47">
        <f t="shared" si="110"/>
        <v>275812.05165945977</v>
      </c>
      <c r="DX11" s="47">
        <f t="shared" si="110"/>
        <v>430718.8944945418</v>
      </c>
      <c r="DY11" s="47">
        <f t="shared" si="110"/>
        <v>1485136.4103493718</v>
      </c>
      <c r="DZ11" s="47">
        <f t="shared" si="110"/>
        <v>249192.36665778104</v>
      </c>
      <c r="EA11" s="47">
        <f t="shared" si="110"/>
        <v>176655.09959246931</v>
      </c>
      <c r="EB11" s="47">
        <f t="shared" si="110"/>
        <v>1107898.3150522131</v>
      </c>
      <c r="EC11" s="47">
        <f t="shared" si="110"/>
        <v>1413549.8576977137</v>
      </c>
      <c r="ED11" s="47">
        <f t="shared" si="110"/>
        <v>867804.4248938628</v>
      </c>
      <c r="EE11" s="47">
        <f t="shared" si="110"/>
        <v>109051.59398296519</v>
      </c>
      <c r="EF11" s="47">
        <f t="shared" si="110"/>
        <v>811168.7677548182</v>
      </c>
      <c r="EG11" s="47">
        <f t="shared" si="110"/>
        <v>270238.0777954993</v>
      </c>
      <c r="EH11" s="47">
        <f t="shared" si="110"/>
        <v>315305.01333027903</v>
      </c>
      <c r="EI11" s="47">
        <f t="shared" si="110"/>
        <v>594793.9199900236</v>
      </c>
      <c r="EJ11" s="47">
        <f t="shared" si="110"/>
        <v>261355.81880832874</v>
      </c>
      <c r="EK11" s="47">
        <f t="shared" si="110"/>
        <v>376413.1839614684</v>
      </c>
      <c r="EL11" s="47">
        <f t="shared" si="110"/>
        <v>0</v>
      </c>
      <c r="EM11" s="47">
        <f t="shared" si="110"/>
        <v>766410.88731451391</v>
      </c>
      <c r="EN11" s="47">
        <f t="shared" si="110"/>
        <v>0</v>
      </c>
      <c r="EO11" s="48">
        <f t="shared" si="111"/>
        <v>11832061.999999998</v>
      </c>
      <c r="FJ11" s="35">
        <f t="shared" si="112"/>
        <v>136416.99922427448</v>
      </c>
      <c r="FK11" s="26">
        <f t="shared" si="112"/>
        <v>172410.64800831975</v>
      </c>
      <c r="FL11" s="26">
        <f t="shared" si="112"/>
        <v>79508.536585809386</v>
      </c>
      <c r="FM11" s="26">
        <f t="shared" si="112"/>
        <v>10463.684939383131</v>
      </c>
      <c r="FN11" s="26">
        <f t="shared" si="112"/>
        <v>94545.572047872498</v>
      </c>
      <c r="FO11" s="26">
        <f t="shared" si="112"/>
        <v>125844.87151270008</v>
      </c>
      <c r="FP11" s="26">
        <f t="shared" si="112"/>
        <v>170146.10257670845</v>
      </c>
      <c r="FQ11" s="26">
        <f t="shared" si="112"/>
        <v>84680.029023341645</v>
      </c>
      <c r="FR11" s="26">
        <f t="shared" si="112"/>
        <v>107715.55079379815</v>
      </c>
      <c r="FS11" s="26">
        <f t="shared" si="112"/>
        <v>146895.66369430828</v>
      </c>
      <c r="FT11" s="26">
        <f t="shared" si="112"/>
        <v>531583.26772372471</v>
      </c>
      <c r="FU11" s="26">
        <f t="shared" si="112"/>
        <v>95082.550136993319</v>
      </c>
      <c r="FV11" s="26">
        <f t="shared" si="112"/>
        <v>69389.229539925989</v>
      </c>
      <c r="FW11" s="26">
        <f t="shared" si="112"/>
        <v>415172.90109808627</v>
      </c>
      <c r="FX11" s="26">
        <f t="shared" si="112"/>
        <v>535796.36121255811</v>
      </c>
      <c r="FY11" s="26">
        <f t="shared" si="112"/>
        <v>336971.43324005243</v>
      </c>
      <c r="FZ11" s="26">
        <f t="shared" si="112"/>
        <v>39285.771870922697</v>
      </c>
      <c r="GA11" s="26">
        <f t="shared" si="112"/>
        <v>306487.74580309691</v>
      </c>
      <c r="GB11" s="26">
        <f t="shared" si="112"/>
        <v>102276.93405188582</v>
      </c>
      <c r="GC11" s="26">
        <f t="shared" si="112"/>
        <v>123095.52232843562</v>
      </c>
      <c r="GD11" s="26">
        <f t="shared" si="112"/>
        <v>228101.52565243191</v>
      </c>
      <c r="GE11" s="26">
        <f t="shared" si="112"/>
        <v>101605.89405919431</v>
      </c>
      <c r="GF11" s="26">
        <f t="shared" si="112"/>
        <v>142534.2892800025</v>
      </c>
      <c r="GG11" s="26">
        <f t="shared" si="112"/>
        <v>0</v>
      </c>
      <c r="GH11" s="26">
        <f t="shared" si="112"/>
        <v>277391.0611921426</v>
      </c>
      <c r="GI11" s="26">
        <f t="shared" si="112"/>
        <v>0</v>
      </c>
      <c r="GJ11" s="36">
        <f t="shared" si="113"/>
        <v>4433402.1455959687</v>
      </c>
      <c r="GL11" s="35">
        <f t="shared" si="114"/>
        <v>239066.98434389723</v>
      </c>
      <c r="GM11" s="26">
        <f t="shared" si="114"/>
        <v>295326.65230609151</v>
      </c>
      <c r="GN11" s="26">
        <f t="shared" si="114"/>
        <v>142048.31637718552</v>
      </c>
      <c r="GO11" s="26">
        <f t="shared" si="114"/>
        <v>19132.188057926207</v>
      </c>
      <c r="GP11" s="26">
        <f t="shared" si="114"/>
        <v>176352.32448928608</v>
      </c>
      <c r="GQ11" s="26">
        <f t="shared" si="114"/>
        <v>215565.44219055446</v>
      </c>
      <c r="GR11" s="26">
        <f t="shared" si="114"/>
        <v>301434.11582149187</v>
      </c>
      <c r="GS11" s="26">
        <f t="shared" si="114"/>
        <v>143342.9229368036</v>
      </c>
      <c r="GT11" s="26">
        <f t="shared" si="114"/>
        <v>183576.63497961257</v>
      </c>
      <c r="GU11" s="26">
        <f t="shared" si="114"/>
        <v>296721.17197494296</v>
      </c>
      <c r="GV11" s="26">
        <f t="shared" si="114"/>
        <v>938037.83028848108</v>
      </c>
      <c r="GW11" s="26">
        <f t="shared" si="114"/>
        <v>163066.97914907409</v>
      </c>
      <c r="GX11" s="26">
        <f t="shared" si="114"/>
        <v>116575.54911777384</v>
      </c>
      <c r="GY11" s="26">
        <f t="shared" si="114"/>
        <v>729401.58437672909</v>
      </c>
      <c r="GZ11" s="26">
        <f t="shared" si="114"/>
        <v>930017.44590641488</v>
      </c>
      <c r="HA11" s="26">
        <f t="shared" si="114"/>
        <v>577077.24577999511</v>
      </c>
      <c r="HB11" s="26">
        <f t="shared" si="114"/>
        <v>72236.459736600053</v>
      </c>
      <c r="HC11" s="26">
        <f t="shared" si="114"/>
        <v>533301.76467196702</v>
      </c>
      <c r="HD11" s="26">
        <f t="shared" si="114"/>
        <v>175767.50872765513</v>
      </c>
      <c r="HE11" s="26">
        <f t="shared" si="114"/>
        <v>209719.56831605319</v>
      </c>
      <c r="HF11" s="26">
        <f t="shared" si="114"/>
        <v>394925.78749405476</v>
      </c>
      <c r="HG11" s="26">
        <f t="shared" si="114"/>
        <v>172898.61746802021</v>
      </c>
      <c r="HH11" s="26">
        <f t="shared" si="114"/>
        <v>249621.1987974089</v>
      </c>
      <c r="HI11" s="26">
        <f t="shared" si="114"/>
        <v>0</v>
      </c>
      <c r="HJ11" s="26">
        <f t="shared" si="114"/>
        <v>483545.6913068117</v>
      </c>
      <c r="HK11" s="26">
        <f t="shared" si="114"/>
        <v>0</v>
      </c>
      <c r="HL11" s="36">
        <f t="shared" si="115"/>
        <v>7758759.9846148314</v>
      </c>
      <c r="HN11" s="35">
        <f t="shared" si="116"/>
        <v>283551.00198977318</v>
      </c>
      <c r="HO11" s="26">
        <f t="shared" si="116"/>
        <v>350170.71112343762</v>
      </c>
      <c r="HP11" s="26">
        <f t="shared" si="116"/>
        <v>168540.98481171156</v>
      </c>
      <c r="HQ11" s="26">
        <f t="shared" si="116"/>
        <v>22691.848921623507</v>
      </c>
      <c r="HR11" s="26">
        <f t="shared" si="116"/>
        <v>209380.94390178367</v>
      </c>
      <c r="HS11" s="26">
        <f t="shared" si="116"/>
        <v>255572.31741957576</v>
      </c>
      <c r="HT11" s="26">
        <f t="shared" si="116"/>
        <v>357388.49056701775</v>
      </c>
      <c r="HU11" s="26">
        <f t="shared" si="116"/>
        <v>169896.14873111207</v>
      </c>
      <c r="HV11" s="26">
        <f t="shared" si="116"/>
        <v>217647.1672031678</v>
      </c>
      <c r="HW11" s="26">
        <f t="shared" si="116"/>
        <v>352677.89669561101</v>
      </c>
      <c r="HX11" s="26">
        <f t="shared" si="116"/>
        <v>1112081.5257102505</v>
      </c>
      <c r="HY11" s="26">
        <f t="shared" si="116"/>
        <v>193331.10740917691</v>
      </c>
      <c r="HZ11" s="26">
        <f t="shared" si="116"/>
        <v>138180.17388040802</v>
      </c>
      <c r="IA11" s="26">
        <f t="shared" si="116"/>
        <v>865042.22411012859</v>
      </c>
      <c r="IB11" s="26">
        <f t="shared" si="116"/>
        <v>1102900.5171562973</v>
      </c>
      <c r="IC11" s="26">
        <f t="shared" si="116"/>
        <v>684205.49435359973</v>
      </c>
      <c r="ID11" s="26">
        <f t="shared" si="116"/>
        <v>85730.223306214539</v>
      </c>
      <c r="IE11" s="26">
        <f t="shared" si="116"/>
        <v>632377.70726604678</v>
      </c>
      <c r="IF11" s="26">
        <f t="shared" si="116"/>
        <v>208383.58133182005</v>
      </c>
      <c r="IG11" s="26">
        <f t="shared" si="116"/>
        <v>248635.53548649864</v>
      </c>
      <c r="IH11" s="26">
        <f t="shared" si="116"/>
        <v>468330.74367918423</v>
      </c>
      <c r="II11" s="26">
        <f t="shared" si="116"/>
        <v>204970.91570218556</v>
      </c>
      <c r="IJ11" s="26">
        <f t="shared" si="116"/>
        <v>296055.52693013381</v>
      </c>
      <c r="IK11" s="26">
        <f t="shared" si="116"/>
        <v>0</v>
      </c>
      <c r="IL11" s="26">
        <f t="shared" si="116"/>
        <v>573157.64739814377</v>
      </c>
      <c r="IM11" s="26">
        <f t="shared" si="116"/>
        <v>0</v>
      </c>
      <c r="IN11" s="36">
        <f t="shared" si="117"/>
        <v>9200900.4350849036</v>
      </c>
      <c r="IP11" s="35">
        <f t="shared" si="118"/>
        <v>230912.70816186676</v>
      </c>
      <c r="IQ11" s="26">
        <f t="shared" si="118"/>
        <v>284896.53685910231</v>
      </c>
      <c r="IR11" s="26">
        <f t="shared" si="118"/>
        <v>137404.95388264151</v>
      </c>
      <c r="IS11" s="26">
        <f t="shared" si="118"/>
        <v>18478.493329866342</v>
      </c>
      <c r="IT11" s="26">
        <f t="shared" si="118"/>
        <v>171042.38363164145</v>
      </c>
      <c r="IU11" s="26">
        <f t="shared" si="118"/>
        <v>207869.81367686862</v>
      </c>
      <c r="IV11" s="26">
        <f t="shared" si="118"/>
        <v>290709.14035052416</v>
      </c>
      <c r="IW11" s="26">
        <f t="shared" si="118"/>
        <v>138061.39644003834</v>
      </c>
      <c r="IX11" s="26">
        <f t="shared" si="118"/>
        <v>177024.59699311695</v>
      </c>
      <c r="IY11" s="26">
        <f t="shared" si="118"/>
        <v>289053.19216421526</v>
      </c>
      <c r="IZ11" s="26">
        <f t="shared" si="118"/>
        <v>904393.84004312614</v>
      </c>
      <c r="JA11" s="26">
        <f t="shared" si="118"/>
        <v>157247.10328981307</v>
      </c>
      <c r="JB11" s="26">
        <f t="shared" si="118"/>
        <v>112312.86161615967</v>
      </c>
      <c r="JC11" s="26">
        <f t="shared" si="118"/>
        <v>704253.52934675431</v>
      </c>
      <c r="JD11" s="26">
        <f t="shared" si="118"/>
        <v>897741.21083266218</v>
      </c>
      <c r="JE11" s="26">
        <f t="shared" si="118"/>
        <v>556568.83564232686</v>
      </c>
      <c r="JF11" s="26">
        <f t="shared" si="118"/>
        <v>69945.36911239638</v>
      </c>
      <c r="JG11" s="26">
        <f t="shared" si="118"/>
        <v>514593.08745857439</v>
      </c>
      <c r="JH11" s="26">
        <f t="shared" si="118"/>
        <v>169477.24400904495</v>
      </c>
      <c r="JI11" s="26">
        <f t="shared" si="118"/>
        <v>202213.00268639222</v>
      </c>
      <c r="JJ11" s="26">
        <f t="shared" si="118"/>
        <v>381191.15467354719</v>
      </c>
      <c r="JK11" s="26">
        <f t="shared" si="118"/>
        <v>166673.42948287149</v>
      </c>
      <c r="JL11" s="26">
        <f t="shared" si="118"/>
        <v>241062.30116902039</v>
      </c>
      <c r="JM11" s="26">
        <f t="shared" si="118"/>
        <v>0</v>
      </c>
      <c r="JN11" s="26">
        <f t="shared" si="118"/>
        <v>465856.24985172471</v>
      </c>
      <c r="JO11" s="26">
        <f t="shared" si="118"/>
        <v>0</v>
      </c>
      <c r="JP11" s="36">
        <f t="shared" si="119"/>
        <v>7488982.4347042963</v>
      </c>
      <c r="JT11" s="26">
        <f t="shared" si="120"/>
        <v>889947.6937198115</v>
      </c>
      <c r="JU11" s="29">
        <f t="shared" si="9"/>
        <v>1</v>
      </c>
    </row>
    <row r="12" spans="1:281" ht="18" x14ac:dyDescent="0.3">
      <c r="A12" s="101" t="s">
        <v>234</v>
      </c>
      <c r="C12" t="s">
        <v>87</v>
      </c>
      <c r="D12" s="101" t="s">
        <v>323</v>
      </c>
      <c r="F12" s="113">
        <f t="shared" si="100"/>
        <v>7133</v>
      </c>
      <c r="G12" s="15">
        <f t="shared" si="101"/>
        <v>9372663</v>
      </c>
      <c r="H12" s="20">
        <f t="shared" si="101"/>
        <v>5474894</v>
      </c>
      <c r="I12" s="23">
        <f t="shared" si="11"/>
        <v>1.7119350621217506</v>
      </c>
      <c r="AK12" s="140">
        <f t="shared" si="102"/>
        <v>91.343596255148697</v>
      </c>
      <c r="AL12" s="141">
        <f t="shared" si="102"/>
        <v>120.56720904119254</v>
      </c>
      <c r="AM12" s="141">
        <f t="shared" si="102"/>
        <v>427.4699072085649</v>
      </c>
      <c r="AN12" s="141">
        <f t="shared" si="102"/>
        <v>61.913051805976011</v>
      </c>
      <c r="AO12" s="141">
        <f t="shared" si="102"/>
        <v>225.89950334603714</v>
      </c>
      <c r="AP12" s="141">
        <f t="shared" si="102"/>
        <v>125.68653297558987</v>
      </c>
      <c r="AQ12" s="141">
        <f t="shared" si="102"/>
        <v>142.85719015324059</v>
      </c>
      <c r="AR12" s="141">
        <f t="shared" si="102"/>
        <v>47.356586339973092</v>
      </c>
      <c r="AS12" s="141">
        <f t="shared" si="102"/>
        <v>126.78779633515633</v>
      </c>
      <c r="AT12" s="141">
        <f t="shared" si="102"/>
        <v>290.57564179823271</v>
      </c>
      <c r="AU12" s="141">
        <f t="shared" si="103"/>
        <v>1209.0006262240811</v>
      </c>
      <c r="AV12" s="141">
        <f t="shared" si="103"/>
        <v>254.36724283100028</v>
      </c>
      <c r="AW12" s="141">
        <f t="shared" si="103"/>
        <v>43.828852971609436</v>
      </c>
      <c r="AX12" s="141">
        <f t="shared" si="103"/>
        <v>1101.6716532937717</v>
      </c>
      <c r="AY12" s="141">
        <f t="shared" si="103"/>
        <v>409.89815154223652</v>
      </c>
      <c r="AZ12" s="141">
        <f t="shared" si="103"/>
        <v>391.89691568868449</v>
      </c>
      <c r="BA12" s="141">
        <f t="shared" si="103"/>
        <v>284.12428321000027</v>
      </c>
      <c r="BB12" s="141">
        <f t="shared" si="103"/>
        <v>403.52296184911336</v>
      </c>
      <c r="BC12" s="141">
        <f t="shared" si="103"/>
        <v>103.8622613115935</v>
      </c>
      <c r="BD12" s="141">
        <f t="shared" si="103"/>
        <v>135.02647365261629</v>
      </c>
      <c r="BE12" s="141">
        <f t="shared" si="104"/>
        <v>315.7919883824996</v>
      </c>
      <c r="BF12" s="141">
        <f t="shared" si="104"/>
        <v>149.50999180638766</v>
      </c>
      <c r="BG12" s="141">
        <f t="shared" si="104"/>
        <v>101.56103409648632</v>
      </c>
      <c r="BH12" s="141">
        <f t="shared" si="104"/>
        <v>0</v>
      </c>
      <c r="BI12" s="141">
        <f t="shared" si="104"/>
        <v>568.48054788080708</v>
      </c>
      <c r="BJ12" s="141">
        <f t="shared" si="104"/>
        <v>0</v>
      </c>
      <c r="BK12" s="128">
        <f t="shared" si="122"/>
        <v>7132.9999999999982</v>
      </c>
      <c r="BM12" s="35">
        <f t="shared" si="106"/>
        <v>137892.36197424913</v>
      </c>
      <c r="BN12" s="26">
        <f t="shared" si="107"/>
        <v>146936.15704689911</v>
      </c>
      <c r="BO12" s="26">
        <f t="shared" si="107"/>
        <v>445899.45615560107</v>
      </c>
      <c r="BP12" s="26">
        <f t="shared" si="107"/>
        <v>79745.740357799659</v>
      </c>
      <c r="BQ12" s="26">
        <f t="shared" si="107"/>
        <v>274627.01570145803</v>
      </c>
      <c r="BR12" s="26">
        <f t="shared" si="107"/>
        <v>169143.72465248813</v>
      </c>
      <c r="BS12" s="26">
        <f t="shared" si="107"/>
        <v>176858.52675497957</v>
      </c>
      <c r="BT12" s="26">
        <f t="shared" si="107"/>
        <v>65176.078934250429</v>
      </c>
      <c r="BU12" s="26">
        <f t="shared" si="107"/>
        <v>159911.50418783561</v>
      </c>
      <c r="BV12" s="26">
        <f t="shared" si="107"/>
        <v>342325.08477474342</v>
      </c>
      <c r="BW12" s="26">
        <f t="shared" si="107"/>
        <v>1782910.1387260586</v>
      </c>
      <c r="BX12" s="26">
        <f t="shared" si="107"/>
        <v>306535.93477828591</v>
      </c>
      <c r="BY12" s="26">
        <f t="shared" si="107"/>
        <v>54662.4544744062</v>
      </c>
      <c r="BZ12" s="26">
        <f t="shared" si="107"/>
        <v>1378258.6871839892</v>
      </c>
      <c r="CA12" s="26">
        <f t="shared" si="107"/>
        <v>519132.56800365564</v>
      </c>
      <c r="CB12" s="26">
        <f t="shared" si="107"/>
        <v>502134.85001301038</v>
      </c>
      <c r="CC12" s="26">
        <f t="shared" si="107"/>
        <v>373435.14283439354</v>
      </c>
      <c r="CD12" s="26">
        <f t="shared" si="107"/>
        <v>519032.14085620636</v>
      </c>
      <c r="CE12" s="26">
        <f t="shared" si="107"/>
        <v>119996.49505059197</v>
      </c>
      <c r="CF12" s="26">
        <f t="shared" si="107"/>
        <v>154623.2114815973</v>
      </c>
      <c r="CG12" s="26">
        <f t="shared" si="107"/>
        <v>388652.14224158874</v>
      </c>
      <c r="CH12" s="26">
        <f t="shared" si="107"/>
        <v>178458.99126036488</v>
      </c>
      <c r="CI12" s="26">
        <f t="shared" si="107"/>
        <v>125517.20249000218</v>
      </c>
      <c r="CJ12" s="26">
        <f t="shared" si="107"/>
        <v>0</v>
      </c>
      <c r="CK12" s="26">
        <f t="shared" si="107"/>
        <v>970797.39006554428</v>
      </c>
      <c r="CL12" s="26">
        <f t="shared" si="107"/>
        <v>0</v>
      </c>
      <c r="CM12" s="36">
        <f t="shared" si="37"/>
        <v>9372663</v>
      </c>
      <c r="CN12" s="42">
        <f t="shared" si="108"/>
        <v>78879.037353380903</v>
      </c>
      <c r="CO12" s="27">
        <f t="shared" si="108"/>
        <v>86671.846216302365</v>
      </c>
      <c r="CP12" s="27">
        <f t="shared" si="108"/>
        <v>279931.93080873037</v>
      </c>
      <c r="CQ12" s="27">
        <f t="shared" si="108"/>
        <v>45839.933442324269</v>
      </c>
      <c r="CR12" s="27">
        <f t="shared" si="108"/>
        <v>162922.45977478236</v>
      </c>
      <c r="CS12" s="27">
        <f t="shared" si="108"/>
        <v>98037.65202837743</v>
      </c>
      <c r="CT12" s="27">
        <f t="shared" si="108"/>
        <v>104371.79353453663</v>
      </c>
      <c r="CU12" s="27">
        <f t="shared" si="108"/>
        <v>38551.141517124102</v>
      </c>
      <c r="CV12" s="27">
        <f t="shared" si="108"/>
        <v>93064.322825181953</v>
      </c>
      <c r="CW12" s="27">
        <f t="shared" si="108"/>
        <v>205547.88447134959</v>
      </c>
      <c r="CX12" s="27">
        <f t="shared" si="108"/>
        <v>1020326.9507537351</v>
      </c>
      <c r="CY12" s="27">
        <f t="shared" si="108"/>
        <v>181699.63706887432</v>
      </c>
      <c r="CZ12" s="27">
        <f t="shared" si="108"/>
        <v>31853.351043234288</v>
      </c>
      <c r="DA12" s="27">
        <f t="shared" si="108"/>
        <v>812832.32316902163</v>
      </c>
      <c r="DB12" s="27">
        <f t="shared" si="108"/>
        <v>303120.35225099383</v>
      </c>
      <c r="DC12" s="27">
        <f t="shared" si="108"/>
        <v>292970.83209799469</v>
      </c>
      <c r="DD12" s="27">
        <f t="shared" si="108"/>
        <v>216623.04535221972</v>
      </c>
      <c r="DE12" s="27">
        <f t="shared" si="108"/>
        <v>302991.23083071801</v>
      </c>
      <c r="DF12" s="27">
        <f t="shared" si="108"/>
        <v>72019.287344462267</v>
      </c>
      <c r="DG12" s="27">
        <f t="shared" si="108"/>
        <v>92525.458887385335</v>
      </c>
      <c r="DH12" s="27">
        <f t="shared" si="108"/>
        <v>230697.05204301715</v>
      </c>
      <c r="DI12" s="27">
        <f t="shared" si="108"/>
        <v>106007.76508817317</v>
      </c>
      <c r="DJ12" s="27">
        <f t="shared" si="108"/>
        <v>74345.11351573329</v>
      </c>
      <c r="DK12" s="27">
        <f t="shared" si="108"/>
        <v>0</v>
      </c>
      <c r="DL12" s="27">
        <f t="shared" si="108"/>
        <v>543063.59858234681</v>
      </c>
      <c r="DM12" s="27">
        <f t="shared" si="108"/>
        <v>0</v>
      </c>
      <c r="DN12" s="44">
        <f t="shared" si="109"/>
        <v>5474893.9999999991</v>
      </c>
      <c r="DO12" s="46">
        <f t="shared" si="110"/>
        <v>59013.324620868232</v>
      </c>
      <c r="DP12" s="47">
        <f t="shared" si="110"/>
        <v>60264.31083059674</v>
      </c>
      <c r="DQ12" s="47">
        <f t="shared" si="110"/>
        <v>165967.52534687071</v>
      </c>
      <c r="DR12" s="47">
        <f t="shared" si="110"/>
        <v>33905.80691547539</v>
      </c>
      <c r="DS12" s="47">
        <f t="shared" si="110"/>
        <v>111704.55592667565</v>
      </c>
      <c r="DT12" s="47">
        <f t="shared" si="110"/>
        <v>71106.072624110704</v>
      </c>
      <c r="DU12" s="47">
        <f t="shared" si="110"/>
        <v>72486.73322044294</v>
      </c>
      <c r="DV12" s="47">
        <f t="shared" si="110"/>
        <v>26624.937417126326</v>
      </c>
      <c r="DW12" s="47">
        <f t="shared" si="110"/>
        <v>66847.18136265366</v>
      </c>
      <c r="DX12" s="47">
        <f t="shared" si="110"/>
        <v>136777.20030339382</v>
      </c>
      <c r="DY12" s="47">
        <f t="shared" si="110"/>
        <v>762583.18797232327</v>
      </c>
      <c r="DZ12" s="47">
        <f t="shared" si="110"/>
        <v>124836.29770941161</v>
      </c>
      <c r="EA12" s="47">
        <f t="shared" si="110"/>
        <v>22809.103431171912</v>
      </c>
      <c r="EB12" s="47">
        <f t="shared" si="110"/>
        <v>565426.36401496758</v>
      </c>
      <c r="EC12" s="47">
        <f t="shared" si="110"/>
        <v>216012.21575266181</v>
      </c>
      <c r="ED12" s="47">
        <f t="shared" si="110"/>
        <v>209164.01791501566</v>
      </c>
      <c r="EE12" s="47">
        <f t="shared" si="110"/>
        <v>156812.09748217382</v>
      </c>
      <c r="EF12" s="47">
        <f t="shared" si="110"/>
        <v>216040.91002548841</v>
      </c>
      <c r="EG12" s="47">
        <f t="shared" si="110"/>
        <v>47977.207706129702</v>
      </c>
      <c r="EH12" s="47">
        <f t="shared" si="110"/>
        <v>62097.752594211968</v>
      </c>
      <c r="EI12" s="47">
        <f t="shared" si="110"/>
        <v>157955.09019857159</v>
      </c>
      <c r="EJ12" s="47">
        <f t="shared" si="110"/>
        <v>72451.226172191731</v>
      </c>
      <c r="EK12" s="47">
        <f t="shared" si="110"/>
        <v>51172.088974268896</v>
      </c>
      <c r="EL12" s="47">
        <f t="shared" si="110"/>
        <v>0</v>
      </c>
      <c r="EM12" s="47">
        <f t="shared" si="110"/>
        <v>427733.79148319754</v>
      </c>
      <c r="EN12" s="47">
        <f t="shared" si="110"/>
        <v>0</v>
      </c>
      <c r="EO12" s="48">
        <f t="shared" si="111"/>
        <v>3897769</v>
      </c>
      <c r="FJ12" s="35">
        <f t="shared" si="112"/>
        <v>20683.837973462709</v>
      </c>
      <c r="FK12" s="26">
        <f t="shared" si="112"/>
        <v>22040.401204125428</v>
      </c>
      <c r="FL12" s="26">
        <f t="shared" si="112"/>
        <v>66884.73521193504</v>
      </c>
      <c r="FM12" s="26">
        <f t="shared" si="112"/>
        <v>11961.856535771578</v>
      </c>
      <c r="FN12" s="26">
        <f t="shared" si="112"/>
        <v>41193.997347660988</v>
      </c>
      <c r="FO12" s="26">
        <f t="shared" si="112"/>
        <v>25371.539449968994</v>
      </c>
      <c r="FP12" s="26">
        <f t="shared" si="112"/>
        <v>26528.750555998311</v>
      </c>
      <c r="FQ12" s="26">
        <f t="shared" si="112"/>
        <v>9776.3999646506636</v>
      </c>
      <c r="FR12" s="26">
        <f t="shared" si="112"/>
        <v>23986.707151510651</v>
      </c>
      <c r="FS12" s="26">
        <f t="shared" si="112"/>
        <v>51348.681881139979</v>
      </c>
      <c r="FT12" s="26">
        <f t="shared" si="112"/>
        <v>267436.34363634407</v>
      </c>
      <c r="FU12" s="26">
        <f t="shared" si="112"/>
        <v>45980.351057298918</v>
      </c>
      <c r="FV12" s="26">
        <f t="shared" si="112"/>
        <v>8199.3622604106258</v>
      </c>
      <c r="FW12" s="26">
        <f t="shared" si="112"/>
        <v>206738.55669756129</v>
      </c>
      <c r="FX12" s="26">
        <f t="shared" si="112"/>
        <v>77869.808293600247</v>
      </c>
      <c r="FY12" s="26">
        <f t="shared" si="112"/>
        <v>75320.155111526648</v>
      </c>
      <c r="FZ12" s="26">
        <f t="shared" si="112"/>
        <v>56015.226067017735</v>
      </c>
      <c r="GA12" s="26">
        <f t="shared" si="112"/>
        <v>77854.747297063237</v>
      </c>
      <c r="GB12" s="26">
        <f t="shared" si="112"/>
        <v>17999.450037244296</v>
      </c>
      <c r="GC12" s="26">
        <f t="shared" si="112"/>
        <v>23193.45540774881</v>
      </c>
      <c r="GD12" s="26">
        <f t="shared" si="112"/>
        <v>58297.745421848282</v>
      </c>
      <c r="GE12" s="26">
        <f t="shared" si="112"/>
        <v>26768.819509288005</v>
      </c>
      <c r="GF12" s="26">
        <f t="shared" si="112"/>
        <v>18827.555292027038</v>
      </c>
      <c r="GG12" s="26">
        <f t="shared" si="112"/>
        <v>0</v>
      </c>
      <c r="GH12" s="26">
        <f t="shared" si="112"/>
        <v>145619.5446190841</v>
      </c>
      <c r="GI12" s="26">
        <f t="shared" si="112"/>
        <v>0</v>
      </c>
      <c r="GJ12" s="36">
        <f t="shared" si="113"/>
        <v>1405898.0279842876</v>
      </c>
      <c r="GL12" s="35">
        <f t="shared" si="114"/>
        <v>41367.708284470325</v>
      </c>
      <c r="GM12" s="26">
        <f t="shared" si="114"/>
        <v>44080.846793781857</v>
      </c>
      <c r="GN12" s="26">
        <f t="shared" si="114"/>
        <v>133769.83435600169</v>
      </c>
      <c r="GO12" s="26">
        <f t="shared" si="114"/>
        <v>23923.721823882646</v>
      </c>
      <c r="GP12" s="26">
        <f t="shared" si="114"/>
        <v>82388.103866188903</v>
      </c>
      <c r="GQ12" s="26">
        <f t="shared" si="114"/>
        <v>50743.117042586484</v>
      </c>
      <c r="GR12" s="26">
        <f t="shared" si="114"/>
        <v>53057.557665751025</v>
      </c>
      <c r="GS12" s="26">
        <f t="shared" si="114"/>
        <v>19552.823625047487</v>
      </c>
      <c r="GT12" s="26">
        <f t="shared" si="114"/>
        <v>47973.450854087023</v>
      </c>
      <c r="GU12" s="26">
        <f t="shared" si="114"/>
        <v>102697.5239431041</v>
      </c>
      <c r="GV12" s="26">
        <f t="shared" si="114"/>
        <v>534873.0386084714</v>
      </c>
      <c r="GW12" s="26">
        <f t="shared" si="114"/>
        <v>91960.780220130531</v>
      </c>
      <c r="GX12" s="26">
        <f t="shared" si="114"/>
        <v>16398.736177772393</v>
      </c>
      <c r="GY12" s="26">
        <f t="shared" si="114"/>
        <v>413477.60150862555</v>
      </c>
      <c r="GZ12" s="26">
        <f t="shared" si="114"/>
        <v>155739.76856276975</v>
      </c>
      <c r="HA12" s="26">
        <f t="shared" si="114"/>
        <v>150640.45367503012</v>
      </c>
      <c r="HB12" s="26">
        <f t="shared" si="114"/>
        <v>112030.54207046005</v>
      </c>
      <c r="HC12" s="26">
        <f t="shared" si="114"/>
        <v>155709.64082146063</v>
      </c>
      <c r="HD12" s="26">
        <f t="shared" si="114"/>
        <v>35998.948184490051</v>
      </c>
      <c r="HE12" s="26">
        <f t="shared" si="114"/>
        <v>46386.963161608146</v>
      </c>
      <c r="HF12" s="26">
        <f t="shared" si="114"/>
        <v>116595.64151354556</v>
      </c>
      <c r="HG12" s="26">
        <f t="shared" si="114"/>
        <v>53537.696990682147</v>
      </c>
      <c r="HH12" s="26">
        <f t="shared" si="114"/>
        <v>37655.160273028589</v>
      </c>
      <c r="HI12" s="26">
        <f t="shared" si="114"/>
        <v>0</v>
      </c>
      <c r="HJ12" s="26">
        <f t="shared" si="114"/>
        <v>291239.21547491505</v>
      </c>
      <c r="HK12" s="26">
        <f t="shared" si="114"/>
        <v>0</v>
      </c>
      <c r="HL12" s="36">
        <f t="shared" si="115"/>
        <v>2811798.875497892</v>
      </c>
      <c r="HN12" s="35">
        <f t="shared" si="116"/>
        <v>41367.727862742409</v>
      </c>
      <c r="HO12" s="26">
        <f t="shared" si="116"/>
        <v>44080.862622437664</v>
      </c>
      <c r="HP12" s="26">
        <f t="shared" si="116"/>
        <v>133770.13846521315</v>
      </c>
      <c r="HQ12" s="26">
        <f t="shared" si="116"/>
        <v>23923.729622906285</v>
      </c>
      <c r="HR12" s="26">
        <f t="shared" si="116"/>
        <v>82388.154993057164</v>
      </c>
      <c r="HS12" s="26">
        <f t="shared" si="116"/>
        <v>50743.13667356909</v>
      </c>
      <c r="HT12" s="26">
        <f t="shared" si="116"/>
        <v>53057.581316491327</v>
      </c>
      <c r="HU12" s="26">
        <f t="shared" si="116"/>
        <v>19552.846975996705</v>
      </c>
      <c r="HV12" s="26">
        <f t="shared" si="116"/>
        <v>47973.456974319772</v>
      </c>
      <c r="HW12" s="26">
        <f t="shared" si="116"/>
        <v>102697.66231400357</v>
      </c>
      <c r="HX12" s="26">
        <f t="shared" si="116"/>
        <v>534873.19414226175</v>
      </c>
      <c r="HY12" s="26">
        <f t="shared" si="116"/>
        <v>91960.81562705843</v>
      </c>
      <c r="HZ12" s="26">
        <f t="shared" si="116"/>
        <v>16398.742070691023</v>
      </c>
      <c r="IA12" s="26">
        <f t="shared" si="116"/>
        <v>413477.9279917042</v>
      </c>
      <c r="IB12" s="26">
        <f t="shared" si="116"/>
        <v>155739.84130908581</v>
      </c>
      <c r="IC12" s="26">
        <f t="shared" si="116"/>
        <v>150640.49354975513</v>
      </c>
      <c r="ID12" s="26">
        <f t="shared" si="116"/>
        <v>112030.55445917389</v>
      </c>
      <c r="IE12" s="26">
        <f t="shared" si="116"/>
        <v>155709.7057918139</v>
      </c>
      <c r="IF12" s="26">
        <f t="shared" si="116"/>
        <v>35998.979472828018</v>
      </c>
      <c r="IG12" s="26">
        <f t="shared" si="116"/>
        <v>46386.986772815566</v>
      </c>
      <c r="IH12" s="26">
        <f t="shared" si="116"/>
        <v>116595.73929619053</v>
      </c>
      <c r="II12" s="26">
        <f t="shared" si="116"/>
        <v>53537.728367969132</v>
      </c>
      <c r="IJ12" s="26">
        <f t="shared" si="116"/>
        <v>37655.195436170325</v>
      </c>
      <c r="IK12" s="26">
        <f t="shared" si="116"/>
        <v>0</v>
      </c>
      <c r="IL12" s="26">
        <f t="shared" si="116"/>
        <v>291239.24556215125</v>
      </c>
      <c r="IM12" s="26">
        <f t="shared" si="116"/>
        <v>0</v>
      </c>
      <c r="IN12" s="36">
        <f t="shared" si="117"/>
        <v>2811800.4476704057</v>
      </c>
      <c r="IP12" s="35">
        <f t="shared" si="118"/>
        <v>34473.087853573677</v>
      </c>
      <c r="IQ12" s="26">
        <f t="shared" si="118"/>
        <v>36734.04642655416</v>
      </c>
      <c r="IR12" s="26">
        <f t="shared" si="118"/>
        <v>111474.74812245116</v>
      </c>
      <c r="IS12" s="26">
        <f t="shared" si="118"/>
        <v>19936.432375239139</v>
      </c>
      <c r="IT12" s="26">
        <f t="shared" si="118"/>
        <v>68656.759494550948</v>
      </c>
      <c r="IU12" s="26">
        <f t="shared" si="118"/>
        <v>42285.931486363581</v>
      </c>
      <c r="IV12" s="26">
        <f t="shared" si="118"/>
        <v>44214.637216738927</v>
      </c>
      <c r="IW12" s="26">
        <f t="shared" si="118"/>
        <v>16294.008368555575</v>
      </c>
      <c r="IX12" s="26">
        <f t="shared" si="118"/>
        <v>39977.889207918175</v>
      </c>
      <c r="IY12" s="26">
        <f t="shared" si="118"/>
        <v>85581.21663649581</v>
      </c>
      <c r="IZ12" s="26">
        <f t="shared" si="118"/>
        <v>445727.56233898114</v>
      </c>
      <c r="JA12" s="26">
        <f t="shared" si="118"/>
        <v>76633.987873798076</v>
      </c>
      <c r="JB12" s="26">
        <f t="shared" si="118"/>
        <v>13665.613965532157</v>
      </c>
      <c r="JC12" s="26">
        <f t="shared" si="118"/>
        <v>344564.60098609817</v>
      </c>
      <c r="JD12" s="26">
        <f t="shared" si="118"/>
        <v>129783.14983819984</v>
      </c>
      <c r="JE12" s="26">
        <f t="shared" si="118"/>
        <v>125533.74767669846</v>
      </c>
      <c r="JF12" s="26">
        <f t="shared" si="118"/>
        <v>93358.820237741893</v>
      </c>
      <c r="JG12" s="26">
        <f t="shared" si="118"/>
        <v>129758.0469458686</v>
      </c>
      <c r="JH12" s="26">
        <f t="shared" si="118"/>
        <v>29999.117356029597</v>
      </c>
      <c r="JI12" s="26">
        <f t="shared" si="118"/>
        <v>38655.806139424785</v>
      </c>
      <c r="JJ12" s="26">
        <f t="shared" si="118"/>
        <v>97163.016010004343</v>
      </c>
      <c r="JK12" s="26">
        <f t="shared" si="118"/>
        <v>44614.746392425601</v>
      </c>
      <c r="JL12" s="26">
        <f t="shared" si="118"/>
        <v>31379.291488776231</v>
      </c>
      <c r="JM12" s="26">
        <f t="shared" si="118"/>
        <v>0</v>
      </c>
      <c r="JN12" s="26">
        <f t="shared" si="118"/>
        <v>242699.38440939397</v>
      </c>
      <c r="JO12" s="26">
        <f t="shared" si="118"/>
        <v>0</v>
      </c>
      <c r="JP12" s="36">
        <f t="shared" si="119"/>
        <v>2343165.6488474142</v>
      </c>
      <c r="JT12" s="26">
        <f t="shared" si="120"/>
        <v>137892.36197424913</v>
      </c>
      <c r="JU12" s="29">
        <f t="shared" si="9"/>
        <v>1</v>
      </c>
    </row>
    <row r="13" spans="1:281" ht="18" x14ac:dyDescent="0.3">
      <c r="A13" s="101" t="s">
        <v>69</v>
      </c>
      <c r="C13" t="s">
        <v>322</v>
      </c>
      <c r="D13" s="101" t="s">
        <v>323</v>
      </c>
      <c r="F13" s="113">
        <f t="shared" si="100"/>
        <v>6500</v>
      </c>
      <c r="G13" s="15">
        <f t="shared" si="101"/>
        <v>2684781.9711956782</v>
      </c>
      <c r="H13" s="20">
        <f t="shared" si="101"/>
        <v>1761640.2708021139</v>
      </c>
      <c r="I13" s="23">
        <f t="shared" si="11"/>
        <v>1.5240239540920788</v>
      </c>
      <c r="AK13" s="140">
        <f t="shared" si="102"/>
        <v>0</v>
      </c>
      <c r="AL13" s="141">
        <f t="shared" si="102"/>
        <v>21.644529315214317</v>
      </c>
      <c r="AM13" s="141">
        <f t="shared" si="102"/>
        <v>0</v>
      </c>
      <c r="AN13" s="141">
        <f t="shared" si="102"/>
        <v>0</v>
      </c>
      <c r="AO13" s="141">
        <f t="shared" si="102"/>
        <v>0</v>
      </c>
      <c r="AP13" s="141">
        <f t="shared" si="102"/>
        <v>130.90055509542833</v>
      </c>
      <c r="AQ13" s="141">
        <f t="shared" si="102"/>
        <v>0</v>
      </c>
      <c r="AR13" s="141">
        <f t="shared" si="102"/>
        <v>46.828617935751623</v>
      </c>
      <c r="AS13" s="141">
        <f t="shared" si="102"/>
        <v>0</v>
      </c>
      <c r="AT13" s="141">
        <f t="shared" si="102"/>
        <v>0</v>
      </c>
      <c r="AU13" s="141">
        <f t="shared" si="103"/>
        <v>0</v>
      </c>
      <c r="AV13" s="141">
        <f t="shared" si="103"/>
        <v>0</v>
      </c>
      <c r="AW13" s="141">
        <f t="shared" si="103"/>
        <v>0</v>
      </c>
      <c r="AX13" s="141">
        <f t="shared" si="103"/>
        <v>405.63337335014791</v>
      </c>
      <c r="AY13" s="141">
        <f t="shared" si="103"/>
        <v>0</v>
      </c>
      <c r="AZ13" s="141">
        <f t="shared" si="103"/>
        <v>108.22264657607158</v>
      </c>
      <c r="BA13" s="141">
        <f t="shared" si="103"/>
        <v>32.466793972821471</v>
      </c>
      <c r="BB13" s="141">
        <f t="shared" si="103"/>
        <v>86.578117260857269</v>
      </c>
      <c r="BC13" s="141">
        <f t="shared" si="103"/>
        <v>0</v>
      </c>
      <c r="BD13" s="141">
        <f t="shared" si="103"/>
        <v>0</v>
      </c>
      <c r="BE13" s="141">
        <f t="shared" si="104"/>
        <v>64.933587945642941</v>
      </c>
      <c r="BF13" s="141">
        <f t="shared" si="104"/>
        <v>0</v>
      </c>
      <c r="BG13" s="141">
        <f t="shared" si="104"/>
        <v>455.59817626166455</v>
      </c>
      <c r="BH13" s="141">
        <f t="shared" si="104"/>
        <v>0</v>
      </c>
      <c r="BI13" s="141">
        <f t="shared" si="104"/>
        <v>0</v>
      </c>
      <c r="BJ13" s="141">
        <f t="shared" si="104"/>
        <v>5147.1936022864011</v>
      </c>
      <c r="BK13" s="128">
        <f t="shared" ref="BK13:BK14" si="123">SUM(AK13:BJ13)</f>
        <v>6500.0000000000009</v>
      </c>
      <c r="BM13" s="35">
        <f t="shared" si="106"/>
        <v>0</v>
      </c>
      <c r="BN13" s="26">
        <f t="shared" si="107"/>
        <v>8940.1295508467283</v>
      </c>
      <c r="BO13" s="26">
        <f t="shared" si="107"/>
        <v>0</v>
      </c>
      <c r="BP13" s="26">
        <f t="shared" si="107"/>
        <v>0</v>
      </c>
      <c r="BQ13" s="26">
        <f t="shared" si="107"/>
        <v>0</v>
      </c>
      <c r="BR13" s="26">
        <f t="shared" si="107"/>
        <v>54067.607744571171</v>
      </c>
      <c r="BS13" s="26">
        <f t="shared" si="107"/>
        <v>0</v>
      </c>
      <c r="BT13" s="26">
        <f t="shared" si="107"/>
        <v>19342.250641525625</v>
      </c>
      <c r="BU13" s="26">
        <f t="shared" si="107"/>
        <v>0</v>
      </c>
      <c r="BV13" s="26">
        <f t="shared" si="107"/>
        <v>0</v>
      </c>
      <c r="BW13" s="26">
        <f t="shared" si="107"/>
        <v>0</v>
      </c>
      <c r="BX13" s="26">
        <f t="shared" si="107"/>
        <v>0</v>
      </c>
      <c r="BY13" s="26">
        <f t="shared" si="107"/>
        <v>0</v>
      </c>
      <c r="BZ13" s="26">
        <f t="shared" si="107"/>
        <v>167544.17964396349</v>
      </c>
      <c r="CA13" s="26">
        <f t="shared" si="107"/>
        <v>0</v>
      </c>
      <c r="CB13" s="26">
        <f t="shared" si="107"/>
        <v>44700.647754233643</v>
      </c>
      <c r="CC13" s="26">
        <f t="shared" si="107"/>
        <v>13410.19432627009</v>
      </c>
      <c r="CD13" s="26">
        <f t="shared" si="107"/>
        <v>35760.518203386913</v>
      </c>
      <c r="CE13" s="26">
        <f t="shared" si="107"/>
        <v>0</v>
      </c>
      <c r="CF13" s="26">
        <f t="shared" si="107"/>
        <v>0</v>
      </c>
      <c r="CG13" s="26">
        <f t="shared" si="107"/>
        <v>26820.388652540179</v>
      </c>
      <c r="CH13" s="26">
        <f t="shared" si="107"/>
        <v>0</v>
      </c>
      <c r="CI13" s="26">
        <f t="shared" si="107"/>
        <v>188181.81072876122</v>
      </c>
      <c r="CJ13" s="26">
        <f t="shared" si="107"/>
        <v>0</v>
      </c>
      <c r="CK13" s="26">
        <f t="shared" si="107"/>
        <v>0</v>
      </c>
      <c r="CL13" s="26">
        <f t="shared" si="107"/>
        <v>2126014.2439495791</v>
      </c>
      <c r="CM13" s="36">
        <f t="shared" si="37"/>
        <v>2684781.9711956782</v>
      </c>
      <c r="CN13" s="42">
        <f t="shared" si="108"/>
        <v>0</v>
      </c>
      <c r="CO13" s="27">
        <f t="shared" si="108"/>
        <v>5866.134536036684</v>
      </c>
      <c r="CP13" s="27">
        <f t="shared" si="108"/>
        <v>0</v>
      </c>
      <c r="CQ13" s="27">
        <f t="shared" si="108"/>
        <v>0</v>
      </c>
      <c r="CR13" s="27">
        <f t="shared" si="108"/>
        <v>0</v>
      </c>
      <c r="CS13" s="27">
        <f t="shared" si="108"/>
        <v>35476.875280993459</v>
      </c>
      <c r="CT13" s="27">
        <f t="shared" si="108"/>
        <v>0</v>
      </c>
      <c r="CU13" s="27">
        <f t="shared" si="108"/>
        <v>12691.566027942497</v>
      </c>
      <c r="CV13" s="27">
        <f t="shared" si="108"/>
        <v>0</v>
      </c>
      <c r="CW13" s="27">
        <f t="shared" si="108"/>
        <v>0</v>
      </c>
      <c r="CX13" s="27">
        <f t="shared" si="108"/>
        <v>0</v>
      </c>
      <c r="CY13" s="27">
        <f t="shared" si="108"/>
        <v>0</v>
      </c>
      <c r="CZ13" s="27">
        <f t="shared" si="108"/>
        <v>0</v>
      </c>
      <c r="DA13" s="27">
        <f t="shared" si="108"/>
        <v>109935.39779614301</v>
      </c>
      <c r="DB13" s="27">
        <f t="shared" si="108"/>
        <v>0</v>
      </c>
      <c r="DC13" s="27">
        <f t="shared" si="108"/>
        <v>29330.672680183412</v>
      </c>
      <c r="DD13" s="27">
        <f t="shared" si="108"/>
        <v>8799.2018040550247</v>
      </c>
      <c r="DE13" s="27">
        <f t="shared" si="108"/>
        <v>23464.538144146736</v>
      </c>
      <c r="DF13" s="27">
        <f t="shared" si="108"/>
        <v>0</v>
      </c>
      <c r="DG13" s="27">
        <f t="shared" si="108"/>
        <v>0</v>
      </c>
      <c r="DH13" s="27">
        <f t="shared" si="108"/>
        <v>17598.403608110049</v>
      </c>
      <c r="DI13" s="27">
        <f t="shared" si="108"/>
        <v>0</v>
      </c>
      <c r="DJ13" s="27">
        <f t="shared" si="108"/>
        <v>123476.93763177663</v>
      </c>
      <c r="DK13" s="27">
        <f t="shared" si="108"/>
        <v>0</v>
      </c>
      <c r="DL13" s="27">
        <f t="shared" si="108"/>
        <v>0</v>
      </c>
      <c r="DM13" s="27">
        <f t="shared" si="108"/>
        <v>1395000.5432927264</v>
      </c>
      <c r="DN13" s="44">
        <f t="shared" si="109"/>
        <v>1761640.2708021139</v>
      </c>
      <c r="DO13" s="46">
        <f t="shared" si="110"/>
        <v>0</v>
      </c>
      <c r="DP13" s="47">
        <f t="shared" si="110"/>
        <v>3073.9950148100447</v>
      </c>
      <c r="DQ13" s="47">
        <f t="shared" si="110"/>
        <v>0</v>
      </c>
      <c r="DR13" s="47">
        <f t="shared" si="110"/>
        <v>0</v>
      </c>
      <c r="DS13" s="47">
        <f t="shared" si="110"/>
        <v>0</v>
      </c>
      <c r="DT13" s="47">
        <f t="shared" si="110"/>
        <v>18590.732463577722</v>
      </c>
      <c r="DU13" s="47">
        <f t="shared" si="110"/>
        <v>0</v>
      </c>
      <c r="DV13" s="47">
        <f t="shared" si="110"/>
        <v>6650.6846135831265</v>
      </c>
      <c r="DW13" s="47">
        <f t="shared" si="110"/>
        <v>0</v>
      </c>
      <c r="DX13" s="47">
        <f t="shared" si="110"/>
        <v>0</v>
      </c>
      <c r="DY13" s="47">
        <f t="shared" si="110"/>
        <v>0</v>
      </c>
      <c r="DZ13" s="47">
        <f t="shared" si="110"/>
        <v>0</v>
      </c>
      <c r="EA13" s="47">
        <f t="shared" si="110"/>
        <v>0</v>
      </c>
      <c r="EB13" s="47">
        <f t="shared" si="110"/>
        <v>57608.781847820472</v>
      </c>
      <c r="EC13" s="47">
        <f t="shared" si="110"/>
        <v>0</v>
      </c>
      <c r="ED13" s="47">
        <f t="shared" si="110"/>
        <v>15369.975074050224</v>
      </c>
      <c r="EE13" s="47">
        <f t="shared" si="110"/>
        <v>4610.9925222150678</v>
      </c>
      <c r="EF13" s="47">
        <f t="shared" si="110"/>
        <v>12295.980059240179</v>
      </c>
      <c r="EG13" s="47">
        <f t="shared" si="110"/>
        <v>0</v>
      </c>
      <c r="EH13" s="47">
        <f t="shared" si="110"/>
        <v>0</v>
      </c>
      <c r="EI13" s="47">
        <f t="shared" si="110"/>
        <v>9221.9850444301355</v>
      </c>
      <c r="EJ13" s="47">
        <f t="shared" si="110"/>
        <v>0</v>
      </c>
      <c r="EK13" s="47">
        <f t="shared" si="110"/>
        <v>64704.873096984593</v>
      </c>
      <c r="EL13" s="47">
        <f t="shared" si="110"/>
        <v>0</v>
      </c>
      <c r="EM13" s="47">
        <f t="shared" si="110"/>
        <v>0</v>
      </c>
      <c r="EN13" s="47">
        <f t="shared" si="110"/>
        <v>731013.7006568528</v>
      </c>
      <c r="EO13" s="48">
        <f t="shared" si="111"/>
        <v>923141.7003935643</v>
      </c>
      <c r="FJ13" s="35">
        <f t="shared" si="112"/>
        <v>0</v>
      </c>
      <c r="FK13" s="26">
        <f t="shared" si="112"/>
        <v>1406.7363181064543</v>
      </c>
      <c r="FL13" s="26">
        <f t="shared" si="112"/>
        <v>0</v>
      </c>
      <c r="FM13" s="26">
        <f t="shared" si="112"/>
        <v>0</v>
      </c>
      <c r="FN13" s="26">
        <f t="shared" si="112"/>
        <v>0</v>
      </c>
      <c r="FO13" s="26">
        <f t="shared" si="112"/>
        <v>8507.5800093096495</v>
      </c>
      <c r="FP13" s="26">
        <f t="shared" si="112"/>
        <v>0</v>
      </c>
      <c r="FQ13" s="26">
        <f t="shared" si="112"/>
        <v>3043.5181388143233</v>
      </c>
      <c r="FR13" s="26">
        <f t="shared" si="112"/>
        <v>0</v>
      </c>
      <c r="FS13" s="26">
        <f t="shared" si="112"/>
        <v>0</v>
      </c>
      <c r="FT13" s="26">
        <f t="shared" si="112"/>
        <v>0</v>
      </c>
      <c r="FU13" s="26">
        <f t="shared" si="112"/>
        <v>0</v>
      </c>
      <c r="FV13" s="26">
        <f t="shared" si="112"/>
        <v>0</v>
      </c>
      <c r="FW13" s="26">
        <f t="shared" si="112"/>
        <v>26363.206601429294</v>
      </c>
      <c r="FX13" s="26">
        <f t="shared" si="112"/>
        <v>0</v>
      </c>
      <c r="FY13" s="26">
        <f t="shared" si="112"/>
        <v>7033.6815905322728</v>
      </c>
      <c r="FZ13" s="26">
        <f t="shared" si="112"/>
        <v>2110.1044771596817</v>
      </c>
      <c r="GA13" s="26">
        <f t="shared" si="112"/>
        <v>5626.9452724258172</v>
      </c>
      <c r="GB13" s="26">
        <f t="shared" si="112"/>
        <v>0</v>
      </c>
      <c r="GC13" s="26">
        <f t="shared" si="112"/>
        <v>0</v>
      </c>
      <c r="GD13" s="26">
        <f t="shared" si="112"/>
        <v>4220.2089543193633</v>
      </c>
      <c r="GE13" s="26">
        <f t="shared" si="112"/>
        <v>0</v>
      </c>
      <c r="GF13" s="26">
        <f t="shared" si="112"/>
        <v>29610.553857590487</v>
      </c>
      <c r="GG13" s="26">
        <f t="shared" si="112"/>
        <v>0</v>
      </c>
      <c r="GH13" s="26">
        <f t="shared" si="112"/>
        <v>0</v>
      </c>
      <c r="GI13" s="26">
        <f t="shared" si="112"/>
        <v>334529.99005951238</v>
      </c>
      <c r="GJ13" s="36">
        <f t="shared" si="113"/>
        <v>422452.5252791997</v>
      </c>
      <c r="GL13" s="35">
        <f t="shared" si="114"/>
        <v>0</v>
      </c>
      <c r="GM13" s="26">
        <f t="shared" si="114"/>
        <v>3136.7195601991598</v>
      </c>
      <c r="GN13" s="26">
        <f t="shared" si="114"/>
        <v>0</v>
      </c>
      <c r="GO13" s="26">
        <f t="shared" si="114"/>
        <v>0</v>
      </c>
      <c r="GP13" s="26">
        <f t="shared" si="114"/>
        <v>0</v>
      </c>
      <c r="GQ13" s="26">
        <f t="shared" si="114"/>
        <v>18970.074406752807</v>
      </c>
      <c r="GR13" s="26">
        <f t="shared" si="114"/>
        <v>0</v>
      </c>
      <c r="GS13" s="26">
        <f t="shared" si="114"/>
        <v>6786.3911345447941</v>
      </c>
      <c r="GT13" s="26">
        <f t="shared" si="114"/>
        <v>0</v>
      </c>
      <c r="GU13" s="26">
        <f t="shared" si="114"/>
        <v>0</v>
      </c>
      <c r="GV13" s="26">
        <f t="shared" si="114"/>
        <v>0</v>
      </c>
      <c r="GW13" s="26">
        <f t="shared" si="114"/>
        <v>0</v>
      </c>
      <c r="GX13" s="26">
        <f t="shared" si="114"/>
        <v>0</v>
      </c>
      <c r="GY13" s="26">
        <f t="shared" si="114"/>
        <v>58784.282990280357</v>
      </c>
      <c r="GZ13" s="26">
        <f t="shared" si="114"/>
        <v>0</v>
      </c>
      <c r="HA13" s="26">
        <f t="shared" si="114"/>
        <v>15683.597800995796</v>
      </c>
      <c r="HB13" s="26">
        <f t="shared" si="114"/>
        <v>4705.0793402987392</v>
      </c>
      <c r="HC13" s="26">
        <f t="shared" si="114"/>
        <v>12546.878240796639</v>
      </c>
      <c r="HD13" s="26">
        <f t="shared" si="114"/>
        <v>0</v>
      </c>
      <c r="HE13" s="26">
        <f t="shared" si="114"/>
        <v>0</v>
      </c>
      <c r="HF13" s="26">
        <f t="shared" si="114"/>
        <v>9410.1586805974785</v>
      </c>
      <c r="HG13" s="26">
        <f t="shared" si="114"/>
        <v>0</v>
      </c>
      <c r="HH13" s="26">
        <f t="shared" si="114"/>
        <v>66025.169236020301</v>
      </c>
      <c r="HI13" s="26">
        <f t="shared" si="114"/>
        <v>0</v>
      </c>
      <c r="HJ13" s="26">
        <f t="shared" si="114"/>
        <v>0</v>
      </c>
      <c r="HK13" s="26">
        <f t="shared" si="114"/>
        <v>745929.95843411167</v>
      </c>
      <c r="HL13" s="36">
        <f t="shared" si="115"/>
        <v>941978.30982459779</v>
      </c>
      <c r="HN13" s="35">
        <f t="shared" si="116"/>
        <v>0</v>
      </c>
      <c r="HO13" s="26">
        <f t="shared" si="116"/>
        <v>2597.9743549504492</v>
      </c>
      <c r="HP13" s="26">
        <f t="shared" si="116"/>
        <v>0</v>
      </c>
      <c r="HQ13" s="26">
        <f t="shared" si="116"/>
        <v>0</v>
      </c>
      <c r="HR13" s="26">
        <f t="shared" si="116"/>
        <v>0</v>
      </c>
      <c r="HS13" s="26">
        <f t="shared" si="116"/>
        <v>15711.881752386073</v>
      </c>
      <c r="HT13" s="26">
        <f t="shared" si="116"/>
        <v>0</v>
      </c>
      <c r="HU13" s="26">
        <f t="shared" si="116"/>
        <v>5620.7989881923077</v>
      </c>
      <c r="HV13" s="26">
        <f t="shared" si="116"/>
        <v>0</v>
      </c>
      <c r="HW13" s="26">
        <f t="shared" si="116"/>
        <v>0</v>
      </c>
      <c r="HX13" s="26">
        <f t="shared" si="116"/>
        <v>0</v>
      </c>
      <c r="HY13" s="26">
        <f t="shared" si="116"/>
        <v>0</v>
      </c>
      <c r="HZ13" s="26">
        <f t="shared" si="116"/>
        <v>0</v>
      </c>
      <c r="IA13" s="26">
        <f t="shared" si="116"/>
        <v>48687.827123825387</v>
      </c>
      <c r="IB13" s="26">
        <f t="shared" si="116"/>
        <v>0</v>
      </c>
      <c r="IC13" s="26">
        <f t="shared" si="116"/>
        <v>12989.871774752246</v>
      </c>
      <c r="ID13" s="26">
        <f t="shared" si="116"/>
        <v>3896.9615324256733</v>
      </c>
      <c r="IE13" s="26">
        <f t="shared" si="116"/>
        <v>10391.897419801797</v>
      </c>
      <c r="IF13" s="26">
        <f t="shared" si="116"/>
        <v>0</v>
      </c>
      <c r="IG13" s="26">
        <f t="shared" si="116"/>
        <v>0</v>
      </c>
      <c r="IH13" s="26">
        <f t="shared" si="116"/>
        <v>7793.9230648513467</v>
      </c>
      <c r="II13" s="26">
        <f t="shared" si="116"/>
        <v>0</v>
      </c>
      <c r="IJ13" s="26">
        <f t="shared" si="116"/>
        <v>54685.059714280942</v>
      </c>
      <c r="IK13" s="26">
        <f t="shared" si="116"/>
        <v>0</v>
      </c>
      <c r="IL13" s="26">
        <f t="shared" si="116"/>
        <v>0</v>
      </c>
      <c r="IM13" s="26">
        <f t="shared" si="116"/>
        <v>617813.24897213094</v>
      </c>
      <c r="IN13" s="36">
        <f t="shared" si="117"/>
        <v>780189.44469759718</v>
      </c>
      <c r="IP13" s="35">
        <f t="shared" si="118"/>
        <v>0</v>
      </c>
      <c r="IQ13" s="26">
        <f t="shared" si="118"/>
        <v>1798.699317590665</v>
      </c>
      <c r="IR13" s="26">
        <f t="shared" si="118"/>
        <v>0</v>
      </c>
      <c r="IS13" s="26">
        <f t="shared" si="118"/>
        <v>0</v>
      </c>
      <c r="IT13" s="26">
        <f t="shared" si="118"/>
        <v>0</v>
      </c>
      <c r="IU13" s="26">
        <f t="shared" si="118"/>
        <v>10878.071576122647</v>
      </c>
      <c r="IV13" s="26">
        <f t="shared" si="118"/>
        <v>0</v>
      </c>
      <c r="IW13" s="26">
        <f t="shared" si="118"/>
        <v>3891.5423799741989</v>
      </c>
      <c r="IX13" s="26">
        <f t="shared" si="118"/>
        <v>0</v>
      </c>
      <c r="IY13" s="26">
        <f t="shared" si="118"/>
        <v>0</v>
      </c>
      <c r="IZ13" s="26">
        <f t="shared" si="118"/>
        <v>0</v>
      </c>
      <c r="JA13" s="26">
        <f t="shared" si="118"/>
        <v>0</v>
      </c>
      <c r="JB13" s="26">
        <f t="shared" si="118"/>
        <v>0</v>
      </c>
      <c r="JC13" s="26">
        <f t="shared" si="118"/>
        <v>33708.86292842844</v>
      </c>
      <c r="JD13" s="26">
        <f t="shared" si="118"/>
        <v>0</v>
      </c>
      <c r="JE13" s="26">
        <f t="shared" si="118"/>
        <v>8993.4965879533265</v>
      </c>
      <c r="JF13" s="26">
        <f t="shared" si="118"/>
        <v>2698.0489763859978</v>
      </c>
      <c r="JG13" s="26">
        <f t="shared" si="118"/>
        <v>7194.7972703626601</v>
      </c>
      <c r="JH13" s="26">
        <f t="shared" si="118"/>
        <v>0</v>
      </c>
      <c r="JI13" s="26">
        <f t="shared" si="118"/>
        <v>0</v>
      </c>
      <c r="JJ13" s="26">
        <f t="shared" si="118"/>
        <v>5396.0979527719956</v>
      </c>
      <c r="JK13" s="26">
        <f t="shared" si="118"/>
        <v>0</v>
      </c>
      <c r="JL13" s="26">
        <f t="shared" si="118"/>
        <v>37861.027920869506</v>
      </c>
      <c r="JM13" s="26">
        <f t="shared" si="118"/>
        <v>0</v>
      </c>
      <c r="JN13" s="26">
        <f t="shared" si="118"/>
        <v>0</v>
      </c>
      <c r="JO13" s="26">
        <f t="shared" si="118"/>
        <v>427741.04648382432</v>
      </c>
      <c r="JP13" s="36">
        <f t="shared" si="119"/>
        <v>540161.69139428379</v>
      </c>
      <c r="JT13" s="26">
        <f t="shared" si="120"/>
        <v>0</v>
      </c>
      <c r="JU13" s="29">
        <f t="shared" si="9"/>
        <v>0</v>
      </c>
    </row>
    <row r="14" spans="1:281" ht="18" x14ac:dyDescent="0.3">
      <c r="A14" s="101" t="s">
        <v>12</v>
      </c>
      <c r="C14" t="s">
        <v>322</v>
      </c>
      <c r="D14" s="101" t="s">
        <v>323</v>
      </c>
      <c r="F14" s="113">
        <f t="shared" si="100"/>
        <v>100</v>
      </c>
      <c r="G14" s="15">
        <f t="shared" si="101"/>
        <v>102226</v>
      </c>
      <c r="H14" s="20">
        <f t="shared" si="101"/>
        <v>68151</v>
      </c>
      <c r="I14" s="23">
        <f t="shared" si="11"/>
        <v>1.4999926633505012</v>
      </c>
      <c r="AK14" s="140">
        <f t="shared" si="102"/>
        <v>2.3782025992521376</v>
      </c>
      <c r="AL14" s="141">
        <f t="shared" si="102"/>
        <v>0</v>
      </c>
      <c r="AM14" s="141">
        <f t="shared" si="102"/>
        <v>0</v>
      </c>
      <c r="AN14" s="141">
        <f t="shared" si="102"/>
        <v>0</v>
      </c>
      <c r="AO14" s="141">
        <f t="shared" si="102"/>
        <v>0</v>
      </c>
      <c r="AP14" s="141">
        <f t="shared" si="102"/>
        <v>18.299040359183792</v>
      </c>
      <c r="AQ14" s="141">
        <f t="shared" si="102"/>
        <v>1.0494290365582073</v>
      </c>
      <c r="AR14" s="141">
        <f t="shared" si="102"/>
        <v>0</v>
      </c>
      <c r="AS14" s="141">
        <f t="shared" si="102"/>
        <v>1.2194007339393844</v>
      </c>
      <c r="AT14" s="141">
        <f t="shared" si="102"/>
        <v>0</v>
      </c>
      <c r="AU14" s="141">
        <f t="shared" si="103"/>
        <v>0</v>
      </c>
      <c r="AV14" s="141">
        <f t="shared" si="103"/>
        <v>0</v>
      </c>
      <c r="AW14" s="141">
        <f t="shared" si="103"/>
        <v>0</v>
      </c>
      <c r="AX14" s="141">
        <f t="shared" si="103"/>
        <v>15.102655957040611</v>
      </c>
      <c r="AY14" s="141">
        <f t="shared" si="103"/>
        <v>1.2194007339393844</v>
      </c>
      <c r="AZ14" s="141">
        <f t="shared" si="103"/>
        <v>4.8776029357575377</v>
      </c>
      <c r="BA14" s="141">
        <f t="shared" si="103"/>
        <v>1.2194007339393844</v>
      </c>
      <c r="BB14" s="141">
        <f t="shared" si="103"/>
        <v>2.4388014678787688</v>
      </c>
      <c r="BC14" s="141">
        <f t="shared" si="103"/>
        <v>0</v>
      </c>
      <c r="BD14" s="141">
        <f t="shared" si="103"/>
        <v>0</v>
      </c>
      <c r="BE14" s="141">
        <f t="shared" si="104"/>
        <v>28.083348467851511</v>
      </c>
      <c r="BF14" s="141">
        <f t="shared" si="104"/>
        <v>1.5149717156657776</v>
      </c>
      <c r="BG14" s="141">
        <f t="shared" si="104"/>
        <v>22.597745258993495</v>
      </c>
      <c r="BH14" s="141">
        <f t="shared" si="104"/>
        <v>0</v>
      </c>
      <c r="BI14" s="141">
        <f t="shared" si="104"/>
        <v>0</v>
      </c>
      <c r="BJ14" s="141">
        <f t="shared" si="104"/>
        <v>0</v>
      </c>
      <c r="BK14" s="128">
        <f t="shared" si="123"/>
        <v>100</v>
      </c>
      <c r="BM14" s="35">
        <f t="shared" si="106"/>
        <v>2431.1413891114903</v>
      </c>
      <c r="BN14" s="26">
        <f t="shared" si="107"/>
        <v>0</v>
      </c>
      <c r="BO14" s="26">
        <f t="shared" si="107"/>
        <v>0</v>
      </c>
      <c r="BP14" s="26">
        <f t="shared" si="107"/>
        <v>0</v>
      </c>
      <c r="BQ14" s="26">
        <f t="shared" si="107"/>
        <v>0</v>
      </c>
      <c r="BR14" s="26">
        <f t="shared" si="107"/>
        <v>18706.376997579224</v>
      </c>
      <c r="BS14" s="26">
        <f t="shared" si="107"/>
        <v>1072.7893269119929</v>
      </c>
      <c r="BT14" s="26">
        <f t="shared" si="107"/>
        <v>0</v>
      </c>
      <c r="BU14" s="26">
        <f t="shared" si="107"/>
        <v>1246.5445942768752</v>
      </c>
      <c r="BV14" s="26">
        <f t="shared" si="107"/>
        <v>0</v>
      </c>
      <c r="BW14" s="26">
        <f t="shared" si="107"/>
        <v>0</v>
      </c>
      <c r="BX14" s="26">
        <f t="shared" si="107"/>
        <v>0</v>
      </c>
      <c r="BY14" s="26">
        <f t="shared" si="107"/>
        <v>0</v>
      </c>
      <c r="BZ14" s="26">
        <f t="shared" si="107"/>
        <v>15438.841078644336</v>
      </c>
      <c r="CA14" s="26">
        <f t="shared" si="107"/>
        <v>1246.5445942768752</v>
      </c>
      <c r="CB14" s="26">
        <f t="shared" si="107"/>
        <v>4986.1783771075006</v>
      </c>
      <c r="CC14" s="26">
        <f t="shared" si="107"/>
        <v>1246.5445942768752</v>
      </c>
      <c r="CD14" s="26">
        <f t="shared" si="107"/>
        <v>2493.0891885537503</v>
      </c>
      <c r="CE14" s="26">
        <f t="shared" si="107"/>
        <v>0</v>
      </c>
      <c r="CF14" s="26">
        <f t="shared" si="107"/>
        <v>0</v>
      </c>
      <c r="CG14" s="26">
        <f t="shared" si="107"/>
        <v>28708.483804745883</v>
      </c>
      <c r="CH14" s="26">
        <f t="shared" si="107"/>
        <v>1548.6949860564978</v>
      </c>
      <c r="CI14" s="26">
        <f t="shared" si="107"/>
        <v>23100.771068458693</v>
      </c>
      <c r="CJ14" s="26">
        <f t="shared" si="107"/>
        <v>0</v>
      </c>
      <c r="CK14" s="26">
        <f t="shared" si="107"/>
        <v>0</v>
      </c>
      <c r="CL14" s="26">
        <f t="shared" si="107"/>
        <v>0</v>
      </c>
      <c r="CM14" s="36">
        <f t="shared" si="37"/>
        <v>102226</v>
      </c>
      <c r="CN14" s="42">
        <f t="shared" si="108"/>
        <v>1620.7688534163242</v>
      </c>
      <c r="CO14" s="27">
        <f t="shared" si="108"/>
        <v>0</v>
      </c>
      <c r="CP14" s="27">
        <f t="shared" si="108"/>
        <v>0</v>
      </c>
      <c r="CQ14" s="27">
        <f t="shared" si="108"/>
        <v>0</v>
      </c>
      <c r="CR14" s="27">
        <f t="shared" si="108"/>
        <v>0</v>
      </c>
      <c r="CS14" s="27">
        <f t="shared" si="108"/>
        <v>12470.978995187346</v>
      </c>
      <c r="CT14" s="27">
        <f t="shared" si="108"/>
        <v>715.1963827047839</v>
      </c>
      <c r="CU14" s="27">
        <f t="shared" si="108"/>
        <v>0</v>
      </c>
      <c r="CV14" s="27">
        <f t="shared" si="108"/>
        <v>831.03379418702991</v>
      </c>
      <c r="CW14" s="27">
        <f t="shared" si="108"/>
        <v>0</v>
      </c>
      <c r="CX14" s="27">
        <f t="shared" si="108"/>
        <v>0</v>
      </c>
      <c r="CY14" s="27">
        <f t="shared" si="108"/>
        <v>0</v>
      </c>
      <c r="CZ14" s="27">
        <f t="shared" si="108"/>
        <v>0</v>
      </c>
      <c r="DA14" s="27">
        <f t="shared" si="108"/>
        <v>10292.611061282747</v>
      </c>
      <c r="DB14" s="27">
        <f t="shared" si="108"/>
        <v>831.03379418702991</v>
      </c>
      <c r="DC14" s="27">
        <f t="shared" si="108"/>
        <v>3324.1351767481196</v>
      </c>
      <c r="DD14" s="27">
        <f t="shared" si="108"/>
        <v>831.03379418702991</v>
      </c>
      <c r="DE14" s="27">
        <f t="shared" si="108"/>
        <v>1662.0675883740598</v>
      </c>
      <c r="DF14" s="27">
        <f t="shared" si="108"/>
        <v>0</v>
      </c>
      <c r="DG14" s="27">
        <f t="shared" si="108"/>
        <v>0</v>
      </c>
      <c r="DH14" s="27">
        <f t="shared" si="108"/>
        <v>19139.082814325484</v>
      </c>
      <c r="DI14" s="27">
        <f t="shared" si="108"/>
        <v>1032.468373943384</v>
      </c>
      <c r="DJ14" s="27">
        <f t="shared" si="108"/>
        <v>15400.589371456657</v>
      </c>
      <c r="DK14" s="27">
        <f t="shared" si="108"/>
        <v>0</v>
      </c>
      <c r="DL14" s="27">
        <f t="shared" si="108"/>
        <v>0</v>
      </c>
      <c r="DM14" s="27">
        <f t="shared" si="108"/>
        <v>0</v>
      </c>
      <c r="DN14" s="44">
        <f t="shared" si="109"/>
        <v>68151</v>
      </c>
      <c r="DO14" s="46">
        <f t="shared" si="110"/>
        <v>810.37253569516611</v>
      </c>
      <c r="DP14" s="47">
        <f t="shared" si="110"/>
        <v>0</v>
      </c>
      <c r="DQ14" s="47">
        <f t="shared" si="110"/>
        <v>0</v>
      </c>
      <c r="DR14" s="47">
        <f t="shared" si="110"/>
        <v>0</v>
      </c>
      <c r="DS14" s="47">
        <f t="shared" si="110"/>
        <v>0</v>
      </c>
      <c r="DT14" s="47">
        <f t="shared" si="110"/>
        <v>6235.3980023918775</v>
      </c>
      <c r="DU14" s="47">
        <f t="shared" si="110"/>
        <v>357.59294420720903</v>
      </c>
      <c r="DV14" s="47">
        <f t="shared" si="110"/>
        <v>0</v>
      </c>
      <c r="DW14" s="47">
        <f t="shared" si="110"/>
        <v>415.51080008984525</v>
      </c>
      <c r="DX14" s="47">
        <f t="shared" si="110"/>
        <v>0</v>
      </c>
      <c r="DY14" s="47">
        <f t="shared" si="110"/>
        <v>0</v>
      </c>
      <c r="DZ14" s="47">
        <f t="shared" si="110"/>
        <v>0</v>
      </c>
      <c r="EA14" s="47">
        <f t="shared" si="110"/>
        <v>0</v>
      </c>
      <c r="EB14" s="47">
        <f t="shared" si="110"/>
        <v>5146.2300173615895</v>
      </c>
      <c r="EC14" s="47">
        <f t="shared" si="110"/>
        <v>415.51080008984525</v>
      </c>
      <c r="ED14" s="47">
        <f t="shared" si="110"/>
        <v>1662.043200359381</v>
      </c>
      <c r="EE14" s="47">
        <f t="shared" si="110"/>
        <v>415.51080008984525</v>
      </c>
      <c r="EF14" s="47">
        <f t="shared" si="110"/>
        <v>831.02160017969049</v>
      </c>
      <c r="EG14" s="47">
        <f t="shared" si="110"/>
        <v>0</v>
      </c>
      <c r="EH14" s="47">
        <f t="shared" si="110"/>
        <v>0</v>
      </c>
      <c r="EI14" s="47">
        <f t="shared" si="110"/>
        <v>9569.4009904203995</v>
      </c>
      <c r="EJ14" s="47">
        <f t="shared" si="110"/>
        <v>516.22661211311379</v>
      </c>
      <c r="EK14" s="47">
        <f t="shared" si="110"/>
        <v>7700.1816970020354</v>
      </c>
      <c r="EL14" s="47">
        <f t="shared" si="110"/>
        <v>0</v>
      </c>
      <c r="EM14" s="47">
        <f t="shared" si="110"/>
        <v>0</v>
      </c>
      <c r="EN14" s="47">
        <f t="shared" si="110"/>
        <v>0</v>
      </c>
      <c r="EO14" s="48">
        <f t="shared" si="111"/>
        <v>34075</v>
      </c>
      <c r="FJ14" s="35">
        <f t="shared" si="112"/>
        <v>366.13712019998468</v>
      </c>
      <c r="FK14" s="26">
        <f t="shared" si="112"/>
        <v>0</v>
      </c>
      <c r="FL14" s="26">
        <f t="shared" si="112"/>
        <v>0</v>
      </c>
      <c r="FM14" s="26">
        <f t="shared" si="112"/>
        <v>0</v>
      </c>
      <c r="FN14" s="26">
        <f t="shared" si="112"/>
        <v>0</v>
      </c>
      <c r="FO14" s="26">
        <f t="shared" si="112"/>
        <v>2817.2359838651896</v>
      </c>
      <c r="FP14" s="26">
        <f t="shared" si="112"/>
        <v>161.56526168985562</v>
      </c>
      <c r="FQ14" s="26">
        <f t="shared" si="112"/>
        <v>0</v>
      </c>
      <c r="FR14" s="26">
        <f t="shared" si="112"/>
        <v>187.73332147341554</v>
      </c>
      <c r="FS14" s="26">
        <f t="shared" si="112"/>
        <v>0</v>
      </c>
      <c r="FT14" s="26">
        <f t="shared" si="112"/>
        <v>0</v>
      </c>
      <c r="FU14" s="26">
        <f t="shared" si="112"/>
        <v>0</v>
      </c>
      <c r="FV14" s="26">
        <f t="shared" si="112"/>
        <v>0</v>
      </c>
      <c r="FW14" s="26">
        <f t="shared" si="112"/>
        <v>2325.1353611424338</v>
      </c>
      <c r="FX14" s="26">
        <f t="shared" si="112"/>
        <v>187.73332147341554</v>
      </c>
      <c r="FY14" s="26">
        <f t="shared" si="112"/>
        <v>750.93328589366217</v>
      </c>
      <c r="FZ14" s="26">
        <f t="shared" si="112"/>
        <v>187.73332147341554</v>
      </c>
      <c r="GA14" s="26">
        <f t="shared" si="112"/>
        <v>375.46664294683109</v>
      </c>
      <c r="GB14" s="26">
        <f t="shared" si="112"/>
        <v>0</v>
      </c>
      <c r="GC14" s="26">
        <f t="shared" si="112"/>
        <v>0</v>
      </c>
      <c r="GD14" s="26">
        <f t="shared" si="112"/>
        <v>4323.5830020643525</v>
      </c>
      <c r="GE14" s="26">
        <f t="shared" si="112"/>
        <v>233.23806867115854</v>
      </c>
      <c r="GF14" s="26">
        <f t="shared" si="112"/>
        <v>3479.0447940568997</v>
      </c>
      <c r="GG14" s="26">
        <f t="shared" si="112"/>
        <v>0</v>
      </c>
      <c r="GH14" s="26">
        <f t="shared" si="112"/>
        <v>0</v>
      </c>
      <c r="GI14" s="26">
        <f t="shared" si="112"/>
        <v>0</v>
      </c>
      <c r="GJ14" s="36">
        <f t="shared" si="113"/>
        <v>15395.539484950612</v>
      </c>
      <c r="GL14" s="35">
        <f t="shared" si="114"/>
        <v>566.28899554639611</v>
      </c>
      <c r="GM14" s="26">
        <f t="shared" si="114"/>
        <v>0</v>
      </c>
      <c r="GN14" s="26">
        <f t="shared" si="114"/>
        <v>0</v>
      </c>
      <c r="GO14" s="26">
        <f t="shared" si="114"/>
        <v>0</v>
      </c>
      <c r="GP14" s="26">
        <f t="shared" si="114"/>
        <v>0</v>
      </c>
      <c r="GQ14" s="26">
        <f t="shared" si="114"/>
        <v>4357.3012609286579</v>
      </c>
      <c r="GR14" s="26">
        <f t="shared" si="114"/>
        <v>249.88624400488411</v>
      </c>
      <c r="GS14" s="26">
        <f t="shared" si="114"/>
        <v>0</v>
      </c>
      <c r="GT14" s="26">
        <f t="shared" si="114"/>
        <v>290.3592894096663</v>
      </c>
      <c r="GU14" s="26">
        <f t="shared" si="114"/>
        <v>0</v>
      </c>
      <c r="GV14" s="26">
        <f t="shared" si="114"/>
        <v>0</v>
      </c>
      <c r="GW14" s="26">
        <f t="shared" si="114"/>
        <v>0</v>
      </c>
      <c r="GX14" s="26">
        <f t="shared" si="114"/>
        <v>0</v>
      </c>
      <c r="GY14" s="26">
        <f t="shared" si="114"/>
        <v>3596.1897757090915</v>
      </c>
      <c r="GZ14" s="26">
        <f t="shared" si="114"/>
        <v>290.3592894096663</v>
      </c>
      <c r="HA14" s="26">
        <f t="shared" si="114"/>
        <v>1161.4371576386652</v>
      </c>
      <c r="HB14" s="26">
        <f t="shared" si="114"/>
        <v>290.3592894096663</v>
      </c>
      <c r="HC14" s="26">
        <f t="shared" si="114"/>
        <v>580.71857881933261</v>
      </c>
      <c r="HD14" s="26">
        <f t="shared" si="114"/>
        <v>0</v>
      </c>
      <c r="HE14" s="26">
        <f t="shared" si="114"/>
        <v>0</v>
      </c>
      <c r="HF14" s="26">
        <f t="shared" si="114"/>
        <v>6687.1052955875521</v>
      </c>
      <c r="HG14" s="26">
        <f t="shared" si="114"/>
        <v>360.73958182341448</v>
      </c>
      <c r="HH14" s="26">
        <f t="shared" si="114"/>
        <v>5380.8933134430717</v>
      </c>
      <c r="HI14" s="26">
        <f t="shared" si="114"/>
        <v>0</v>
      </c>
      <c r="HJ14" s="26">
        <f t="shared" si="114"/>
        <v>0</v>
      </c>
      <c r="HK14" s="26">
        <f t="shared" si="114"/>
        <v>0</v>
      </c>
      <c r="HL14" s="36">
        <f t="shared" si="115"/>
        <v>23811.638071730064</v>
      </c>
      <c r="HN14" s="35">
        <f t="shared" si="116"/>
        <v>561.4106183372636</v>
      </c>
      <c r="HO14" s="26">
        <f t="shared" si="116"/>
        <v>0</v>
      </c>
      <c r="HP14" s="26">
        <f t="shared" si="116"/>
        <v>0</v>
      </c>
      <c r="HQ14" s="26">
        <f t="shared" si="116"/>
        <v>0</v>
      </c>
      <c r="HR14" s="26">
        <f t="shared" si="116"/>
        <v>0</v>
      </c>
      <c r="HS14" s="26">
        <f t="shared" si="116"/>
        <v>4319.7646686024582</v>
      </c>
      <c r="HT14" s="26">
        <f t="shared" si="116"/>
        <v>247.73356336440492</v>
      </c>
      <c r="HU14" s="26">
        <f t="shared" si="116"/>
        <v>0</v>
      </c>
      <c r="HV14" s="26">
        <f t="shared" si="116"/>
        <v>287.85794795493916</v>
      </c>
      <c r="HW14" s="26">
        <f t="shared" si="116"/>
        <v>0</v>
      </c>
      <c r="HX14" s="26">
        <f t="shared" si="116"/>
        <v>0</v>
      </c>
      <c r="HY14" s="26">
        <f t="shared" si="116"/>
        <v>0</v>
      </c>
      <c r="HZ14" s="26">
        <f t="shared" si="116"/>
        <v>0</v>
      </c>
      <c r="IA14" s="26">
        <f t="shared" si="116"/>
        <v>3565.2098866780375</v>
      </c>
      <c r="IB14" s="26">
        <f t="shared" si="116"/>
        <v>287.85794795493916</v>
      </c>
      <c r="IC14" s="26">
        <f t="shared" si="116"/>
        <v>1151.4317918197567</v>
      </c>
      <c r="ID14" s="26">
        <f t="shared" si="116"/>
        <v>287.85794795493916</v>
      </c>
      <c r="IE14" s="26">
        <f t="shared" si="116"/>
        <v>575.71589590987833</v>
      </c>
      <c r="IF14" s="26">
        <f t="shared" si="116"/>
        <v>0</v>
      </c>
      <c r="IG14" s="26">
        <f t="shared" si="116"/>
        <v>0</v>
      </c>
      <c r="IH14" s="26">
        <f t="shared" si="116"/>
        <v>6629.4982745689167</v>
      </c>
      <c r="II14" s="26">
        <f t="shared" si="116"/>
        <v>357.63193931536728</v>
      </c>
      <c r="IJ14" s="26">
        <f t="shared" si="116"/>
        <v>5334.5388415894449</v>
      </c>
      <c r="IK14" s="26">
        <f t="shared" si="116"/>
        <v>0</v>
      </c>
      <c r="IL14" s="26">
        <f t="shared" si="116"/>
        <v>0</v>
      </c>
      <c r="IM14" s="26">
        <f t="shared" si="116"/>
        <v>0</v>
      </c>
      <c r="IN14" s="36">
        <f t="shared" si="117"/>
        <v>23606.509324050345</v>
      </c>
      <c r="IP14" s="35">
        <f t="shared" si="118"/>
        <v>937.30465502784568</v>
      </c>
      <c r="IQ14" s="26">
        <f t="shared" si="118"/>
        <v>0</v>
      </c>
      <c r="IR14" s="26">
        <f t="shared" si="118"/>
        <v>0</v>
      </c>
      <c r="IS14" s="26">
        <f t="shared" si="118"/>
        <v>0</v>
      </c>
      <c r="IT14" s="26">
        <f t="shared" si="118"/>
        <v>0</v>
      </c>
      <c r="IU14" s="26">
        <f t="shared" si="118"/>
        <v>7212.0750841829158</v>
      </c>
      <c r="IV14" s="26">
        <f t="shared" si="118"/>
        <v>413.60425785284815</v>
      </c>
      <c r="IW14" s="26">
        <f t="shared" si="118"/>
        <v>0</v>
      </c>
      <c r="IX14" s="26">
        <f t="shared" si="118"/>
        <v>480.59403543885401</v>
      </c>
      <c r="IY14" s="26">
        <f t="shared" si="118"/>
        <v>0</v>
      </c>
      <c r="IZ14" s="26">
        <f t="shared" si="118"/>
        <v>0</v>
      </c>
      <c r="JA14" s="26">
        <f t="shared" si="118"/>
        <v>0</v>
      </c>
      <c r="JB14" s="26">
        <f t="shared" si="118"/>
        <v>0</v>
      </c>
      <c r="JC14" s="26">
        <f t="shared" si="118"/>
        <v>5952.3060551147719</v>
      </c>
      <c r="JD14" s="26">
        <f t="shared" si="118"/>
        <v>480.59403543885401</v>
      </c>
      <c r="JE14" s="26">
        <f t="shared" si="118"/>
        <v>1922.376141755416</v>
      </c>
      <c r="JF14" s="26">
        <f t="shared" si="118"/>
        <v>480.59403543885401</v>
      </c>
      <c r="JG14" s="26">
        <f t="shared" si="118"/>
        <v>961.18807087770801</v>
      </c>
      <c r="JH14" s="26">
        <f t="shared" si="118"/>
        <v>0</v>
      </c>
      <c r="JI14" s="26">
        <f t="shared" si="118"/>
        <v>0</v>
      </c>
      <c r="JJ14" s="26">
        <f t="shared" si="118"/>
        <v>11068.297232525058</v>
      </c>
      <c r="JK14" s="26">
        <f t="shared" si="118"/>
        <v>597.08539624655725</v>
      </c>
      <c r="JL14" s="26">
        <f t="shared" si="118"/>
        <v>8906.2941193692732</v>
      </c>
      <c r="JM14" s="26">
        <f t="shared" si="118"/>
        <v>0</v>
      </c>
      <c r="JN14" s="26">
        <f t="shared" si="118"/>
        <v>0</v>
      </c>
      <c r="JO14" s="26">
        <f t="shared" si="118"/>
        <v>0</v>
      </c>
      <c r="JP14" s="36">
        <f t="shared" si="119"/>
        <v>39412.313119268962</v>
      </c>
      <c r="JT14" s="26">
        <f t="shared" si="120"/>
        <v>2431.1413891114898</v>
      </c>
      <c r="JU14" s="29">
        <f t="shared" si="9"/>
        <v>0.99999999999999978</v>
      </c>
    </row>
    <row r="15" spans="1:281" x14ac:dyDescent="0.3">
      <c r="A15" s="101"/>
      <c r="AK15" s="140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28"/>
      <c r="BM15" s="3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36"/>
      <c r="CN15" s="42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44"/>
      <c r="DO15" s="46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8"/>
      <c r="FJ15" s="35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36"/>
      <c r="GL15" s="35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36"/>
      <c r="HN15" s="35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36"/>
      <c r="IP15" s="35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36"/>
    </row>
    <row r="16" spans="1:281" x14ac:dyDescent="0.3"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281" x14ac:dyDescent="0.3"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</row>
    <row r="18" spans="1:281" x14ac:dyDescent="0.3"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EQ18" s="142" t="s">
        <v>329</v>
      </c>
      <c r="FD18" s="142" t="s">
        <v>329</v>
      </c>
    </row>
    <row r="19" spans="1:281" ht="49.5" x14ac:dyDescent="0.3">
      <c r="F19" s="2" t="s">
        <v>37</v>
      </c>
      <c r="G19" s="18" t="s">
        <v>38</v>
      </c>
      <c r="H19" s="19" t="s">
        <v>39</v>
      </c>
      <c r="I19" s="22" t="s">
        <v>40</v>
      </c>
      <c r="J19" s="14" t="s">
        <v>41</v>
      </c>
      <c r="K19" s="14" t="s">
        <v>42</v>
      </c>
      <c r="L19" s="14" t="s">
        <v>43</v>
      </c>
      <c r="M19" s="14" t="s">
        <v>44</v>
      </c>
      <c r="N19" s="14" t="s">
        <v>45</v>
      </c>
      <c r="O19" s="14" t="s">
        <v>46</v>
      </c>
      <c r="P19" s="14" t="s">
        <v>47</v>
      </c>
      <c r="Q19" s="14" t="s">
        <v>48</v>
      </c>
      <c r="R19" s="14" t="s">
        <v>49</v>
      </c>
      <c r="S19" s="14" t="s">
        <v>50</v>
      </c>
      <c r="T19" s="14" t="s">
        <v>51</v>
      </c>
      <c r="U19" s="14" t="s">
        <v>52</v>
      </c>
      <c r="V19" s="14" t="s">
        <v>53</v>
      </c>
      <c r="W19" s="14" t="s">
        <v>54</v>
      </c>
      <c r="X19" s="14" t="s">
        <v>55</v>
      </c>
      <c r="Y19" s="14" t="s">
        <v>56</v>
      </c>
      <c r="Z19" s="14" t="s">
        <v>57</v>
      </c>
      <c r="AA19" s="14" t="s">
        <v>58</v>
      </c>
      <c r="AB19" s="14" t="s">
        <v>59</v>
      </c>
      <c r="AC19" s="14" t="s">
        <v>60</v>
      </c>
      <c r="AD19" s="14" t="s">
        <v>61</v>
      </c>
      <c r="AE19" s="14" t="s">
        <v>62</v>
      </c>
      <c r="AF19" s="14" t="s">
        <v>63</v>
      </c>
      <c r="AG19" s="14" t="s">
        <v>64</v>
      </c>
      <c r="AH19" s="14" t="s">
        <v>65</v>
      </c>
      <c r="AI19" s="14" t="s">
        <v>321</v>
      </c>
      <c r="AJ19" s="8">
        <f t="shared" ref="AJ19:AJ50" si="124">SUM(J19:AI19)</f>
        <v>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M19" s="92" t="s">
        <v>41</v>
      </c>
      <c r="BN19" s="92" t="s">
        <v>42</v>
      </c>
      <c r="BO19" s="92" t="s">
        <v>43</v>
      </c>
      <c r="BP19" s="92" t="s">
        <v>44</v>
      </c>
      <c r="BQ19" s="92" t="s">
        <v>45</v>
      </c>
      <c r="BR19" s="92" t="s">
        <v>46</v>
      </c>
      <c r="BS19" s="92" t="s">
        <v>47</v>
      </c>
      <c r="BT19" s="92" t="s">
        <v>48</v>
      </c>
      <c r="BU19" s="92" t="s">
        <v>49</v>
      </c>
      <c r="BV19" s="92" t="s">
        <v>50</v>
      </c>
      <c r="BW19" s="92" t="s">
        <v>51</v>
      </c>
      <c r="BX19" s="92" t="s">
        <v>52</v>
      </c>
      <c r="BY19" s="92" t="s">
        <v>53</v>
      </c>
      <c r="BZ19" s="92" t="s">
        <v>54</v>
      </c>
      <c r="CA19" s="92" t="s">
        <v>55</v>
      </c>
      <c r="CB19" s="92" t="s">
        <v>56</v>
      </c>
      <c r="CC19" s="92" t="s">
        <v>57</v>
      </c>
      <c r="CD19" s="92" t="s">
        <v>58</v>
      </c>
      <c r="CE19" s="92" t="s">
        <v>59</v>
      </c>
      <c r="CF19" s="92" t="s">
        <v>60</v>
      </c>
      <c r="CG19" s="92" t="s">
        <v>61</v>
      </c>
      <c r="CH19" s="92" t="s">
        <v>62</v>
      </c>
      <c r="CI19" s="92" t="s">
        <v>63</v>
      </c>
      <c r="CJ19" s="92" t="s">
        <v>64</v>
      </c>
      <c r="CK19" s="92" t="s">
        <v>65</v>
      </c>
      <c r="CL19" s="93" t="s">
        <v>321</v>
      </c>
      <c r="CM19" s="94"/>
      <c r="CN19" s="90" t="s">
        <v>41</v>
      </c>
      <c r="CO19" s="90" t="s">
        <v>42</v>
      </c>
      <c r="CP19" s="90" t="s">
        <v>43</v>
      </c>
      <c r="CQ19" s="90" t="s">
        <v>44</v>
      </c>
      <c r="CR19" s="90" t="s">
        <v>45</v>
      </c>
      <c r="CS19" s="90" t="s">
        <v>46</v>
      </c>
      <c r="CT19" s="90" t="s">
        <v>47</v>
      </c>
      <c r="CU19" s="90" t="s">
        <v>48</v>
      </c>
      <c r="CV19" s="90" t="s">
        <v>49</v>
      </c>
      <c r="CW19" s="90" t="s">
        <v>50</v>
      </c>
      <c r="CX19" s="90" t="s">
        <v>51</v>
      </c>
      <c r="CY19" s="90" t="s">
        <v>52</v>
      </c>
      <c r="CZ19" s="90" t="s">
        <v>53</v>
      </c>
      <c r="DA19" s="90" t="s">
        <v>54</v>
      </c>
      <c r="DB19" s="90" t="s">
        <v>55</v>
      </c>
      <c r="DC19" s="90" t="s">
        <v>56</v>
      </c>
      <c r="DD19" s="90" t="s">
        <v>57</v>
      </c>
      <c r="DE19" s="90" t="s">
        <v>58</v>
      </c>
      <c r="DF19" s="90" t="s">
        <v>59</v>
      </c>
      <c r="DG19" s="90" t="s">
        <v>60</v>
      </c>
      <c r="DH19" s="90" t="s">
        <v>61</v>
      </c>
      <c r="DI19" s="90" t="s">
        <v>62</v>
      </c>
      <c r="DJ19" s="90" t="s">
        <v>63</v>
      </c>
      <c r="DK19" s="90" t="s">
        <v>64</v>
      </c>
      <c r="DL19" s="90" t="s">
        <v>65</v>
      </c>
      <c r="DM19" s="90" t="s">
        <v>321</v>
      </c>
      <c r="DN19" s="90"/>
      <c r="DO19" s="91" t="s">
        <v>41</v>
      </c>
      <c r="DP19" s="91" t="s">
        <v>42</v>
      </c>
      <c r="DQ19" s="91" t="s">
        <v>43</v>
      </c>
      <c r="DR19" s="91" t="s">
        <v>44</v>
      </c>
      <c r="DS19" s="91" t="s">
        <v>45</v>
      </c>
      <c r="DT19" s="91" t="s">
        <v>46</v>
      </c>
      <c r="DU19" s="91" t="s">
        <v>47</v>
      </c>
      <c r="DV19" s="91" t="s">
        <v>48</v>
      </c>
      <c r="DW19" s="91" t="s">
        <v>49</v>
      </c>
      <c r="DX19" s="91" t="s">
        <v>50</v>
      </c>
      <c r="DY19" s="91" t="s">
        <v>51</v>
      </c>
      <c r="DZ19" s="91" t="s">
        <v>52</v>
      </c>
      <c r="EA19" s="91" t="s">
        <v>53</v>
      </c>
      <c r="EB19" s="91" t="s">
        <v>54</v>
      </c>
      <c r="EC19" s="91" t="s">
        <v>55</v>
      </c>
      <c r="ED19" s="91" t="s">
        <v>56</v>
      </c>
      <c r="EE19" s="91" t="s">
        <v>57</v>
      </c>
      <c r="EF19" s="91" t="s">
        <v>58</v>
      </c>
      <c r="EG19" s="91" t="s">
        <v>59</v>
      </c>
      <c r="EH19" s="91" t="s">
        <v>60</v>
      </c>
      <c r="EI19" s="91" t="s">
        <v>61</v>
      </c>
      <c r="EJ19" s="91" t="s">
        <v>62</v>
      </c>
      <c r="EK19" s="91" t="s">
        <v>63</v>
      </c>
      <c r="EL19" s="91" t="s">
        <v>64</v>
      </c>
      <c r="EM19" s="91" t="s">
        <v>65</v>
      </c>
      <c r="EN19" s="91" t="s">
        <v>321</v>
      </c>
      <c r="EQ19" s="143" t="s">
        <v>330</v>
      </c>
      <c r="ER19" s="143" t="s">
        <v>331</v>
      </c>
      <c r="ES19" s="143" t="s">
        <v>332</v>
      </c>
      <c r="ET19" s="143" t="s">
        <v>333</v>
      </c>
      <c r="EU19" s="143" t="s">
        <v>334</v>
      </c>
      <c r="EV19" s="143" t="s">
        <v>335</v>
      </c>
      <c r="EW19" s="143" t="s">
        <v>336</v>
      </c>
      <c r="EX19" s="143" t="s">
        <v>337</v>
      </c>
      <c r="EY19" s="143" t="s">
        <v>338</v>
      </c>
      <c r="EZ19" s="143" t="s">
        <v>339</v>
      </c>
      <c r="FA19" s="143" t="s">
        <v>340</v>
      </c>
      <c r="FB19" s="143" t="s">
        <v>341</v>
      </c>
      <c r="FD19" s="143" t="s">
        <v>342</v>
      </c>
      <c r="FE19" s="143" t="s">
        <v>343</v>
      </c>
      <c r="FF19" s="143" t="s">
        <v>344</v>
      </c>
      <c r="FG19" s="143" t="s">
        <v>345</v>
      </c>
      <c r="JQ19" t="s">
        <v>350</v>
      </c>
      <c r="JT19" t="s">
        <v>351</v>
      </c>
    </row>
    <row r="20" spans="1:281" ht="18.75" x14ac:dyDescent="0.3">
      <c r="A20" t="s">
        <v>12</v>
      </c>
      <c r="B20" t="s">
        <v>7</v>
      </c>
      <c r="C20" t="s">
        <v>28</v>
      </c>
      <c r="D20" t="s">
        <v>29</v>
      </c>
      <c r="E20" t="s">
        <v>30</v>
      </c>
      <c r="F20" s="113">
        <v>100</v>
      </c>
      <c r="G20" s="15">
        <v>102226</v>
      </c>
      <c r="H20" s="20">
        <v>68151</v>
      </c>
      <c r="I20" s="23">
        <v>1.4999926633505012</v>
      </c>
      <c r="J20" s="9">
        <v>2.3782025992521376E-2</v>
      </c>
      <c r="K20" s="9">
        <v>0</v>
      </c>
      <c r="L20" s="9">
        <v>0</v>
      </c>
      <c r="M20" s="9">
        <v>0</v>
      </c>
      <c r="N20" s="9">
        <v>0</v>
      </c>
      <c r="O20" s="9">
        <v>0.18299040359183794</v>
      </c>
      <c r="P20" s="9">
        <v>1.0494290365582073E-2</v>
      </c>
      <c r="Q20" s="9">
        <v>0</v>
      </c>
      <c r="R20" s="9">
        <v>1.2194007339393844E-2</v>
      </c>
      <c r="S20" s="9">
        <v>0</v>
      </c>
      <c r="T20" s="9">
        <v>0</v>
      </c>
      <c r="U20" s="9">
        <v>0</v>
      </c>
      <c r="V20" s="9">
        <v>0</v>
      </c>
      <c r="W20" s="9">
        <v>0.15102655957040612</v>
      </c>
      <c r="X20" s="9">
        <v>1.2194007339393844E-2</v>
      </c>
      <c r="Y20" s="9">
        <v>4.8776029357575378E-2</v>
      </c>
      <c r="Z20" s="9">
        <v>1.2194007339393844E-2</v>
      </c>
      <c r="AA20" s="9">
        <v>2.4388014678787689E-2</v>
      </c>
      <c r="AB20" s="9">
        <v>0</v>
      </c>
      <c r="AC20" s="9">
        <v>0</v>
      </c>
      <c r="AD20" s="9">
        <v>0.2808334846785151</v>
      </c>
      <c r="AE20" s="9">
        <v>1.5149717156657775E-2</v>
      </c>
      <c r="AF20" s="9">
        <v>0.22597745258993496</v>
      </c>
      <c r="AG20" s="9">
        <v>0</v>
      </c>
      <c r="AH20" s="9">
        <v>0</v>
      </c>
      <c r="AI20" s="9">
        <v>0</v>
      </c>
      <c r="AJ20" s="8">
        <f t="shared" si="124"/>
        <v>1</v>
      </c>
      <c r="AK20" s="141">
        <f>$F20*J20</f>
        <v>2.3782025992521376</v>
      </c>
      <c r="AL20" s="141">
        <f t="shared" ref="AL20" si="125">$F20*K20</f>
        <v>0</v>
      </c>
      <c r="AM20" s="141">
        <f t="shared" ref="AM20" si="126">$F20*L20</f>
        <v>0</v>
      </c>
      <c r="AN20" s="141">
        <f t="shared" ref="AN20" si="127">$F20*M20</f>
        <v>0</v>
      </c>
      <c r="AO20" s="141">
        <f t="shared" ref="AO20" si="128">$F20*N20</f>
        <v>0</v>
      </c>
      <c r="AP20" s="141">
        <f t="shared" ref="AP20" si="129">$F20*O20</f>
        <v>18.299040359183792</v>
      </c>
      <c r="AQ20" s="141">
        <f t="shared" ref="AQ20" si="130">$F20*P20</f>
        <v>1.0494290365582073</v>
      </c>
      <c r="AR20" s="141">
        <f t="shared" ref="AR20" si="131">$F20*Q20</f>
        <v>0</v>
      </c>
      <c r="AS20" s="141">
        <f t="shared" ref="AS20" si="132">$F20*R20</f>
        <v>1.2194007339393844</v>
      </c>
      <c r="AT20" s="141">
        <f t="shared" ref="AT20" si="133">$F20*S20</f>
        <v>0</v>
      </c>
      <c r="AU20" s="141">
        <f t="shared" ref="AU20" si="134">$F20*T20</f>
        <v>0</v>
      </c>
      <c r="AV20" s="141">
        <f t="shared" ref="AV20" si="135">$F20*U20</f>
        <v>0</v>
      </c>
      <c r="AW20" s="141">
        <f t="shared" ref="AW20" si="136">$F20*V20</f>
        <v>0</v>
      </c>
      <c r="AX20" s="141">
        <f t="shared" ref="AX20" si="137">$F20*W20</f>
        <v>15.102655957040611</v>
      </c>
      <c r="AY20" s="141">
        <f t="shared" ref="AY20" si="138">$F20*X20</f>
        <v>1.2194007339393844</v>
      </c>
      <c r="AZ20" s="141">
        <f t="shared" ref="AZ20" si="139">$F20*Y20</f>
        <v>4.8776029357575377</v>
      </c>
      <c r="BA20" s="141">
        <f t="shared" ref="BA20" si="140">$F20*Z20</f>
        <v>1.2194007339393844</v>
      </c>
      <c r="BB20" s="141">
        <f t="shared" ref="BB20" si="141">$F20*AA20</f>
        <v>2.4388014678787688</v>
      </c>
      <c r="BC20" s="141">
        <f t="shared" ref="BC20" si="142">$F20*AB20</f>
        <v>0</v>
      </c>
      <c r="BD20" s="141">
        <f t="shared" ref="BD20" si="143">$F20*AC20</f>
        <v>0</v>
      </c>
      <c r="BE20" s="141">
        <f t="shared" ref="BE20" si="144">$F20*AD20</f>
        <v>28.083348467851511</v>
      </c>
      <c r="BF20" s="141">
        <f t="shared" ref="BF20" si="145">$F20*AE20</f>
        <v>1.5149717156657776</v>
      </c>
      <c r="BG20" s="141">
        <f t="shared" ref="BG20" si="146">$F20*AF20</f>
        <v>22.597745258993495</v>
      </c>
      <c r="BH20" s="141">
        <f t="shared" ref="BH20" si="147">$F20*AG20</f>
        <v>0</v>
      </c>
      <c r="BI20" s="141">
        <f t="shared" ref="BI20" si="148">$F20*AH20</f>
        <v>0</v>
      </c>
      <c r="BJ20" s="141">
        <f t="shared" ref="BJ20" si="149">$F20*AI20</f>
        <v>0</v>
      </c>
      <c r="BK20" s="9"/>
      <c r="BM20" s="26">
        <f t="shared" ref="BM20:BM51" si="150">$G20*J20</f>
        <v>2431.1413891114903</v>
      </c>
      <c r="BN20" s="26">
        <f t="shared" ref="BN20:BN51" si="151">$G20*K20</f>
        <v>0</v>
      </c>
      <c r="BO20" s="26">
        <f t="shared" ref="BO20:BO51" si="152">$G20*L20</f>
        <v>0</v>
      </c>
      <c r="BP20" s="26">
        <f t="shared" ref="BP20:BP51" si="153">$G20*M20</f>
        <v>0</v>
      </c>
      <c r="BQ20" s="26">
        <f t="shared" ref="BQ20:BQ51" si="154">$G20*N20</f>
        <v>0</v>
      </c>
      <c r="BR20" s="26">
        <f t="shared" ref="BR20:BR51" si="155">$G20*O20</f>
        <v>18706.376997579224</v>
      </c>
      <c r="BS20" s="26">
        <f t="shared" ref="BS20:BS51" si="156">$G20*P20</f>
        <v>1072.7893269119929</v>
      </c>
      <c r="BT20" s="26">
        <f t="shared" ref="BT20:BT51" si="157">$G20*Q20</f>
        <v>0</v>
      </c>
      <c r="BU20" s="26">
        <f t="shared" ref="BU20:BU51" si="158">$G20*R20</f>
        <v>1246.5445942768752</v>
      </c>
      <c r="BV20" s="26">
        <f t="shared" ref="BV20:BV51" si="159">$G20*S20</f>
        <v>0</v>
      </c>
      <c r="BW20" s="26">
        <f t="shared" ref="BW20:BW51" si="160">$G20*T20</f>
        <v>0</v>
      </c>
      <c r="BX20" s="26">
        <f t="shared" ref="BX20:BX51" si="161">$G20*U20</f>
        <v>0</v>
      </c>
      <c r="BY20" s="26">
        <f t="shared" ref="BY20:BY51" si="162">$G20*V20</f>
        <v>0</v>
      </c>
      <c r="BZ20" s="26">
        <f t="shared" ref="BZ20:BZ51" si="163">$G20*W20</f>
        <v>15438.841078644336</v>
      </c>
      <c r="CA20" s="26">
        <f t="shared" ref="CA20:CA51" si="164">$G20*X20</f>
        <v>1246.5445942768752</v>
      </c>
      <c r="CB20" s="26">
        <f t="shared" ref="CB20:CB51" si="165">$G20*Y20</f>
        <v>4986.1783771075006</v>
      </c>
      <c r="CC20" s="26">
        <f t="shared" ref="CC20:CC51" si="166">$G20*Z20</f>
        <v>1246.5445942768752</v>
      </c>
      <c r="CD20" s="26">
        <f t="shared" ref="CD20:CD51" si="167">$G20*AA20</f>
        <v>2493.0891885537503</v>
      </c>
      <c r="CE20" s="26">
        <f t="shared" ref="CE20:CE51" si="168">$G20*AB20</f>
        <v>0</v>
      </c>
      <c r="CF20" s="26">
        <f t="shared" ref="CF20:CF51" si="169">$G20*AC20</f>
        <v>0</v>
      </c>
      <c r="CG20" s="26">
        <f t="shared" ref="CG20:CG51" si="170">$G20*AD20</f>
        <v>28708.483804745883</v>
      </c>
      <c r="CH20" s="26">
        <f t="shared" ref="CH20:CH51" si="171">$G20*AE20</f>
        <v>1548.6949860564978</v>
      </c>
      <c r="CI20" s="26">
        <f t="shared" ref="CI20:CI51" si="172">$G20*AF20</f>
        <v>23100.771068458693</v>
      </c>
      <c r="CJ20" s="26">
        <f t="shared" ref="CJ20:CJ51" si="173">$G20*AG20</f>
        <v>0</v>
      </c>
      <c r="CK20" s="26">
        <f t="shared" ref="CK20:CK51" si="174">$G20*AH20</f>
        <v>0</v>
      </c>
      <c r="CL20" s="26">
        <f t="shared" ref="CL20:CL51" si="175">$G20*AI20</f>
        <v>0</v>
      </c>
      <c r="CM20" s="110">
        <f t="shared" ref="CM20:CM51" si="176">SUM(BM20:CL20)/G20</f>
        <v>1</v>
      </c>
      <c r="CN20" s="27">
        <f t="shared" ref="CN20:CN51" si="177">$H20*J20</f>
        <v>1620.7688534163242</v>
      </c>
      <c r="CO20" s="27">
        <f t="shared" ref="CO20:CO51" si="178">$H20*K20</f>
        <v>0</v>
      </c>
      <c r="CP20" s="27">
        <f t="shared" ref="CP20:CP51" si="179">$H20*L20</f>
        <v>0</v>
      </c>
      <c r="CQ20" s="27">
        <f t="shared" ref="CQ20:CQ51" si="180">$H20*M20</f>
        <v>0</v>
      </c>
      <c r="CR20" s="27">
        <f t="shared" ref="CR20:CR51" si="181">$H20*N20</f>
        <v>0</v>
      </c>
      <c r="CS20" s="27">
        <f t="shared" ref="CS20:CS51" si="182">$H20*O20</f>
        <v>12470.978995187346</v>
      </c>
      <c r="CT20" s="27">
        <f t="shared" ref="CT20:CT51" si="183">$H20*P20</f>
        <v>715.1963827047839</v>
      </c>
      <c r="CU20" s="27">
        <f t="shared" ref="CU20:CU51" si="184">$H20*Q20</f>
        <v>0</v>
      </c>
      <c r="CV20" s="27">
        <f t="shared" ref="CV20:CV51" si="185">$H20*R20</f>
        <v>831.03379418702991</v>
      </c>
      <c r="CW20" s="27">
        <f t="shared" ref="CW20:CW51" si="186">$H20*S20</f>
        <v>0</v>
      </c>
      <c r="CX20" s="27">
        <f t="shared" ref="CX20:CX51" si="187">$H20*T20</f>
        <v>0</v>
      </c>
      <c r="CY20" s="27">
        <f t="shared" ref="CY20:CY51" si="188">$H20*U20</f>
        <v>0</v>
      </c>
      <c r="CZ20" s="27">
        <f t="shared" ref="CZ20:CZ51" si="189">$H20*V20</f>
        <v>0</v>
      </c>
      <c r="DA20" s="27">
        <f t="shared" ref="DA20:DA51" si="190">$H20*W20</f>
        <v>10292.611061282747</v>
      </c>
      <c r="DB20" s="27">
        <f t="shared" ref="DB20:DB51" si="191">$H20*X20</f>
        <v>831.03379418702991</v>
      </c>
      <c r="DC20" s="27">
        <f t="shared" ref="DC20:DC51" si="192">$H20*Y20</f>
        <v>3324.1351767481196</v>
      </c>
      <c r="DD20" s="27">
        <f t="shared" ref="DD20:DD51" si="193">$H20*Z20</f>
        <v>831.03379418702991</v>
      </c>
      <c r="DE20" s="27">
        <f t="shared" ref="DE20:DE51" si="194">$H20*AA20</f>
        <v>1662.0675883740598</v>
      </c>
      <c r="DF20" s="27">
        <f t="shared" ref="DF20:DF51" si="195">$H20*AB20</f>
        <v>0</v>
      </c>
      <c r="DG20" s="27">
        <f t="shared" ref="DG20:DG51" si="196">$H20*AC20</f>
        <v>0</v>
      </c>
      <c r="DH20" s="27">
        <f t="shared" ref="DH20:DH51" si="197">$H20*AD20</f>
        <v>19139.082814325484</v>
      </c>
      <c r="DI20" s="27">
        <f t="shared" ref="DI20:DI51" si="198">$H20*AE20</f>
        <v>1032.468373943384</v>
      </c>
      <c r="DJ20" s="27">
        <f t="shared" ref="DJ20:DJ51" si="199">$H20*AF20</f>
        <v>15400.589371456657</v>
      </c>
      <c r="DK20" s="27">
        <f t="shared" ref="DK20:DK51" si="200">$H20*AG20</f>
        <v>0</v>
      </c>
      <c r="DL20" s="27">
        <f t="shared" ref="DL20:DL51" si="201">$H20*AH20</f>
        <v>0</v>
      </c>
      <c r="DM20" s="27">
        <f t="shared" ref="DM20:DM51" si="202">$H20*AI20</f>
        <v>0</v>
      </c>
      <c r="DN20" s="110">
        <f t="shared" ref="DN20:DN51" si="203">SUM(CN20:DM20)/H20</f>
        <v>1</v>
      </c>
      <c r="DO20" s="28">
        <f t="shared" ref="DO20:EN20" si="204">BM20-CN20</f>
        <v>810.37253569516611</v>
      </c>
      <c r="DP20" s="28">
        <f t="shared" si="204"/>
        <v>0</v>
      </c>
      <c r="DQ20" s="28">
        <f t="shared" si="204"/>
        <v>0</v>
      </c>
      <c r="DR20" s="28">
        <f t="shared" si="204"/>
        <v>0</v>
      </c>
      <c r="DS20" s="28">
        <f t="shared" si="204"/>
        <v>0</v>
      </c>
      <c r="DT20" s="28">
        <f t="shared" si="204"/>
        <v>6235.3980023918775</v>
      </c>
      <c r="DU20" s="28">
        <f t="shared" si="204"/>
        <v>357.59294420720903</v>
      </c>
      <c r="DV20" s="28">
        <f t="shared" si="204"/>
        <v>0</v>
      </c>
      <c r="DW20" s="28">
        <f t="shared" si="204"/>
        <v>415.51080008984525</v>
      </c>
      <c r="DX20" s="28">
        <f t="shared" si="204"/>
        <v>0</v>
      </c>
      <c r="DY20" s="28">
        <f t="shared" si="204"/>
        <v>0</v>
      </c>
      <c r="DZ20" s="28">
        <f t="shared" si="204"/>
        <v>0</v>
      </c>
      <c r="EA20" s="28">
        <f t="shared" si="204"/>
        <v>0</v>
      </c>
      <c r="EB20" s="28">
        <f t="shared" si="204"/>
        <v>5146.2300173615895</v>
      </c>
      <c r="EC20" s="28">
        <f t="shared" si="204"/>
        <v>415.51080008984525</v>
      </c>
      <c r="ED20" s="28">
        <f t="shared" si="204"/>
        <v>1662.043200359381</v>
      </c>
      <c r="EE20" s="28">
        <f t="shared" si="204"/>
        <v>415.51080008984525</v>
      </c>
      <c r="EF20" s="28">
        <f t="shared" si="204"/>
        <v>831.02160017969049</v>
      </c>
      <c r="EG20" s="28">
        <f t="shared" si="204"/>
        <v>0</v>
      </c>
      <c r="EH20" s="28">
        <f t="shared" si="204"/>
        <v>0</v>
      </c>
      <c r="EI20" s="28">
        <f t="shared" si="204"/>
        <v>9569.4009904203995</v>
      </c>
      <c r="EJ20" s="28">
        <f t="shared" si="204"/>
        <v>516.22661211311379</v>
      </c>
      <c r="EK20" s="28">
        <f t="shared" si="204"/>
        <v>7700.1816970020354</v>
      </c>
      <c r="EL20" s="28">
        <f t="shared" si="204"/>
        <v>0</v>
      </c>
      <c r="EM20" s="28">
        <f t="shared" si="204"/>
        <v>0</v>
      </c>
      <c r="EN20" s="28">
        <f t="shared" si="204"/>
        <v>0</v>
      </c>
      <c r="EQ20" s="144">
        <v>4.0160934932976219E-2</v>
      </c>
      <c r="ER20" s="144">
        <v>5.0201635322060525E-2</v>
      </c>
      <c r="ES20" s="144">
        <v>6.0240402422663791E-2</v>
      </c>
      <c r="ET20" s="144">
        <v>8.2328423313912436E-2</v>
      </c>
      <c r="EU20" s="144">
        <v>7.0281102811748097E-2</v>
      </c>
      <c r="EV20" s="144">
        <v>8.0321803200832403E-2</v>
      </c>
      <c r="EW20" s="144">
        <v>8.0321803200832403E-2</v>
      </c>
      <c r="EX20" s="144">
        <v>7.0281102811748097E-2</v>
      </c>
      <c r="EY20" s="144">
        <v>8.0321803200832403E-2</v>
      </c>
      <c r="EZ20" s="144">
        <v>0.10743024095174325</v>
      </c>
      <c r="FA20" s="144">
        <v>0.10743024095174325</v>
      </c>
      <c r="FB20" s="144">
        <v>0.17068050687890704</v>
      </c>
      <c r="FC20" s="145">
        <f>SUM(EQ20:FB20)</f>
        <v>0.99999999999999978</v>
      </c>
      <c r="FD20" s="146">
        <f>SUM(EQ20:ES20)</f>
        <v>0.15060297267770054</v>
      </c>
      <c r="FE20" s="146">
        <f>SUM(ET20:EV20)</f>
        <v>0.23293132932649294</v>
      </c>
      <c r="FF20" s="146">
        <f>SUM(EW20:EY20)</f>
        <v>0.2309247092134129</v>
      </c>
      <c r="FG20" s="146">
        <f>SUM(EZ20:FB20)</f>
        <v>0.38554098878239351</v>
      </c>
      <c r="FH20" s="145">
        <f>SUM(FD20:FG20)</f>
        <v>0.99999999999999989</v>
      </c>
      <c r="FJ20" s="52">
        <f>BM20*$FD20</f>
        <v>366.13712019998468</v>
      </c>
      <c r="FK20" s="52">
        <f t="shared" ref="FK20:GI20" si="205">BN20*$FD20</f>
        <v>0</v>
      </c>
      <c r="FL20" s="52">
        <f t="shared" si="205"/>
        <v>0</v>
      </c>
      <c r="FM20" s="52">
        <f t="shared" si="205"/>
        <v>0</v>
      </c>
      <c r="FN20" s="52">
        <f t="shared" si="205"/>
        <v>0</v>
      </c>
      <c r="FO20" s="52">
        <f t="shared" si="205"/>
        <v>2817.2359838651896</v>
      </c>
      <c r="FP20" s="52">
        <f t="shared" si="205"/>
        <v>161.56526168985562</v>
      </c>
      <c r="FQ20" s="52">
        <f t="shared" si="205"/>
        <v>0</v>
      </c>
      <c r="FR20" s="52">
        <f t="shared" si="205"/>
        <v>187.73332147341554</v>
      </c>
      <c r="FS20" s="52">
        <f t="shared" si="205"/>
        <v>0</v>
      </c>
      <c r="FT20" s="52">
        <f t="shared" si="205"/>
        <v>0</v>
      </c>
      <c r="FU20" s="52">
        <f t="shared" si="205"/>
        <v>0</v>
      </c>
      <c r="FV20" s="52">
        <f t="shared" si="205"/>
        <v>0</v>
      </c>
      <c r="FW20" s="52">
        <f t="shared" si="205"/>
        <v>2325.1353611424338</v>
      </c>
      <c r="FX20" s="52">
        <f t="shared" si="205"/>
        <v>187.73332147341554</v>
      </c>
      <c r="FY20" s="52">
        <f t="shared" si="205"/>
        <v>750.93328589366217</v>
      </c>
      <c r="FZ20" s="52">
        <f t="shared" si="205"/>
        <v>187.73332147341554</v>
      </c>
      <c r="GA20" s="52">
        <f t="shared" si="205"/>
        <v>375.46664294683109</v>
      </c>
      <c r="GB20" s="52">
        <f t="shared" si="205"/>
        <v>0</v>
      </c>
      <c r="GC20" s="52">
        <f t="shared" si="205"/>
        <v>0</v>
      </c>
      <c r="GD20" s="52">
        <f t="shared" si="205"/>
        <v>4323.5830020643525</v>
      </c>
      <c r="GE20" s="52">
        <f t="shared" si="205"/>
        <v>233.23806867115854</v>
      </c>
      <c r="GF20" s="52">
        <f t="shared" si="205"/>
        <v>3479.0447940568997</v>
      </c>
      <c r="GG20" s="52">
        <f t="shared" si="205"/>
        <v>0</v>
      </c>
      <c r="GH20" s="52">
        <f t="shared" si="205"/>
        <v>0</v>
      </c>
      <c r="GI20" s="52">
        <f t="shared" si="205"/>
        <v>0</v>
      </c>
      <c r="GJ20" s="26"/>
      <c r="GL20" s="150">
        <f>BM20*$FE20</f>
        <v>566.28899554639611</v>
      </c>
      <c r="GM20" s="150">
        <f t="shared" ref="GM20:HK20" si="206">BN20*$FE20</f>
        <v>0</v>
      </c>
      <c r="GN20" s="150">
        <f t="shared" si="206"/>
        <v>0</v>
      </c>
      <c r="GO20" s="150">
        <f t="shared" si="206"/>
        <v>0</v>
      </c>
      <c r="GP20" s="150">
        <f t="shared" si="206"/>
        <v>0</v>
      </c>
      <c r="GQ20" s="150">
        <f t="shared" si="206"/>
        <v>4357.3012609286579</v>
      </c>
      <c r="GR20" s="150">
        <f t="shared" si="206"/>
        <v>249.88624400488411</v>
      </c>
      <c r="GS20" s="150">
        <f t="shared" si="206"/>
        <v>0</v>
      </c>
      <c r="GT20" s="150">
        <f t="shared" si="206"/>
        <v>290.3592894096663</v>
      </c>
      <c r="GU20" s="150">
        <f t="shared" si="206"/>
        <v>0</v>
      </c>
      <c r="GV20" s="150">
        <f t="shared" si="206"/>
        <v>0</v>
      </c>
      <c r="GW20" s="150">
        <f t="shared" si="206"/>
        <v>0</v>
      </c>
      <c r="GX20" s="150">
        <f t="shared" si="206"/>
        <v>0</v>
      </c>
      <c r="GY20" s="150">
        <f t="shared" si="206"/>
        <v>3596.1897757090915</v>
      </c>
      <c r="GZ20" s="150">
        <f t="shared" si="206"/>
        <v>290.3592894096663</v>
      </c>
      <c r="HA20" s="150">
        <f t="shared" si="206"/>
        <v>1161.4371576386652</v>
      </c>
      <c r="HB20" s="150">
        <f t="shared" si="206"/>
        <v>290.3592894096663</v>
      </c>
      <c r="HC20" s="150">
        <f t="shared" si="206"/>
        <v>580.71857881933261</v>
      </c>
      <c r="HD20" s="150">
        <f t="shared" si="206"/>
        <v>0</v>
      </c>
      <c r="HE20" s="150">
        <f t="shared" si="206"/>
        <v>0</v>
      </c>
      <c r="HF20" s="150">
        <f t="shared" si="206"/>
        <v>6687.1052955875521</v>
      </c>
      <c r="HG20" s="150">
        <f t="shared" si="206"/>
        <v>360.73958182341448</v>
      </c>
      <c r="HH20" s="150">
        <f t="shared" si="206"/>
        <v>5380.8933134430717</v>
      </c>
      <c r="HI20" s="150">
        <f t="shared" si="206"/>
        <v>0</v>
      </c>
      <c r="HJ20" s="150">
        <f t="shared" si="206"/>
        <v>0</v>
      </c>
      <c r="HK20" s="150">
        <f t="shared" si="206"/>
        <v>0</v>
      </c>
      <c r="HL20" s="26"/>
      <c r="HN20" s="147">
        <f>BM20*$FF20</f>
        <v>561.4106183372636</v>
      </c>
      <c r="HO20" s="147">
        <f t="shared" ref="HO20:IM20" si="207">BN20*$FF20</f>
        <v>0</v>
      </c>
      <c r="HP20" s="147">
        <f t="shared" si="207"/>
        <v>0</v>
      </c>
      <c r="HQ20" s="147">
        <f t="shared" si="207"/>
        <v>0</v>
      </c>
      <c r="HR20" s="147">
        <f t="shared" si="207"/>
        <v>0</v>
      </c>
      <c r="HS20" s="147">
        <f t="shared" si="207"/>
        <v>4319.7646686024582</v>
      </c>
      <c r="HT20" s="147">
        <f t="shared" si="207"/>
        <v>247.73356336440492</v>
      </c>
      <c r="HU20" s="147">
        <f t="shared" si="207"/>
        <v>0</v>
      </c>
      <c r="HV20" s="147">
        <f t="shared" si="207"/>
        <v>287.85794795493916</v>
      </c>
      <c r="HW20" s="147">
        <f t="shared" si="207"/>
        <v>0</v>
      </c>
      <c r="HX20" s="147">
        <f t="shared" si="207"/>
        <v>0</v>
      </c>
      <c r="HY20" s="147">
        <f t="shared" si="207"/>
        <v>0</v>
      </c>
      <c r="HZ20" s="147">
        <f t="shared" si="207"/>
        <v>0</v>
      </c>
      <c r="IA20" s="147">
        <f t="shared" si="207"/>
        <v>3565.2098866780375</v>
      </c>
      <c r="IB20" s="147">
        <f t="shared" si="207"/>
        <v>287.85794795493916</v>
      </c>
      <c r="IC20" s="147">
        <f t="shared" si="207"/>
        <v>1151.4317918197567</v>
      </c>
      <c r="ID20" s="147">
        <f t="shared" si="207"/>
        <v>287.85794795493916</v>
      </c>
      <c r="IE20" s="147">
        <f t="shared" si="207"/>
        <v>575.71589590987833</v>
      </c>
      <c r="IF20" s="147">
        <f t="shared" si="207"/>
        <v>0</v>
      </c>
      <c r="IG20" s="147">
        <f t="shared" si="207"/>
        <v>0</v>
      </c>
      <c r="IH20" s="147">
        <f t="shared" si="207"/>
        <v>6629.4982745689167</v>
      </c>
      <c r="II20" s="147">
        <f t="shared" si="207"/>
        <v>357.63193931536728</v>
      </c>
      <c r="IJ20" s="147">
        <f t="shared" si="207"/>
        <v>5334.5388415894449</v>
      </c>
      <c r="IK20" s="147">
        <f t="shared" si="207"/>
        <v>0</v>
      </c>
      <c r="IL20" s="147">
        <f t="shared" si="207"/>
        <v>0</v>
      </c>
      <c r="IM20" s="147">
        <f t="shared" si="207"/>
        <v>0</v>
      </c>
      <c r="IN20" s="26"/>
      <c r="IP20" s="61">
        <f>BM20*$FG20</f>
        <v>937.30465502784568</v>
      </c>
      <c r="IQ20" s="61">
        <f t="shared" ref="IQ20:JO20" si="208">BN20*$FG20</f>
        <v>0</v>
      </c>
      <c r="IR20" s="61">
        <f t="shared" si="208"/>
        <v>0</v>
      </c>
      <c r="IS20" s="61">
        <f t="shared" si="208"/>
        <v>0</v>
      </c>
      <c r="IT20" s="61">
        <f t="shared" si="208"/>
        <v>0</v>
      </c>
      <c r="IU20" s="61">
        <f t="shared" si="208"/>
        <v>7212.0750841829158</v>
      </c>
      <c r="IV20" s="61">
        <f t="shared" si="208"/>
        <v>413.60425785284815</v>
      </c>
      <c r="IW20" s="61">
        <f t="shared" si="208"/>
        <v>0</v>
      </c>
      <c r="IX20" s="61">
        <f t="shared" si="208"/>
        <v>480.59403543885401</v>
      </c>
      <c r="IY20" s="61">
        <f t="shared" si="208"/>
        <v>0</v>
      </c>
      <c r="IZ20" s="61">
        <f t="shared" si="208"/>
        <v>0</v>
      </c>
      <c r="JA20" s="61">
        <f t="shared" si="208"/>
        <v>0</v>
      </c>
      <c r="JB20" s="61">
        <f t="shared" si="208"/>
        <v>0</v>
      </c>
      <c r="JC20" s="61">
        <f t="shared" si="208"/>
        <v>5952.3060551147719</v>
      </c>
      <c r="JD20" s="61">
        <f t="shared" si="208"/>
        <v>480.59403543885401</v>
      </c>
      <c r="JE20" s="61">
        <f t="shared" si="208"/>
        <v>1922.376141755416</v>
      </c>
      <c r="JF20" s="61">
        <f t="shared" si="208"/>
        <v>480.59403543885401</v>
      </c>
      <c r="JG20" s="61">
        <f t="shared" si="208"/>
        <v>961.18807087770801</v>
      </c>
      <c r="JH20" s="61">
        <f t="shared" si="208"/>
        <v>0</v>
      </c>
      <c r="JI20" s="61">
        <f t="shared" si="208"/>
        <v>0</v>
      </c>
      <c r="JJ20" s="61">
        <f t="shared" si="208"/>
        <v>11068.297232525058</v>
      </c>
      <c r="JK20" s="61">
        <f t="shared" si="208"/>
        <v>597.08539624655725</v>
      </c>
      <c r="JL20" s="61">
        <f t="shared" si="208"/>
        <v>8906.2941193692732</v>
      </c>
      <c r="JM20" s="61">
        <f t="shared" si="208"/>
        <v>0</v>
      </c>
      <c r="JN20" s="61">
        <f t="shared" si="208"/>
        <v>0</v>
      </c>
      <c r="JO20" s="61">
        <f t="shared" si="208"/>
        <v>0</v>
      </c>
      <c r="JQ20" s="26">
        <f t="shared" ref="JQ20:JQ51" si="209">SUM(IP20:JO20,HN20:IM20,GL20:HK20,FJ20:GI20)</f>
        <v>102225.99999999996</v>
      </c>
      <c r="JR20" s="156">
        <f t="shared" ref="JR20:JR51" si="210">JQ20/G20</f>
        <v>0.99999999999999956</v>
      </c>
      <c r="JT20" s="157">
        <f>IP20+HN20+GL20+FJ20</f>
        <v>2431.1413891114898</v>
      </c>
      <c r="JU20" s="29">
        <f>IFERROR(JT20/BM20,0)</f>
        <v>0.99999999999999978</v>
      </c>
    </row>
    <row r="21" spans="1:281" ht="18.75" x14ac:dyDescent="0.3">
      <c r="A21" t="s">
        <v>12</v>
      </c>
      <c r="B21" t="s">
        <v>5</v>
      </c>
      <c r="C21" t="s">
        <v>24</v>
      </c>
      <c r="D21" t="s">
        <v>25</v>
      </c>
      <c r="E21" t="s">
        <v>24</v>
      </c>
      <c r="F21" s="113">
        <v>23</v>
      </c>
      <c r="G21" s="15">
        <v>19995</v>
      </c>
      <c r="H21" s="20">
        <v>9567</v>
      </c>
      <c r="I21" s="23">
        <v>2.0899968642207587</v>
      </c>
      <c r="J21" s="9">
        <v>2.3782025992521376E-2</v>
      </c>
      <c r="K21" s="9">
        <v>0</v>
      </c>
      <c r="L21" s="9">
        <v>0</v>
      </c>
      <c r="M21" s="9">
        <v>0</v>
      </c>
      <c r="N21" s="9">
        <v>0</v>
      </c>
      <c r="O21" s="9">
        <v>0.18299040359183794</v>
      </c>
      <c r="P21" s="9">
        <v>1.0494290365582073E-2</v>
      </c>
      <c r="Q21" s="9">
        <v>0</v>
      </c>
      <c r="R21" s="9">
        <v>1.2194007339393844E-2</v>
      </c>
      <c r="S21" s="9">
        <v>0</v>
      </c>
      <c r="T21" s="9">
        <v>0</v>
      </c>
      <c r="U21" s="9">
        <v>0</v>
      </c>
      <c r="V21" s="9">
        <v>0</v>
      </c>
      <c r="W21" s="9">
        <v>0.15102655957040612</v>
      </c>
      <c r="X21" s="9">
        <v>1.2194007339393844E-2</v>
      </c>
      <c r="Y21" s="9">
        <v>4.8776029357575378E-2</v>
      </c>
      <c r="Z21" s="9">
        <v>1.2194007339393844E-2</v>
      </c>
      <c r="AA21" s="9">
        <v>2.4388014678787689E-2</v>
      </c>
      <c r="AB21" s="9">
        <v>0</v>
      </c>
      <c r="AC21" s="9">
        <v>0</v>
      </c>
      <c r="AD21" s="9">
        <v>0.2808334846785151</v>
      </c>
      <c r="AE21" s="9">
        <v>1.5149717156657775E-2</v>
      </c>
      <c r="AF21" s="9">
        <v>0.22597745258993496</v>
      </c>
      <c r="AG21" s="9">
        <v>0</v>
      </c>
      <c r="AH21" s="9">
        <v>0</v>
      </c>
      <c r="AI21" s="9">
        <v>0</v>
      </c>
      <c r="AJ21" s="8">
        <f t="shared" si="124"/>
        <v>1</v>
      </c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9"/>
      <c r="BM21" s="26">
        <f t="shared" si="150"/>
        <v>475.52160972046494</v>
      </c>
      <c r="BN21" s="26">
        <f t="shared" si="151"/>
        <v>0</v>
      </c>
      <c r="BO21" s="26">
        <f t="shared" si="152"/>
        <v>0</v>
      </c>
      <c r="BP21" s="26">
        <f t="shared" si="153"/>
        <v>0</v>
      </c>
      <c r="BQ21" s="26">
        <f t="shared" si="154"/>
        <v>0</v>
      </c>
      <c r="BR21" s="26">
        <f t="shared" si="155"/>
        <v>3658.8931198187997</v>
      </c>
      <c r="BS21" s="26">
        <f t="shared" si="156"/>
        <v>209.83333585981356</v>
      </c>
      <c r="BT21" s="26">
        <f t="shared" si="157"/>
        <v>0</v>
      </c>
      <c r="BU21" s="26">
        <f t="shared" si="158"/>
        <v>243.81917675117992</v>
      </c>
      <c r="BV21" s="26">
        <f t="shared" si="159"/>
        <v>0</v>
      </c>
      <c r="BW21" s="26">
        <f t="shared" si="160"/>
        <v>0</v>
      </c>
      <c r="BX21" s="26">
        <f t="shared" si="161"/>
        <v>0</v>
      </c>
      <c r="BY21" s="26">
        <f t="shared" si="162"/>
        <v>0</v>
      </c>
      <c r="BZ21" s="26">
        <f t="shared" si="163"/>
        <v>3019.7760586102704</v>
      </c>
      <c r="CA21" s="26">
        <f t="shared" si="164"/>
        <v>243.81917675117992</v>
      </c>
      <c r="CB21" s="26">
        <f t="shared" si="165"/>
        <v>975.2767070047197</v>
      </c>
      <c r="CC21" s="26">
        <f t="shared" si="166"/>
        <v>243.81917675117992</v>
      </c>
      <c r="CD21" s="26">
        <f t="shared" si="167"/>
        <v>487.63835350235985</v>
      </c>
      <c r="CE21" s="26">
        <f t="shared" si="168"/>
        <v>0</v>
      </c>
      <c r="CF21" s="26">
        <f t="shared" si="169"/>
        <v>0</v>
      </c>
      <c r="CG21" s="26">
        <f t="shared" si="170"/>
        <v>5615.265526146909</v>
      </c>
      <c r="CH21" s="26">
        <f t="shared" si="171"/>
        <v>302.91859454737221</v>
      </c>
      <c r="CI21" s="26">
        <f t="shared" si="172"/>
        <v>4518.4191645357496</v>
      </c>
      <c r="CJ21" s="26">
        <f t="shared" si="173"/>
        <v>0</v>
      </c>
      <c r="CK21" s="26">
        <f t="shared" si="174"/>
        <v>0</v>
      </c>
      <c r="CL21" s="26">
        <f t="shared" si="175"/>
        <v>0</v>
      </c>
      <c r="CM21" s="110">
        <f t="shared" si="176"/>
        <v>1</v>
      </c>
      <c r="CN21" s="27">
        <f t="shared" si="177"/>
        <v>227.522642670452</v>
      </c>
      <c r="CO21" s="27">
        <f t="shared" si="178"/>
        <v>0</v>
      </c>
      <c r="CP21" s="27">
        <f t="shared" si="179"/>
        <v>0</v>
      </c>
      <c r="CQ21" s="27">
        <f t="shared" si="180"/>
        <v>0</v>
      </c>
      <c r="CR21" s="27">
        <f t="shared" si="181"/>
        <v>0</v>
      </c>
      <c r="CS21" s="27">
        <f t="shared" si="182"/>
        <v>1750.6691911631135</v>
      </c>
      <c r="CT21" s="27">
        <f t="shared" si="183"/>
        <v>100.39887592752369</v>
      </c>
      <c r="CU21" s="27">
        <f t="shared" si="184"/>
        <v>0</v>
      </c>
      <c r="CV21" s="27">
        <f t="shared" si="185"/>
        <v>116.66006821598091</v>
      </c>
      <c r="CW21" s="27">
        <f t="shared" si="186"/>
        <v>0</v>
      </c>
      <c r="CX21" s="27">
        <f t="shared" si="187"/>
        <v>0</v>
      </c>
      <c r="CY21" s="27">
        <f t="shared" si="188"/>
        <v>0</v>
      </c>
      <c r="CZ21" s="27">
        <f t="shared" si="189"/>
        <v>0</v>
      </c>
      <c r="DA21" s="27">
        <f t="shared" si="190"/>
        <v>1444.8710954100752</v>
      </c>
      <c r="DB21" s="27">
        <f t="shared" si="191"/>
        <v>116.66006821598091</v>
      </c>
      <c r="DC21" s="27">
        <f t="shared" si="192"/>
        <v>466.64027286392366</v>
      </c>
      <c r="DD21" s="27">
        <f t="shared" si="193"/>
        <v>116.66006821598091</v>
      </c>
      <c r="DE21" s="27">
        <f t="shared" si="194"/>
        <v>233.32013643196183</v>
      </c>
      <c r="DF21" s="27">
        <f t="shared" si="195"/>
        <v>0</v>
      </c>
      <c r="DG21" s="27">
        <f t="shared" si="196"/>
        <v>0</v>
      </c>
      <c r="DH21" s="27">
        <f t="shared" si="197"/>
        <v>2686.7339479193538</v>
      </c>
      <c r="DI21" s="27">
        <f t="shared" si="198"/>
        <v>144.93734403774494</v>
      </c>
      <c r="DJ21" s="27">
        <f t="shared" si="199"/>
        <v>2161.9262889279075</v>
      </c>
      <c r="DK21" s="27">
        <f t="shared" si="200"/>
        <v>0</v>
      </c>
      <c r="DL21" s="27">
        <f t="shared" si="201"/>
        <v>0</v>
      </c>
      <c r="DM21" s="27">
        <f t="shared" si="202"/>
        <v>0</v>
      </c>
      <c r="DN21" s="110">
        <f t="shared" si="203"/>
        <v>0.99999999999999978</v>
      </c>
      <c r="DO21" s="28">
        <f t="shared" ref="DO21:DO84" si="211">BM21-CN21</f>
        <v>247.99896705001294</v>
      </c>
      <c r="DP21" s="28">
        <f t="shared" ref="DP21:DP84" si="212">BN21-CO21</f>
        <v>0</v>
      </c>
      <c r="DQ21" s="28">
        <f t="shared" ref="DQ21:DQ84" si="213">BO21-CP21</f>
        <v>0</v>
      </c>
      <c r="DR21" s="28">
        <f t="shared" ref="DR21:DR84" si="214">BP21-CQ21</f>
        <v>0</v>
      </c>
      <c r="DS21" s="28">
        <f t="shared" ref="DS21:DS84" si="215">BQ21-CR21</f>
        <v>0</v>
      </c>
      <c r="DT21" s="28">
        <f t="shared" ref="DT21:DT84" si="216">BR21-CS21</f>
        <v>1908.2239286556862</v>
      </c>
      <c r="DU21" s="28">
        <f t="shared" ref="DU21:DU84" si="217">BS21-CT21</f>
        <v>109.43445993228987</v>
      </c>
      <c r="DV21" s="28">
        <f t="shared" ref="DV21:DV84" si="218">BT21-CU21</f>
        <v>0</v>
      </c>
      <c r="DW21" s="28">
        <f t="shared" ref="DW21:DW84" si="219">BU21-CV21</f>
        <v>127.15910853519901</v>
      </c>
      <c r="DX21" s="28">
        <f t="shared" ref="DX21:DX84" si="220">BV21-CW21</f>
        <v>0</v>
      </c>
      <c r="DY21" s="28">
        <f t="shared" ref="DY21:DY84" si="221">BW21-CX21</f>
        <v>0</v>
      </c>
      <c r="DZ21" s="28">
        <f t="shared" ref="DZ21:DZ84" si="222">BX21-CY21</f>
        <v>0</v>
      </c>
      <c r="EA21" s="28">
        <f t="shared" ref="EA21:EA84" si="223">BY21-CZ21</f>
        <v>0</v>
      </c>
      <c r="EB21" s="28">
        <f t="shared" ref="EB21:EB84" si="224">BZ21-DA21</f>
        <v>1574.9049632001952</v>
      </c>
      <c r="EC21" s="28">
        <f t="shared" ref="EC21:EC84" si="225">CA21-DB21</f>
        <v>127.15910853519901</v>
      </c>
      <c r="ED21" s="28">
        <f t="shared" ref="ED21:ED84" si="226">CB21-DC21</f>
        <v>508.63643414079604</v>
      </c>
      <c r="EE21" s="28">
        <f t="shared" ref="EE21:EE84" si="227">CC21-DD21</f>
        <v>127.15910853519901</v>
      </c>
      <c r="EF21" s="28">
        <f t="shared" ref="EF21:EF84" si="228">CD21-DE21</f>
        <v>254.31821707039802</v>
      </c>
      <c r="EG21" s="28">
        <f t="shared" ref="EG21:EG84" si="229">CE21-DF21</f>
        <v>0</v>
      </c>
      <c r="EH21" s="28">
        <f t="shared" ref="EH21:EH84" si="230">CF21-DG21</f>
        <v>0</v>
      </c>
      <c r="EI21" s="28">
        <f t="shared" ref="EI21:EI84" si="231">CG21-DH21</f>
        <v>2928.5315782275552</v>
      </c>
      <c r="EJ21" s="28">
        <f t="shared" ref="EJ21:EJ84" si="232">CH21-DI21</f>
        <v>157.98125050962727</v>
      </c>
      <c r="EK21" s="28">
        <f t="shared" ref="EK21:EK84" si="233">CI21-DJ21</f>
        <v>2356.4928756078421</v>
      </c>
      <c r="EL21" s="28">
        <f t="shared" ref="EL21:EL84" si="234">CJ21-DK21</f>
        <v>0</v>
      </c>
      <c r="EM21" s="28">
        <f t="shared" ref="EM21:EM84" si="235">CK21-DL21</f>
        <v>0</v>
      </c>
      <c r="EN21" s="28">
        <f t="shared" ref="EN21:EN84" si="236">CL21-DM21</f>
        <v>0</v>
      </c>
      <c r="EQ21" s="144">
        <v>4.0085435848349865E-2</v>
      </c>
      <c r="ER21" s="144">
        <v>6.0128153772524798E-2</v>
      </c>
      <c r="ES21" s="144">
        <v>7.014901264184506E-2</v>
      </c>
      <c r="ET21" s="144">
        <v>8.1151553613195246E-2</v>
      </c>
      <c r="EU21" s="144">
        <v>8.1151553613195246E-2</v>
      </c>
      <c r="EV21" s="144">
        <v>8.1151553613195246E-2</v>
      </c>
      <c r="EW21" s="144">
        <v>8.8187358755049072E-2</v>
      </c>
      <c r="EX21" s="144">
        <v>9.0191730566019992E-2</v>
      </c>
      <c r="EY21" s="144">
        <v>0.10021308952810748</v>
      </c>
      <c r="EZ21" s="144">
        <v>9.7185527915428283E-2</v>
      </c>
      <c r="FA21" s="144">
        <v>0.10021308952810748</v>
      </c>
      <c r="FB21" s="144">
        <v>0.11019194060498221</v>
      </c>
      <c r="FC21" s="145">
        <f t="shared" ref="FC21:FC84" si="237">SUM(EQ21:FB21)</f>
        <v>1.0000000000000002</v>
      </c>
      <c r="FD21" s="146">
        <f t="shared" ref="FD21:FD84" si="238">SUM(EQ21:ES21)</f>
        <v>0.17036260226271971</v>
      </c>
      <c r="FE21" s="146">
        <f t="shared" ref="FE21:FE84" si="239">SUM(ET21:EV21)</f>
        <v>0.24345466083958572</v>
      </c>
      <c r="FF21" s="146">
        <f t="shared" ref="FF21:FF84" si="240">SUM(EW21:EY21)</f>
        <v>0.27859217884917653</v>
      </c>
      <c r="FG21" s="146">
        <f t="shared" ref="FG21:FG84" si="241">SUM(EZ21:FB21)</f>
        <v>0.30759055804851798</v>
      </c>
      <c r="FH21" s="145">
        <f t="shared" ref="FH21:FH32" si="242">SUM(FD21:FG21)</f>
        <v>0.99999999999999989</v>
      </c>
      <c r="FJ21" s="52">
        <f t="shared" ref="FJ21:FJ84" si="243">BM21*$FD21</f>
        <v>81.011098864135803</v>
      </c>
      <c r="FK21" s="52">
        <f t="shared" ref="FK21:FK84" si="244">BN21*$FD21</f>
        <v>0</v>
      </c>
      <c r="FL21" s="52">
        <f t="shared" ref="FL21:FL84" si="245">BO21*$FD21</f>
        <v>0</v>
      </c>
      <c r="FM21" s="52">
        <f t="shared" ref="FM21:FM84" si="246">BP21*$FD21</f>
        <v>0</v>
      </c>
      <c r="FN21" s="52">
        <f t="shared" ref="FN21:FN84" si="247">BQ21*$FD21</f>
        <v>0</v>
      </c>
      <c r="FO21" s="52">
        <f t="shared" ref="FO21:FO84" si="248">BR21*$FD21</f>
        <v>623.33855329349183</v>
      </c>
      <c r="FP21" s="52">
        <f t="shared" ref="FP21:FP84" si="249">BS21*$FD21</f>
        <v>35.7477531385451</v>
      </c>
      <c r="FQ21" s="52">
        <f t="shared" ref="FQ21:FQ84" si="250">BT21*$FD21</f>
        <v>0</v>
      </c>
      <c r="FR21" s="52">
        <f t="shared" ref="FR21:FR84" si="251">BU21*$FD21</f>
        <v>41.537669432885025</v>
      </c>
      <c r="FS21" s="52">
        <f t="shared" ref="FS21:FS84" si="252">BV21*$FD21</f>
        <v>0</v>
      </c>
      <c r="FT21" s="52">
        <f t="shared" ref="FT21:FT84" si="253">BW21*$FD21</f>
        <v>0</v>
      </c>
      <c r="FU21" s="52">
        <f t="shared" ref="FU21:FU84" si="254">BX21*$FD21</f>
        <v>0</v>
      </c>
      <c r="FV21" s="52">
        <f t="shared" ref="FV21:FV84" si="255">BY21*$FD21</f>
        <v>0</v>
      </c>
      <c r="FW21" s="52">
        <f t="shared" ref="FW21:FW84" si="256">BZ21*$FD21</f>
        <v>514.45690759550484</v>
      </c>
      <c r="FX21" s="52">
        <f t="shared" ref="FX21:FX84" si="257">CA21*$FD21</f>
        <v>41.537669432885025</v>
      </c>
      <c r="FY21" s="52">
        <f t="shared" ref="FY21:FY84" si="258">CB21*$FD21</f>
        <v>166.1506777315401</v>
      </c>
      <c r="FZ21" s="52">
        <f t="shared" ref="FZ21:FZ84" si="259">CC21*$FD21</f>
        <v>41.537669432885025</v>
      </c>
      <c r="GA21" s="52">
        <f t="shared" ref="GA21:GA84" si="260">CD21*$FD21</f>
        <v>83.07533886577005</v>
      </c>
      <c r="GB21" s="52">
        <f t="shared" ref="GB21:GB84" si="261">CE21*$FD21</f>
        <v>0</v>
      </c>
      <c r="GC21" s="52">
        <f t="shared" ref="GC21:GC84" si="262">CF21*$FD21</f>
        <v>0</v>
      </c>
      <c r="GD21" s="52">
        <f t="shared" ref="GD21:GD84" si="263">CG21*$FD21</f>
        <v>956.63124743052742</v>
      </c>
      <c r="GE21" s="52">
        <f t="shared" ref="GE21:GE84" si="264">CH21*$FD21</f>
        <v>51.606000040856024</v>
      </c>
      <c r="GF21" s="52">
        <f t="shared" ref="GF21:GF84" si="265">CI21*$FD21</f>
        <v>769.76964698405413</v>
      </c>
      <c r="GG21" s="52">
        <f t="shared" ref="GG21:GG84" si="266">CJ21*$FD21</f>
        <v>0</v>
      </c>
      <c r="GH21" s="52">
        <f t="shared" ref="GH21:GH84" si="267">CK21*$FD21</f>
        <v>0</v>
      </c>
      <c r="GI21" s="52">
        <f t="shared" ref="GI21:GI84" si="268">CL21*$FD21</f>
        <v>0</v>
      </c>
      <c r="GJ21" s="26"/>
      <c r="GL21" s="150">
        <f t="shared" ref="GL21:GL84" si="269">BM21*$FE21</f>
        <v>115.76795221638965</v>
      </c>
      <c r="GM21" s="150">
        <f t="shared" ref="GM21:GM84" si="270">BN21*$FE21</f>
        <v>0</v>
      </c>
      <c r="GN21" s="150">
        <f t="shared" ref="GN21:GN84" si="271">BO21*$FE21</f>
        <v>0</v>
      </c>
      <c r="GO21" s="150">
        <f t="shared" ref="GO21:GO84" si="272">BP21*$FE21</f>
        <v>0</v>
      </c>
      <c r="GP21" s="150">
        <f t="shared" ref="GP21:GP84" si="273">BQ21*$FE21</f>
        <v>0</v>
      </c>
      <c r="GQ21" s="150">
        <f t="shared" ref="GQ21:GQ84" si="274">BR21*$FE21</f>
        <v>890.77458353377961</v>
      </c>
      <c r="GR21" s="150">
        <f t="shared" ref="GR21:GR84" si="275">BS21*$FE21</f>
        <v>51.084903614589791</v>
      </c>
      <c r="GS21" s="150">
        <f t="shared" ref="GS21:GS84" si="276">BT21*$FE21</f>
        <v>0</v>
      </c>
      <c r="GT21" s="150">
        <f t="shared" ref="GT21:GT84" si="277">BU21*$FE21</f>
        <v>59.358914982145514</v>
      </c>
      <c r="GU21" s="150">
        <f t="shared" ref="GU21:GU84" si="278">BV21*$FE21</f>
        <v>0</v>
      </c>
      <c r="GV21" s="150">
        <f t="shared" ref="GV21:GV84" si="279">BW21*$FE21</f>
        <v>0</v>
      </c>
      <c r="GW21" s="150">
        <f t="shared" ref="GW21:GW84" si="280">BX21*$FE21</f>
        <v>0</v>
      </c>
      <c r="GX21" s="150">
        <f t="shared" ref="GX21:GX84" si="281">BY21*$FE21</f>
        <v>0</v>
      </c>
      <c r="GY21" s="150">
        <f t="shared" ref="GY21:GY84" si="282">BZ21*$FE21</f>
        <v>735.17855616046427</v>
      </c>
      <c r="GZ21" s="150">
        <f t="shared" ref="GZ21:GZ84" si="283">CA21*$FE21</f>
        <v>59.358914982145514</v>
      </c>
      <c r="HA21" s="150">
        <f t="shared" ref="HA21:HA84" si="284">CB21*$FE21</f>
        <v>237.43565992858206</v>
      </c>
      <c r="HB21" s="150">
        <f t="shared" ref="HB21:HB84" si="285">CC21*$FE21</f>
        <v>59.358914982145514</v>
      </c>
      <c r="HC21" s="150">
        <f t="shared" ref="HC21:HC84" si="286">CD21*$FE21</f>
        <v>118.71782996429103</v>
      </c>
      <c r="HD21" s="150">
        <f t="shared" ref="HD21:HD84" si="287">CE21*$FE21</f>
        <v>0</v>
      </c>
      <c r="HE21" s="150">
        <f t="shared" ref="HE21:HE84" si="288">CF21*$FE21</f>
        <v>0</v>
      </c>
      <c r="HF21" s="150">
        <f t="shared" ref="HF21:HF84" si="289">CG21*$FE21</f>
        <v>1367.0625641923136</v>
      </c>
      <c r="HG21" s="150">
        <f t="shared" ref="HG21:HG84" si="290">CH21*$FE21</f>
        <v>73.746943697534476</v>
      </c>
      <c r="HH21" s="150">
        <f t="shared" ref="HH21:HH84" si="291">CI21*$FE21</f>
        <v>1100.0302052331351</v>
      </c>
      <c r="HI21" s="150">
        <f t="shared" ref="HI21:HI84" si="292">CJ21*$FE21</f>
        <v>0</v>
      </c>
      <c r="HJ21" s="150">
        <f t="shared" ref="HJ21:HJ84" si="293">CK21*$FE21</f>
        <v>0</v>
      </c>
      <c r="HK21" s="150">
        <f t="shared" ref="HK21:HK84" si="294">CL21*$FE21</f>
        <v>0</v>
      </c>
      <c r="HL21" s="26"/>
      <c r="HN21" s="147">
        <f t="shared" ref="HN21:HN84" si="295">BM21*$FF21</f>
        <v>132.47660134189209</v>
      </c>
      <c r="HO21" s="147">
        <f t="shared" ref="HO21:HO84" si="296">BN21*$FF21</f>
        <v>0</v>
      </c>
      <c r="HP21" s="147">
        <f t="shared" ref="HP21:HP84" si="297">BO21*$FF21</f>
        <v>0</v>
      </c>
      <c r="HQ21" s="147">
        <f t="shared" ref="HQ21:HQ84" si="298">BP21*$FF21</f>
        <v>0</v>
      </c>
      <c r="HR21" s="147">
        <f t="shared" ref="HR21:HR84" si="299">BQ21*$FF21</f>
        <v>0</v>
      </c>
      <c r="HS21" s="147">
        <f t="shared" ref="HS21:HS84" si="300">BR21*$FF21</f>
        <v>1019.3390064265806</v>
      </c>
      <c r="HT21" s="147">
        <f t="shared" ref="HT21:HT84" si="301">BS21*$FF21</f>
        <v>58.457926232376508</v>
      </c>
      <c r="HU21" s="147">
        <f t="shared" ref="HU21:HU84" si="302">BT21*$FF21</f>
        <v>0</v>
      </c>
      <c r="HV21" s="147">
        <f t="shared" ref="HV21:HV84" si="303">BU21*$FF21</f>
        <v>67.926115696323706</v>
      </c>
      <c r="HW21" s="147">
        <f t="shared" ref="HW21:HW84" si="304">BV21*$FF21</f>
        <v>0</v>
      </c>
      <c r="HX21" s="147">
        <f t="shared" ref="HX21:HX84" si="305">BW21*$FF21</f>
        <v>0</v>
      </c>
      <c r="HY21" s="147">
        <f t="shared" ref="HY21:HY84" si="306">BX21*$FF21</f>
        <v>0</v>
      </c>
      <c r="HZ21" s="147">
        <f t="shared" ref="HZ21:HZ84" si="307">BY21*$FF21</f>
        <v>0</v>
      </c>
      <c r="IA21" s="147">
        <f t="shared" ref="IA21:IA84" si="308">BZ21*$FF21</f>
        <v>841.28599180481388</v>
      </c>
      <c r="IB21" s="147">
        <f t="shared" ref="IB21:IB84" si="309">CA21*$FF21</f>
        <v>67.926115696323706</v>
      </c>
      <c r="IC21" s="147">
        <f t="shared" ref="IC21:IC84" si="310">CB21*$FF21</f>
        <v>271.70446278529482</v>
      </c>
      <c r="ID21" s="147">
        <f t="shared" ref="ID21:ID84" si="311">CC21*$FF21</f>
        <v>67.926115696323706</v>
      </c>
      <c r="IE21" s="147">
        <f t="shared" ref="IE21:IE84" si="312">CD21*$FF21</f>
        <v>135.85223139264741</v>
      </c>
      <c r="IF21" s="147">
        <f t="shared" ref="IF21:IF84" si="313">CE21*$FF21</f>
        <v>0</v>
      </c>
      <c r="IG21" s="147">
        <f t="shared" ref="IG21:IG84" si="314">CF21*$FF21</f>
        <v>0</v>
      </c>
      <c r="IH21" s="147">
        <f t="shared" ref="IH21:IH84" si="315">CG21*$FF21</f>
        <v>1564.3690577459349</v>
      </c>
      <c r="II21" s="147">
        <f t="shared" ref="II21:II84" si="316">CH21*$FF21</f>
        <v>84.39075126888271</v>
      </c>
      <c r="IJ21" s="147">
        <f t="shared" ref="IJ21:IJ84" si="317">CI21*$FF21</f>
        <v>1258.7962400018903</v>
      </c>
      <c r="IK21" s="147">
        <f t="shared" ref="IK21:IK84" si="318">CJ21*$FF21</f>
        <v>0</v>
      </c>
      <c r="IL21" s="147">
        <f t="shared" ref="IL21:IL84" si="319">CK21*$FF21</f>
        <v>0</v>
      </c>
      <c r="IM21" s="147">
        <f t="shared" ref="IM21:IM84" si="320">CL21*$FF21</f>
        <v>0</v>
      </c>
      <c r="IN21" s="26"/>
      <c r="IP21" s="61">
        <f t="shared" ref="IP21:IP84" si="321">BM21*$FG21</f>
        <v>146.2659572980474</v>
      </c>
      <c r="IQ21" s="61">
        <f t="shared" ref="IQ21:IQ84" si="322">BN21*$FG21</f>
        <v>0</v>
      </c>
      <c r="IR21" s="61">
        <f t="shared" ref="IR21:IR84" si="323">BO21*$FG21</f>
        <v>0</v>
      </c>
      <c r="IS21" s="61">
        <f t="shared" ref="IS21:IS84" si="324">BP21*$FG21</f>
        <v>0</v>
      </c>
      <c r="IT21" s="61">
        <f t="shared" ref="IT21:IT84" si="325">BQ21*$FG21</f>
        <v>0</v>
      </c>
      <c r="IU21" s="61">
        <f t="shared" ref="IU21:IU84" si="326">BR21*$FG21</f>
        <v>1125.4409765649475</v>
      </c>
      <c r="IV21" s="61">
        <f t="shared" ref="IV21:IV84" si="327">BS21*$FG21</f>
        <v>64.542752874302153</v>
      </c>
      <c r="IW21" s="61">
        <f t="shared" ref="IW21:IW84" si="328">BT21*$FG21</f>
        <v>0</v>
      </c>
      <c r="IX21" s="61">
        <f t="shared" ref="IX21:IX84" si="329">BU21*$FG21</f>
        <v>74.996476639825673</v>
      </c>
      <c r="IY21" s="61">
        <f t="shared" ref="IY21:IY84" si="330">BV21*$FG21</f>
        <v>0</v>
      </c>
      <c r="IZ21" s="61">
        <f t="shared" ref="IZ21:IZ84" si="331">BW21*$FG21</f>
        <v>0</v>
      </c>
      <c r="JA21" s="61">
        <f t="shared" ref="JA21:JA84" si="332">BX21*$FG21</f>
        <v>0</v>
      </c>
      <c r="JB21" s="61">
        <f t="shared" ref="JB21:JB84" si="333">BY21*$FG21</f>
        <v>0</v>
      </c>
      <c r="JC21" s="61">
        <f t="shared" ref="JC21:JC84" si="334">BZ21*$FG21</f>
        <v>928.8546030494872</v>
      </c>
      <c r="JD21" s="61">
        <f t="shared" ref="JD21:JD84" si="335">CA21*$FG21</f>
        <v>74.996476639825673</v>
      </c>
      <c r="JE21" s="61">
        <f t="shared" ref="JE21:JE84" si="336">CB21*$FG21</f>
        <v>299.98590655930269</v>
      </c>
      <c r="JF21" s="61">
        <f t="shared" ref="JF21:JF84" si="337">CC21*$FG21</f>
        <v>74.996476639825673</v>
      </c>
      <c r="JG21" s="61">
        <f t="shared" ref="JG21:JG84" si="338">CD21*$FG21</f>
        <v>149.99295327965135</v>
      </c>
      <c r="JH21" s="61">
        <f t="shared" ref="JH21:JH84" si="339">CE21*$FG21</f>
        <v>0</v>
      </c>
      <c r="JI21" s="61">
        <f t="shared" ref="JI21:JI84" si="340">CF21*$FG21</f>
        <v>0</v>
      </c>
      <c r="JJ21" s="61">
        <f t="shared" ref="JJ21:JJ84" si="341">CG21*$FG21</f>
        <v>1727.2026567781327</v>
      </c>
      <c r="JK21" s="61">
        <f t="shared" ref="JK21:JK84" si="342">CH21*$FG21</f>
        <v>93.174899540098977</v>
      </c>
      <c r="JL21" s="61">
        <f t="shared" ref="JL21:JL84" si="343">CI21*$FG21</f>
        <v>1389.8230723166696</v>
      </c>
      <c r="JM21" s="61">
        <f t="shared" ref="JM21:JM84" si="344">CJ21*$FG21</f>
        <v>0</v>
      </c>
      <c r="JN21" s="61">
        <f t="shared" ref="JN21:JN84" si="345">CK21*$FG21</f>
        <v>0</v>
      </c>
      <c r="JO21" s="61">
        <f t="shared" ref="JO21:JO84" si="346">CL21*$FG21</f>
        <v>0</v>
      </c>
      <c r="JQ21" s="26">
        <f t="shared" si="209"/>
        <v>19994.999999999993</v>
      </c>
      <c r="JR21" s="156">
        <f t="shared" si="210"/>
        <v>0.99999999999999967</v>
      </c>
      <c r="JT21" s="157">
        <f t="shared" ref="JT21:JT84" si="347">IP21+HN21+GL21+FJ21</f>
        <v>475.52160972046494</v>
      </c>
      <c r="JU21" s="29">
        <f t="shared" ref="JU21:JU84" si="348">IFERROR(JT21/BM21,0)</f>
        <v>1</v>
      </c>
    </row>
    <row r="22" spans="1:281" ht="18.75" x14ac:dyDescent="0.3">
      <c r="A22" t="s">
        <v>12</v>
      </c>
      <c r="B22" t="s">
        <v>9</v>
      </c>
      <c r="C22" t="s">
        <v>33</v>
      </c>
      <c r="D22" t="s">
        <v>25</v>
      </c>
      <c r="E22" t="s">
        <v>34</v>
      </c>
      <c r="F22" s="113">
        <v>20</v>
      </c>
      <c r="G22" s="15">
        <v>400069</v>
      </c>
      <c r="H22" s="20">
        <v>182680</v>
      </c>
      <c r="I22" s="23">
        <v>2.1899989051894022</v>
      </c>
      <c r="J22" s="9">
        <v>2.3782025992521376E-2</v>
      </c>
      <c r="K22" s="9">
        <v>0</v>
      </c>
      <c r="L22" s="9">
        <v>0</v>
      </c>
      <c r="M22" s="9">
        <v>0</v>
      </c>
      <c r="N22" s="9">
        <v>0</v>
      </c>
      <c r="O22" s="9">
        <v>0.18299040359183794</v>
      </c>
      <c r="P22" s="9">
        <v>1.0494290365582073E-2</v>
      </c>
      <c r="Q22" s="9">
        <v>0</v>
      </c>
      <c r="R22" s="9">
        <v>1.2194007339393844E-2</v>
      </c>
      <c r="S22" s="9">
        <v>0</v>
      </c>
      <c r="T22" s="9">
        <v>0</v>
      </c>
      <c r="U22" s="9">
        <v>0</v>
      </c>
      <c r="V22" s="9">
        <v>0</v>
      </c>
      <c r="W22" s="9">
        <v>0.15102655957040612</v>
      </c>
      <c r="X22" s="9">
        <v>1.2194007339393844E-2</v>
      </c>
      <c r="Y22" s="9">
        <v>4.8776029357575378E-2</v>
      </c>
      <c r="Z22" s="9">
        <v>1.2194007339393844E-2</v>
      </c>
      <c r="AA22" s="9">
        <v>2.4388014678787689E-2</v>
      </c>
      <c r="AB22" s="9">
        <v>0</v>
      </c>
      <c r="AC22" s="9">
        <v>0</v>
      </c>
      <c r="AD22" s="9">
        <v>0.2808334846785151</v>
      </c>
      <c r="AE22" s="9">
        <v>1.5149717156657775E-2</v>
      </c>
      <c r="AF22" s="9">
        <v>0.22597745258993496</v>
      </c>
      <c r="AG22" s="9">
        <v>0</v>
      </c>
      <c r="AH22" s="9">
        <v>0</v>
      </c>
      <c r="AI22" s="9">
        <v>0</v>
      </c>
      <c r="AJ22" s="8">
        <f t="shared" si="124"/>
        <v>1</v>
      </c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9"/>
      <c r="BM22" s="26">
        <f t="shared" si="150"/>
        <v>9514.4513568020338</v>
      </c>
      <c r="BN22" s="26">
        <f t="shared" si="151"/>
        <v>0</v>
      </c>
      <c r="BO22" s="26">
        <f t="shared" si="152"/>
        <v>0</v>
      </c>
      <c r="BP22" s="26">
        <f t="shared" si="153"/>
        <v>0</v>
      </c>
      <c r="BQ22" s="26">
        <f t="shared" si="154"/>
        <v>0</v>
      </c>
      <c r="BR22" s="26">
        <f t="shared" si="155"/>
        <v>73208.787774583005</v>
      </c>
      <c r="BS22" s="26">
        <f t="shared" si="156"/>
        <v>4198.4402522680548</v>
      </c>
      <c r="BT22" s="26">
        <f t="shared" si="157"/>
        <v>0</v>
      </c>
      <c r="BU22" s="26">
        <f t="shared" si="158"/>
        <v>4878.4443222639557</v>
      </c>
      <c r="BV22" s="26">
        <f t="shared" si="159"/>
        <v>0</v>
      </c>
      <c r="BW22" s="26">
        <f t="shared" si="160"/>
        <v>0</v>
      </c>
      <c r="BX22" s="26">
        <f t="shared" si="161"/>
        <v>0</v>
      </c>
      <c r="BY22" s="26">
        <f t="shared" si="162"/>
        <v>0</v>
      </c>
      <c r="BZ22" s="26">
        <f t="shared" si="163"/>
        <v>60421.044660772801</v>
      </c>
      <c r="CA22" s="26">
        <f t="shared" si="164"/>
        <v>4878.4443222639557</v>
      </c>
      <c r="CB22" s="26">
        <f t="shared" si="165"/>
        <v>19513.777289055823</v>
      </c>
      <c r="CC22" s="26">
        <f t="shared" si="166"/>
        <v>4878.4443222639557</v>
      </c>
      <c r="CD22" s="26">
        <f t="shared" si="167"/>
        <v>9756.8886445279113</v>
      </c>
      <c r="CE22" s="26">
        <f t="shared" si="168"/>
        <v>0</v>
      </c>
      <c r="CF22" s="26">
        <f t="shared" si="169"/>
        <v>0</v>
      </c>
      <c r="CG22" s="26">
        <f t="shared" si="170"/>
        <v>112352.77138184886</v>
      </c>
      <c r="CH22" s="26">
        <f t="shared" si="171"/>
        <v>6060.9321931469194</v>
      </c>
      <c r="CI22" s="26">
        <f t="shared" si="172"/>
        <v>90406.573480202685</v>
      </c>
      <c r="CJ22" s="26">
        <f t="shared" si="173"/>
        <v>0</v>
      </c>
      <c r="CK22" s="26">
        <f t="shared" si="174"/>
        <v>0</v>
      </c>
      <c r="CL22" s="26">
        <f t="shared" si="175"/>
        <v>0</v>
      </c>
      <c r="CM22" s="110">
        <f t="shared" si="176"/>
        <v>0.99999999999999989</v>
      </c>
      <c r="CN22" s="27">
        <f t="shared" si="177"/>
        <v>4344.5005083138049</v>
      </c>
      <c r="CO22" s="27">
        <f t="shared" si="178"/>
        <v>0</v>
      </c>
      <c r="CP22" s="27">
        <f t="shared" si="179"/>
        <v>0</v>
      </c>
      <c r="CQ22" s="27">
        <f t="shared" si="180"/>
        <v>0</v>
      </c>
      <c r="CR22" s="27">
        <f t="shared" si="181"/>
        <v>0</v>
      </c>
      <c r="CS22" s="27">
        <f t="shared" si="182"/>
        <v>33428.686928156952</v>
      </c>
      <c r="CT22" s="27">
        <f t="shared" si="183"/>
        <v>1917.0969639845332</v>
      </c>
      <c r="CU22" s="27">
        <f t="shared" si="184"/>
        <v>0</v>
      </c>
      <c r="CV22" s="27">
        <f t="shared" si="185"/>
        <v>2227.6012607604675</v>
      </c>
      <c r="CW22" s="27">
        <f t="shared" si="186"/>
        <v>0</v>
      </c>
      <c r="CX22" s="27">
        <f t="shared" si="187"/>
        <v>0</v>
      </c>
      <c r="CY22" s="27">
        <f t="shared" si="188"/>
        <v>0</v>
      </c>
      <c r="CZ22" s="27">
        <f t="shared" si="189"/>
        <v>0</v>
      </c>
      <c r="DA22" s="27">
        <f t="shared" si="190"/>
        <v>27589.531902321789</v>
      </c>
      <c r="DB22" s="27">
        <f t="shared" si="191"/>
        <v>2227.6012607604675</v>
      </c>
      <c r="DC22" s="27">
        <f t="shared" si="192"/>
        <v>8910.4050430418702</v>
      </c>
      <c r="DD22" s="27">
        <f t="shared" si="193"/>
        <v>2227.6012607604675</v>
      </c>
      <c r="DE22" s="27">
        <f t="shared" si="194"/>
        <v>4455.2025215209351</v>
      </c>
      <c r="DF22" s="27">
        <f t="shared" si="195"/>
        <v>0</v>
      </c>
      <c r="DG22" s="27">
        <f t="shared" si="196"/>
        <v>0</v>
      </c>
      <c r="DH22" s="27">
        <f t="shared" si="197"/>
        <v>51302.660981071138</v>
      </c>
      <c r="DI22" s="27">
        <f t="shared" si="198"/>
        <v>2767.5503301782423</v>
      </c>
      <c r="DJ22" s="27">
        <f t="shared" si="199"/>
        <v>41281.561039129316</v>
      </c>
      <c r="DK22" s="27">
        <f t="shared" si="200"/>
        <v>0</v>
      </c>
      <c r="DL22" s="27">
        <f t="shared" si="201"/>
        <v>0</v>
      </c>
      <c r="DM22" s="27">
        <f t="shared" si="202"/>
        <v>0</v>
      </c>
      <c r="DN22" s="110">
        <f t="shared" si="203"/>
        <v>0.99999999999999967</v>
      </c>
      <c r="DO22" s="28">
        <f t="shared" si="211"/>
        <v>5169.950848488229</v>
      </c>
      <c r="DP22" s="28">
        <f t="shared" si="212"/>
        <v>0</v>
      </c>
      <c r="DQ22" s="28">
        <f t="shared" si="213"/>
        <v>0</v>
      </c>
      <c r="DR22" s="28">
        <f t="shared" si="214"/>
        <v>0</v>
      </c>
      <c r="DS22" s="28">
        <f t="shared" si="215"/>
        <v>0</v>
      </c>
      <c r="DT22" s="28">
        <f t="shared" si="216"/>
        <v>39780.100846426052</v>
      </c>
      <c r="DU22" s="28">
        <f t="shared" si="217"/>
        <v>2281.3432882835214</v>
      </c>
      <c r="DV22" s="28">
        <f t="shared" si="218"/>
        <v>0</v>
      </c>
      <c r="DW22" s="28">
        <f t="shared" si="219"/>
        <v>2650.8430615034881</v>
      </c>
      <c r="DX22" s="28">
        <f t="shared" si="220"/>
        <v>0</v>
      </c>
      <c r="DY22" s="28">
        <f t="shared" si="221"/>
        <v>0</v>
      </c>
      <c r="DZ22" s="28">
        <f t="shared" si="222"/>
        <v>0</v>
      </c>
      <c r="EA22" s="28">
        <f t="shared" si="223"/>
        <v>0</v>
      </c>
      <c r="EB22" s="28">
        <f t="shared" si="224"/>
        <v>32831.512758451012</v>
      </c>
      <c r="EC22" s="28">
        <f t="shared" si="225"/>
        <v>2650.8430615034881</v>
      </c>
      <c r="ED22" s="28">
        <f t="shared" si="226"/>
        <v>10603.372246013952</v>
      </c>
      <c r="EE22" s="28">
        <f t="shared" si="227"/>
        <v>2650.8430615034881</v>
      </c>
      <c r="EF22" s="28">
        <f t="shared" si="228"/>
        <v>5301.6861230069762</v>
      </c>
      <c r="EG22" s="28">
        <f t="shared" si="229"/>
        <v>0</v>
      </c>
      <c r="EH22" s="28">
        <f t="shared" si="230"/>
        <v>0</v>
      </c>
      <c r="EI22" s="28">
        <f t="shared" si="231"/>
        <v>61050.110400777718</v>
      </c>
      <c r="EJ22" s="28">
        <f t="shared" si="232"/>
        <v>3293.3818629686771</v>
      </c>
      <c r="EK22" s="28">
        <f t="shared" si="233"/>
        <v>49125.01244107337</v>
      </c>
      <c r="EL22" s="28">
        <f t="shared" si="234"/>
        <v>0</v>
      </c>
      <c r="EM22" s="28">
        <f t="shared" si="235"/>
        <v>0</v>
      </c>
      <c r="EN22" s="28">
        <f t="shared" si="236"/>
        <v>0</v>
      </c>
      <c r="EQ22" s="144">
        <v>4.0067168661982955E-2</v>
      </c>
      <c r="ER22" s="144">
        <v>6.0124760725638923E-2</v>
      </c>
      <c r="ES22" s="144">
        <v>7.0153544259948603E-2</v>
      </c>
      <c r="ET22" s="144">
        <v>8.1142037219959051E-2</v>
      </c>
      <c r="EU22" s="144">
        <v>8.1142037219959051E-2</v>
      </c>
      <c r="EV22" s="144">
        <v>8.1142037219959051E-2</v>
      </c>
      <c r="EW22" s="144">
        <v>8.8195786521691466E-2</v>
      </c>
      <c r="EX22" s="144">
        <v>9.0163145853312185E-2</v>
      </c>
      <c r="EY22" s="144">
        <v>0.10019192938762188</v>
      </c>
      <c r="EZ22" s="144">
        <v>9.7216895155044614E-2</v>
      </c>
      <c r="FA22" s="144">
        <v>0.10019192938762188</v>
      </c>
      <c r="FB22" s="144">
        <v>0.11026872838726053</v>
      </c>
      <c r="FC22" s="145">
        <f t="shared" si="237"/>
        <v>1.0000000000000002</v>
      </c>
      <c r="FD22" s="146">
        <f t="shared" si="238"/>
        <v>0.17034547364757047</v>
      </c>
      <c r="FE22" s="146">
        <f t="shared" si="239"/>
        <v>0.24342611165987715</v>
      </c>
      <c r="FF22" s="146">
        <f t="shared" si="240"/>
        <v>0.27855086176262556</v>
      </c>
      <c r="FG22" s="146">
        <f t="shared" si="241"/>
        <v>0.30767755292992705</v>
      </c>
      <c r="FH22" s="145">
        <f t="shared" si="242"/>
        <v>1.0000000000000002</v>
      </c>
      <c r="FJ22" s="52">
        <f t="shared" si="243"/>
        <v>1620.743722871212</v>
      </c>
      <c r="FK22" s="52">
        <f t="shared" si="244"/>
        <v>0</v>
      </c>
      <c r="FL22" s="52">
        <f t="shared" si="245"/>
        <v>0</v>
      </c>
      <c r="FM22" s="52">
        <f t="shared" si="246"/>
        <v>0</v>
      </c>
      <c r="FN22" s="52">
        <f t="shared" si="247"/>
        <v>0</v>
      </c>
      <c r="FO22" s="52">
        <f t="shared" si="248"/>
        <v>12470.785628625808</v>
      </c>
      <c r="FP22" s="52">
        <f t="shared" si="249"/>
        <v>715.185293353627</v>
      </c>
      <c r="FQ22" s="52">
        <f t="shared" si="250"/>
        <v>0</v>
      </c>
      <c r="FR22" s="52">
        <f t="shared" si="251"/>
        <v>831.02090873935447</v>
      </c>
      <c r="FS22" s="52">
        <f t="shared" si="252"/>
        <v>0</v>
      </c>
      <c r="FT22" s="52">
        <f t="shared" si="253"/>
        <v>0</v>
      </c>
      <c r="FU22" s="52">
        <f t="shared" si="254"/>
        <v>0</v>
      </c>
      <c r="FV22" s="52">
        <f t="shared" si="255"/>
        <v>0</v>
      </c>
      <c r="FW22" s="52">
        <f t="shared" si="256"/>
        <v>10292.451471020351</v>
      </c>
      <c r="FX22" s="52">
        <f t="shared" si="257"/>
        <v>831.02090873935447</v>
      </c>
      <c r="FY22" s="52">
        <f t="shared" si="258"/>
        <v>3324.0836349574179</v>
      </c>
      <c r="FZ22" s="52">
        <f t="shared" si="259"/>
        <v>831.02090873935447</v>
      </c>
      <c r="GA22" s="52">
        <f t="shared" si="260"/>
        <v>1662.0418174787089</v>
      </c>
      <c r="GB22" s="52">
        <f t="shared" si="261"/>
        <v>0</v>
      </c>
      <c r="GC22" s="52">
        <f t="shared" si="262"/>
        <v>0</v>
      </c>
      <c r="GD22" s="52">
        <f t="shared" si="263"/>
        <v>19138.786056658242</v>
      </c>
      <c r="GE22" s="52">
        <f t="shared" si="264"/>
        <v>1032.4523651874201</v>
      </c>
      <c r="GF22" s="52">
        <f t="shared" si="265"/>
        <v>15400.350580339009</v>
      </c>
      <c r="GG22" s="52">
        <f t="shared" si="266"/>
        <v>0</v>
      </c>
      <c r="GH22" s="52">
        <f t="shared" si="267"/>
        <v>0</v>
      </c>
      <c r="GI22" s="52">
        <f t="shared" si="268"/>
        <v>0</v>
      </c>
      <c r="GJ22" s="26"/>
      <c r="GL22" s="150">
        <f t="shared" si="269"/>
        <v>2316.0658983633616</v>
      </c>
      <c r="GM22" s="150">
        <f t="shared" si="270"/>
        <v>0</v>
      </c>
      <c r="GN22" s="150">
        <f t="shared" si="271"/>
        <v>0</v>
      </c>
      <c r="GO22" s="150">
        <f t="shared" si="272"/>
        <v>0</v>
      </c>
      <c r="GP22" s="150">
        <f t="shared" si="273"/>
        <v>0</v>
      </c>
      <c r="GQ22" s="150">
        <f t="shared" si="274"/>
        <v>17820.930547299893</v>
      </c>
      <c r="GR22" s="150">
        <f t="shared" si="275"/>
        <v>1022.0099856459263</v>
      </c>
      <c r="GS22" s="150">
        <f t="shared" si="276"/>
        <v>0</v>
      </c>
      <c r="GT22" s="150">
        <f t="shared" si="277"/>
        <v>1187.5407323179195</v>
      </c>
      <c r="GU22" s="150">
        <f t="shared" si="278"/>
        <v>0</v>
      </c>
      <c r="GV22" s="150">
        <f t="shared" si="279"/>
        <v>0</v>
      </c>
      <c r="GW22" s="150">
        <f t="shared" si="280"/>
        <v>0</v>
      </c>
      <c r="GX22" s="150">
        <f t="shared" si="281"/>
        <v>0</v>
      </c>
      <c r="GY22" s="150">
        <f t="shared" si="282"/>
        <v>14708.059964199703</v>
      </c>
      <c r="GZ22" s="150">
        <f t="shared" si="283"/>
        <v>1187.5407323179195</v>
      </c>
      <c r="HA22" s="150">
        <f t="shared" si="284"/>
        <v>4750.162929271678</v>
      </c>
      <c r="HB22" s="150">
        <f t="shared" si="285"/>
        <v>1187.5407323179195</v>
      </c>
      <c r="HC22" s="150">
        <f t="shared" si="286"/>
        <v>2375.081464635839</v>
      </c>
      <c r="HD22" s="150">
        <f t="shared" si="287"/>
        <v>0</v>
      </c>
      <c r="HE22" s="150">
        <f t="shared" si="288"/>
        <v>0</v>
      </c>
      <c r="HF22" s="150">
        <f t="shared" si="289"/>
        <v>27349.598271694591</v>
      </c>
      <c r="HG22" s="150">
        <f t="shared" si="290"/>
        <v>1475.3891568119261</v>
      </c>
      <c r="HH22" s="150">
        <f t="shared" si="291"/>
        <v>22007.320650778707</v>
      </c>
      <c r="HI22" s="150">
        <f t="shared" si="292"/>
        <v>0</v>
      </c>
      <c r="HJ22" s="150">
        <f t="shared" si="293"/>
        <v>0</v>
      </c>
      <c r="HK22" s="150">
        <f t="shared" si="294"/>
        <v>0</v>
      </c>
      <c r="HL22" s="26"/>
      <c r="HN22" s="147">
        <f t="shared" si="295"/>
        <v>2650.2586246357887</v>
      </c>
      <c r="HO22" s="147">
        <f t="shared" si="296"/>
        <v>0</v>
      </c>
      <c r="HP22" s="147">
        <f t="shared" si="297"/>
        <v>0</v>
      </c>
      <c r="HQ22" s="147">
        <f t="shared" si="298"/>
        <v>0</v>
      </c>
      <c r="HR22" s="147">
        <f t="shared" si="299"/>
        <v>0</v>
      </c>
      <c r="HS22" s="147">
        <f t="shared" si="300"/>
        <v>20392.370923207262</v>
      </c>
      <c r="HT22" s="147">
        <f t="shared" si="301"/>
        <v>1169.4791503281617</v>
      </c>
      <c r="HU22" s="147">
        <f t="shared" si="302"/>
        <v>0</v>
      </c>
      <c r="HV22" s="147">
        <f t="shared" si="303"/>
        <v>1358.8948700276126</v>
      </c>
      <c r="HW22" s="147">
        <f t="shared" si="304"/>
        <v>0</v>
      </c>
      <c r="HX22" s="147">
        <f t="shared" si="305"/>
        <v>0</v>
      </c>
      <c r="HY22" s="147">
        <f t="shared" si="306"/>
        <v>0</v>
      </c>
      <c r="HZ22" s="147">
        <f t="shared" si="307"/>
        <v>0</v>
      </c>
      <c r="IA22" s="147">
        <f t="shared" si="308"/>
        <v>16830.334058856348</v>
      </c>
      <c r="IB22" s="147">
        <f t="shared" si="309"/>
        <v>1358.8948700276126</v>
      </c>
      <c r="IC22" s="147">
        <f t="shared" si="310"/>
        <v>5435.5794801104503</v>
      </c>
      <c r="ID22" s="147">
        <f t="shared" si="311"/>
        <v>1358.8948700276126</v>
      </c>
      <c r="IE22" s="147">
        <f t="shared" si="312"/>
        <v>2717.7897400552251</v>
      </c>
      <c r="IF22" s="147">
        <f t="shared" si="313"/>
        <v>0</v>
      </c>
      <c r="IG22" s="147">
        <f t="shared" si="314"/>
        <v>0</v>
      </c>
      <c r="IH22" s="147">
        <f t="shared" si="315"/>
        <v>31295.961289833253</v>
      </c>
      <c r="II22" s="147">
        <f t="shared" si="316"/>
        <v>1688.2778854859146</v>
      </c>
      <c r="IJ22" s="147">
        <f t="shared" si="317"/>
        <v>25182.828951916588</v>
      </c>
      <c r="IK22" s="147">
        <f t="shared" si="318"/>
        <v>0</v>
      </c>
      <c r="IL22" s="147">
        <f t="shared" si="319"/>
        <v>0</v>
      </c>
      <c r="IM22" s="147">
        <f t="shared" si="320"/>
        <v>0</v>
      </c>
      <c r="IN22" s="26"/>
      <c r="IP22" s="61">
        <f t="shared" si="321"/>
        <v>2927.3831109316739</v>
      </c>
      <c r="IQ22" s="61">
        <f t="shared" si="322"/>
        <v>0</v>
      </c>
      <c r="IR22" s="61">
        <f t="shared" si="323"/>
        <v>0</v>
      </c>
      <c r="IS22" s="61">
        <f t="shared" si="324"/>
        <v>0</v>
      </c>
      <c r="IT22" s="61">
        <f t="shared" si="325"/>
        <v>0</v>
      </c>
      <c r="IU22" s="61">
        <f t="shared" si="326"/>
        <v>22524.700675450058</v>
      </c>
      <c r="IV22" s="61">
        <f t="shared" si="327"/>
        <v>1291.7658229403407</v>
      </c>
      <c r="IW22" s="61">
        <f t="shared" si="328"/>
        <v>0</v>
      </c>
      <c r="IX22" s="61">
        <f t="shared" si="329"/>
        <v>1500.9878111790704</v>
      </c>
      <c r="IY22" s="61">
        <f t="shared" si="330"/>
        <v>0</v>
      </c>
      <c r="IZ22" s="61">
        <f t="shared" si="331"/>
        <v>0</v>
      </c>
      <c r="JA22" s="61">
        <f t="shared" si="332"/>
        <v>0</v>
      </c>
      <c r="JB22" s="61">
        <f t="shared" si="333"/>
        <v>0</v>
      </c>
      <c r="JC22" s="61">
        <f t="shared" si="334"/>
        <v>18590.19916669641</v>
      </c>
      <c r="JD22" s="61">
        <f t="shared" si="335"/>
        <v>1500.9878111790704</v>
      </c>
      <c r="JE22" s="61">
        <f t="shared" si="336"/>
        <v>6003.9512447162815</v>
      </c>
      <c r="JF22" s="61">
        <f t="shared" si="337"/>
        <v>1500.9878111790704</v>
      </c>
      <c r="JG22" s="61">
        <f t="shared" si="338"/>
        <v>3001.9756223581408</v>
      </c>
      <c r="JH22" s="61">
        <f t="shared" si="339"/>
        <v>0</v>
      </c>
      <c r="JI22" s="61">
        <f t="shared" si="340"/>
        <v>0</v>
      </c>
      <c r="JJ22" s="61">
        <f t="shared" si="341"/>
        <v>34568.425763662795</v>
      </c>
      <c r="JK22" s="61">
        <f t="shared" si="342"/>
        <v>1864.8127856616602</v>
      </c>
      <c r="JL22" s="61">
        <f t="shared" si="343"/>
        <v>27816.073297168401</v>
      </c>
      <c r="JM22" s="61">
        <f t="shared" si="344"/>
        <v>0</v>
      </c>
      <c r="JN22" s="61">
        <f t="shared" si="345"/>
        <v>0</v>
      </c>
      <c r="JO22" s="61">
        <f t="shared" si="346"/>
        <v>0</v>
      </c>
      <c r="JQ22" s="26">
        <f t="shared" si="209"/>
        <v>400069.00000000017</v>
      </c>
      <c r="JR22" s="156">
        <f t="shared" si="210"/>
        <v>1.0000000000000004</v>
      </c>
      <c r="JT22" s="157">
        <f t="shared" si="347"/>
        <v>9514.4513568020357</v>
      </c>
      <c r="JU22" s="29">
        <f t="shared" si="348"/>
        <v>1.0000000000000002</v>
      </c>
    </row>
    <row r="23" spans="1:281" ht="18.75" x14ac:dyDescent="0.3">
      <c r="A23" t="s">
        <v>12</v>
      </c>
      <c r="B23" t="s">
        <v>10</v>
      </c>
      <c r="C23" t="s">
        <v>33</v>
      </c>
      <c r="D23" t="s">
        <v>25</v>
      </c>
      <c r="E23" t="s">
        <v>35</v>
      </c>
      <c r="F23" s="113">
        <v>33</v>
      </c>
      <c r="G23" s="15">
        <v>299979</v>
      </c>
      <c r="H23" s="20">
        <v>166655</v>
      </c>
      <c r="I23" s="23">
        <v>1.8</v>
      </c>
      <c r="J23" s="9">
        <v>2.3782025992521376E-2</v>
      </c>
      <c r="K23" s="9">
        <v>0</v>
      </c>
      <c r="L23" s="9">
        <v>0</v>
      </c>
      <c r="M23" s="9">
        <v>0</v>
      </c>
      <c r="N23" s="9">
        <v>0</v>
      </c>
      <c r="O23" s="9">
        <v>0.18299040359183794</v>
      </c>
      <c r="P23" s="9">
        <v>1.0494290365582073E-2</v>
      </c>
      <c r="Q23" s="9">
        <v>0</v>
      </c>
      <c r="R23" s="9">
        <v>1.2194007339393844E-2</v>
      </c>
      <c r="S23" s="9">
        <v>0</v>
      </c>
      <c r="T23" s="9">
        <v>0</v>
      </c>
      <c r="U23" s="9">
        <v>0</v>
      </c>
      <c r="V23" s="9">
        <v>0</v>
      </c>
      <c r="W23" s="9">
        <v>0.15102655957040612</v>
      </c>
      <c r="X23" s="9">
        <v>1.2194007339393844E-2</v>
      </c>
      <c r="Y23" s="9">
        <v>4.8776029357575378E-2</v>
      </c>
      <c r="Z23" s="9">
        <v>1.2194007339393844E-2</v>
      </c>
      <c r="AA23" s="9">
        <v>2.4388014678787689E-2</v>
      </c>
      <c r="AB23" s="9">
        <v>0</v>
      </c>
      <c r="AC23" s="9">
        <v>0</v>
      </c>
      <c r="AD23" s="9">
        <v>0.2808334846785151</v>
      </c>
      <c r="AE23" s="9">
        <v>1.5149717156657775E-2</v>
      </c>
      <c r="AF23" s="9">
        <v>0.22597745258993496</v>
      </c>
      <c r="AG23" s="9">
        <v>0</v>
      </c>
      <c r="AH23" s="9">
        <v>0</v>
      </c>
      <c r="AI23" s="9">
        <v>0</v>
      </c>
      <c r="AJ23" s="8">
        <f t="shared" si="124"/>
        <v>1</v>
      </c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9"/>
      <c r="BM23" s="26">
        <f t="shared" si="150"/>
        <v>7134.1083752105696</v>
      </c>
      <c r="BN23" s="26">
        <f t="shared" si="151"/>
        <v>0</v>
      </c>
      <c r="BO23" s="26">
        <f t="shared" si="152"/>
        <v>0</v>
      </c>
      <c r="BP23" s="26">
        <f t="shared" si="153"/>
        <v>0</v>
      </c>
      <c r="BQ23" s="26">
        <f t="shared" si="154"/>
        <v>0</v>
      </c>
      <c r="BR23" s="26">
        <f t="shared" si="155"/>
        <v>54893.278279075952</v>
      </c>
      <c r="BS23" s="26">
        <f t="shared" si="156"/>
        <v>3148.0667295769449</v>
      </c>
      <c r="BT23" s="26">
        <f t="shared" si="157"/>
        <v>0</v>
      </c>
      <c r="BU23" s="26">
        <f t="shared" si="158"/>
        <v>3657.9461276640259</v>
      </c>
      <c r="BV23" s="26">
        <f t="shared" si="159"/>
        <v>0</v>
      </c>
      <c r="BW23" s="26">
        <f t="shared" si="160"/>
        <v>0</v>
      </c>
      <c r="BX23" s="26">
        <f t="shared" si="161"/>
        <v>0</v>
      </c>
      <c r="BY23" s="26">
        <f t="shared" si="162"/>
        <v>0</v>
      </c>
      <c r="BZ23" s="26">
        <f t="shared" si="163"/>
        <v>45304.796313370854</v>
      </c>
      <c r="CA23" s="26">
        <f t="shared" si="164"/>
        <v>3657.9461276640259</v>
      </c>
      <c r="CB23" s="26">
        <f t="shared" si="165"/>
        <v>14631.784510656104</v>
      </c>
      <c r="CC23" s="26">
        <f t="shared" si="166"/>
        <v>3657.9461276640259</v>
      </c>
      <c r="CD23" s="26">
        <f t="shared" si="167"/>
        <v>7315.8922553280518</v>
      </c>
      <c r="CE23" s="26">
        <f t="shared" si="168"/>
        <v>0</v>
      </c>
      <c r="CF23" s="26">
        <f t="shared" si="169"/>
        <v>0</v>
      </c>
      <c r="CG23" s="26">
        <f t="shared" si="170"/>
        <v>84244.14790037628</v>
      </c>
      <c r="CH23" s="26">
        <f t="shared" si="171"/>
        <v>4544.5970029370428</v>
      </c>
      <c r="CI23" s="26">
        <f t="shared" si="172"/>
        <v>67788.490250476098</v>
      </c>
      <c r="CJ23" s="26">
        <f t="shared" si="173"/>
        <v>0</v>
      </c>
      <c r="CK23" s="26">
        <f t="shared" si="174"/>
        <v>0</v>
      </c>
      <c r="CL23" s="26">
        <f t="shared" si="175"/>
        <v>0</v>
      </c>
      <c r="CM23" s="110">
        <f t="shared" si="176"/>
        <v>1</v>
      </c>
      <c r="CN23" s="27">
        <f t="shared" si="177"/>
        <v>3963.3935417836501</v>
      </c>
      <c r="CO23" s="27">
        <f t="shared" si="178"/>
        <v>0</v>
      </c>
      <c r="CP23" s="27">
        <f t="shared" si="179"/>
        <v>0</v>
      </c>
      <c r="CQ23" s="27">
        <f t="shared" si="180"/>
        <v>0</v>
      </c>
      <c r="CR23" s="27">
        <f t="shared" si="181"/>
        <v>0</v>
      </c>
      <c r="CS23" s="27">
        <f t="shared" si="182"/>
        <v>30496.265710597752</v>
      </c>
      <c r="CT23" s="27">
        <f t="shared" si="183"/>
        <v>1748.9259608760804</v>
      </c>
      <c r="CU23" s="27">
        <f t="shared" si="184"/>
        <v>0</v>
      </c>
      <c r="CV23" s="27">
        <f t="shared" si="185"/>
        <v>2032.1922931466811</v>
      </c>
      <c r="CW23" s="27">
        <f t="shared" si="186"/>
        <v>0</v>
      </c>
      <c r="CX23" s="27">
        <f t="shared" si="187"/>
        <v>0</v>
      </c>
      <c r="CY23" s="27">
        <f t="shared" si="188"/>
        <v>0</v>
      </c>
      <c r="CZ23" s="27">
        <f t="shared" si="189"/>
        <v>0</v>
      </c>
      <c r="DA23" s="27">
        <f t="shared" si="190"/>
        <v>25169.33128520603</v>
      </c>
      <c r="DB23" s="27">
        <f t="shared" si="191"/>
        <v>2032.1922931466811</v>
      </c>
      <c r="DC23" s="27">
        <f t="shared" si="192"/>
        <v>8128.7691725867244</v>
      </c>
      <c r="DD23" s="27">
        <f t="shared" si="193"/>
        <v>2032.1922931466811</v>
      </c>
      <c r="DE23" s="27">
        <f t="shared" si="194"/>
        <v>4064.3845862933622</v>
      </c>
      <c r="DF23" s="27">
        <f t="shared" si="195"/>
        <v>0</v>
      </c>
      <c r="DG23" s="27">
        <f t="shared" si="196"/>
        <v>0</v>
      </c>
      <c r="DH23" s="27">
        <f t="shared" si="197"/>
        <v>46802.304389097932</v>
      </c>
      <c r="DI23" s="27">
        <f t="shared" si="198"/>
        <v>2524.7761127428016</v>
      </c>
      <c r="DJ23" s="27">
        <f t="shared" si="199"/>
        <v>37660.27236137561</v>
      </c>
      <c r="DK23" s="27">
        <f t="shared" si="200"/>
        <v>0</v>
      </c>
      <c r="DL23" s="27">
        <f t="shared" si="201"/>
        <v>0</v>
      </c>
      <c r="DM23" s="27">
        <f t="shared" si="202"/>
        <v>0</v>
      </c>
      <c r="DN23" s="110">
        <f t="shared" si="203"/>
        <v>1</v>
      </c>
      <c r="DO23" s="28">
        <f t="shared" si="211"/>
        <v>3170.7148334269195</v>
      </c>
      <c r="DP23" s="28">
        <f t="shared" si="212"/>
        <v>0</v>
      </c>
      <c r="DQ23" s="28">
        <f t="shared" si="213"/>
        <v>0</v>
      </c>
      <c r="DR23" s="28">
        <f t="shared" si="214"/>
        <v>0</v>
      </c>
      <c r="DS23" s="28">
        <f t="shared" si="215"/>
        <v>0</v>
      </c>
      <c r="DT23" s="28">
        <f t="shared" si="216"/>
        <v>24397.0125684782</v>
      </c>
      <c r="DU23" s="28">
        <f t="shared" si="217"/>
        <v>1399.1407687008646</v>
      </c>
      <c r="DV23" s="28">
        <f t="shared" si="218"/>
        <v>0</v>
      </c>
      <c r="DW23" s="28">
        <f t="shared" si="219"/>
        <v>1625.7538345173448</v>
      </c>
      <c r="DX23" s="28">
        <f t="shared" si="220"/>
        <v>0</v>
      </c>
      <c r="DY23" s="28">
        <f t="shared" si="221"/>
        <v>0</v>
      </c>
      <c r="DZ23" s="28">
        <f t="shared" si="222"/>
        <v>0</v>
      </c>
      <c r="EA23" s="28">
        <f t="shared" si="223"/>
        <v>0</v>
      </c>
      <c r="EB23" s="28">
        <f t="shared" si="224"/>
        <v>20135.465028164825</v>
      </c>
      <c r="EC23" s="28">
        <f t="shared" si="225"/>
        <v>1625.7538345173448</v>
      </c>
      <c r="ED23" s="28">
        <f t="shared" si="226"/>
        <v>6503.0153380693791</v>
      </c>
      <c r="EE23" s="28">
        <f t="shared" si="227"/>
        <v>1625.7538345173448</v>
      </c>
      <c r="EF23" s="28">
        <f t="shared" si="228"/>
        <v>3251.5076690346896</v>
      </c>
      <c r="EG23" s="28">
        <f t="shared" si="229"/>
        <v>0</v>
      </c>
      <c r="EH23" s="28">
        <f t="shared" si="230"/>
        <v>0</v>
      </c>
      <c r="EI23" s="28">
        <f t="shared" si="231"/>
        <v>37441.843511278348</v>
      </c>
      <c r="EJ23" s="28">
        <f t="shared" si="232"/>
        <v>2019.8208901942412</v>
      </c>
      <c r="EK23" s="28">
        <f t="shared" si="233"/>
        <v>30128.217889100488</v>
      </c>
      <c r="EL23" s="28">
        <f t="shared" si="234"/>
        <v>0</v>
      </c>
      <c r="EM23" s="28">
        <f t="shared" si="235"/>
        <v>0</v>
      </c>
      <c r="EN23" s="28">
        <f t="shared" si="236"/>
        <v>0</v>
      </c>
      <c r="EQ23" s="144">
        <v>4.0090337341948154E-2</v>
      </c>
      <c r="ER23" s="144">
        <v>6.010728767761133E-2</v>
      </c>
      <c r="ES23" s="144">
        <v>7.0129880346924522E-2</v>
      </c>
      <c r="ET23" s="144">
        <v>8.116883311699831E-2</v>
      </c>
      <c r="EU23" s="144">
        <v>8.116883311699831E-2</v>
      </c>
      <c r="EV23" s="144">
        <v>8.116883311699831E-2</v>
      </c>
      <c r="EW23" s="144">
        <v>8.8170513816383675E-2</v>
      </c>
      <c r="EX23" s="144">
        <v>9.0175032350246306E-2</v>
      </c>
      <c r="EY23" s="144">
        <v>0.10019762501955948</v>
      </c>
      <c r="EZ23" s="144">
        <v>9.7204981387899403E-2</v>
      </c>
      <c r="FA23" s="144">
        <v>0.10019762501955948</v>
      </c>
      <c r="FB23" s="144">
        <v>0.11022021768887266</v>
      </c>
      <c r="FC23" s="145">
        <f t="shared" si="237"/>
        <v>1</v>
      </c>
      <c r="FD23" s="146">
        <f t="shared" si="238"/>
        <v>0.170327505366484</v>
      </c>
      <c r="FE23" s="146">
        <f t="shared" si="239"/>
        <v>0.24350649935099494</v>
      </c>
      <c r="FF23" s="146">
        <f t="shared" si="240"/>
        <v>0.27854317118618943</v>
      </c>
      <c r="FG23" s="146">
        <f t="shared" si="241"/>
        <v>0.30762282409633157</v>
      </c>
      <c r="FH23" s="145">
        <f t="shared" si="242"/>
        <v>0.99999999999999989</v>
      </c>
      <c r="FJ23" s="52">
        <f t="shared" si="243"/>
        <v>1215.1348825637567</v>
      </c>
      <c r="FK23" s="52">
        <f t="shared" si="244"/>
        <v>0</v>
      </c>
      <c r="FL23" s="52">
        <f t="shared" si="245"/>
        <v>0</v>
      </c>
      <c r="FM23" s="52">
        <f t="shared" si="246"/>
        <v>0</v>
      </c>
      <c r="FN23" s="52">
        <f t="shared" si="247"/>
        <v>0</v>
      </c>
      <c r="FO23" s="52">
        <f t="shared" si="248"/>
        <v>9349.835150663208</v>
      </c>
      <c r="FP23" s="52">
        <f t="shared" si="249"/>
        <v>536.20235277606685</v>
      </c>
      <c r="FQ23" s="52">
        <f t="shared" si="250"/>
        <v>0</v>
      </c>
      <c r="FR23" s="52">
        <f t="shared" si="251"/>
        <v>623.04883869000378</v>
      </c>
      <c r="FS23" s="52">
        <f t="shared" si="252"/>
        <v>0</v>
      </c>
      <c r="FT23" s="52">
        <f t="shared" si="253"/>
        <v>0</v>
      </c>
      <c r="FU23" s="52">
        <f t="shared" si="254"/>
        <v>0</v>
      </c>
      <c r="FV23" s="52">
        <f t="shared" si="255"/>
        <v>0</v>
      </c>
      <c r="FW23" s="52">
        <f t="shared" si="256"/>
        <v>7716.6529371931383</v>
      </c>
      <c r="FX23" s="52">
        <f t="shared" si="257"/>
        <v>623.04883869000378</v>
      </c>
      <c r="FY23" s="52">
        <f t="shared" si="258"/>
        <v>2492.1953547600151</v>
      </c>
      <c r="FZ23" s="52">
        <f t="shared" si="259"/>
        <v>623.04883869000378</v>
      </c>
      <c r="GA23" s="52">
        <f t="shared" si="260"/>
        <v>1246.0976773800076</v>
      </c>
      <c r="GB23" s="52">
        <f t="shared" si="261"/>
        <v>0</v>
      </c>
      <c r="GC23" s="52">
        <f t="shared" si="262"/>
        <v>0</v>
      </c>
      <c r="GD23" s="52">
        <f t="shared" si="263"/>
        <v>14349.095553596213</v>
      </c>
      <c r="GE23" s="52">
        <f t="shared" si="264"/>
        <v>774.06987040626632</v>
      </c>
      <c r="GF23" s="52">
        <f t="shared" si="265"/>
        <v>11546.244436923816</v>
      </c>
      <c r="GG23" s="52">
        <f t="shared" si="266"/>
        <v>0</v>
      </c>
      <c r="GH23" s="52">
        <f t="shared" si="267"/>
        <v>0</v>
      </c>
      <c r="GI23" s="52">
        <f t="shared" si="268"/>
        <v>0</v>
      </c>
      <c r="GJ23" s="26"/>
      <c r="GL23" s="150">
        <f t="shared" si="269"/>
        <v>1737.2017564381401</v>
      </c>
      <c r="GM23" s="150">
        <f t="shared" si="270"/>
        <v>0</v>
      </c>
      <c r="GN23" s="150">
        <f t="shared" si="271"/>
        <v>0</v>
      </c>
      <c r="GO23" s="150">
        <f t="shared" si="272"/>
        <v>0</v>
      </c>
      <c r="GP23" s="150">
        <f t="shared" si="273"/>
        <v>0</v>
      </c>
      <c r="GQ23" s="150">
        <f t="shared" si="274"/>
        <v>13366.870031637793</v>
      </c>
      <c r="GR23" s="150">
        <f t="shared" si="275"/>
        <v>766.57470904261709</v>
      </c>
      <c r="GS23" s="150">
        <f t="shared" si="276"/>
        <v>0</v>
      </c>
      <c r="GT23" s="150">
        <f t="shared" si="277"/>
        <v>890.73365636199458</v>
      </c>
      <c r="GU23" s="150">
        <f t="shared" si="278"/>
        <v>0</v>
      </c>
      <c r="GV23" s="150">
        <f t="shared" si="279"/>
        <v>0</v>
      </c>
      <c r="GW23" s="150">
        <f t="shared" si="280"/>
        <v>0</v>
      </c>
      <c r="GX23" s="150">
        <f t="shared" si="281"/>
        <v>0</v>
      </c>
      <c r="GY23" s="150">
        <f t="shared" si="282"/>
        <v>11032.012354078797</v>
      </c>
      <c r="GZ23" s="150">
        <f t="shared" si="283"/>
        <v>890.73365636199458</v>
      </c>
      <c r="HA23" s="150">
        <f t="shared" si="284"/>
        <v>3562.9346254479783</v>
      </c>
      <c r="HB23" s="150">
        <f t="shared" si="285"/>
        <v>890.73365636199458</v>
      </c>
      <c r="HC23" s="150">
        <f t="shared" si="286"/>
        <v>1781.4673127239892</v>
      </c>
      <c r="HD23" s="150">
        <f t="shared" si="287"/>
        <v>0</v>
      </c>
      <c r="HE23" s="150">
        <f t="shared" si="288"/>
        <v>0</v>
      </c>
      <c r="HF23" s="150">
        <f t="shared" si="289"/>
        <v>20513.997546028098</v>
      </c>
      <c r="HG23" s="150">
        <f t="shared" si="290"/>
        <v>1106.6389071462227</v>
      </c>
      <c r="HH23" s="150">
        <f t="shared" si="291"/>
        <v>16506.937957182487</v>
      </c>
      <c r="HI23" s="150">
        <f t="shared" si="292"/>
        <v>0</v>
      </c>
      <c r="HJ23" s="150">
        <f t="shared" si="293"/>
        <v>0</v>
      </c>
      <c r="HK23" s="150">
        <f t="shared" si="294"/>
        <v>0</v>
      </c>
      <c r="HL23" s="26"/>
      <c r="HN23" s="147">
        <f t="shared" si="295"/>
        <v>1987.1571704171054</v>
      </c>
      <c r="HO23" s="147">
        <f t="shared" si="296"/>
        <v>0</v>
      </c>
      <c r="HP23" s="147">
        <f t="shared" si="297"/>
        <v>0</v>
      </c>
      <c r="HQ23" s="147">
        <f t="shared" si="298"/>
        <v>0</v>
      </c>
      <c r="HR23" s="147">
        <f t="shared" si="299"/>
        <v>0</v>
      </c>
      <c r="HS23" s="147">
        <f t="shared" si="300"/>
        <v>15290.147808659787</v>
      </c>
      <c r="HT23" s="147">
        <f t="shared" si="301"/>
        <v>876.87248996209848</v>
      </c>
      <c r="HU23" s="147">
        <f t="shared" si="302"/>
        <v>0</v>
      </c>
      <c r="HV23" s="147">
        <f t="shared" si="303"/>
        <v>1018.8959144277795</v>
      </c>
      <c r="HW23" s="147">
        <f t="shared" si="304"/>
        <v>0</v>
      </c>
      <c r="HX23" s="147">
        <f t="shared" si="305"/>
        <v>0</v>
      </c>
      <c r="HY23" s="147">
        <f t="shared" si="306"/>
        <v>0</v>
      </c>
      <c r="HZ23" s="147">
        <f t="shared" si="307"/>
        <v>0</v>
      </c>
      <c r="IA23" s="147">
        <f t="shared" si="308"/>
        <v>12619.341635070701</v>
      </c>
      <c r="IB23" s="147">
        <f t="shared" si="309"/>
        <v>1018.8959144277795</v>
      </c>
      <c r="IC23" s="147">
        <f t="shared" si="310"/>
        <v>4075.5836577111181</v>
      </c>
      <c r="ID23" s="147">
        <f t="shared" si="311"/>
        <v>1018.8959144277795</v>
      </c>
      <c r="IE23" s="147">
        <f t="shared" si="312"/>
        <v>2037.7918288555591</v>
      </c>
      <c r="IF23" s="147">
        <f t="shared" si="313"/>
        <v>0</v>
      </c>
      <c r="IG23" s="147">
        <f t="shared" si="314"/>
        <v>0</v>
      </c>
      <c r="IH23" s="147">
        <f t="shared" si="315"/>
        <v>23465.63211004917</v>
      </c>
      <c r="II23" s="147">
        <f t="shared" si="316"/>
        <v>1265.8664609613361</v>
      </c>
      <c r="IJ23" s="147">
        <f t="shared" si="317"/>
        <v>18882.021044291698</v>
      </c>
      <c r="IK23" s="147">
        <f t="shared" si="318"/>
        <v>0</v>
      </c>
      <c r="IL23" s="147">
        <f t="shared" si="319"/>
        <v>0</v>
      </c>
      <c r="IM23" s="147">
        <f t="shared" si="320"/>
        <v>0</v>
      </c>
      <c r="IN23" s="26"/>
      <c r="IP23" s="61">
        <f t="shared" si="321"/>
        <v>2194.6145657915667</v>
      </c>
      <c r="IQ23" s="61">
        <f t="shared" si="322"/>
        <v>0</v>
      </c>
      <c r="IR23" s="61">
        <f t="shared" si="323"/>
        <v>0</v>
      </c>
      <c r="IS23" s="61">
        <f t="shared" si="324"/>
        <v>0</v>
      </c>
      <c r="IT23" s="61">
        <f t="shared" si="325"/>
        <v>0</v>
      </c>
      <c r="IU23" s="61">
        <f t="shared" si="326"/>
        <v>16886.425288115159</v>
      </c>
      <c r="IV23" s="61">
        <f t="shared" si="327"/>
        <v>968.41717779616238</v>
      </c>
      <c r="IW23" s="61">
        <f t="shared" si="328"/>
        <v>0</v>
      </c>
      <c r="IX23" s="61">
        <f t="shared" si="329"/>
        <v>1125.2677181842478</v>
      </c>
      <c r="IY23" s="61">
        <f t="shared" si="330"/>
        <v>0</v>
      </c>
      <c r="IZ23" s="61">
        <f t="shared" si="331"/>
        <v>0</v>
      </c>
      <c r="JA23" s="61">
        <f t="shared" si="332"/>
        <v>0</v>
      </c>
      <c r="JB23" s="61">
        <f t="shared" si="333"/>
        <v>0</v>
      </c>
      <c r="JC23" s="61">
        <f t="shared" si="334"/>
        <v>13936.789387028213</v>
      </c>
      <c r="JD23" s="61">
        <f t="shared" si="335"/>
        <v>1125.2677181842478</v>
      </c>
      <c r="JE23" s="61">
        <f t="shared" si="336"/>
        <v>4501.0708727369911</v>
      </c>
      <c r="JF23" s="61">
        <f t="shared" si="337"/>
        <v>1125.2677181842478</v>
      </c>
      <c r="JG23" s="61">
        <f t="shared" si="338"/>
        <v>2250.5354363684955</v>
      </c>
      <c r="JH23" s="61">
        <f t="shared" si="339"/>
        <v>0</v>
      </c>
      <c r="JI23" s="61">
        <f t="shared" si="340"/>
        <v>0</v>
      </c>
      <c r="JJ23" s="61">
        <f t="shared" si="341"/>
        <v>25915.422690702791</v>
      </c>
      <c r="JK23" s="61">
        <f t="shared" si="342"/>
        <v>1398.0217644232175</v>
      </c>
      <c r="JL23" s="61">
        <f t="shared" si="343"/>
        <v>20853.286812078095</v>
      </c>
      <c r="JM23" s="61">
        <f t="shared" si="344"/>
        <v>0</v>
      </c>
      <c r="JN23" s="61">
        <f t="shared" si="345"/>
        <v>0</v>
      </c>
      <c r="JO23" s="61">
        <f t="shared" si="346"/>
        <v>0</v>
      </c>
      <c r="JQ23" s="26">
        <f t="shared" si="209"/>
        <v>299978.99999999994</v>
      </c>
      <c r="JR23" s="156">
        <f t="shared" si="210"/>
        <v>0.99999999999999978</v>
      </c>
      <c r="JT23" s="157">
        <f t="shared" si="347"/>
        <v>7134.1083752105696</v>
      </c>
      <c r="JU23" s="29">
        <f t="shared" si="348"/>
        <v>1</v>
      </c>
    </row>
    <row r="24" spans="1:281" ht="18.75" x14ac:dyDescent="0.3">
      <c r="A24" t="s">
        <v>12</v>
      </c>
      <c r="B24" t="s">
        <v>11</v>
      </c>
      <c r="C24" t="s">
        <v>33</v>
      </c>
      <c r="D24" t="s">
        <v>25</v>
      </c>
      <c r="E24" t="s">
        <v>36</v>
      </c>
      <c r="F24" s="113">
        <v>82</v>
      </c>
      <c r="G24" s="15">
        <v>700003</v>
      </c>
      <c r="H24" s="20">
        <v>400002</v>
      </c>
      <c r="I24" s="23">
        <v>1.7499987500062499</v>
      </c>
      <c r="J24" s="9">
        <v>2.3782025992521376E-2</v>
      </c>
      <c r="K24" s="9">
        <v>0</v>
      </c>
      <c r="L24" s="9">
        <v>0</v>
      </c>
      <c r="M24" s="9">
        <v>0</v>
      </c>
      <c r="N24" s="9">
        <v>0</v>
      </c>
      <c r="O24" s="9">
        <v>0.18299040359183794</v>
      </c>
      <c r="P24" s="9">
        <v>1.0494290365582073E-2</v>
      </c>
      <c r="Q24" s="9">
        <v>0</v>
      </c>
      <c r="R24" s="9">
        <v>1.2194007339393844E-2</v>
      </c>
      <c r="S24" s="9">
        <v>0</v>
      </c>
      <c r="T24" s="9">
        <v>0</v>
      </c>
      <c r="U24" s="9">
        <v>0</v>
      </c>
      <c r="V24" s="9">
        <v>0</v>
      </c>
      <c r="W24" s="9">
        <v>0.15102655957040612</v>
      </c>
      <c r="X24" s="9">
        <v>1.2194007339393844E-2</v>
      </c>
      <c r="Y24" s="9">
        <v>4.8776029357575378E-2</v>
      </c>
      <c r="Z24" s="9">
        <v>1.2194007339393844E-2</v>
      </c>
      <c r="AA24" s="9">
        <v>2.4388014678787689E-2</v>
      </c>
      <c r="AB24" s="9">
        <v>0</v>
      </c>
      <c r="AC24" s="9">
        <v>0</v>
      </c>
      <c r="AD24" s="9">
        <v>0.2808334846785151</v>
      </c>
      <c r="AE24" s="9">
        <v>1.5149717156657775E-2</v>
      </c>
      <c r="AF24" s="9">
        <v>0.22597745258993496</v>
      </c>
      <c r="AG24" s="9">
        <v>0</v>
      </c>
      <c r="AH24" s="9">
        <v>0</v>
      </c>
      <c r="AI24" s="9">
        <v>0</v>
      </c>
      <c r="AJ24" s="8">
        <f t="shared" si="124"/>
        <v>1</v>
      </c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9"/>
      <c r="BM24" s="26">
        <f t="shared" si="150"/>
        <v>16647.48954084294</v>
      </c>
      <c r="BN24" s="26">
        <f t="shared" si="151"/>
        <v>0</v>
      </c>
      <c r="BO24" s="26">
        <f t="shared" si="152"/>
        <v>0</v>
      </c>
      <c r="BP24" s="26">
        <f t="shared" si="153"/>
        <v>0</v>
      </c>
      <c r="BQ24" s="26">
        <f t="shared" si="154"/>
        <v>0</v>
      </c>
      <c r="BR24" s="26">
        <f t="shared" si="155"/>
        <v>128093.83148549733</v>
      </c>
      <c r="BS24" s="26">
        <f t="shared" si="156"/>
        <v>7346.0347387785478</v>
      </c>
      <c r="BT24" s="26">
        <f t="shared" si="157"/>
        <v>0</v>
      </c>
      <c r="BU24" s="26">
        <f t="shared" si="158"/>
        <v>8535.841719597709</v>
      </c>
      <c r="BV24" s="26">
        <f t="shared" si="159"/>
        <v>0</v>
      </c>
      <c r="BW24" s="26">
        <f t="shared" si="160"/>
        <v>0</v>
      </c>
      <c r="BX24" s="26">
        <f t="shared" si="161"/>
        <v>0</v>
      </c>
      <c r="BY24" s="26">
        <f t="shared" si="162"/>
        <v>0</v>
      </c>
      <c r="BZ24" s="26">
        <f t="shared" si="163"/>
        <v>105719.044778963</v>
      </c>
      <c r="CA24" s="26">
        <f t="shared" si="164"/>
        <v>8535.841719597709</v>
      </c>
      <c r="CB24" s="26">
        <f t="shared" si="165"/>
        <v>34143.366878390836</v>
      </c>
      <c r="CC24" s="26">
        <f t="shared" si="166"/>
        <v>8535.841719597709</v>
      </c>
      <c r="CD24" s="26">
        <f t="shared" si="167"/>
        <v>17071.683439195418</v>
      </c>
      <c r="CE24" s="26">
        <f t="shared" si="168"/>
        <v>0</v>
      </c>
      <c r="CF24" s="26">
        <f t="shared" si="169"/>
        <v>0</v>
      </c>
      <c r="CG24" s="26">
        <f t="shared" si="170"/>
        <v>196584.28177541459</v>
      </c>
      <c r="CH24" s="26">
        <f t="shared" si="171"/>
        <v>10604.847458811913</v>
      </c>
      <c r="CI24" s="26">
        <f t="shared" si="172"/>
        <v>158184.89474531225</v>
      </c>
      <c r="CJ24" s="26">
        <f t="shared" si="173"/>
        <v>0</v>
      </c>
      <c r="CK24" s="26">
        <f t="shared" si="174"/>
        <v>0</v>
      </c>
      <c r="CL24" s="26">
        <f t="shared" si="175"/>
        <v>0</v>
      </c>
      <c r="CM24" s="110">
        <f t="shared" si="176"/>
        <v>1</v>
      </c>
      <c r="CN24" s="27">
        <f t="shared" si="177"/>
        <v>9512.8579610605357</v>
      </c>
      <c r="CO24" s="27">
        <f t="shared" si="178"/>
        <v>0</v>
      </c>
      <c r="CP24" s="27">
        <f t="shared" si="179"/>
        <v>0</v>
      </c>
      <c r="CQ24" s="27">
        <f t="shared" si="180"/>
        <v>0</v>
      </c>
      <c r="CR24" s="27">
        <f t="shared" si="181"/>
        <v>0</v>
      </c>
      <c r="CS24" s="27">
        <f t="shared" si="182"/>
        <v>73196.527417542355</v>
      </c>
      <c r="CT24" s="27">
        <f t="shared" si="183"/>
        <v>4197.7371348135603</v>
      </c>
      <c r="CU24" s="27">
        <f t="shared" si="184"/>
        <v>0</v>
      </c>
      <c r="CV24" s="27">
        <f t="shared" si="185"/>
        <v>4877.6273237722162</v>
      </c>
      <c r="CW24" s="27">
        <f t="shared" si="186"/>
        <v>0</v>
      </c>
      <c r="CX24" s="27">
        <f t="shared" si="187"/>
        <v>0</v>
      </c>
      <c r="CY24" s="27">
        <f t="shared" si="188"/>
        <v>0</v>
      </c>
      <c r="CZ24" s="27">
        <f t="shared" si="189"/>
        <v>0</v>
      </c>
      <c r="DA24" s="27">
        <f t="shared" si="190"/>
        <v>60410.92588128159</v>
      </c>
      <c r="DB24" s="27">
        <f t="shared" si="191"/>
        <v>4877.6273237722162</v>
      </c>
      <c r="DC24" s="27">
        <f t="shared" si="192"/>
        <v>19510.509295088865</v>
      </c>
      <c r="DD24" s="27">
        <f t="shared" si="193"/>
        <v>4877.6273237722162</v>
      </c>
      <c r="DE24" s="27">
        <f t="shared" si="194"/>
        <v>9755.2546475444324</v>
      </c>
      <c r="DF24" s="27">
        <f t="shared" si="195"/>
        <v>0</v>
      </c>
      <c r="DG24" s="27">
        <f t="shared" si="196"/>
        <v>0</v>
      </c>
      <c r="DH24" s="27">
        <f t="shared" si="197"/>
        <v>112333.95553837539</v>
      </c>
      <c r="DI24" s="27">
        <f t="shared" si="198"/>
        <v>6059.9171620974239</v>
      </c>
      <c r="DJ24" s="27">
        <f t="shared" si="199"/>
        <v>90391.43299087917</v>
      </c>
      <c r="DK24" s="27">
        <f t="shared" si="200"/>
        <v>0</v>
      </c>
      <c r="DL24" s="27">
        <f t="shared" si="201"/>
        <v>0</v>
      </c>
      <c r="DM24" s="27">
        <f t="shared" si="202"/>
        <v>0</v>
      </c>
      <c r="DN24" s="110">
        <f t="shared" si="203"/>
        <v>1</v>
      </c>
      <c r="DO24" s="28">
        <f t="shared" si="211"/>
        <v>7134.6315797824045</v>
      </c>
      <c r="DP24" s="28">
        <f t="shared" si="212"/>
        <v>0</v>
      </c>
      <c r="DQ24" s="28">
        <f t="shared" si="213"/>
        <v>0</v>
      </c>
      <c r="DR24" s="28">
        <f t="shared" si="214"/>
        <v>0</v>
      </c>
      <c r="DS24" s="28">
        <f t="shared" si="215"/>
        <v>0</v>
      </c>
      <c r="DT24" s="28">
        <f t="shared" si="216"/>
        <v>54897.304067954974</v>
      </c>
      <c r="DU24" s="28">
        <f t="shared" si="217"/>
        <v>3148.2976039649875</v>
      </c>
      <c r="DV24" s="28">
        <f t="shared" si="218"/>
        <v>0</v>
      </c>
      <c r="DW24" s="28">
        <f t="shared" si="219"/>
        <v>3658.2143958254928</v>
      </c>
      <c r="DX24" s="28">
        <f t="shared" si="220"/>
        <v>0</v>
      </c>
      <c r="DY24" s="28">
        <f t="shared" si="221"/>
        <v>0</v>
      </c>
      <c r="DZ24" s="28">
        <f t="shared" si="222"/>
        <v>0</v>
      </c>
      <c r="EA24" s="28">
        <f t="shared" si="223"/>
        <v>0</v>
      </c>
      <c r="EB24" s="28">
        <f t="shared" si="224"/>
        <v>45308.118897681408</v>
      </c>
      <c r="EC24" s="28">
        <f t="shared" si="225"/>
        <v>3658.2143958254928</v>
      </c>
      <c r="ED24" s="28">
        <f t="shared" si="226"/>
        <v>14632.857583301971</v>
      </c>
      <c r="EE24" s="28">
        <f t="shared" si="227"/>
        <v>3658.2143958254928</v>
      </c>
      <c r="EF24" s="28">
        <f t="shared" si="228"/>
        <v>7316.4287916509857</v>
      </c>
      <c r="EG24" s="28">
        <f t="shared" si="229"/>
        <v>0</v>
      </c>
      <c r="EH24" s="28">
        <f t="shared" si="230"/>
        <v>0</v>
      </c>
      <c r="EI24" s="28">
        <f t="shared" si="231"/>
        <v>84250.326237039204</v>
      </c>
      <c r="EJ24" s="28">
        <f t="shared" si="232"/>
        <v>4544.9302967144895</v>
      </c>
      <c r="EK24" s="28">
        <f t="shared" si="233"/>
        <v>67793.461754433083</v>
      </c>
      <c r="EL24" s="28">
        <f t="shared" si="234"/>
        <v>0</v>
      </c>
      <c r="EM24" s="28">
        <f t="shared" si="235"/>
        <v>0</v>
      </c>
      <c r="EN24" s="28">
        <f t="shared" si="236"/>
        <v>0</v>
      </c>
      <c r="EQ24" s="144">
        <v>4.0076821262137727E-2</v>
      </c>
      <c r="ER24" s="144">
        <v>6.012106043033006E-2</v>
      </c>
      <c r="ES24" s="144">
        <v>7.0143172871611134E-2</v>
      </c>
      <c r="ET24" s="144">
        <v>8.1166336563847682E-2</v>
      </c>
      <c r="EU24" s="144">
        <v>8.1166336563847682E-2</v>
      </c>
      <c r="EV24" s="144">
        <v>8.1166336563847682E-2</v>
      </c>
      <c r="EW24" s="144">
        <v>8.8173666749275736E-2</v>
      </c>
      <c r="EX24" s="144">
        <v>9.0175769251186727E-2</v>
      </c>
      <c r="EY24" s="144">
        <v>0.10019788169246777</v>
      </c>
      <c r="EZ24" s="144">
        <v>9.7194742225231501E-2</v>
      </c>
      <c r="FA24" s="144">
        <v>0.10019788169246777</v>
      </c>
      <c r="FB24" s="144">
        <v>0.11021999413374883</v>
      </c>
      <c r="FC24" s="145">
        <f t="shared" si="237"/>
        <v>1.0000000000000004</v>
      </c>
      <c r="FD24" s="146">
        <f t="shared" si="238"/>
        <v>0.17034105456407894</v>
      </c>
      <c r="FE24" s="146">
        <f t="shared" si="239"/>
        <v>0.24349900969154303</v>
      </c>
      <c r="FF24" s="146">
        <f t="shared" si="240"/>
        <v>0.27854731769293023</v>
      </c>
      <c r="FG24" s="146">
        <f t="shared" si="241"/>
        <v>0.30761261805144813</v>
      </c>
      <c r="FH24" s="145">
        <f t="shared" si="242"/>
        <v>1.0000000000000004</v>
      </c>
      <c r="FJ24" s="52">
        <f t="shared" si="243"/>
        <v>2835.750924231661</v>
      </c>
      <c r="FK24" s="52">
        <f t="shared" si="244"/>
        <v>0</v>
      </c>
      <c r="FL24" s="52">
        <f t="shared" si="245"/>
        <v>0</v>
      </c>
      <c r="FM24" s="52">
        <f t="shared" si="246"/>
        <v>0</v>
      </c>
      <c r="FN24" s="52">
        <f t="shared" si="247"/>
        <v>0</v>
      </c>
      <c r="FO24" s="52">
        <f t="shared" si="248"/>
        <v>21819.638338393033</v>
      </c>
      <c r="FP24" s="52">
        <f t="shared" si="249"/>
        <v>1251.331304267896</v>
      </c>
      <c r="FQ24" s="52">
        <f t="shared" si="250"/>
        <v>0</v>
      </c>
      <c r="FR24" s="52">
        <f t="shared" si="251"/>
        <v>1454.0042801083348</v>
      </c>
      <c r="FS24" s="52">
        <f t="shared" si="252"/>
        <v>0</v>
      </c>
      <c r="FT24" s="52">
        <f t="shared" si="253"/>
        <v>0</v>
      </c>
      <c r="FU24" s="52">
        <f t="shared" si="254"/>
        <v>0</v>
      </c>
      <c r="FV24" s="52">
        <f t="shared" si="255"/>
        <v>0</v>
      </c>
      <c r="FW24" s="52">
        <f t="shared" si="256"/>
        <v>18008.29357515564</v>
      </c>
      <c r="FX24" s="52">
        <f t="shared" si="257"/>
        <v>1454.0042801083348</v>
      </c>
      <c r="FY24" s="52">
        <f t="shared" si="258"/>
        <v>5816.0171204333392</v>
      </c>
      <c r="FZ24" s="52">
        <f t="shared" si="259"/>
        <v>1454.0042801083348</v>
      </c>
      <c r="GA24" s="52">
        <f t="shared" si="260"/>
        <v>2908.0085602166696</v>
      </c>
      <c r="GB24" s="52">
        <f t="shared" si="261"/>
        <v>0</v>
      </c>
      <c r="GC24" s="52">
        <f t="shared" si="262"/>
        <v>0</v>
      </c>
      <c r="GD24" s="52">
        <f t="shared" si="263"/>
        <v>33486.373868346163</v>
      </c>
      <c r="GE24" s="52">
        <f t="shared" si="264"/>
        <v>1806.4408996252141</v>
      </c>
      <c r="GF24" s="52">
        <f t="shared" si="265"/>
        <v>26945.381787024318</v>
      </c>
      <c r="GG24" s="52">
        <f t="shared" si="266"/>
        <v>0</v>
      </c>
      <c r="GH24" s="52">
        <f t="shared" si="267"/>
        <v>0</v>
      </c>
      <c r="GI24" s="52">
        <f t="shared" si="268"/>
        <v>0</v>
      </c>
      <c r="GJ24" s="26"/>
      <c r="GL24" s="150">
        <f t="shared" si="269"/>
        <v>4053.6472170455763</v>
      </c>
      <c r="GM24" s="150">
        <f t="shared" si="270"/>
        <v>0</v>
      </c>
      <c r="GN24" s="150">
        <f t="shared" si="271"/>
        <v>0</v>
      </c>
      <c r="GO24" s="150">
        <f t="shared" si="272"/>
        <v>0</v>
      </c>
      <c r="GP24" s="150">
        <f t="shared" si="273"/>
        <v>0</v>
      </c>
      <c r="GQ24" s="150">
        <f t="shared" si="274"/>
        <v>31190.721114313994</v>
      </c>
      <c r="GR24" s="150">
        <f t="shared" si="275"/>
        <v>1788.7521840522495</v>
      </c>
      <c r="GS24" s="150">
        <f t="shared" si="276"/>
        <v>0</v>
      </c>
      <c r="GT24" s="150">
        <f t="shared" si="277"/>
        <v>2078.4690056057998</v>
      </c>
      <c r="GU24" s="150">
        <f t="shared" si="278"/>
        <v>0</v>
      </c>
      <c r="GV24" s="150">
        <f t="shared" si="279"/>
        <v>0</v>
      </c>
      <c r="GW24" s="150">
        <f t="shared" si="280"/>
        <v>0</v>
      </c>
      <c r="GX24" s="150">
        <f t="shared" si="281"/>
        <v>0</v>
      </c>
      <c r="GY24" s="150">
        <f t="shared" si="282"/>
        <v>25742.482709213382</v>
      </c>
      <c r="GZ24" s="150">
        <f t="shared" si="283"/>
        <v>2078.4690056057998</v>
      </c>
      <c r="HA24" s="150">
        <f t="shared" si="284"/>
        <v>8313.8760224231992</v>
      </c>
      <c r="HB24" s="150">
        <f t="shared" si="285"/>
        <v>2078.4690056057998</v>
      </c>
      <c r="HC24" s="150">
        <f t="shared" si="286"/>
        <v>4156.9380112115996</v>
      </c>
      <c r="HD24" s="150">
        <f t="shared" si="287"/>
        <v>0</v>
      </c>
      <c r="HE24" s="150">
        <f t="shared" si="288"/>
        <v>0</v>
      </c>
      <c r="HF24" s="150">
        <f t="shared" si="289"/>
        <v>47868.077933236702</v>
      </c>
      <c r="HG24" s="150">
        <f t="shared" si="290"/>
        <v>2582.2698541505774</v>
      </c>
      <c r="HH24" s="150">
        <f t="shared" si="291"/>
        <v>38517.865218644503</v>
      </c>
      <c r="HI24" s="150">
        <f t="shared" si="292"/>
        <v>0</v>
      </c>
      <c r="HJ24" s="150">
        <f t="shared" si="293"/>
        <v>0</v>
      </c>
      <c r="HK24" s="150">
        <f t="shared" si="294"/>
        <v>0</v>
      </c>
      <c r="HL24" s="26"/>
      <c r="HN24" s="147">
        <f t="shared" si="295"/>
        <v>4637.1135579229112</v>
      </c>
      <c r="HO24" s="147">
        <f t="shared" si="296"/>
        <v>0</v>
      </c>
      <c r="HP24" s="147">
        <f t="shared" si="297"/>
        <v>0</v>
      </c>
      <c r="HQ24" s="147">
        <f t="shared" si="298"/>
        <v>0</v>
      </c>
      <c r="HR24" s="147">
        <f t="shared" si="299"/>
        <v>0</v>
      </c>
      <c r="HS24" s="147">
        <f t="shared" si="300"/>
        <v>35680.193173295491</v>
      </c>
      <c r="HT24" s="147">
        <f t="shared" si="301"/>
        <v>2046.2182721658498</v>
      </c>
      <c r="HU24" s="147">
        <f t="shared" si="302"/>
        <v>0</v>
      </c>
      <c r="HV24" s="147">
        <f t="shared" si="303"/>
        <v>2377.6358152453508</v>
      </c>
      <c r="HW24" s="147">
        <f t="shared" si="304"/>
        <v>0</v>
      </c>
      <c r="HX24" s="147">
        <f t="shared" si="305"/>
        <v>0</v>
      </c>
      <c r="HY24" s="147">
        <f t="shared" si="306"/>
        <v>0</v>
      </c>
      <c r="HZ24" s="147">
        <f t="shared" si="307"/>
        <v>0</v>
      </c>
      <c r="IA24" s="147">
        <f t="shared" si="308"/>
        <v>29447.756352238925</v>
      </c>
      <c r="IB24" s="147">
        <f t="shared" si="309"/>
        <v>2377.6358152453508</v>
      </c>
      <c r="IC24" s="147">
        <f t="shared" si="310"/>
        <v>9510.5432609814034</v>
      </c>
      <c r="ID24" s="147">
        <f t="shared" si="311"/>
        <v>2377.6358152453508</v>
      </c>
      <c r="IE24" s="147">
        <f t="shared" si="312"/>
        <v>4755.2716304907017</v>
      </c>
      <c r="IF24" s="147">
        <f t="shared" si="313"/>
        <v>0</v>
      </c>
      <c r="IG24" s="147">
        <f t="shared" si="314"/>
        <v>0</v>
      </c>
      <c r="IH24" s="147">
        <f t="shared" si="315"/>
        <v>54758.024389132923</v>
      </c>
      <c r="II24" s="147">
        <f t="shared" si="316"/>
        <v>2953.951814194746</v>
      </c>
      <c r="IJ24" s="147">
        <f t="shared" si="317"/>
        <v>44061.978130845222</v>
      </c>
      <c r="IK24" s="147">
        <f t="shared" si="318"/>
        <v>0</v>
      </c>
      <c r="IL24" s="147">
        <f t="shared" si="319"/>
        <v>0</v>
      </c>
      <c r="IM24" s="147">
        <f t="shared" si="320"/>
        <v>0</v>
      </c>
      <c r="IN24" s="26"/>
      <c r="IP24" s="61">
        <f t="shared" si="321"/>
        <v>5120.9778416427971</v>
      </c>
      <c r="IQ24" s="61">
        <f t="shared" si="322"/>
        <v>0</v>
      </c>
      <c r="IR24" s="61">
        <f t="shared" si="323"/>
        <v>0</v>
      </c>
      <c r="IS24" s="61">
        <f t="shared" si="324"/>
        <v>0</v>
      </c>
      <c r="IT24" s="61">
        <f t="shared" si="325"/>
        <v>0</v>
      </c>
      <c r="IU24" s="61">
        <f t="shared" si="326"/>
        <v>39403.278859494851</v>
      </c>
      <c r="IV24" s="61">
        <f t="shared" si="327"/>
        <v>2259.7329782925549</v>
      </c>
      <c r="IW24" s="61">
        <f t="shared" si="328"/>
        <v>0</v>
      </c>
      <c r="IX24" s="61">
        <f t="shared" si="329"/>
        <v>2625.7326186382261</v>
      </c>
      <c r="IY24" s="61">
        <f t="shared" si="330"/>
        <v>0</v>
      </c>
      <c r="IZ24" s="61">
        <f t="shared" si="331"/>
        <v>0</v>
      </c>
      <c r="JA24" s="61">
        <f t="shared" si="332"/>
        <v>0</v>
      </c>
      <c r="JB24" s="61">
        <f t="shared" si="333"/>
        <v>0</v>
      </c>
      <c r="JC24" s="61">
        <f t="shared" si="334"/>
        <v>32520.512142355085</v>
      </c>
      <c r="JD24" s="61">
        <f t="shared" si="335"/>
        <v>2625.7326186382261</v>
      </c>
      <c r="JE24" s="61">
        <f t="shared" si="336"/>
        <v>10502.930474552904</v>
      </c>
      <c r="JF24" s="61">
        <f t="shared" si="337"/>
        <v>2625.7326186382261</v>
      </c>
      <c r="JG24" s="61">
        <f t="shared" si="338"/>
        <v>5251.4652372764522</v>
      </c>
      <c r="JH24" s="61">
        <f t="shared" si="339"/>
        <v>0</v>
      </c>
      <c r="JI24" s="61">
        <f t="shared" si="340"/>
        <v>0</v>
      </c>
      <c r="JJ24" s="61">
        <f t="shared" si="341"/>
        <v>60471.805584698865</v>
      </c>
      <c r="JK24" s="61">
        <f t="shared" si="342"/>
        <v>3262.1848908413795</v>
      </c>
      <c r="JL24" s="61">
        <f t="shared" si="343"/>
        <v>48659.669608798264</v>
      </c>
      <c r="JM24" s="61">
        <f t="shared" si="344"/>
        <v>0</v>
      </c>
      <c r="JN24" s="61">
        <f t="shared" si="345"/>
        <v>0</v>
      </c>
      <c r="JO24" s="61">
        <f t="shared" si="346"/>
        <v>0</v>
      </c>
      <c r="JQ24" s="26">
        <f t="shared" si="209"/>
        <v>700003.00000000035</v>
      </c>
      <c r="JR24" s="156">
        <f t="shared" si="210"/>
        <v>1.0000000000000004</v>
      </c>
      <c r="JT24" s="157">
        <f t="shared" si="347"/>
        <v>16647.489540842944</v>
      </c>
      <c r="JU24" s="29">
        <f t="shared" si="348"/>
        <v>1.0000000000000002</v>
      </c>
    </row>
    <row r="25" spans="1:281" ht="18.75" x14ac:dyDescent="0.3">
      <c r="A25" t="s">
        <v>12</v>
      </c>
      <c r="B25" t="s">
        <v>1</v>
      </c>
      <c r="C25" t="s">
        <v>16</v>
      </c>
      <c r="D25" t="s">
        <v>17</v>
      </c>
      <c r="E25" t="s">
        <v>18</v>
      </c>
      <c r="F25" s="113">
        <v>2377</v>
      </c>
      <c r="G25" s="15">
        <v>229999</v>
      </c>
      <c r="H25" s="20">
        <v>106989</v>
      </c>
      <c r="I25" s="23">
        <v>2.1497443662432585</v>
      </c>
      <c r="J25" s="9">
        <v>2.3782025992521376E-2</v>
      </c>
      <c r="K25" s="9">
        <v>0</v>
      </c>
      <c r="L25" s="9">
        <v>0</v>
      </c>
      <c r="M25" s="9">
        <v>0</v>
      </c>
      <c r="N25" s="9">
        <v>0</v>
      </c>
      <c r="O25" s="9">
        <v>0.18299040359183794</v>
      </c>
      <c r="P25" s="9">
        <v>1.0494290365582073E-2</v>
      </c>
      <c r="Q25" s="9">
        <v>0</v>
      </c>
      <c r="R25" s="9">
        <v>1.2194007339393844E-2</v>
      </c>
      <c r="S25" s="9">
        <v>0</v>
      </c>
      <c r="T25" s="9">
        <v>0</v>
      </c>
      <c r="U25" s="9">
        <v>0</v>
      </c>
      <c r="V25" s="9">
        <v>0</v>
      </c>
      <c r="W25" s="9">
        <v>0.15102655957040612</v>
      </c>
      <c r="X25" s="9">
        <v>1.2194007339393844E-2</v>
      </c>
      <c r="Y25" s="9">
        <v>4.8776029357575378E-2</v>
      </c>
      <c r="Z25" s="9">
        <v>1.2194007339393844E-2</v>
      </c>
      <c r="AA25" s="9">
        <v>2.4388014678787689E-2</v>
      </c>
      <c r="AB25" s="9">
        <v>0</v>
      </c>
      <c r="AC25" s="9">
        <v>0</v>
      </c>
      <c r="AD25" s="9">
        <v>0.2808334846785151</v>
      </c>
      <c r="AE25" s="9">
        <v>1.5149717156657775E-2</v>
      </c>
      <c r="AF25" s="9">
        <v>0.22597745258993496</v>
      </c>
      <c r="AG25" s="9">
        <v>0</v>
      </c>
      <c r="AH25" s="9">
        <v>0</v>
      </c>
      <c r="AI25" s="9">
        <v>0</v>
      </c>
      <c r="AJ25" s="8">
        <f t="shared" si="124"/>
        <v>1</v>
      </c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9"/>
      <c r="BM25" s="26">
        <f t="shared" si="150"/>
        <v>5469.8421962539242</v>
      </c>
      <c r="BN25" s="26">
        <f t="shared" si="151"/>
        <v>0</v>
      </c>
      <c r="BO25" s="26">
        <f t="shared" si="152"/>
        <v>0</v>
      </c>
      <c r="BP25" s="26">
        <f t="shared" si="153"/>
        <v>0</v>
      </c>
      <c r="BQ25" s="26">
        <f t="shared" si="154"/>
        <v>0</v>
      </c>
      <c r="BR25" s="26">
        <f t="shared" si="155"/>
        <v>42087.609835719137</v>
      </c>
      <c r="BS25" s="26">
        <f t="shared" si="156"/>
        <v>2413.6762897935114</v>
      </c>
      <c r="BT25" s="26">
        <f t="shared" si="157"/>
        <v>0</v>
      </c>
      <c r="BU25" s="26">
        <f t="shared" si="158"/>
        <v>2804.6094940532448</v>
      </c>
      <c r="BV25" s="26">
        <f t="shared" si="159"/>
        <v>0</v>
      </c>
      <c r="BW25" s="26">
        <f t="shared" si="160"/>
        <v>0</v>
      </c>
      <c r="BX25" s="26">
        <f t="shared" si="161"/>
        <v>0</v>
      </c>
      <c r="BY25" s="26">
        <f t="shared" si="162"/>
        <v>0</v>
      </c>
      <c r="BZ25" s="26">
        <f t="shared" si="163"/>
        <v>34735.957674633835</v>
      </c>
      <c r="CA25" s="26">
        <f t="shared" si="164"/>
        <v>2804.6094940532448</v>
      </c>
      <c r="CB25" s="26">
        <f t="shared" si="165"/>
        <v>11218.437976212979</v>
      </c>
      <c r="CC25" s="26">
        <f t="shared" si="166"/>
        <v>2804.6094940532448</v>
      </c>
      <c r="CD25" s="26">
        <f t="shared" si="167"/>
        <v>5609.2189881064896</v>
      </c>
      <c r="CE25" s="26">
        <f t="shared" si="168"/>
        <v>0</v>
      </c>
      <c r="CF25" s="26">
        <f t="shared" si="169"/>
        <v>0</v>
      </c>
      <c r="CG25" s="26">
        <f t="shared" si="170"/>
        <v>64591.420642573794</v>
      </c>
      <c r="CH25" s="26">
        <f t="shared" si="171"/>
        <v>3484.4197963141319</v>
      </c>
      <c r="CI25" s="26">
        <f t="shared" si="172"/>
        <v>51974.588118232452</v>
      </c>
      <c r="CJ25" s="26">
        <f t="shared" si="173"/>
        <v>0</v>
      </c>
      <c r="CK25" s="26">
        <f t="shared" si="174"/>
        <v>0</v>
      </c>
      <c r="CL25" s="26">
        <f t="shared" si="175"/>
        <v>0</v>
      </c>
      <c r="CM25" s="110">
        <f t="shared" si="176"/>
        <v>1</v>
      </c>
      <c r="CN25" s="27">
        <f t="shared" si="177"/>
        <v>2544.4151789138696</v>
      </c>
      <c r="CO25" s="27">
        <f t="shared" si="178"/>
        <v>0</v>
      </c>
      <c r="CP25" s="27">
        <f t="shared" si="179"/>
        <v>0</v>
      </c>
      <c r="CQ25" s="27">
        <f t="shared" si="180"/>
        <v>0</v>
      </c>
      <c r="CR25" s="27">
        <f t="shared" si="181"/>
        <v>0</v>
      </c>
      <c r="CS25" s="27">
        <f t="shared" si="182"/>
        <v>19577.960289887149</v>
      </c>
      <c r="CT25" s="27">
        <f t="shared" si="183"/>
        <v>1122.7736319232604</v>
      </c>
      <c r="CU25" s="27">
        <f t="shared" si="184"/>
        <v>0</v>
      </c>
      <c r="CV25" s="27">
        <f t="shared" si="185"/>
        <v>1304.624651234408</v>
      </c>
      <c r="CW25" s="27">
        <f t="shared" si="186"/>
        <v>0</v>
      </c>
      <c r="CX25" s="27">
        <f t="shared" si="187"/>
        <v>0</v>
      </c>
      <c r="CY25" s="27">
        <f t="shared" si="188"/>
        <v>0</v>
      </c>
      <c r="CZ25" s="27">
        <f t="shared" si="189"/>
        <v>0</v>
      </c>
      <c r="DA25" s="27">
        <f t="shared" si="190"/>
        <v>16158.18058187818</v>
      </c>
      <c r="DB25" s="27">
        <f t="shared" si="191"/>
        <v>1304.624651234408</v>
      </c>
      <c r="DC25" s="27">
        <f t="shared" si="192"/>
        <v>5218.4986049376321</v>
      </c>
      <c r="DD25" s="27">
        <f t="shared" si="193"/>
        <v>1304.624651234408</v>
      </c>
      <c r="DE25" s="27">
        <f t="shared" si="194"/>
        <v>2609.249302468816</v>
      </c>
      <c r="DF25" s="27">
        <f t="shared" si="195"/>
        <v>0</v>
      </c>
      <c r="DG25" s="27">
        <f t="shared" si="196"/>
        <v>0</v>
      </c>
      <c r="DH25" s="27">
        <f t="shared" si="197"/>
        <v>30046.093692269653</v>
      </c>
      <c r="DI25" s="27">
        <f t="shared" si="198"/>
        <v>1620.8530888736586</v>
      </c>
      <c r="DJ25" s="27">
        <f t="shared" si="199"/>
        <v>24177.10167514455</v>
      </c>
      <c r="DK25" s="27">
        <f t="shared" si="200"/>
        <v>0</v>
      </c>
      <c r="DL25" s="27">
        <f t="shared" si="201"/>
        <v>0</v>
      </c>
      <c r="DM25" s="27">
        <f t="shared" si="202"/>
        <v>0</v>
      </c>
      <c r="DN25" s="110">
        <f t="shared" si="203"/>
        <v>1</v>
      </c>
      <c r="DO25" s="28">
        <f t="shared" si="211"/>
        <v>2925.4270173400546</v>
      </c>
      <c r="DP25" s="28">
        <f t="shared" si="212"/>
        <v>0</v>
      </c>
      <c r="DQ25" s="28">
        <f t="shared" si="213"/>
        <v>0</v>
      </c>
      <c r="DR25" s="28">
        <f t="shared" si="214"/>
        <v>0</v>
      </c>
      <c r="DS25" s="28">
        <f t="shared" si="215"/>
        <v>0</v>
      </c>
      <c r="DT25" s="28">
        <f t="shared" si="216"/>
        <v>22509.649545831988</v>
      </c>
      <c r="DU25" s="28">
        <f t="shared" si="217"/>
        <v>1290.902657870251</v>
      </c>
      <c r="DV25" s="28">
        <f t="shared" si="218"/>
        <v>0</v>
      </c>
      <c r="DW25" s="28">
        <f t="shared" si="219"/>
        <v>1499.9848428188368</v>
      </c>
      <c r="DX25" s="28">
        <f t="shared" si="220"/>
        <v>0</v>
      </c>
      <c r="DY25" s="28">
        <f t="shared" si="221"/>
        <v>0</v>
      </c>
      <c r="DZ25" s="28">
        <f t="shared" si="222"/>
        <v>0</v>
      </c>
      <c r="EA25" s="28">
        <f t="shared" si="223"/>
        <v>0</v>
      </c>
      <c r="EB25" s="28">
        <f t="shared" si="224"/>
        <v>18577.777092755656</v>
      </c>
      <c r="EC25" s="28">
        <f t="shared" si="225"/>
        <v>1499.9848428188368</v>
      </c>
      <c r="ED25" s="28">
        <f t="shared" si="226"/>
        <v>5999.9393712753472</v>
      </c>
      <c r="EE25" s="28">
        <f t="shared" si="227"/>
        <v>1499.9848428188368</v>
      </c>
      <c r="EF25" s="28">
        <f t="shared" si="228"/>
        <v>2999.9696856376736</v>
      </c>
      <c r="EG25" s="28">
        <f t="shared" si="229"/>
        <v>0</v>
      </c>
      <c r="EH25" s="28">
        <f t="shared" si="230"/>
        <v>0</v>
      </c>
      <c r="EI25" s="28">
        <f t="shared" si="231"/>
        <v>34545.326950304137</v>
      </c>
      <c r="EJ25" s="28">
        <f t="shared" si="232"/>
        <v>1863.5667074404732</v>
      </c>
      <c r="EK25" s="28">
        <f t="shared" si="233"/>
        <v>27797.486443087902</v>
      </c>
      <c r="EL25" s="28">
        <f t="shared" si="234"/>
        <v>0</v>
      </c>
      <c r="EM25" s="28">
        <f t="shared" si="235"/>
        <v>0</v>
      </c>
      <c r="EN25" s="28">
        <f t="shared" si="236"/>
        <v>0</v>
      </c>
      <c r="EQ25" s="144">
        <v>4.0080191339213624E-2</v>
      </c>
      <c r="ER25" s="144">
        <v>6.012006961742157E-2</v>
      </c>
      <c r="ES25" s="144">
        <v>7.0140421800183386E-2</v>
      </c>
      <c r="ET25" s="144">
        <v>8.1162339635799843E-2</v>
      </c>
      <c r="EU25" s="144">
        <v>8.1162339635799843E-2</v>
      </c>
      <c r="EV25" s="144">
        <v>8.1162339635799843E-2</v>
      </c>
      <c r="EW25" s="144">
        <v>8.8176299207086598E-2</v>
      </c>
      <c r="EX25" s="144">
        <v>9.0180300078391326E-2</v>
      </c>
      <c r="EY25" s="144">
        <v>0.10020021747835542</v>
      </c>
      <c r="EZ25" s="144">
        <v>9.719425964967808E-2</v>
      </c>
      <c r="FA25" s="144">
        <v>0.10020021747835542</v>
      </c>
      <c r="FB25" s="144">
        <v>0.11022100444391496</v>
      </c>
      <c r="FC25" s="145">
        <f t="shared" si="237"/>
        <v>0.99999999999999978</v>
      </c>
      <c r="FD25" s="146">
        <f t="shared" si="238"/>
        <v>0.17034068275681857</v>
      </c>
      <c r="FE25" s="146">
        <f t="shared" si="239"/>
        <v>0.24348701890739954</v>
      </c>
      <c r="FF25" s="146">
        <f t="shared" si="240"/>
        <v>0.27855681676383337</v>
      </c>
      <c r="FG25" s="146">
        <f t="shared" si="241"/>
        <v>0.30761548157194846</v>
      </c>
      <c r="FH25" s="145">
        <f t="shared" si="242"/>
        <v>1</v>
      </c>
      <c r="FJ25" s="52">
        <f t="shared" si="243"/>
        <v>931.73665428194943</v>
      </c>
      <c r="FK25" s="52">
        <f t="shared" si="244"/>
        <v>0</v>
      </c>
      <c r="FL25" s="52">
        <f t="shared" si="245"/>
        <v>0</v>
      </c>
      <c r="FM25" s="52">
        <f t="shared" si="246"/>
        <v>0</v>
      </c>
      <c r="FN25" s="52">
        <f t="shared" si="247"/>
        <v>0</v>
      </c>
      <c r="FO25" s="52">
        <f t="shared" si="248"/>
        <v>7169.2321950189908</v>
      </c>
      <c r="FP25" s="52">
        <f t="shared" si="249"/>
        <v>411.1472671573714</v>
      </c>
      <c r="FQ25" s="52">
        <f t="shared" si="250"/>
        <v>0</v>
      </c>
      <c r="FR25" s="52">
        <f t="shared" si="251"/>
        <v>477.73909608328523</v>
      </c>
      <c r="FS25" s="52">
        <f t="shared" si="252"/>
        <v>0</v>
      </c>
      <c r="FT25" s="52">
        <f t="shared" si="253"/>
        <v>0</v>
      </c>
      <c r="FU25" s="52">
        <f t="shared" si="254"/>
        <v>0</v>
      </c>
      <c r="FV25" s="52">
        <f t="shared" si="255"/>
        <v>0</v>
      </c>
      <c r="FW25" s="52">
        <f t="shared" si="256"/>
        <v>5916.9467465090793</v>
      </c>
      <c r="FX25" s="52">
        <f t="shared" si="257"/>
        <v>477.73909608328523</v>
      </c>
      <c r="FY25" s="52">
        <f t="shared" si="258"/>
        <v>1910.9563843331409</v>
      </c>
      <c r="FZ25" s="52">
        <f t="shared" si="259"/>
        <v>477.73909608328523</v>
      </c>
      <c r="GA25" s="52">
        <f t="shared" si="260"/>
        <v>955.47819216657047</v>
      </c>
      <c r="GB25" s="52">
        <f t="shared" si="261"/>
        <v>0</v>
      </c>
      <c r="GC25" s="52">
        <f t="shared" si="262"/>
        <v>0</v>
      </c>
      <c r="GD25" s="52">
        <f t="shared" si="263"/>
        <v>11002.546692488884</v>
      </c>
      <c r="GE25" s="52">
        <f t="shared" si="264"/>
        <v>593.53844711552392</v>
      </c>
      <c r="GF25" s="52">
        <f t="shared" si="265"/>
        <v>8853.3868260641466</v>
      </c>
      <c r="GG25" s="52">
        <f t="shared" si="266"/>
        <v>0</v>
      </c>
      <c r="GH25" s="52">
        <f t="shared" si="267"/>
        <v>0</v>
      </c>
      <c r="GI25" s="52">
        <f t="shared" si="268"/>
        <v>0</v>
      </c>
      <c r="GJ25" s="26"/>
      <c r="GL25" s="150">
        <f t="shared" si="269"/>
        <v>1331.835570259771</v>
      </c>
      <c r="GM25" s="150">
        <f t="shared" si="270"/>
        <v>0</v>
      </c>
      <c r="GN25" s="150">
        <f t="shared" si="271"/>
        <v>0</v>
      </c>
      <c r="GO25" s="150">
        <f t="shared" si="272"/>
        <v>0</v>
      </c>
      <c r="GP25" s="150">
        <f t="shared" si="273"/>
        <v>0</v>
      </c>
      <c r="GQ25" s="150">
        <f t="shared" si="274"/>
        <v>10247.786651837001</v>
      </c>
      <c r="GR25" s="150">
        <f t="shared" si="275"/>
        <v>587.69884440929468</v>
      </c>
      <c r="GS25" s="150">
        <f t="shared" si="276"/>
        <v>0</v>
      </c>
      <c r="GT25" s="150">
        <f t="shared" si="277"/>
        <v>682.88600490641466</v>
      </c>
      <c r="GU25" s="150">
        <f t="shared" si="278"/>
        <v>0</v>
      </c>
      <c r="GV25" s="150">
        <f t="shared" si="279"/>
        <v>0</v>
      </c>
      <c r="GW25" s="150">
        <f t="shared" si="280"/>
        <v>0</v>
      </c>
      <c r="GX25" s="150">
        <f t="shared" si="281"/>
        <v>0</v>
      </c>
      <c r="GY25" s="150">
        <f t="shared" si="282"/>
        <v>8457.7547830901985</v>
      </c>
      <c r="GZ25" s="150">
        <f t="shared" si="283"/>
        <v>682.88600490641466</v>
      </c>
      <c r="HA25" s="150">
        <f t="shared" si="284"/>
        <v>2731.5440196256586</v>
      </c>
      <c r="HB25" s="150">
        <f t="shared" si="285"/>
        <v>682.88600490641466</v>
      </c>
      <c r="HC25" s="150">
        <f t="shared" si="286"/>
        <v>1365.7720098128293</v>
      </c>
      <c r="HD25" s="150">
        <f t="shared" si="287"/>
        <v>0</v>
      </c>
      <c r="HE25" s="150">
        <f t="shared" si="288"/>
        <v>0</v>
      </c>
      <c r="HF25" s="150">
        <f t="shared" si="289"/>
        <v>15727.172459254163</v>
      </c>
      <c r="HG25" s="150">
        <f t="shared" si="290"/>
        <v>848.41098882645633</v>
      </c>
      <c r="HH25" s="150">
        <f t="shared" si="291"/>
        <v>12655.137519848369</v>
      </c>
      <c r="HI25" s="150">
        <f t="shared" si="292"/>
        <v>0</v>
      </c>
      <c r="HJ25" s="150">
        <f t="shared" si="293"/>
        <v>0</v>
      </c>
      <c r="HK25" s="150">
        <f t="shared" si="294"/>
        <v>0</v>
      </c>
      <c r="HL25" s="26"/>
      <c r="HN25" s="147">
        <f t="shared" si="295"/>
        <v>1523.6618303889882</v>
      </c>
      <c r="HO25" s="147">
        <f t="shared" si="296"/>
        <v>0</v>
      </c>
      <c r="HP25" s="147">
        <f t="shared" si="297"/>
        <v>0</v>
      </c>
      <c r="HQ25" s="147">
        <f t="shared" si="298"/>
        <v>0</v>
      </c>
      <c r="HR25" s="147">
        <f t="shared" si="299"/>
        <v>0</v>
      </c>
      <c r="HS25" s="147">
        <f t="shared" si="300"/>
        <v>11723.790621036127</v>
      </c>
      <c r="HT25" s="147">
        <f t="shared" si="301"/>
        <v>672.34598398322032</v>
      </c>
      <c r="HU25" s="147">
        <f t="shared" si="302"/>
        <v>0</v>
      </c>
      <c r="HV25" s="147">
        <f t="shared" si="303"/>
        <v>781.24309292909709</v>
      </c>
      <c r="HW25" s="147">
        <f t="shared" si="304"/>
        <v>0</v>
      </c>
      <c r="HX25" s="147">
        <f t="shared" si="305"/>
        <v>0</v>
      </c>
      <c r="HY25" s="147">
        <f t="shared" si="306"/>
        <v>0</v>
      </c>
      <c r="HZ25" s="147">
        <f t="shared" si="307"/>
        <v>0</v>
      </c>
      <c r="IA25" s="147">
        <f t="shared" si="308"/>
        <v>9675.9377970892492</v>
      </c>
      <c r="IB25" s="147">
        <f t="shared" si="309"/>
        <v>781.24309292909709</v>
      </c>
      <c r="IC25" s="147">
        <f t="shared" si="310"/>
        <v>3124.9723717163884</v>
      </c>
      <c r="ID25" s="147">
        <f t="shared" si="311"/>
        <v>781.24309292909709</v>
      </c>
      <c r="IE25" s="147">
        <f t="shared" si="312"/>
        <v>1562.4861858581942</v>
      </c>
      <c r="IF25" s="147">
        <f t="shared" si="313"/>
        <v>0</v>
      </c>
      <c r="IG25" s="147">
        <f t="shared" si="314"/>
        <v>0</v>
      </c>
      <c r="IH25" s="147">
        <f t="shared" si="315"/>
        <v>17992.380524449112</v>
      </c>
      <c r="II25" s="147">
        <f t="shared" si="316"/>
        <v>970.60888673014927</v>
      </c>
      <c r="IJ25" s="147">
        <f t="shared" si="317"/>
        <v>14477.875818826189</v>
      </c>
      <c r="IK25" s="147">
        <f t="shared" si="318"/>
        <v>0</v>
      </c>
      <c r="IL25" s="147">
        <f t="shared" si="319"/>
        <v>0</v>
      </c>
      <c r="IM25" s="147">
        <f t="shared" si="320"/>
        <v>0</v>
      </c>
      <c r="IN25" s="26"/>
      <c r="IP25" s="61">
        <f t="shared" si="321"/>
        <v>1682.608141323215</v>
      </c>
      <c r="IQ25" s="61">
        <f t="shared" si="322"/>
        <v>0</v>
      </c>
      <c r="IR25" s="61">
        <f t="shared" si="323"/>
        <v>0</v>
      </c>
      <c r="IS25" s="61">
        <f t="shared" si="324"/>
        <v>0</v>
      </c>
      <c r="IT25" s="61">
        <f t="shared" si="325"/>
        <v>0</v>
      </c>
      <c r="IU25" s="61">
        <f t="shared" si="326"/>
        <v>12946.800367827016</v>
      </c>
      <c r="IV25" s="61">
        <f t="shared" si="327"/>
        <v>742.48419424362487</v>
      </c>
      <c r="IW25" s="61">
        <f t="shared" si="328"/>
        <v>0</v>
      </c>
      <c r="IX25" s="61">
        <f t="shared" si="329"/>
        <v>862.74130013444767</v>
      </c>
      <c r="IY25" s="61">
        <f t="shared" si="330"/>
        <v>0</v>
      </c>
      <c r="IZ25" s="61">
        <f t="shared" si="331"/>
        <v>0</v>
      </c>
      <c r="JA25" s="61">
        <f t="shared" si="332"/>
        <v>0</v>
      </c>
      <c r="JB25" s="61">
        <f t="shared" si="333"/>
        <v>0</v>
      </c>
      <c r="JC25" s="61">
        <f t="shared" si="334"/>
        <v>10685.318347945306</v>
      </c>
      <c r="JD25" s="61">
        <f t="shared" si="335"/>
        <v>862.74130013444767</v>
      </c>
      <c r="JE25" s="61">
        <f t="shared" si="336"/>
        <v>3450.9652005377907</v>
      </c>
      <c r="JF25" s="61">
        <f t="shared" si="337"/>
        <v>862.74130013444767</v>
      </c>
      <c r="JG25" s="61">
        <f t="shared" si="338"/>
        <v>1725.4826002688953</v>
      </c>
      <c r="JH25" s="61">
        <f t="shared" si="339"/>
        <v>0</v>
      </c>
      <c r="JI25" s="61">
        <f t="shared" si="340"/>
        <v>0</v>
      </c>
      <c r="JJ25" s="61">
        <f t="shared" si="341"/>
        <v>19869.320966381631</v>
      </c>
      <c r="JK25" s="61">
        <f t="shared" si="342"/>
        <v>1071.8614736420022</v>
      </c>
      <c r="JL25" s="61">
        <f t="shared" si="343"/>
        <v>15988.187953493745</v>
      </c>
      <c r="JM25" s="61">
        <f t="shared" si="344"/>
        <v>0</v>
      </c>
      <c r="JN25" s="61">
        <f t="shared" si="345"/>
        <v>0</v>
      </c>
      <c r="JO25" s="61">
        <f t="shared" si="346"/>
        <v>0</v>
      </c>
      <c r="JQ25" s="26">
        <f t="shared" si="209"/>
        <v>229998.99999999988</v>
      </c>
      <c r="JR25" s="156">
        <f t="shared" si="210"/>
        <v>0.99999999999999944</v>
      </c>
      <c r="JT25" s="157">
        <f t="shared" si="347"/>
        <v>5469.8421962539232</v>
      </c>
      <c r="JU25" s="29">
        <f t="shared" si="348"/>
        <v>0.99999999999999989</v>
      </c>
    </row>
    <row r="26" spans="1:281" ht="18.75" x14ac:dyDescent="0.3">
      <c r="A26" t="s">
        <v>12</v>
      </c>
      <c r="B26" t="s">
        <v>2</v>
      </c>
      <c r="C26" t="s">
        <v>19</v>
      </c>
      <c r="D26" t="s">
        <v>20</v>
      </c>
      <c r="E26" t="s">
        <v>21</v>
      </c>
      <c r="F26" s="113">
        <v>11</v>
      </c>
      <c r="G26" s="15">
        <v>783000</v>
      </c>
      <c r="H26" s="20">
        <v>540000</v>
      </c>
      <c r="I26" s="23">
        <v>1.45</v>
      </c>
      <c r="J26" s="9">
        <v>2.4389870318773949E-2</v>
      </c>
      <c r="K26" s="9">
        <v>1.2194935159386975E-2</v>
      </c>
      <c r="L26" s="9">
        <v>1.2194935159386975E-2</v>
      </c>
      <c r="M26" s="9">
        <v>0</v>
      </c>
      <c r="N26" s="9">
        <v>1.2194935159386975E-2</v>
      </c>
      <c r="O26" s="9">
        <v>5.0310142004735152E-2</v>
      </c>
      <c r="P26" s="9">
        <v>1.2194935159386975E-2</v>
      </c>
      <c r="Q26" s="9">
        <v>0</v>
      </c>
      <c r="R26" s="9">
        <v>1.2194935159386975E-2</v>
      </c>
      <c r="S26" s="9">
        <v>1.2194935159386975E-2</v>
      </c>
      <c r="T26" s="9">
        <v>0</v>
      </c>
      <c r="U26" s="9">
        <v>1.2194935159386975E-2</v>
      </c>
      <c r="V26" s="9">
        <v>1.3239511053877672E-2</v>
      </c>
      <c r="W26" s="9">
        <v>8.5364546115708831E-2</v>
      </c>
      <c r="X26" s="9">
        <v>9.6352748279770403E-3</v>
      </c>
      <c r="Y26" s="9">
        <v>4.8779740637547898E-2</v>
      </c>
      <c r="Z26" s="9">
        <v>1.2194935159386975E-2</v>
      </c>
      <c r="AA26" s="9">
        <v>2.4389870318773949E-2</v>
      </c>
      <c r="AB26" s="9">
        <v>1.2194935159386975E-2</v>
      </c>
      <c r="AC26" s="9">
        <v>1.2194935159386975E-2</v>
      </c>
      <c r="AD26" s="9">
        <v>0.34145818446283532</v>
      </c>
      <c r="AE26" s="9">
        <v>1.2194935159386975E-2</v>
      </c>
      <c r="AF26" s="9">
        <v>0.26828857350651347</v>
      </c>
      <c r="AG26" s="9">
        <v>0</v>
      </c>
      <c r="AH26" s="9">
        <v>0</v>
      </c>
      <c r="AI26" s="9">
        <v>0</v>
      </c>
      <c r="AJ26" s="8">
        <f t="shared" si="124"/>
        <v>0.99999999999999989</v>
      </c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9"/>
      <c r="BM26" s="26">
        <f t="shared" si="150"/>
        <v>19097.268459600004</v>
      </c>
      <c r="BN26" s="26">
        <f t="shared" si="151"/>
        <v>9548.6342298000018</v>
      </c>
      <c r="BO26" s="26">
        <f t="shared" si="152"/>
        <v>9548.6342298000018</v>
      </c>
      <c r="BP26" s="26">
        <f t="shared" si="153"/>
        <v>0</v>
      </c>
      <c r="BQ26" s="26">
        <f t="shared" si="154"/>
        <v>9548.6342298000018</v>
      </c>
      <c r="BR26" s="26">
        <f t="shared" si="155"/>
        <v>39392.841189707622</v>
      </c>
      <c r="BS26" s="26">
        <f t="shared" si="156"/>
        <v>9548.6342298000018</v>
      </c>
      <c r="BT26" s="26">
        <f t="shared" si="157"/>
        <v>0</v>
      </c>
      <c r="BU26" s="26">
        <f t="shared" si="158"/>
        <v>9548.6342298000018</v>
      </c>
      <c r="BV26" s="26">
        <f t="shared" si="159"/>
        <v>9548.6342298000018</v>
      </c>
      <c r="BW26" s="26">
        <f t="shared" si="160"/>
        <v>0</v>
      </c>
      <c r="BX26" s="26">
        <f t="shared" si="161"/>
        <v>9548.6342298000018</v>
      </c>
      <c r="BY26" s="26">
        <f t="shared" si="162"/>
        <v>10366.537155186217</v>
      </c>
      <c r="BZ26" s="26">
        <f t="shared" si="163"/>
        <v>66840.43960860002</v>
      </c>
      <c r="CA26" s="26">
        <f t="shared" si="164"/>
        <v>7544.420190306023</v>
      </c>
      <c r="CB26" s="26">
        <f t="shared" si="165"/>
        <v>38194.536919200007</v>
      </c>
      <c r="CC26" s="26">
        <f t="shared" si="166"/>
        <v>9548.6342298000018</v>
      </c>
      <c r="CD26" s="26">
        <f t="shared" si="167"/>
        <v>19097.268459600004</v>
      </c>
      <c r="CE26" s="26">
        <f t="shared" si="168"/>
        <v>9548.6342298000018</v>
      </c>
      <c r="CF26" s="26">
        <f t="shared" si="169"/>
        <v>9548.6342298000018</v>
      </c>
      <c r="CG26" s="26">
        <f t="shared" si="170"/>
        <v>267361.75843440008</v>
      </c>
      <c r="CH26" s="26">
        <f t="shared" si="171"/>
        <v>9548.6342298000018</v>
      </c>
      <c r="CI26" s="26">
        <f t="shared" si="172"/>
        <v>210069.95305560005</v>
      </c>
      <c r="CJ26" s="26">
        <f t="shared" si="173"/>
        <v>0</v>
      </c>
      <c r="CK26" s="26">
        <f t="shared" si="174"/>
        <v>0</v>
      </c>
      <c r="CL26" s="26">
        <f t="shared" si="175"/>
        <v>0</v>
      </c>
      <c r="CM26" s="110">
        <f t="shared" si="176"/>
        <v>1</v>
      </c>
      <c r="CN26" s="27">
        <f t="shared" si="177"/>
        <v>13170.529972137932</v>
      </c>
      <c r="CO26" s="27">
        <f t="shared" si="178"/>
        <v>6585.2649860689662</v>
      </c>
      <c r="CP26" s="27">
        <f t="shared" si="179"/>
        <v>6585.2649860689662</v>
      </c>
      <c r="CQ26" s="27">
        <f t="shared" si="180"/>
        <v>0</v>
      </c>
      <c r="CR26" s="27">
        <f t="shared" si="181"/>
        <v>6585.2649860689662</v>
      </c>
      <c r="CS26" s="27">
        <f t="shared" si="182"/>
        <v>27167.476682556982</v>
      </c>
      <c r="CT26" s="27">
        <f t="shared" si="183"/>
        <v>6585.2649860689662</v>
      </c>
      <c r="CU26" s="27">
        <f t="shared" si="184"/>
        <v>0</v>
      </c>
      <c r="CV26" s="27">
        <f t="shared" si="185"/>
        <v>6585.2649860689662</v>
      </c>
      <c r="CW26" s="27">
        <f t="shared" si="186"/>
        <v>6585.2649860689662</v>
      </c>
      <c r="CX26" s="27">
        <f t="shared" si="187"/>
        <v>0</v>
      </c>
      <c r="CY26" s="27">
        <f t="shared" si="188"/>
        <v>6585.2649860689662</v>
      </c>
      <c r="CZ26" s="27">
        <f t="shared" si="189"/>
        <v>7149.3359690939433</v>
      </c>
      <c r="DA26" s="27">
        <f t="shared" si="190"/>
        <v>46096.854902482766</v>
      </c>
      <c r="DB26" s="27">
        <f t="shared" si="191"/>
        <v>5203.0484071076016</v>
      </c>
      <c r="DC26" s="27">
        <f t="shared" si="192"/>
        <v>26341.059944275865</v>
      </c>
      <c r="DD26" s="27">
        <f t="shared" si="193"/>
        <v>6585.2649860689662</v>
      </c>
      <c r="DE26" s="27">
        <f t="shared" si="194"/>
        <v>13170.529972137932</v>
      </c>
      <c r="DF26" s="27">
        <f t="shared" si="195"/>
        <v>6585.2649860689662</v>
      </c>
      <c r="DG26" s="27">
        <f t="shared" si="196"/>
        <v>6585.2649860689662</v>
      </c>
      <c r="DH26" s="27">
        <f t="shared" si="197"/>
        <v>184387.41960993106</v>
      </c>
      <c r="DI26" s="27">
        <f t="shared" si="198"/>
        <v>6585.2649860689662</v>
      </c>
      <c r="DJ26" s="27">
        <f t="shared" si="199"/>
        <v>144875.82969351727</v>
      </c>
      <c r="DK26" s="27">
        <f t="shared" si="200"/>
        <v>0</v>
      </c>
      <c r="DL26" s="27">
        <f t="shared" si="201"/>
        <v>0</v>
      </c>
      <c r="DM26" s="27">
        <f t="shared" si="202"/>
        <v>0</v>
      </c>
      <c r="DN26" s="110">
        <f t="shared" si="203"/>
        <v>1</v>
      </c>
      <c r="DO26" s="28">
        <f t="shared" si="211"/>
        <v>5926.7384874620711</v>
      </c>
      <c r="DP26" s="28">
        <f t="shared" si="212"/>
        <v>2963.3692437310356</v>
      </c>
      <c r="DQ26" s="28">
        <f t="shared" si="213"/>
        <v>2963.3692437310356</v>
      </c>
      <c r="DR26" s="28">
        <f t="shared" si="214"/>
        <v>0</v>
      </c>
      <c r="DS26" s="28">
        <f t="shared" si="215"/>
        <v>2963.3692437310356</v>
      </c>
      <c r="DT26" s="28">
        <f t="shared" si="216"/>
        <v>12225.36450715064</v>
      </c>
      <c r="DU26" s="28">
        <f t="shared" si="217"/>
        <v>2963.3692437310356</v>
      </c>
      <c r="DV26" s="28">
        <f t="shared" si="218"/>
        <v>0</v>
      </c>
      <c r="DW26" s="28">
        <f t="shared" si="219"/>
        <v>2963.3692437310356</v>
      </c>
      <c r="DX26" s="28">
        <f t="shared" si="220"/>
        <v>2963.3692437310356</v>
      </c>
      <c r="DY26" s="28">
        <f t="shared" si="221"/>
        <v>0</v>
      </c>
      <c r="DZ26" s="28">
        <f t="shared" si="222"/>
        <v>2963.3692437310356</v>
      </c>
      <c r="EA26" s="28">
        <f t="shared" si="223"/>
        <v>3217.2011860922739</v>
      </c>
      <c r="EB26" s="28">
        <f t="shared" si="224"/>
        <v>20743.584706117254</v>
      </c>
      <c r="EC26" s="28">
        <f t="shared" si="225"/>
        <v>2341.3717831984213</v>
      </c>
      <c r="ED26" s="28">
        <f t="shared" si="226"/>
        <v>11853.476974924142</v>
      </c>
      <c r="EE26" s="28">
        <f t="shared" si="227"/>
        <v>2963.3692437310356</v>
      </c>
      <c r="EF26" s="28">
        <f t="shared" si="228"/>
        <v>5926.7384874620711</v>
      </c>
      <c r="EG26" s="28">
        <f t="shared" si="229"/>
        <v>2963.3692437310356</v>
      </c>
      <c r="EH26" s="28">
        <f t="shared" si="230"/>
        <v>2963.3692437310356</v>
      </c>
      <c r="EI26" s="28">
        <f t="shared" si="231"/>
        <v>82974.338824469014</v>
      </c>
      <c r="EJ26" s="28">
        <f t="shared" si="232"/>
        <v>2963.3692437310356</v>
      </c>
      <c r="EK26" s="28">
        <f t="shared" si="233"/>
        <v>65194.123362082784</v>
      </c>
      <c r="EL26" s="28">
        <f t="shared" si="234"/>
        <v>0</v>
      </c>
      <c r="EM26" s="28">
        <f t="shared" si="235"/>
        <v>0</v>
      </c>
      <c r="EN26" s="28">
        <f t="shared" si="236"/>
        <v>0</v>
      </c>
      <c r="EQ26" s="144">
        <v>1</v>
      </c>
      <c r="ER26" s="144">
        <v>0</v>
      </c>
      <c r="ES26" s="144">
        <v>0</v>
      </c>
      <c r="ET26" s="144">
        <v>0</v>
      </c>
      <c r="EU26" s="144">
        <v>0</v>
      </c>
      <c r="EV26" s="144">
        <v>0</v>
      </c>
      <c r="EW26" s="144">
        <v>0</v>
      </c>
      <c r="EX26" s="144">
        <v>0</v>
      </c>
      <c r="EY26" s="144">
        <v>0</v>
      </c>
      <c r="EZ26" s="144">
        <v>0</v>
      </c>
      <c r="FA26" s="144">
        <v>0</v>
      </c>
      <c r="FB26" s="144">
        <v>0</v>
      </c>
      <c r="FC26" s="145">
        <f t="shared" si="237"/>
        <v>1</v>
      </c>
      <c r="FD26" s="146">
        <f t="shared" si="238"/>
        <v>1</v>
      </c>
      <c r="FE26" s="146">
        <f t="shared" si="239"/>
        <v>0</v>
      </c>
      <c r="FF26" s="146">
        <f t="shared" si="240"/>
        <v>0</v>
      </c>
      <c r="FG26" s="146">
        <f t="shared" si="241"/>
        <v>0</v>
      </c>
      <c r="FH26" s="145">
        <f t="shared" si="242"/>
        <v>1</v>
      </c>
      <c r="FJ26" s="52">
        <f t="shared" si="243"/>
        <v>19097.268459600004</v>
      </c>
      <c r="FK26" s="52">
        <f t="shared" si="244"/>
        <v>9548.6342298000018</v>
      </c>
      <c r="FL26" s="52">
        <f t="shared" si="245"/>
        <v>9548.6342298000018</v>
      </c>
      <c r="FM26" s="52">
        <f t="shared" si="246"/>
        <v>0</v>
      </c>
      <c r="FN26" s="52">
        <f t="shared" si="247"/>
        <v>9548.6342298000018</v>
      </c>
      <c r="FO26" s="52">
        <f t="shared" si="248"/>
        <v>39392.841189707622</v>
      </c>
      <c r="FP26" s="52">
        <f t="shared" si="249"/>
        <v>9548.6342298000018</v>
      </c>
      <c r="FQ26" s="52">
        <f t="shared" si="250"/>
        <v>0</v>
      </c>
      <c r="FR26" s="52">
        <f t="shared" si="251"/>
        <v>9548.6342298000018</v>
      </c>
      <c r="FS26" s="52">
        <f t="shared" si="252"/>
        <v>9548.6342298000018</v>
      </c>
      <c r="FT26" s="52">
        <f t="shared" si="253"/>
        <v>0</v>
      </c>
      <c r="FU26" s="52">
        <f t="shared" si="254"/>
        <v>9548.6342298000018</v>
      </c>
      <c r="FV26" s="52">
        <f t="shared" si="255"/>
        <v>10366.537155186217</v>
      </c>
      <c r="FW26" s="52">
        <f t="shared" si="256"/>
        <v>66840.43960860002</v>
      </c>
      <c r="FX26" s="52">
        <f t="shared" si="257"/>
        <v>7544.420190306023</v>
      </c>
      <c r="FY26" s="52">
        <f t="shared" si="258"/>
        <v>38194.536919200007</v>
      </c>
      <c r="FZ26" s="52">
        <f t="shared" si="259"/>
        <v>9548.6342298000018</v>
      </c>
      <c r="GA26" s="52">
        <f t="shared" si="260"/>
        <v>19097.268459600004</v>
      </c>
      <c r="GB26" s="52">
        <f t="shared" si="261"/>
        <v>9548.6342298000018</v>
      </c>
      <c r="GC26" s="52">
        <f t="shared" si="262"/>
        <v>9548.6342298000018</v>
      </c>
      <c r="GD26" s="52">
        <f t="shared" si="263"/>
        <v>267361.75843440008</v>
      </c>
      <c r="GE26" s="52">
        <f t="shared" si="264"/>
        <v>9548.6342298000018</v>
      </c>
      <c r="GF26" s="52">
        <f t="shared" si="265"/>
        <v>210069.95305560005</v>
      </c>
      <c r="GG26" s="52">
        <f t="shared" si="266"/>
        <v>0</v>
      </c>
      <c r="GH26" s="52">
        <f t="shared" si="267"/>
        <v>0</v>
      </c>
      <c r="GI26" s="52">
        <f t="shared" si="268"/>
        <v>0</v>
      </c>
      <c r="GJ26" s="26"/>
      <c r="GL26" s="150">
        <f t="shared" si="269"/>
        <v>0</v>
      </c>
      <c r="GM26" s="150">
        <f t="shared" si="270"/>
        <v>0</v>
      </c>
      <c r="GN26" s="150">
        <f t="shared" si="271"/>
        <v>0</v>
      </c>
      <c r="GO26" s="150">
        <f t="shared" si="272"/>
        <v>0</v>
      </c>
      <c r="GP26" s="150">
        <f t="shared" si="273"/>
        <v>0</v>
      </c>
      <c r="GQ26" s="150">
        <f t="shared" si="274"/>
        <v>0</v>
      </c>
      <c r="GR26" s="150">
        <f t="shared" si="275"/>
        <v>0</v>
      </c>
      <c r="GS26" s="150">
        <f t="shared" si="276"/>
        <v>0</v>
      </c>
      <c r="GT26" s="150">
        <f t="shared" si="277"/>
        <v>0</v>
      </c>
      <c r="GU26" s="150">
        <f t="shared" si="278"/>
        <v>0</v>
      </c>
      <c r="GV26" s="150">
        <f t="shared" si="279"/>
        <v>0</v>
      </c>
      <c r="GW26" s="150">
        <f t="shared" si="280"/>
        <v>0</v>
      </c>
      <c r="GX26" s="150">
        <f t="shared" si="281"/>
        <v>0</v>
      </c>
      <c r="GY26" s="150">
        <f t="shared" si="282"/>
        <v>0</v>
      </c>
      <c r="GZ26" s="150">
        <f t="shared" si="283"/>
        <v>0</v>
      </c>
      <c r="HA26" s="150">
        <f t="shared" si="284"/>
        <v>0</v>
      </c>
      <c r="HB26" s="150">
        <f t="shared" si="285"/>
        <v>0</v>
      </c>
      <c r="HC26" s="150">
        <f t="shared" si="286"/>
        <v>0</v>
      </c>
      <c r="HD26" s="150">
        <f t="shared" si="287"/>
        <v>0</v>
      </c>
      <c r="HE26" s="150">
        <f t="shared" si="288"/>
        <v>0</v>
      </c>
      <c r="HF26" s="150">
        <f t="shared" si="289"/>
        <v>0</v>
      </c>
      <c r="HG26" s="150">
        <f t="shared" si="290"/>
        <v>0</v>
      </c>
      <c r="HH26" s="150">
        <f t="shared" si="291"/>
        <v>0</v>
      </c>
      <c r="HI26" s="150">
        <f t="shared" si="292"/>
        <v>0</v>
      </c>
      <c r="HJ26" s="150">
        <f t="shared" si="293"/>
        <v>0</v>
      </c>
      <c r="HK26" s="150">
        <f t="shared" si="294"/>
        <v>0</v>
      </c>
      <c r="HL26" s="26"/>
      <c r="HN26" s="147">
        <f t="shared" si="295"/>
        <v>0</v>
      </c>
      <c r="HO26" s="147">
        <f t="shared" si="296"/>
        <v>0</v>
      </c>
      <c r="HP26" s="147">
        <f t="shared" si="297"/>
        <v>0</v>
      </c>
      <c r="HQ26" s="147">
        <f t="shared" si="298"/>
        <v>0</v>
      </c>
      <c r="HR26" s="147">
        <f t="shared" si="299"/>
        <v>0</v>
      </c>
      <c r="HS26" s="147">
        <f t="shared" si="300"/>
        <v>0</v>
      </c>
      <c r="HT26" s="147">
        <f t="shared" si="301"/>
        <v>0</v>
      </c>
      <c r="HU26" s="147">
        <f t="shared" si="302"/>
        <v>0</v>
      </c>
      <c r="HV26" s="147">
        <f t="shared" si="303"/>
        <v>0</v>
      </c>
      <c r="HW26" s="147">
        <f t="shared" si="304"/>
        <v>0</v>
      </c>
      <c r="HX26" s="147">
        <f t="shared" si="305"/>
        <v>0</v>
      </c>
      <c r="HY26" s="147">
        <f t="shared" si="306"/>
        <v>0</v>
      </c>
      <c r="HZ26" s="147">
        <f t="shared" si="307"/>
        <v>0</v>
      </c>
      <c r="IA26" s="147">
        <f t="shared" si="308"/>
        <v>0</v>
      </c>
      <c r="IB26" s="147">
        <f t="shared" si="309"/>
        <v>0</v>
      </c>
      <c r="IC26" s="147">
        <f t="shared" si="310"/>
        <v>0</v>
      </c>
      <c r="ID26" s="147">
        <f t="shared" si="311"/>
        <v>0</v>
      </c>
      <c r="IE26" s="147">
        <f t="shared" si="312"/>
        <v>0</v>
      </c>
      <c r="IF26" s="147">
        <f t="shared" si="313"/>
        <v>0</v>
      </c>
      <c r="IG26" s="147">
        <f t="shared" si="314"/>
        <v>0</v>
      </c>
      <c r="IH26" s="147">
        <f t="shared" si="315"/>
        <v>0</v>
      </c>
      <c r="II26" s="147">
        <f t="shared" si="316"/>
        <v>0</v>
      </c>
      <c r="IJ26" s="147">
        <f t="shared" si="317"/>
        <v>0</v>
      </c>
      <c r="IK26" s="147">
        <f t="shared" si="318"/>
        <v>0</v>
      </c>
      <c r="IL26" s="147">
        <f t="shared" si="319"/>
        <v>0</v>
      </c>
      <c r="IM26" s="147">
        <f t="shared" si="320"/>
        <v>0</v>
      </c>
      <c r="IN26" s="26"/>
      <c r="IP26" s="61">
        <f t="shared" si="321"/>
        <v>0</v>
      </c>
      <c r="IQ26" s="61">
        <f t="shared" si="322"/>
        <v>0</v>
      </c>
      <c r="IR26" s="61">
        <f t="shared" si="323"/>
        <v>0</v>
      </c>
      <c r="IS26" s="61">
        <f t="shared" si="324"/>
        <v>0</v>
      </c>
      <c r="IT26" s="61">
        <f t="shared" si="325"/>
        <v>0</v>
      </c>
      <c r="IU26" s="61">
        <f t="shared" si="326"/>
        <v>0</v>
      </c>
      <c r="IV26" s="61">
        <f t="shared" si="327"/>
        <v>0</v>
      </c>
      <c r="IW26" s="61">
        <f t="shared" si="328"/>
        <v>0</v>
      </c>
      <c r="IX26" s="61">
        <f t="shared" si="329"/>
        <v>0</v>
      </c>
      <c r="IY26" s="61">
        <f t="shared" si="330"/>
        <v>0</v>
      </c>
      <c r="IZ26" s="61">
        <f t="shared" si="331"/>
        <v>0</v>
      </c>
      <c r="JA26" s="61">
        <f t="shared" si="332"/>
        <v>0</v>
      </c>
      <c r="JB26" s="61">
        <f t="shared" si="333"/>
        <v>0</v>
      </c>
      <c r="JC26" s="61">
        <f t="shared" si="334"/>
        <v>0</v>
      </c>
      <c r="JD26" s="61">
        <f t="shared" si="335"/>
        <v>0</v>
      </c>
      <c r="JE26" s="61">
        <f t="shared" si="336"/>
        <v>0</v>
      </c>
      <c r="JF26" s="61">
        <f t="shared" si="337"/>
        <v>0</v>
      </c>
      <c r="JG26" s="61">
        <f t="shared" si="338"/>
        <v>0</v>
      </c>
      <c r="JH26" s="61">
        <f t="shared" si="339"/>
        <v>0</v>
      </c>
      <c r="JI26" s="61">
        <f t="shared" si="340"/>
        <v>0</v>
      </c>
      <c r="JJ26" s="61">
        <f t="shared" si="341"/>
        <v>0</v>
      </c>
      <c r="JK26" s="61">
        <f t="shared" si="342"/>
        <v>0</v>
      </c>
      <c r="JL26" s="61">
        <f t="shared" si="343"/>
        <v>0</v>
      </c>
      <c r="JM26" s="61">
        <f t="shared" si="344"/>
        <v>0</v>
      </c>
      <c r="JN26" s="61">
        <f t="shared" si="345"/>
        <v>0</v>
      </c>
      <c r="JO26" s="61">
        <f t="shared" si="346"/>
        <v>0</v>
      </c>
      <c r="JQ26" s="26">
        <f t="shared" si="209"/>
        <v>783000</v>
      </c>
      <c r="JR26" s="156">
        <f t="shared" si="210"/>
        <v>1</v>
      </c>
      <c r="JT26" s="157">
        <f t="shared" si="347"/>
        <v>19097.268459600004</v>
      </c>
      <c r="JU26" s="29">
        <f t="shared" si="348"/>
        <v>1</v>
      </c>
    </row>
    <row r="27" spans="1:281" ht="18.75" x14ac:dyDescent="0.3">
      <c r="A27" t="s">
        <v>12</v>
      </c>
      <c r="B27" t="s">
        <v>3</v>
      </c>
      <c r="C27" t="s">
        <v>19</v>
      </c>
      <c r="D27" t="s">
        <v>20</v>
      </c>
      <c r="E27" t="s">
        <v>22</v>
      </c>
      <c r="F27" s="113">
        <v>5</v>
      </c>
      <c r="G27" s="15">
        <v>435000</v>
      </c>
      <c r="H27" s="20">
        <v>300000</v>
      </c>
      <c r="I27" s="23">
        <v>1.45</v>
      </c>
      <c r="J27" s="9">
        <v>2.4389870318773949E-2</v>
      </c>
      <c r="K27" s="9">
        <v>1.2194935159386975E-2</v>
      </c>
      <c r="L27" s="9">
        <v>1.2194935159386975E-2</v>
      </c>
      <c r="M27" s="9">
        <v>0</v>
      </c>
      <c r="N27" s="9">
        <v>1.2194935159386975E-2</v>
      </c>
      <c r="O27" s="9">
        <v>5.0310142004735152E-2</v>
      </c>
      <c r="P27" s="9">
        <v>1.2194935159386975E-2</v>
      </c>
      <c r="Q27" s="9">
        <v>0</v>
      </c>
      <c r="R27" s="9">
        <v>1.2194935159386975E-2</v>
      </c>
      <c r="S27" s="9">
        <v>1.2194935159386975E-2</v>
      </c>
      <c r="T27" s="9">
        <v>0</v>
      </c>
      <c r="U27" s="9">
        <v>1.2194935159386975E-2</v>
      </c>
      <c r="V27" s="9">
        <v>1.3239511053877672E-2</v>
      </c>
      <c r="W27" s="9">
        <v>8.5364546115708831E-2</v>
      </c>
      <c r="X27" s="9">
        <v>9.6352748279770403E-3</v>
      </c>
      <c r="Y27" s="9">
        <v>4.8779740637547898E-2</v>
      </c>
      <c r="Z27" s="9">
        <v>1.2194935159386975E-2</v>
      </c>
      <c r="AA27" s="9">
        <v>2.4389870318773949E-2</v>
      </c>
      <c r="AB27" s="9">
        <v>1.2194935159386975E-2</v>
      </c>
      <c r="AC27" s="9">
        <v>1.2194935159386975E-2</v>
      </c>
      <c r="AD27" s="9">
        <v>0.34145818446283532</v>
      </c>
      <c r="AE27" s="9">
        <v>1.2194935159386975E-2</v>
      </c>
      <c r="AF27" s="9">
        <v>0.26828857350651347</v>
      </c>
      <c r="AG27" s="9">
        <v>0</v>
      </c>
      <c r="AH27" s="9">
        <v>0</v>
      </c>
      <c r="AI27" s="9">
        <v>0</v>
      </c>
      <c r="AJ27" s="8">
        <f t="shared" si="124"/>
        <v>0.99999999999999989</v>
      </c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9"/>
      <c r="BM27" s="26">
        <f t="shared" si="150"/>
        <v>10609.593588666668</v>
      </c>
      <c r="BN27" s="26">
        <f t="shared" si="151"/>
        <v>5304.7967943333342</v>
      </c>
      <c r="BO27" s="26">
        <f t="shared" si="152"/>
        <v>5304.7967943333342</v>
      </c>
      <c r="BP27" s="26">
        <f t="shared" si="153"/>
        <v>0</v>
      </c>
      <c r="BQ27" s="26">
        <f t="shared" si="154"/>
        <v>5304.7967943333342</v>
      </c>
      <c r="BR27" s="26">
        <f t="shared" si="155"/>
        <v>21884.91177205979</v>
      </c>
      <c r="BS27" s="26">
        <f t="shared" si="156"/>
        <v>5304.7967943333342</v>
      </c>
      <c r="BT27" s="26">
        <f t="shared" si="157"/>
        <v>0</v>
      </c>
      <c r="BU27" s="26">
        <f t="shared" si="158"/>
        <v>5304.7967943333342</v>
      </c>
      <c r="BV27" s="26">
        <f t="shared" si="159"/>
        <v>5304.7967943333342</v>
      </c>
      <c r="BW27" s="26">
        <f t="shared" si="160"/>
        <v>0</v>
      </c>
      <c r="BX27" s="26">
        <f t="shared" si="161"/>
        <v>5304.7967943333342</v>
      </c>
      <c r="BY27" s="26">
        <f t="shared" si="162"/>
        <v>5759.1873084367871</v>
      </c>
      <c r="BZ27" s="26">
        <f t="shared" si="163"/>
        <v>37133.577560333339</v>
      </c>
      <c r="CA27" s="26">
        <f t="shared" si="164"/>
        <v>4191.3445501700126</v>
      </c>
      <c r="CB27" s="26">
        <f t="shared" si="165"/>
        <v>21219.187177333337</v>
      </c>
      <c r="CC27" s="26">
        <f t="shared" si="166"/>
        <v>5304.7967943333342</v>
      </c>
      <c r="CD27" s="26">
        <f t="shared" si="167"/>
        <v>10609.593588666668</v>
      </c>
      <c r="CE27" s="26">
        <f t="shared" si="168"/>
        <v>5304.7967943333342</v>
      </c>
      <c r="CF27" s="26">
        <f t="shared" si="169"/>
        <v>5304.7967943333342</v>
      </c>
      <c r="CG27" s="26">
        <f t="shared" si="170"/>
        <v>148534.31024133335</v>
      </c>
      <c r="CH27" s="26">
        <f t="shared" si="171"/>
        <v>5304.7967943333342</v>
      </c>
      <c r="CI27" s="26">
        <f t="shared" si="172"/>
        <v>116705.52947533336</v>
      </c>
      <c r="CJ27" s="26">
        <f t="shared" si="173"/>
        <v>0</v>
      </c>
      <c r="CK27" s="26">
        <f t="shared" si="174"/>
        <v>0</v>
      </c>
      <c r="CL27" s="26">
        <f t="shared" si="175"/>
        <v>0</v>
      </c>
      <c r="CM27" s="110">
        <f t="shared" si="176"/>
        <v>0.99999999999999978</v>
      </c>
      <c r="CN27" s="27">
        <f t="shared" si="177"/>
        <v>7316.9610956321849</v>
      </c>
      <c r="CO27" s="27">
        <f t="shared" si="178"/>
        <v>3658.4805478160924</v>
      </c>
      <c r="CP27" s="27">
        <f t="shared" si="179"/>
        <v>3658.4805478160924</v>
      </c>
      <c r="CQ27" s="27">
        <f t="shared" si="180"/>
        <v>0</v>
      </c>
      <c r="CR27" s="27">
        <f t="shared" si="181"/>
        <v>3658.4805478160924</v>
      </c>
      <c r="CS27" s="27">
        <f t="shared" si="182"/>
        <v>15093.042601420546</v>
      </c>
      <c r="CT27" s="27">
        <f t="shared" si="183"/>
        <v>3658.4805478160924</v>
      </c>
      <c r="CU27" s="27">
        <f t="shared" si="184"/>
        <v>0</v>
      </c>
      <c r="CV27" s="27">
        <f t="shared" si="185"/>
        <v>3658.4805478160924</v>
      </c>
      <c r="CW27" s="27">
        <f t="shared" si="186"/>
        <v>3658.4805478160924</v>
      </c>
      <c r="CX27" s="27">
        <f t="shared" si="187"/>
        <v>0</v>
      </c>
      <c r="CY27" s="27">
        <f t="shared" si="188"/>
        <v>3658.4805478160924</v>
      </c>
      <c r="CZ27" s="27">
        <f t="shared" si="189"/>
        <v>3971.8533161633018</v>
      </c>
      <c r="DA27" s="27">
        <f t="shared" si="190"/>
        <v>25609.363834712651</v>
      </c>
      <c r="DB27" s="27">
        <f t="shared" si="191"/>
        <v>2890.5824483931119</v>
      </c>
      <c r="DC27" s="27">
        <f t="shared" si="192"/>
        <v>14633.92219126437</v>
      </c>
      <c r="DD27" s="27">
        <f t="shared" si="193"/>
        <v>3658.4805478160924</v>
      </c>
      <c r="DE27" s="27">
        <f t="shared" si="194"/>
        <v>7316.9610956321849</v>
      </c>
      <c r="DF27" s="27">
        <f t="shared" si="195"/>
        <v>3658.4805478160924</v>
      </c>
      <c r="DG27" s="27">
        <f t="shared" si="196"/>
        <v>3658.4805478160924</v>
      </c>
      <c r="DH27" s="27">
        <f t="shared" si="197"/>
        <v>102437.4553388506</v>
      </c>
      <c r="DI27" s="27">
        <f t="shared" si="198"/>
        <v>3658.4805478160924</v>
      </c>
      <c r="DJ27" s="27">
        <f t="shared" si="199"/>
        <v>80486.572051954048</v>
      </c>
      <c r="DK27" s="27">
        <f t="shared" si="200"/>
        <v>0</v>
      </c>
      <c r="DL27" s="27">
        <f t="shared" si="201"/>
        <v>0</v>
      </c>
      <c r="DM27" s="27">
        <f t="shared" si="202"/>
        <v>0</v>
      </c>
      <c r="DN27" s="110">
        <f t="shared" si="203"/>
        <v>1</v>
      </c>
      <c r="DO27" s="28">
        <f t="shared" si="211"/>
        <v>3292.6324930344836</v>
      </c>
      <c r="DP27" s="28">
        <f t="shared" si="212"/>
        <v>1646.3162465172418</v>
      </c>
      <c r="DQ27" s="28">
        <f t="shared" si="213"/>
        <v>1646.3162465172418</v>
      </c>
      <c r="DR27" s="28">
        <f t="shared" si="214"/>
        <v>0</v>
      </c>
      <c r="DS27" s="28">
        <f t="shared" si="215"/>
        <v>1646.3162465172418</v>
      </c>
      <c r="DT27" s="28">
        <f t="shared" si="216"/>
        <v>6791.8691706392437</v>
      </c>
      <c r="DU27" s="28">
        <f t="shared" si="217"/>
        <v>1646.3162465172418</v>
      </c>
      <c r="DV27" s="28">
        <f t="shared" si="218"/>
        <v>0</v>
      </c>
      <c r="DW27" s="28">
        <f t="shared" si="219"/>
        <v>1646.3162465172418</v>
      </c>
      <c r="DX27" s="28">
        <f t="shared" si="220"/>
        <v>1646.3162465172418</v>
      </c>
      <c r="DY27" s="28">
        <f t="shared" si="221"/>
        <v>0</v>
      </c>
      <c r="DZ27" s="28">
        <f t="shared" si="222"/>
        <v>1646.3162465172418</v>
      </c>
      <c r="EA27" s="28">
        <f t="shared" si="223"/>
        <v>1787.3339922734854</v>
      </c>
      <c r="EB27" s="28">
        <f t="shared" si="224"/>
        <v>11524.213725620688</v>
      </c>
      <c r="EC27" s="28">
        <f t="shared" si="225"/>
        <v>1300.7621017769006</v>
      </c>
      <c r="ED27" s="28">
        <f t="shared" si="226"/>
        <v>6585.2649860689671</v>
      </c>
      <c r="EE27" s="28">
        <f t="shared" si="227"/>
        <v>1646.3162465172418</v>
      </c>
      <c r="EF27" s="28">
        <f t="shared" si="228"/>
        <v>3292.6324930344836</v>
      </c>
      <c r="EG27" s="28">
        <f t="shared" si="229"/>
        <v>1646.3162465172418</v>
      </c>
      <c r="EH27" s="28">
        <f t="shared" si="230"/>
        <v>1646.3162465172418</v>
      </c>
      <c r="EI27" s="28">
        <f t="shared" si="231"/>
        <v>46096.854902482752</v>
      </c>
      <c r="EJ27" s="28">
        <f t="shared" si="232"/>
        <v>1646.3162465172418</v>
      </c>
      <c r="EK27" s="28">
        <f t="shared" si="233"/>
        <v>36218.95742337931</v>
      </c>
      <c r="EL27" s="28">
        <f t="shared" si="234"/>
        <v>0</v>
      </c>
      <c r="EM27" s="28">
        <f t="shared" si="235"/>
        <v>0</v>
      </c>
      <c r="EN27" s="28">
        <f t="shared" si="236"/>
        <v>0</v>
      </c>
      <c r="EQ27" s="144">
        <v>0</v>
      </c>
      <c r="ER27" s="144">
        <v>0</v>
      </c>
      <c r="ES27" s="144">
        <v>0</v>
      </c>
      <c r="ET27" s="144">
        <v>0.1</v>
      </c>
      <c r="EU27" s="144">
        <v>0.1</v>
      </c>
      <c r="EV27" s="144">
        <v>0.1</v>
      </c>
      <c r="EW27" s="144">
        <v>0.1</v>
      </c>
      <c r="EX27" s="144">
        <v>0.1</v>
      </c>
      <c r="EY27" s="144">
        <v>0.1</v>
      </c>
      <c r="EZ27" s="144">
        <v>0.15</v>
      </c>
      <c r="FA27" s="144">
        <v>0.15</v>
      </c>
      <c r="FB27" s="144">
        <v>0.1</v>
      </c>
      <c r="FC27" s="145">
        <f t="shared" si="237"/>
        <v>1</v>
      </c>
      <c r="FD27" s="146">
        <f t="shared" si="238"/>
        <v>0</v>
      </c>
      <c r="FE27" s="146">
        <f t="shared" si="239"/>
        <v>0.30000000000000004</v>
      </c>
      <c r="FF27" s="146">
        <f t="shared" si="240"/>
        <v>0.30000000000000004</v>
      </c>
      <c r="FG27" s="146">
        <f t="shared" si="241"/>
        <v>0.4</v>
      </c>
      <c r="FH27" s="145">
        <f t="shared" si="242"/>
        <v>1</v>
      </c>
      <c r="FJ27" s="52">
        <f t="shared" si="243"/>
        <v>0</v>
      </c>
      <c r="FK27" s="52">
        <f t="shared" si="244"/>
        <v>0</v>
      </c>
      <c r="FL27" s="52">
        <f t="shared" si="245"/>
        <v>0</v>
      </c>
      <c r="FM27" s="52">
        <f t="shared" si="246"/>
        <v>0</v>
      </c>
      <c r="FN27" s="52">
        <f t="shared" si="247"/>
        <v>0</v>
      </c>
      <c r="FO27" s="52">
        <f t="shared" si="248"/>
        <v>0</v>
      </c>
      <c r="FP27" s="52">
        <f t="shared" si="249"/>
        <v>0</v>
      </c>
      <c r="FQ27" s="52">
        <f t="shared" si="250"/>
        <v>0</v>
      </c>
      <c r="FR27" s="52">
        <f t="shared" si="251"/>
        <v>0</v>
      </c>
      <c r="FS27" s="52">
        <f t="shared" si="252"/>
        <v>0</v>
      </c>
      <c r="FT27" s="52">
        <f t="shared" si="253"/>
        <v>0</v>
      </c>
      <c r="FU27" s="52">
        <f t="shared" si="254"/>
        <v>0</v>
      </c>
      <c r="FV27" s="52">
        <f t="shared" si="255"/>
        <v>0</v>
      </c>
      <c r="FW27" s="52">
        <f t="shared" si="256"/>
        <v>0</v>
      </c>
      <c r="FX27" s="52">
        <f t="shared" si="257"/>
        <v>0</v>
      </c>
      <c r="FY27" s="52">
        <f t="shared" si="258"/>
        <v>0</v>
      </c>
      <c r="FZ27" s="52">
        <f t="shared" si="259"/>
        <v>0</v>
      </c>
      <c r="GA27" s="52">
        <f t="shared" si="260"/>
        <v>0</v>
      </c>
      <c r="GB27" s="52">
        <f t="shared" si="261"/>
        <v>0</v>
      </c>
      <c r="GC27" s="52">
        <f t="shared" si="262"/>
        <v>0</v>
      </c>
      <c r="GD27" s="52">
        <f t="shared" si="263"/>
        <v>0</v>
      </c>
      <c r="GE27" s="52">
        <f t="shared" si="264"/>
        <v>0</v>
      </c>
      <c r="GF27" s="52">
        <f t="shared" si="265"/>
        <v>0</v>
      </c>
      <c r="GG27" s="52">
        <f t="shared" si="266"/>
        <v>0</v>
      </c>
      <c r="GH27" s="52">
        <f t="shared" si="267"/>
        <v>0</v>
      </c>
      <c r="GI27" s="52">
        <f t="shared" si="268"/>
        <v>0</v>
      </c>
      <c r="GJ27" s="26"/>
      <c r="GL27" s="150">
        <f t="shared" si="269"/>
        <v>3182.8780766000009</v>
      </c>
      <c r="GM27" s="150">
        <f t="shared" si="270"/>
        <v>1591.4390383000004</v>
      </c>
      <c r="GN27" s="150">
        <f t="shared" si="271"/>
        <v>1591.4390383000004</v>
      </c>
      <c r="GO27" s="150">
        <f t="shared" si="272"/>
        <v>0</v>
      </c>
      <c r="GP27" s="150">
        <f t="shared" si="273"/>
        <v>1591.4390383000004</v>
      </c>
      <c r="GQ27" s="150">
        <f t="shared" si="274"/>
        <v>6565.4735316179376</v>
      </c>
      <c r="GR27" s="150">
        <f t="shared" si="275"/>
        <v>1591.4390383000004</v>
      </c>
      <c r="GS27" s="150">
        <f t="shared" si="276"/>
        <v>0</v>
      </c>
      <c r="GT27" s="150">
        <f t="shared" si="277"/>
        <v>1591.4390383000004</v>
      </c>
      <c r="GU27" s="150">
        <f t="shared" si="278"/>
        <v>1591.4390383000004</v>
      </c>
      <c r="GV27" s="150">
        <f t="shared" si="279"/>
        <v>0</v>
      </c>
      <c r="GW27" s="150">
        <f t="shared" si="280"/>
        <v>1591.4390383000004</v>
      </c>
      <c r="GX27" s="150">
        <f t="shared" si="281"/>
        <v>1727.7561925310365</v>
      </c>
      <c r="GY27" s="150">
        <f t="shared" si="282"/>
        <v>11140.073268100003</v>
      </c>
      <c r="GZ27" s="150">
        <f t="shared" si="283"/>
        <v>1257.4033650510039</v>
      </c>
      <c r="HA27" s="150">
        <f t="shared" si="284"/>
        <v>6365.7561532000018</v>
      </c>
      <c r="HB27" s="150">
        <f t="shared" si="285"/>
        <v>1591.4390383000004</v>
      </c>
      <c r="HC27" s="150">
        <f t="shared" si="286"/>
        <v>3182.8780766000009</v>
      </c>
      <c r="HD27" s="150">
        <f t="shared" si="287"/>
        <v>1591.4390383000004</v>
      </c>
      <c r="HE27" s="150">
        <f t="shared" si="288"/>
        <v>1591.4390383000004</v>
      </c>
      <c r="HF27" s="150">
        <f t="shared" si="289"/>
        <v>44560.293072400011</v>
      </c>
      <c r="HG27" s="150">
        <f t="shared" si="290"/>
        <v>1591.4390383000004</v>
      </c>
      <c r="HH27" s="150">
        <f t="shared" si="291"/>
        <v>35011.658842600016</v>
      </c>
      <c r="HI27" s="150">
        <f t="shared" si="292"/>
        <v>0</v>
      </c>
      <c r="HJ27" s="150">
        <f t="shared" si="293"/>
        <v>0</v>
      </c>
      <c r="HK27" s="150">
        <f t="shared" si="294"/>
        <v>0</v>
      </c>
      <c r="HL27" s="26"/>
      <c r="HN27" s="147">
        <f t="shared" si="295"/>
        <v>3182.8780766000009</v>
      </c>
      <c r="HO27" s="147">
        <f t="shared" si="296"/>
        <v>1591.4390383000004</v>
      </c>
      <c r="HP27" s="147">
        <f t="shared" si="297"/>
        <v>1591.4390383000004</v>
      </c>
      <c r="HQ27" s="147">
        <f t="shared" si="298"/>
        <v>0</v>
      </c>
      <c r="HR27" s="147">
        <f t="shared" si="299"/>
        <v>1591.4390383000004</v>
      </c>
      <c r="HS27" s="147">
        <f t="shared" si="300"/>
        <v>6565.4735316179376</v>
      </c>
      <c r="HT27" s="147">
        <f t="shared" si="301"/>
        <v>1591.4390383000004</v>
      </c>
      <c r="HU27" s="147">
        <f t="shared" si="302"/>
        <v>0</v>
      </c>
      <c r="HV27" s="147">
        <f t="shared" si="303"/>
        <v>1591.4390383000004</v>
      </c>
      <c r="HW27" s="147">
        <f t="shared" si="304"/>
        <v>1591.4390383000004</v>
      </c>
      <c r="HX27" s="147">
        <f t="shared" si="305"/>
        <v>0</v>
      </c>
      <c r="HY27" s="147">
        <f t="shared" si="306"/>
        <v>1591.4390383000004</v>
      </c>
      <c r="HZ27" s="147">
        <f t="shared" si="307"/>
        <v>1727.7561925310365</v>
      </c>
      <c r="IA27" s="147">
        <f t="shared" si="308"/>
        <v>11140.073268100003</v>
      </c>
      <c r="IB27" s="147">
        <f t="shared" si="309"/>
        <v>1257.4033650510039</v>
      </c>
      <c r="IC27" s="147">
        <f t="shared" si="310"/>
        <v>6365.7561532000018</v>
      </c>
      <c r="ID27" s="147">
        <f t="shared" si="311"/>
        <v>1591.4390383000004</v>
      </c>
      <c r="IE27" s="147">
        <f t="shared" si="312"/>
        <v>3182.8780766000009</v>
      </c>
      <c r="IF27" s="147">
        <f t="shared" si="313"/>
        <v>1591.4390383000004</v>
      </c>
      <c r="IG27" s="147">
        <f t="shared" si="314"/>
        <v>1591.4390383000004</v>
      </c>
      <c r="IH27" s="147">
        <f t="shared" si="315"/>
        <v>44560.293072400011</v>
      </c>
      <c r="II27" s="147">
        <f t="shared" si="316"/>
        <v>1591.4390383000004</v>
      </c>
      <c r="IJ27" s="147">
        <f t="shared" si="317"/>
        <v>35011.658842600016</v>
      </c>
      <c r="IK27" s="147">
        <f t="shared" si="318"/>
        <v>0</v>
      </c>
      <c r="IL27" s="147">
        <f t="shared" si="319"/>
        <v>0</v>
      </c>
      <c r="IM27" s="147">
        <f t="shared" si="320"/>
        <v>0</v>
      </c>
      <c r="IN27" s="26"/>
      <c r="IP27" s="61">
        <f t="shared" si="321"/>
        <v>4243.8374354666676</v>
      </c>
      <c r="IQ27" s="61">
        <f t="shared" si="322"/>
        <v>2121.9187177333338</v>
      </c>
      <c r="IR27" s="61">
        <f t="shared" si="323"/>
        <v>2121.9187177333338</v>
      </c>
      <c r="IS27" s="61">
        <f t="shared" si="324"/>
        <v>0</v>
      </c>
      <c r="IT27" s="61">
        <f t="shared" si="325"/>
        <v>2121.9187177333338</v>
      </c>
      <c r="IU27" s="61">
        <f t="shared" si="326"/>
        <v>8753.9647088239162</v>
      </c>
      <c r="IV27" s="61">
        <f t="shared" si="327"/>
        <v>2121.9187177333338</v>
      </c>
      <c r="IW27" s="61">
        <f t="shared" si="328"/>
        <v>0</v>
      </c>
      <c r="IX27" s="61">
        <f t="shared" si="329"/>
        <v>2121.9187177333338</v>
      </c>
      <c r="IY27" s="61">
        <f t="shared" si="330"/>
        <v>2121.9187177333338</v>
      </c>
      <c r="IZ27" s="61">
        <f t="shared" si="331"/>
        <v>0</v>
      </c>
      <c r="JA27" s="61">
        <f t="shared" si="332"/>
        <v>2121.9187177333338</v>
      </c>
      <c r="JB27" s="61">
        <f t="shared" si="333"/>
        <v>2303.674923374715</v>
      </c>
      <c r="JC27" s="61">
        <f t="shared" si="334"/>
        <v>14853.431024133337</v>
      </c>
      <c r="JD27" s="61">
        <f t="shared" si="335"/>
        <v>1676.5378200680052</v>
      </c>
      <c r="JE27" s="61">
        <f t="shared" si="336"/>
        <v>8487.6748709333351</v>
      </c>
      <c r="JF27" s="61">
        <f t="shared" si="337"/>
        <v>2121.9187177333338</v>
      </c>
      <c r="JG27" s="61">
        <f t="shared" si="338"/>
        <v>4243.8374354666676</v>
      </c>
      <c r="JH27" s="61">
        <f t="shared" si="339"/>
        <v>2121.9187177333338</v>
      </c>
      <c r="JI27" s="61">
        <f t="shared" si="340"/>
        <v>2121.9187177333338</v>
      </c>
      <c r="JJ27" s="61">
        <f t="shared" si="341"/>
        <v>59413.724096533348</v>
      </c>
      <c r="JK27" s="61">
        <f t="shared" si="342"/>
        <v>2121.9187177333338</v>
      </c>
      <c r="JL27" s="61">
        <f t="shared" si="343"/>
        <v>46682.211790133348</v>
      </c>
      <c r="JM27" s="61">
        <f t="shared" si="344"/>
        <v>0</v>
      </c>
      <c r="JN27" s="61">
        <f t="shared" si="345"/>
        <v>0</v>
      </c>
      <c r="JO27" s="61">
        <f t="shared" si="346"/>
        <v>0</v>
      </c>
      <c r="JQ27" s="26">
        <f t="shared" si="209"/>
        <v>435000.00000000041</v>
      </c>
      <c r="JR27" s="156">
        <f t="shared" si="210"/>
        <v>1.0000000000000009</v>
      </c>
      <c r="JT27" s="157">
        <f t="shared" si="347"/>
        <v>10609.59358866667</v>
      </c>
      <c r="JU27" s="29">
        <f t="shared" si="348"/>
        <v>1.0000000000000002</v>
      </c>
    </row>
    <row r="28" spans="1:281" ht="18.75" x14ac:dyDescent="0.3">
      <c r="A28" t="s">
        <v>12</v>
      </c>
      <c r="B28" t="s">
        <v>4</v>
      </c>
      <c r="C28" t="s">
        <v>19</v>
      </c>
      <c r="D28" t="s">
        <v>20</v>
      </c>
      <c r="E28" t="s">
        <v>23</v>
      </c>
      <c r="F28" s="113">
        <v>6</v>
      </c>
      <c r="G28" s="15">
        <v>600300</v>
      </c>
      <c r="H28" s="20">
        <v>414000</v>
      </c>
      <c r="I28" s="23">
        <v>1.45</v>
      </c>
      <c r="J28" s="9">
        <v>2.4389870318773949E-2</v>
      </c>
      <c r="K28" s="9">
        <v>1.2194935159386975E-2</v>
      </c>
      <c r="L28" s="9">
        <v>1.2194935159386975E-2</v>
      </c>
      <c r="M28" s="9">
        <v>0</v>
      </c>
      <c r="N28" s="9">
        <v>1.2194935159386975E-2</v>
      </c>
      <c r="O28" s="9">
        <v>5.0310142004735152E-2</v>
      </c>
      <c r="P28" s="9">
        <v>1.2194935159386975E-2</v>
      </c>
      <c r="Q28" s="9">
        <v>0</v>
      </c>
      <c r="R28" s="9">
        <v>1.2194935159386975E-2</v>
      </c>
      <c r="S28" s="9">
        <v>1.2194935159386975E-2</v>
      </c>
      <c r="T28" s="9">
        <v>0</v>
      </c>
      <c r="U28" s="9">
        <v>1.2194935159386975E-2</v>
      </c>
      <c r="V28" s="9">
        <v>1.3239511053877672E-2</v>
      </c>
      <c r="W28" s="9">
        <v>8.5364546115708831E-2</v>
      </c>
      <c r="X28" s="9">
        <v>9.6352748279770403E-3</v>
      </c>
      <c r="Y28" s="9">
        <v>4.8779740637547898E-2</v>
      </c>
      <c r="Z28" s="9">
        <v>1.2194935159386975E-2</v>
      </c>
      <c r="AA28" s="9">
        <v>2.4389870318773949E-2</v>
      </c>
      <c r="AB28" s="9">
        <v>1.2194935159386975E-2</v>
      </c>
      <c r="AC28" s="9">
        <v>1.2194935159386975E-2</v>
      </c>
      <c r="AD28" s="9">
        <v>0.34145818446283532</v>
      </c>
      <c r="AE28" s="9">
        <v>1.2194935159386975E-2</v>
      </c>
      <c r="AF28" s="9">
        <v>0.26828857350651347</v>
      </c>
      <c r="AG28" s="9">
        <v>0</v>
      </c>
      <c r="AH28" s="9">
        <v>0</v>
      </c>
      <c r="AI28" s="9">
        <v>0</v>
      </c>
      <c r="AJ28" s="8">
        <f t="shared" si="124"/>
        <v>0.99999999999999989</v>
      </c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9"/>
      <c r="BM28" s="26">
        <f t="shared" si="150"/>
        <v>14641.239152360002</v>
      </c>
      <c r="BN28" s="26">
        <f t="shared" si="151"/>
        <v>7320.6195761800009</v>
      </c>
      <c r="BO28" s="26">
        <f t="shared" si="152"/>
        <v>7320.6195761800009</v>
      </c>
      <c r="BP28" s="26">
        <f t="shared" si="153"/>
        <v>0</v>
      </c>
      <c r="BQ28" s="26">
        <f t="shared" si="154"/>
        <v>7320.6195761800009</v>
      </c>
      <c r="BR28" s="26">
        <f t="shared" si="155"/>
        <v>30201.178245442512</v>
      </c>
      <c r="BS28" s="26">
        <f t="shared" si="156"/>
        <v>7320.6195761800009</v>
      </c>
      <c r="BT28" s="26">
        <f t="shared" si="157"/>
        <v>0</v>
      </c>
      <c r="BU28" s="26">
        <f t="shared" si="158"/>
        <v>7320.6195761800009</v>
      </c>
      <c r="BV28" s="26">
        <f t="shared" si="159"/>
        <v>7320.6195761800009</v>
      </c>
      <c r="BW28" s="26">
        <f t="shared" si="160"/>
        <v>0</v>
      </c>
      <c r="BX28" s="26">
        <f t="shared" si="161"/>
        <v>7320.6195761800009</v>
      </c>
      <c r="BY28" s="26">
        <f t="shared" si="162"/>
        <v>7947.6784856427666</v>
      </c>
      <c r="BZ28" s="26">
        <f t="shared" si="163"/>
        <v>51244.33703326001</v>
      </c>
      <c r="CA28" s="26">
        <f t="shared" si="164"/>
        <v>5784.0554792346175</v>
      </c>
      <c r="CB28" s="26">
        <f t="shared" si="165"/>
        <v>29282.478304720004</v>
      </c>
      <c r="CC28" s="26">
        <f t="shared" si="166"/>
        <v>7320.6195761800009</v>
      </c>
      <c r="CD28" s="26">
        <f t="shared" si="167"/>
        <v>14641.239152360002</v>
      </c>
      <c r="CE28" s="26">
        <f t="shared" si="168"/>
        <v>7320.6195761800009</v>
      </c>
      <c r="CF28" s="26">
        <f t="shared" si="169"/>
        <v>7320.6195761800009</v>
      </c>
      <c r="CG28" s="26">
        <f t="shared" si="170"/>
        <v>204977.34813304004</v>
      </c>
      <c r="CH28" s="26">
        <f t="shared" si="171"/>
        <v>7320.6195761800009</v>
      </c>
      <c r="CI28" s="26">
        <f t="shared" si="172"/>
        <v>161053.63067596004</v>
      </c>
      <c r="CJ28" s="26">
        <f t="shared" si="173"/>
        <v>0</v>
      </c>
      <c r="CK28" s="26">
        <f t="shared" si="174"/>
        <v>0</v>
      </c>
      <c r="CL28" s="26">
        <f t="shared" si="175"/>
        <v>0</v>
      </c>
      <c r="CM28" s="110">
        <f t="shared" si="176"/>
        <v>1</v>
      </c>
      <c r="CN28" s="27">
        <f t="shared" si="177"/>
        <v>10097.406311972414</v>
      </c>
      <c r="CO28" s="27">
        <f t="shared" si="178"/>
        <v>5048.7031559862071</v>
      </c>
      <c r="CP28" s="27">
        <f t="shared" si="179"/>
        <v>5048.7031559862071</v>
      </c>
      <c r="CQ28" s="27">
        <f t="shared" si="180"/>
        <v>0</v>
      </c>
      <c r="CR28" s="27">
        <f t="shared" si="181"/>
        <v>5048.7031559862071</v>
      </c>
      <c r="CS28" s="27">
        <f t="shared" si="182"/>
        <v>20828.398789960353</v>
      </c>
      <c r="CT28" s="27">
        <f t="shared" si="183"/>
        <v>5048.7031559862071</v>
      </c>
      <c r="CU28" s="27">
        <f t="shared" si="184"/>
        <v>0</v>
      </c>
      <c r="CV28" s="27">
        <f t="shared" si="185"/>
        <v>5048.7031559862071</v>
      </c>
      <c r="CW28" s="27">
        <f t="shared" si="186"/>
        <v>5048.7031559862071</v>
      </c>
      <c r="CX28" s="27">
        <f t="shared" si="187"/>
        <v>0</v>
      </c>
      <c r="CY28" s="27">
        <f t="shared" si="188"/>
        <v>5048.7031559862071</v>
      </c>
      <c r="CZ28" s="27">
        <f t="shared" si="189"/>
        <v>5481.1575763053561</v>
      </c>
      <c r="DA28" s="27">
        <f t="shared" si="190"/>
        <v>35340.922091903456</v>
      </c>
      <c r="DB28" s="27">
        <f t="shared" si="191"/>
        <v>3989.0037787824949</v>
      </c>
      <c r="DC28" s="27">
        <f t="shared" si="192"/>
        <v>20194.812623944828</v>
      </c>
      <c r="DD28" s="27">
        <f t="shared" si="193"/>
        <v>5048.7031559862071</v>
      </c>
      <c r="DE28" s="27">
        <f t="shared" si="194"/>
        <v>10097.406311972414</v>
      </c>
      <c r="DF28" s="27">
        <f t="shared" si="195"/>
        <v>5048.7031559862071</v>
      </c>
      <c r="DG28" s="27">
        <f t="shared" si="196"/>
        <v>5048.7031559862071</v>
      </c>
      <c r="DH28" s="27">
        <f t="shared" si="197"/>
        <v>141363.68836761382</v>
      </c>
      <c r="DI28" s="27">
        <f t="shared" si="198"/>
        <v>5048.7031559862071</v>
      </c>
      <c r="DJ28" s="27">
        <f t="shared" si="199"/>
        <v>111071.46943169658</v>
      </c>
      <c r="DK28" s="27">
        <f t="shared" si="200"/>
        <v>0</v>
      </c>
      <c r="DL28" s="27">
        <f t="shared" si="201"/>
        <v>0</v>
      </c>
      <c r="DM28" s="27">
        <f t="shared" si="202"/>
        <v>0</v>
      </c>
      <c r="DN28" s="110">
        <f t="shared" si="203"/>
        <v>1</v>
      </c>
      <c r="DO28" s="28">
        <f t="shared" si="211"/>
        <v>4543.8328403875876</v>
      </c>
      <c r="DP28" s="28">
        <f t="shared" si="212"/>
        <v>2271.9164201937938</v>
      </c>
      <c r="DQ28" s="28">
        <f t="shared" si="213"/>
        <v>2271.9164201937938</v>
      </c>
      <c r="DR28" s="28">
        <f t="shared" si="214"/>
        <v>0</v>
      </c>
      <c r="DS28" s="28">
        <f t="shared" si="215"/>
        <v>2271.9164201937938</v>
      </c>
      <c r="DT28" s="28">
        <f t="shared" si="216"/>
        <v>9372.7794554821594</v>
      </c>
      <c r="DU28" s="28">
        <f t="shared" si="217"/>
        <v>2271.9164201937938</v>
      </c>
      <c r="DV28" s="28">
        <f t="shared" si="218"/>
        <v>0</v>
      </c>
      <c r="DW28" s="28">
        <f t="shared" si="219"/>
        <v>2271.9164201937938</v>
      </c>
      <c r="DX28" s="28">
        <f t="shared" si="220"/>
        <v>2271.9164201937938</v>
      </c>
      <c r="DY28" s="28">
        <f t="shared" si="221"/>
        <v>0</v>
      </c>
      <c r="DZ28" s="28">
        <f t="shared" si="222"/>
        <v>2271.9164201937938</v>
      </c>
      <c r="EA28" s="28">
        <f t="shared" si="223"/>
        <v>2466.5209093374106</v>
      </c>
      <c r="EB28" s="28">
        <f t="shared" si="224"/>
        <v>15903.414941356554</v>
      </c>
      <c r="EC28" s="28">
        <f t="shared" si="225"/>
        <v>1795.0517004521225</v>
      </c>
      <c r="ED28" s="28">
        <f t="shared" si="226"/>
        <v>9087.6656807751751</v>
      </c>
      <c r="EE28" s="28">
        <f t="shared" si="227"/>
        <v>2271.9164201937938</v>
      </c>
      <c r="EF28" s="28">
        <f t="shared" si="228"/>
        <v>4543.8328403875876</v>
      </c>
      <c r="EG28" s="28">
        <f t="shared" si="229"/>
        <v>2271.9164201937938</v>
      </c>
      <c r="EH28" s="28">
        <f t="shared" si="230"/>
        <v>2271.9164201937938</v>
      </c>
      <c r="EI28" s="28">
        <f t="shared" si="231"/>
        <v>63613.659765426215</v>
      </c>
      <c r="EJ28" s="28">
        <f t="shared" si="232"/>
        <v>2271.9164201937938</v>
      </c>
      <c r="EK28" s="28">
        <f t="shared" si="233"/>
        <v>49982.161244263465</v>
      </c>
      <c r="EL28" s="28">
        <f t="shared" si="234"/>
        <v>0</v>
      </c>
      <c r="EM28" s="28">
        <f t="shared" si="235"/>
        <v>0</v>
      </c>
      <c r="EN28" s="28">
        <f t="shared" si="236"/>
        <v>0</v>
      </c>
      <c r="EQ28" s="144">
        <v>0.02</v>
      </c>
      <c r="ER28" s="144">
        <v>0.02</v>
      </c>
      <c r="ES28" s="144">
        <v>0.02</v>
      </c>
      <c r="ET28" s="144">
        <v>0.05</v>
      </c>
      <c r="EU28" s="144">
        <v>0.05</v>
      </c>
      <c r="EV28" s="144">
        <v>0.05</v>
      </c>
      <c r="EW28" s="144">
        <v>0.12</v>
      </c>
      <c r="EX28" s="144">
        <v>0.12</v>
      </c>
      <c r="EY28" s="144">
        <v>0.12</v>
      </c>
      <c r="EZ28" s="144">
        <v>0.14000000000000001</v>
      </c>
      <c r="FA28" s="144">
        <v>0.15</v>
      </c>
      <c r="FB28" s="144">
        <v>0.14000000000000001</v>
      </c>
      <c r="FC28" s="145">
        <f t="shared" si="237"/>
        <v>1</v>
      </c>
      <c r="FD28" s="146">
        <f t="shared" si="238"/>
        <v>0.06</v>
      </c>
      <c r="FE28" s="146">
        <f t="shared" si="239"/>
        <v>0.15000000000000002</v>
      </c>
      <c r="FF28" s="146">
        <f t="shared" si="240"/>
        <v>0.36</v>
      </c>
      <c r="FG28" s="146">
        <f t="shared" si="241"/>
        <v>0.43000000000000005</v>
      </c>
      <c r="FH28" s="145">
        <f t="shared" si="242"/>
        <v>1</v>
      </c>
      <c r="FJ28" s="52">
        <f t="shared" si="243"/>
        <v>878.4743491416001</v>
      </c>
      <c r="FK28" s="52">
        <f t="shared" si="244"/>
        <v>439.23717457080005</v>
      </c>
      <c r="FL28" s="52">
        <f t="shared" si="245"/>
        <v>439.23717457080005</v>
      </c>
      <c r="FM28" s="52">
        <f t="shared" si="246"/>
        <v>0</v>
      </c>
      <c r="FN28" s="52">
        <f t="shared" si="247"/>
        <v>439.23717457080005</v>
      </c>
      <c r="FO28" s="52">
        <f t="shared" si="248"/>
        <v>1812.0706947265508</v>
      </c>
      <c r="FP28" s="52">
        <f t="shared" si="249"/>
        <v>439.23717457080005</v>
      </c>
      <c r="FQ28" s="52">
        <f t="shared" si="250"/>
        <v>0</v>
      </c>
      <c r="FR28" s="52">
        <f t="shared" si="251"/>
        <v>439.23717457080005</v>
      </c>
      <c r="FS28" s="52">
        <f t="shared" si="252"/>
        <v>439.23717457080005</v>
      </c>
      <c r="FT28" s="52">
        <f t="shared" si="253"/>
        <v>0</v>
      </c>
      <c r="FU28" s="52">
        <f t="shared" si="254"/>
        <v>439.23717457080005</v>
      </c>
      <c r="FV28" s="52">
        <f t="shared" si="255"/>
        <v>476.86070913856599</v>
      </c>
      <c r="FW28" s="52">
        <f t="shared" si="256"/>
        <v>3074.6602219956003</v>
      </c>
      <c r="FX28" s="52">
        <f t="shared" si="257"/>
        <v>347.04332875407704</v>
      </c>
      <c r="FY28" s="52">
        <f t="shared" si="258"/>
        <v>1756.9486982832002</v>
      </c>
      <c r="FZ28" s="52">
        <f t="shared" si="259"/>
        <v>439.23717457080005</v>
      </c>
      <c r="GA28" s="52">
        <f t="shared" si="260"/>
        <v>878.4743491416001</v>
      </c>
      <c r="GB28" s="52">
        <f t="shared" si="261"/>
        <v>439.23717457080005</v>
      </c>
      <c r="GC28" s="52">
        <f t="shared" si="262"/>
        <v>439.23717457080005</v>
      </c>
      <c r="GD28" s="52">
        <f t="shared" si="263"/>
        <v>12298.640887982401</v>
      </c>
      <c r="GE28" s="52">
        <f t="shared" si="264"/>
        <v>439.23717457080005</v>
      </c>
      <c r="GF28" s="52">
        <f t="shared" si="265"/>
        <v>9663.2178405576014</v>
      </c>
      <c r="GG28" s="52">
        <f t="shared" si="266"/>
        <v>0</v>
      </c>
      <c r="GH28" s="52">
        <f t="shared" si="267"/>
        <v>0</v>
      </c>
      <c r="GI28" s="52">
        <f t="shared" si="268"/>
        <v>0</v>
      </c>
      <c r="GJ28" s="26"/>
      <c r="GL28" s="150">
        <f t="shared" si="269"/>
        <v>2196.1858728540005</v>
      </c>
      <c r="GM28" s="150">
        <f t="shared" si="270"/>
        <v>1098.0929364270003</v>
      </c>
      <c r="GN28" s="150">
        <f t="shared" si="271"/>
        <v>1098.0929364270003</v>
      </c>
      <c r="GO28" s="150">
        <f t="shared" si="272"/>
        <v>0</v>
      </c>
      <c r="GP28" s="150">
        <f t="shared" si="273"/>
        <v>1098.0929364270003</v>
      </c>
      <c r="GQ28" s="150">
        <f t="shared" si="274"/>
        <v>4530.1767368163773</v>
      </c>
      <c r="GR28" s="150">
        <f t="shared" si="275"/>
        <v>1098.0929364270003</v>
      </c>
      <c r="GS28" s="150">
        <f t="shared" si="276"/>
        <v>0</v>
      </c>
      <c r="GT28" s="150">
        <f t="shared" si="277"/>
        <v>1098.0929364270003</v>
      </c>
      <c r="GU28" s="150">
        <f t="shared" si="278"/>
        <v>1098.0929364270003</v>
      </c>
      <c r="GV28" s="150">
        <f t="shared" si="279"/>
        <v>0</v>
      </c>
      <c r="GW28" s="150">
        <f t="shared" si="280"/>
        <v>1098.0929364270003</v>
      </c>
      <c r="GX28" s="150">
        <f t="shared" si="281"/>
        <v>1192.1517728464153</v>
      </c>
      <c r="GY28" s="150">
        <f t="shared" si="282"/>
        <v>7686.6505549890026</v>
      </c>
      <c r="GZ28" s="150">
        <f t="shared" si="283"/>
        <v>867.60832188519271</v>
      </c>
      <c r="HA28" s="150">
        <f t="shared" si="284"/>
        <v>4392.3717457080011</v>
      </c>
      <c r="HB28" s="150">
        <f t="shared" si="285"/>
        <v>1098.0929364270003</v>
      </c>
      <c r="HC28" s="150">
        <f t="shared" si="286"/>
        <v>2196.1858728540005</v>
      </c>
      <c r="HD28" s="150">
        <f t="shared" si="287"/>
        <v>1098.0929364270003</v>
      </c>
      <c r="HE28" s="150">
        <f t="shared" si="288"/>
        <v>1098.0929364270003</v>
      </c>
      <c r="HF28" s="150">
        <f t="shared" si="289"/>
        <v>30746.60221995601</v>
      </c>
      <c r="HG28" s="150">
        <f t="shared" si="290"/>
        <v>1098.0929364270003</v>
      </c>
      <c r="HH28" s="150">
        <f t="shared" si="291"/>
        <v>24158.044601394009</v>
      </c>
      <c r="HI28" s="150">
        <f t="shared" si="292"/>
        <v>0</v>
      </c>
      <c r="HJ28" s="150">
        <f t="shared" si="293"/>
        <v>0</v>
      </c>
      <c r="HK28" s="150">
        <f t="shared" si="294"/>
        <v>0</v>
      </c>
      <c r="HL28" s="26"/>
      <c r="HN28" s="147">
        <f t="shared" si="295"/>
        <v>5270.8460948496004</v>
      </c>
      <c r="HO28" s="147">
        <f t="shared" si="296"/>
        <v>2635.4230474248002</v>
      </c>
      <c r="HP28" s="147">
        <f t="shared" si="297"/>
        <v>2635.4230474248002</v>
      </c>
      <c r="HQ28" s="147">
        <f t="shared" si="298"/>
        <v>0</v>
      </c>
      <c r="HR28" s="147">
        <f t="shared" si="299"/>
        <v>2635.4230474248002</v>
      </c>
      <c r="HS28" s="147">
        <f t="shared" si="300"/>
        <v>10872.424168359305</v>
      </c>
      <c r="HT28" s="147">
        <f t="shared" si="301"/>
        <v>2635.4230474248002</v>
      </c>
      <c r="HU28" s="147">
        <f t="shared" si="302"/>
        <v>0</v>
      </c>
      <c r="HV28" s="147">
        <f t="shared" si="303"/>
        <v>2635.4230474248002</v>
      </c>
      <c r="HW28" s="147">
        <f t="shared" si="304"/>
        <v>2635.4230474248002</v>
      </c>
      <c r="HX28" s="147">
        <f t="shared" si="305"/>
        <v>0</v>
      </c>
      <c r="HY28" s="147">
        <f t="shared" si="306"/>
        <v>2635.4230474248002</v>
      </c>
      <c r="HZ28" s="147">
        <f t="shared" si="307"/>
        <v>2861.1642548313957</v>
      </c>
      <c r="IA28" s="147">
        <f t="shared" si="308"/>
        <v>18447.961331973602</v>
      </c>
      <c r="IB28" s="147">
        <f t="shared" si="309"/>
        <v>2082.2599725244622</v>
      </c>
      <c r="IC28" s="147">
        <f t="shared" si="310"/>
        <v>10541.692189699201</v>
      </c>
      <c r="ID28" s="147">
        <f t="shared" si="311"/>
        <v>2635.4230474248002</v>
      </c>
      <c r="IE28" s="147">
        <f t="shared" si="312"/>
        <v>5270.8460948496004</v>
      </c>
      <c r="IF28" s="147">
        <f t="shared" si="313"/>
        <v>2635.4230474248002</v>
      </c>
      <c r="IG28" s="147">
        <f t="shared" si="314"/>
        <v>2635.4230474248002</v>
      </c>
      <c r="IH28" s="147">
        <f t="shared" si="315"/>
        <v>73791.845327894407</v>
      </c>
      <c r="II28" s="147">
        <f t="shared" si="316"/>
        <v>2635.4230474248002</v>
      </c>
      <c r="IJ28" s="147">
        <f t="shared" si="317"/>
        <v>57979.307043345616</v>
      </c>
      <c r="IK28" s="147">
        <f t="shared" si="318"/>
        <v>0</v>
      </c>
      <c r="IL28" s="147">
        <f t="shared" si="319"/>
        <v>0</v>
      </c>
      <c r="IM28" s="147">
        <f t="shared" si="320"/>
        <v>0</v>
      </c>
      <c r="IN28" s="26"/>
      <c r="IP28" s="61">
        <f t="shared" si="321"/>
        <v>6295.7328355148011</v>
      </c>
      <c r="IQ28" s="61">
        <f t="shared" si="322"/>
        <v>3147.8664177574005</v>
      </c>
      <c r="IR28" s="61">
        <f t="shared" si="323"/>
        <v>3147.8664177574005</v>
      </c>
      <c r="IS28" s="61">
        <f t="shared" si="324"/>
        <v>0</v>
      </c>
      <c r="IT28" s="61">
        <f t="shared" si="325"/>
        <v>3147.8664177574005</v>
      </c>
      <c r="IU28" s="61">
        <f t="shared" si="326"/>
        <v>12986.506645540281</v>
      </c>
      <c r="IV28" s="61">
        <f t="shared" si="327"/>
        <v>3147.8664177574005</v>
      </c>
      <c r="IW28" s="61">
        <f t="shared" si="328"/>
        <v>0</v>
      </c>
      <c r="IX28" s="61">
        <f t="shared" si="329"/>
        <v>3147.8664177574005</v>
      </c>
      <c r="IY28" s="61">
        <f t="shared" si="330"/>
        <v>3147.8664177574005</v>
      </c>
      <c r="IZ28" s="61">
        <f t="shared" si="331"/>
        <v>0</v>
      </c>
      <c r="JA28" s="61">
        <f t="shared" si="332"/>
        <v>3147.8664177574005</v>
      </c>
      <c r="JB28" s="61">
        <f t="shared" si="333"/>
        <v>3417.5017488263902</v>
      </c>
      <c r="JC28" s="61">
        <f t="shared" si="334"/>
        <v>22035.064924301805</v>
      </c>
      <c r="JD28" s="61">
        <f t="shared" si="335"/>
        <v>2487.1438560708857</v>
      </c>
      <c r="JE28" s="61">
        <f t="shared" si="336"/>
        <v>12591.465671029602</v>
      </c>
      <c r="JF28" s="61">
        <f t="shared" si="337"/>
        <v>3147.8664177574005</v>
      </c>
      <c r="JG28" s="61">
        <f t="shared" si="338"/>
        <v>6295.7328355148011</v>
      </c>
      <c r="JH28" s="61">
        <f t="shared" si="339"/>
        <v>3147.8664177574005</v>
      </c>
      <c r="JI28" s="61">
        <f t="shared" si="340"/>
        <v>3147.8664177574005</v>
      </c>
      <c r="JJ28" s="61">
        <f t="shared" si="341"/>
        <v>88140.259697207221</v>
      </c>
      <c r="JK28" s="61">
        <f t="shared" si="342"/>
        <v>3147.8664177574005</v>
      </c>
      <c r="JL28" s="61">
        <f t="shared" si="343"/>
        <v>69253.061190662833</v>
      </c>
      <c r="JM28" s="61">
        <f t="shared" si="344"/>
        <v>0</v>
      </c>
      <c r="JN28" s="61">
        <f t="shared" si="345"/>
        <v>0</v>
      </c>
      <c r="JO28" s="61">
        <f t="shared" si="346"/>
        <v>0</v>
      </c>
      <c r="JQ28" s="26">
        <f t="shared" si="209"/>
        <v>600299.99999999977</v>
      </c>
      <c r="JR28" s="156">
        <f t="shared" si="210"/>
        <v>0.99999999999999967</v>
      </c>
      <c r="JT28" s="157">
        <f t="shared" si="347"/>
        <v>14641.239152360002</v>
      </c>
      <c r="JU28" s="29">
        <f t="shared" si="348"/>
        <v>1</v>
      </c>
    </row>
    <row r="29" spans="1:281" ht="18.75" x14ac:dyDescent="0.3">
      <c r="A29" t="s">
        <v>12</v>
      </c>
      <c r="B29" t="s">
        <v>6</v>
      </c>
      <c r="C29" t="s">
        <v>26</v>
      </c>
      <c r="D29" t="s">
        <v>20</v>
      </c>
      <c r="E29" t="s">
        <v>27</v>
      </c>
      <c r="F29" s="113">
        <v>518</v>
      </c>
      <c r="G29" s="15">
        <v>150003</v>
      </c>
      <c r="H29" s="20">
        <v>88236</v>
      </c>
      <c r="I29" s="23">
        <v>1.7000203998368013</v>
      </c>
      <c r="J29" s="9">
        <v>2.4389870318773949E-2</v>
      </c>
      <c r="K29" s="9">
        <v>1.2194935159386975E-2</v>
      </c>
      <c r="L29" s="9">
        <v>1.2194935159386975E-2</v>
      </c>
      <c r="M29" s="9">
        <v>0</v>
      </c>
      <c r="N29" s="9">
        <v>1.2194935159386975E-2</v>
      </c>
      <c r="O29" s="9">
        <v>5.0310142004735152E-2</v>
      </c>
      <c r="P29" s="9">
        <v>1.2194935159386975E-2</v>
      </c>
      <c r="Q29" s="9">
        <v>0</v>
      </c>
      <c r="R29" s="9">
        <v>1.2194935159386975E-2</v>
      </c>
      <c r="S29" s="9">
        <v>1.2194935159386975E-2</v>
      </c>
      <c r="T29" s="9">
        <v>0</v>
      </c>
      <c r="U29" s="9">
        <v>1.2194935159386975E-2</v>
      </c>
      <c r="V29" s="9">
        <v>1.3239511053877672E-2</v>
      </c>
      <c r="W29" s="9">
        <v>8.5364546115708831E-2</v>
      </c>
      <c r="X29" s="9">
        <v>9.6352748279770403E-3</v>
      </c>
      <c r="Y29" s="9">
        <v>4.8779740637547898E-2</v>
      </c>
      <c r="Z29" s="9">
        <v>1.2194935159386975E-2</v>
      </c>
      <c r="AA29" s="9">
        <v>2.4389870318773949E-2</v>
      </c>
      <c r="AB29" s="9">
        <v>1.2194935159386975E-2</v>
      </c>
      <c r="AC29" s="9">
        <v>1.2194935159386975E-2</v>
      </c>
      <c r="AD29" s="9">
        <v>0.34145818446283532</v>
      </c>
      <c r="AE29" s="9">
        <v>1.2194935159386975E-2</v>
      </c>
      <c r="AF29" s="9">
        <v>0.26828857350651347</v>
      </c>
      <c r="AG29" s="9">
        <v>0</v>
      </c>
      <c r="AH29" s="9">
        <v>0</v>
      </c>
      <c r="AI29" s="9">
        <v>0</v>
      </c>
      <c r="AJ29" s="8">
        <f t="shared" si="124"/>
        <v>0.99999999999999989</v>
      </c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9"/>
      <c r="BM29" s="26">
        <f t="shared" si="150"/>
        <v>3658.5537174270489</v>
      </c>
      <c r="BN29" s="26">
        <f t="shared" si="151"/>
        <v>1829.2768587135245</v>
      </c>
      <c r="BO29" s="26">
        <f t="shared" si="152"/>
        <v>1829.2768587135245</v>
      </c>
      <c r="BP29" s="26">
        <f t="shared" si="153"/>
        <v>0</v>
      </c>
      <c r="BQ29" s="26">
        <f t="shared" si="154"/>
        <v>1829.2768587135245</v>
      </c>
      <c r="BR29" s="26">
        <f t="shared" si="155"/>
        <v>7546.6722311362873</v>
      </c>
      <c r="BS29" s="26">
        <f t="shared" si="156"/>
        <v>1829.2768587135245</v>
      </c>
      <c r="BT29" s="26">
        <f t="shared" si="157"/>
        <v>0</v>
      </c>
      <c r="BU29" s="26">
        <f t="shared" si="158"/>
        <v>1829.2768587135245</v>
      </c>
      <c r="BV29" s="26">
        <f t="shared" si="159"/>
        <v>1829.2768587135245</v>
      </c>
      <c r="BW29" s="26">
        <f t="shared" si="160"/>
        <v>0</v>
      </c>
      <c r="BX29" s="26">
        <f t="shared" si="161"/>
        <v>1829.2768587135245</v>
      </c>
      <c r="BY29" s="26">
        <f t="shared" si="162"/>
        <v>1985.9663766148124</v>
      </c>
      <c r="BZ29" s="26">
        <f t="shared" si="163"/>
        <v>12804.938010994672</v>
      </c>
      <c r="CA29" s="26">
        <f t="shared" si="164"/>
        <v>1445.3201300210401</v>
      </c>
      <c r="CB29" s="26">
        <f t="shared" si="165"/>
        <v>7317.1074348540978</v>
      </c>
      <c r="CC29" s="26">
        <f t="shared" si="166"/>
        <v>1829.2768587135245</v>
      </c>
      <c r="CD29" s="26">
        <f t="shared" si="167"/>
        <v>3658.5537174270489</v>
      </c>
      <c r="CE29" s="26">
        <f t="shared" si="168"/>
        <v>1829.2768587135245</v>
      </c>
      <c r="CF29" s="26">
        <f t="shared" si="169"/>
        <v>1829.2768587135245</v>
      </c>
      <c r="CG29" s="26">
        <f t="shared" si="170"/>
        <v>51219.752043978689</v>
      </c>
      <c r="CH29" s="26">
        <f t="shared" si="171"/>
        <v>1829.2768587135245</v>
      </c>
      <c r="CI29" s="26">
        <f t="shared" si="172"/>
        <v>40244.090891697539</v>
      </c>
      <c r="CJ29" s="26">
        <f t="shared" si="173"/>
        <v>0</v>
      </c>
      <c r="CK29" s="26">
        <f t="shared" si="174"/>
        <v>0</v>
      </c>
      <c r="CL29" s="26">
        <f t="shared" si="175"/>
        <v>0</v>
      </c>
      <c r="CM29" s="110">
        <f t="shared" si="176"/>
        <v>1</v>
      </c>
      <c r="CN29" s="27">
        <f t="shared" si="177"/>
        <v>2152.0645974473382</v>
      </c>
      <c r="CO29" s="27">
        <f t="shared" si="178"/>
        <v>1076.0322987236691</v>
      </c>
      <c r="CP29" s="27">
        <f t="shared" si="179"/>
        <v>1076.0322987236691</v>
      </c>
      <c r="CQ29" s="27">
        <f t="shared" si="180"/>
        <v>0</v>
      </c>
      <c r="CR29" s="27">
        <f t="shared" si="181"/>
        <v>1076.0322987236691</v>
      </c>
      <c r="CS29" s="27">
        <f t="shared" si="182"/>
        <v>4439.1656899298105</v>
      </c>
      <c r="CT29" s="27">
        <f t="shared" si="183"/>
        <v>1076.0322987236691</v>
      </c>
      <c r="CU29" s="27">
        <f t="shared" si="184"/>
        <v>0</v>
      </c>
      <c r="CV29" s="27">
        <f t="shared" si="185"/>
        <v>1076.0322987236691</v>
      </c>
      <c r="CW29" s="27">
        <f t="shared" si="186"/>
        <v>1076.0322987236691</v>
      </c>
      <c r="CX29" s="27">
        <f t="shared" si="187"/>
        <v>0</v>
      </c>
      <c r="CY29" s="27">
        <f t="shared" si="188"/>
        <v>1076.0322987236691</v>
      </c>
      <c r="CZ29" s="27">
        <f t="shared" si="189"/>
        <v>1168.2014973499504</v>
      </c>
      <c r="DA29" s="27">
        <f t="shared" si="190"/>
        <v>7532.2260910656842</v>
      </c>
      <c r="DB29" s="27">
        <f t="shared" si="191"/>
        <v>850.17810972138216</v>
      </c>
      <c r="DC29" s="27">
        <f t="shared" si="192"/>
        <v>4304.1291948946764</v>
      </c>
      <c r="DD29" s="27">
        <f t="shared" si="193"/>
        <v>1076.0322987236691</v>
      </c>
      <c r="DE29" s="27">
        <f t="shared" si="194"/>
        <v>2152.0645974473382</v>
      </c>
      <c r="DF29" s="27">
        <f t="shared" si="195"/>
        <v>1076.0322987236691</v>
      </c>
      <c r="DG29" s="27">
        <f t="shared" si="196"/>
        <v>1076.0322987236691</v>
      </c>
      <c r="DH29" s="27">
        <f t="shared" si="197"/>
        <v>30128.904364262737</v>
      </c>
      <c r="DI29" s="27">
        <f t="shared" si="198"/>
        <v>1076.0322987236691</v>
      </c>
      <c r="DJ29" s="27">
        <f t="shared" si="199"/>
        <v>23672.710571920721</v>
      </c>
      <c r="DK29" s="27">
        <f t="shared" si="200"/>
        <v>0</v>
      </c>
      <c r="DL29" s="27">
        <f t="shared" si="201"/>
        <v>0</v>
      </c>
      <c r="DM29" s="27">
        <f t="shared" si="202"/>
        <v>0</v>
      </c>
      <c r="DN29" s="110">
        <f t="shared" si="203"/>
        <v>1</v>
      </c>
      <c r="DO29" s="28">
        <f t="shared" si="211"/>
        <v>1506.4891199797107</v>
      </c>
      <c r="DP29" s="28">
        <f t="shared" si="212"/>
        <v>753.24455998985536</v>
      </c>
      <c r="DQ29" s="28">
        <f t="shared" si="213"/>
        <v>753.24455998985536</v>
      </c>
      <c r="DR29" s="28">
        <f t="shared" si="214"/>
        <v>0</v>
      </c>
      <c r="DS29" s="28">
        <f t="shared" si="215"/>
        <v>753.24455998985536</v>
      </c>
      <c r="DT29" s="28">
        <f t="shared" si="216"/>
        <v>3107.5065412064769</v>
      </c>
      <c r="DU29" s="28">
        <f t="shared" si="217"/>
        <v>753.24455998985536</v>
      </c>
      <c r="DV29" s="28">
        <f t="shared" si="218"/>
        <v>0</v>
      </c>
      <c r="DW29" s="28">
        <f t="shared" si="219"/>
        <v>753.24455998985536</v>
      </c>
      <c r="DX29" s="28">
        <f t="shared" si="220"/>
        <v>753.24455998985536</v>
      </c>
      <c r="DY29" s="28">
        <f t="shared" si="221"/>
        <v>0</v>
      </c>
      <c r="DZ29" s="28">
        <f t="shared" si="222"/>
        <v>753.24455998985536</v>
      </c>
      <c r="EA29" s="28">
        <f t="shared" si="223"/>
        <v>817.76487926486197</v>
      </c>
      <c r="EB29" s="28">
        <f t="shared" si="224"/>
        <v>5272.7119199289882</v>
      </c>
      <c r="EC29" s="28">
        <f t="shared" si="225"/>
        <v>595.14202029965793</v>
      </c>
      <c r="ED29" s="28">
        <f t="shared" si="226"/>
        <v>3012.9782399594214</v>
      </c>
      <c r="EE29" s="28">
        <f t="shared" si="227"/>
        <v>753.24455998985536</v>
      </c>
      <c r="EF29" s="28">
        <f t="shared" si="228"/>
        <v>1506.4891199797107</v>
      </c>
      <c r="EG29" s="28">
        <f t="shared" si="229"/>
        <v>753.24455998985536</v>
      </c>
      <c r="EH29" s="28">
        <f t="shared" si="230"/>
        <v>753.24455998985536</v>
      </c>
      <c r="EI29" s="28">
        <f t="shared" si="231"/>
        <v>21090.847679715953</v>
      </c>
      <c r="EJ29" s="28">
        <f t="shared" si="232"/>
        <v>753.24455998985536</v>
      </c>
      <c r="EK29" s="28">
        <f t="shared" si="233"/>
        <v>16571.380319776817</v>
      </c>
      <c r="EL29" s="28">
        <f t="shared" si="234"/>
        <v>0</v>
      </c>
      <c r="EM29" s="28">
        <f t="shared" si="235"/>
        <v>0</v>
      </c>
      <c r="EN29" s="28">
        <f t="shared" si="236"/>
        <v>0</v>
      </c>
      <c r="EQ29" s="144">
        <v>4.0160934932976219E-2</v>
      </c>
      <c r="ER29" s="144">
        <v>5.0201635322060525E-2</v>
      </c>
      <c r="ES29" s="144">
        <v>6.0240402422663791E-2</v>
      </c>
      <c r="ET29" s="144">
        <v>8.2328423313912436E-2</v>
      </c>
      <c r="EU29" s="144">
        <v>7.0281102811748097E-2</v>
      </c>
      <c r="EV29" s="144">
        <v>8.0321803200832403E-2</v>
      </c>
      <c r="EW29" s="144">
        <v>8.0321803200832403E-2</v>
      </c>
      <c r="EX29" s="144">
        <v>7.0281102811748097E-2</v>
      </c>
      <c r="EY29" s="144">
        <v>8.0321803200832403E-2</v>
      </c>
      <c r="EZ29" s="144">
        <v>0.10743024095174325</v>
      </c>
      <c r="FA29" s="144">
        <v>0.10743024095174325</v>
      </c>
      <c r="FB29" s="144">
        <v>0.17068050687890704</v>
      </c>
      <c r="FC29" s="145">
        <f t="shared" si="237"/>
        <v>0.99999999999999978</v>
      </c>
      <c r="FD29" s="146">
        <f t="shared" si="238"/>
        <v>0.15060297267770054</v>
      </c>
      <c r="FE29" s="146">
        <f t="shared" si="239"/>
        <v>0.23293132932649294</v>
      </c>
      <c r="FF29" s="146">
        <f t="shared" si="240"/>
        <v>0.2309247092134129</v>
      </c>
      <c r="FG29" s="146">
        <f t="shared" si="241"/>
        <v>0.38554098878239351</v>
      </c>
      <c r="FH29" s="145">
        <f t="shared" si="242"/>
        <v>0.99999999999999989</v>
      </c>
      <c r="FJ29" s="52">
        <f t="shared" si="243"/>
        <v>550.98906554556561</v>
      </c>
      <c r="FK29" s="52">
        <f t="shared" si="244"/>
        <v>275.4945327727828</v>
      </c>
      <c r="FL29" s="52">
        <f t="shared" si="245"/>
        <v>275.4945327727828</v>
      </c>
      <c r="FM29" s="52">
        <f t="shared" si="246"/>
        <v>0</v>
      </c>
      <c r="FN29" s="52">
        <f t="shared" si="247"/>
        <v>275.4945327727828</v>
      </c>
      <c r="FO29" s="52">
        <f t="shared" si="248"/>
        <v>1136.5512718333796</v>
      </c>
      <c r="FP29" s="52">
        <f t="shared" si="249"/>
        <v>275.4945327727828</v>
      </c>
      <c r="FQ29" s="52">
        <f t="shared" si="250"/>
        <v>0</v>
      </c>
      <c r="FR29" s="52">
        <f t="shared" si="251"/>
        <v>275.4945327727828</v>
      </c>
      <c r="FS29" s="52">
        <f t="shared" si="252"/>
        <v>275.4945327727828</v>
      </c>
      <c r="FT29" s="52">
        <f t="shared" si="253"/>
        <v>0</v>
      </c>
      <c r="FU29" s="52">
        <f t="shared" si="254"/>
        <v>275.4945327727828</v>
      </c>
      <c r="FV29" s="52">
        <f t="shared" si="255"/>
        <v>299.09243995615253</v>
      </c>
      <c r="FW29" s="52">
        <f t="shared" si="256"/>
        <v>1928.4617294094796</v>
      </c>
      <c r="FX29" s="52">
        <f t="shared" si="257"/>
        <v>217.6695080520893</v>
      </c>
      <c r="FY29" s="52">
        <f t="shared" si="258"/>
        <v>1101.9781310911312</v>
      </c>
      <c r="FZ29" s="52">
        <f t="shared" si="259"/>
        <v>275.4945327727828</v>
      </c>
      <c r="GA29" s="52">
        <f t="shared" si="260"/>
        <v>550.98906554556561</v>
      </c>
      <c r="GB29" s="52">
        <f t="shared" si="261"/>
        <v>275.4945327727828</v>
      </c>
      <c r="GC29" s="52">
        <f t="shared" si="262"/>
        <v>275.4945327727828</v>
      </c>
      <c r="GD29" s="52">
        <f t="shared" si="263"/>
        <v>7713.8469176379185</v>
      </c>
      <c r="GE29" s="52">
        <f t="shared" si="264"/>
        <v>275.4945327727828</v>
      </c>
      <c r="GF29" s="52">
        <f t="shared" si="265"/>
        <v>6060.8797210012217</v>
      </c>
      <c r="GG29" s="52">
        <f t="shared" si="266"/>
        <v>0</v>
      </c>
      <c r="GH29" s="52">
        <f t="shared" si="267"/>
        <v>0</v>
      </c>
      <c r="GI29" s="52">
        <f t="shared" si="268"/>
        <v>0</v>
      </c>
      <c r="GJ29" s="26"/>
      <c r="GL29" s="150">
        <f t="shared" si="269"/>
        <v>852.19178081266489</v>
      </c>
      <c r="GM29" s="150">
        <f t="shared" si="270"/>
        <v>426.09589040633244</v>
      </c>
      <c r="GN29" s="150">
        <f t="shared" si="271"/>
        <v>426.09589040633244</v>
      </c>
      <c r="GO29" s="150">
        <f t="shared" si="272"/>
        <v>0</v>
      </c>
      <c r="GP29" s="150">
        <f t="shared" si="273"/>
        <v>426.09589040633244</v>
      </c>
      <c r="GQ29" s="150">
        <f t="shared" si="274"/>
        <v>1757.8563947899058</v>
      </c>
      <c r="GR29" s="150">
        <f t="shared" si="275"/>
        <v>426.09589040633244</v>
      </c>
      <c r="GS29" s="150">
        <f t="shared" si="276"/>
        <v>0</v>
      </c>
      <c r="GT29" s="150">
        <f t="shared" si="277"/>
        <v>426.09589040633244</v>
      </c>
      <c r="GU29" s="150">
        <f t="shared" si="278"/>
        <v>426.09589040633244</v>
      </c>
      <c r="GV29" s="150">
        <f t="shared" si="279"/>
        <v>0</v>
      </c>
      <c r="GW29" s="150">
        <f t="shared" si="280"/>
        <v>426.09589040633244</v>
      </c>
      <c r="GX29" s="150">
        <f t="shared" si="281"/>
        <v>462.59378810260677</v>
      </c>
      <c r="GY29" s="150">
        <f t="shared" si="282"/>
        <v>2982.6712328443273</v>
      </c>
      <c r="GZ29" s="150">
        <f t="shared" si="283"/>
        <v>336.66033918814048</v>
      </c>
      <c r="HA29" s="150">
        <f t="shared" si="284"/>
        <v>1704.3835616253298</v>
      </c>
      <c r="HB29" s="150">
        <f t="shared" si="285"/>
        <v>426.09589040633244</v>
      </c>
      <c r="HC29" s="150">
        <f t="shared" si="286"/>
        <v>852.19178081266489</v>
      </c>
      <c r="HD29" s="150">
        <f t="shared" si="287"/>
        <v>426.09589040633244</v>
      </c>
      <c r="HE29" s="150">
        <f t="shared" si="288"/>
        <v>426.09589040633244</v>
      </c>
      <c r="HF29" s="150">
        <f t="shared" si="289"/>
        <v>11930.684931377309</v>
      </c>
      <c r="HG29" s="150">
        <f t="shared" si="290"/>
        <v>426.09589040633244</v>
      </c>
      <c r="HH29" s="150">
        <f t="shared" si="291"/>
        <v>9374.1095889393146</v>
      </c>
      <c r="HI29" s="150">
        <f t="shared" si="292"/>
        <v>0</v>
      </c>
      <c r="HJ29" s="150">
        <f t="shared" si="293"/>
        <v>0</v>
      </c>
      <c r="HK29" s="150">
        <f t="shared" si="294"/>
        <v>0</v>
      </c>
      <c r="HL29" s="26"/>
      <c r="HN29" s="147">
        <f t="shared" si="295"/>
        <v>844.85045333849212</v>
      </c>
      <c r="HO29" s="147">
        <f t="shared" si="296"/>
        <v>422.42522666924606</v>
      </c>
      <c r="HP29" s="147">
        <f t="shared" si="297"/>
        <v>422.42522666924606</v>
      </c>
      <c r="HQ29" s="147">
        <f t="shared" si="298"/>
        <v>0</v>
      </c>
      <c r="HR29" s="147">
        <f t="shared" si="299"/>
        <v>422.42522666924606</v>
      </c>
      <c r="HS29" s="147">
        <f t="shared" si="300"/>
        <v>1742.7130905040851</v>
      </c>
      <c r="HT29" s="147">
        <f t="shared" si="301"/>
        <v>422.42522666924606</v>
      </c>
      <c r="HU29" s="147">
        <f t="shared" si="302"/>
        <v>0</v>
      </c>
      <c r="HV29" s="147">
        <f t="shared" si="303"/>
        <v>422.42522666924606</v>
      </c>
      <c r="HW29" s="147">
        <f t="shared" si="304"/>
        <v>422.42522666924606</v>
      </c>
      <c r="HX29" s="147">
        <f t="shared" si="305"/>
        <v>0</v>
      </c>
      <c r="HY29" s="147">
        <f t="shared" si="306"/>
        <v>422.42522666924606</v>
      </c>
      <c r="HZ29" s="147">
        <f t="shared" si="307"/>
        <v>458.60870802739078</v>
      </c>
      <c r="IA29" s="147">
        <f t="shared" si="308"/>
        <v>2956.9765866847224</v>
      </c>
      <c r="IB29" s="147">
        <f t="shared" si="309"/>
        <v>333.76013074540083</v>
      </c>
      <c r="IC29" s="147">
        <f t="shared" si="310"/>
        <v>1689.7009066769842</v>
      </c>
      <c r="ID29" s="147">
        <f t="shared" si="311"/>
        <v>422.42522666924606</v>
      </c>
      <c r="IE29" s="147">
        <f t="shared" si="312"/>
        <v>844.85045333849212</v>
      </c>
      <c r="IF29" s="147">
        <f t="shared" si="313"/>
        <v>422.42522666924606</v>
      </c>
      <c r="IG29" s="147">
        <f t="shared" si="314"/>
        <v>422.42522666924606</v>
      </c>
      <c r="IH29" s="147">
        <f t="shared" si="315"/>
        <v>11827.90634673889</v>
      </c>
      <c r="II29" s="147">
        <f t="shared" si="316"/>
        <v>422.42522666924606</v>
      </c>
      <c r="IJ29" s="147">
        <f t="shared" si="317"/>
        <v>9293.3549867234124</v>
      </c>
      <c r="IK29" s="147">
        <f t="shared" si="318"/>
        <v>0</v>
      </c>
      <c r="IL29" s="147">
        <f t="shared" si="319"/>
        <v>0</v>
      </c>
      <c r="IM29" s="147">
        <f t="shared" si="320"/>
        <v>0</v>
      </c>
      <c r="IN29" s="26"/>
      <c r="IP29" s="61">
        <f t="shared" si="321"/>
        <v>1410.522417730326</v>
      </c>
      <c r="IQ29" s="61">
        <f t="shared" si="322"/>
        <v>705.26120886516298</v>
      </c>
      <c r="IR29" s="61">
        <f t="shared" si="323"/>
        <v>705.26120886516298</v>
      </c>
      <c r="IS29" s="61">
        <f t="shared" si="324"/>
        <v>0</v>
      </c>
      <c r="IT29" s="61">
        <f t="shared" si="325"/>
        <v>705.26120886516298</v>
      </c>
      <c r="IU29" s="61">
        <f t="shared" si="326"/>
        <v>2909.5514740089161</v>
      </c>
      <c r="IV29" s="61">
        <f t="shared" si="327"/>
        <v>705.26120886516298</v>
      </c>
      <c r="IW29" s="61">
        <f t="shared" si="328"/>
        <v>0</v>
      </c>
      <c r="IX29" s="61">
        <f t="shared" si="329"/>
        <v>705.26120886516298</v>
      </c>
      <c r="IY29" s="61">
        <f t="shared" si="330"/>
        <v>705.26120886516298</v>
      </c>
      <c r="IZ29" s="61">
        <f t="shared" si="331"/>
        <v>0</v>
      </c>
      <c r="JA29" s="61">
        <f t="shared" si="332"/>
        <v>705.26120886516298</v>
      </c>
      <c r="JB29" s="61">
        <f t="shared" si="333"/>
        <v>765.67144052866206</v>
      </c>
      <c r="JC29" s="61">
        <f t="shared" si="334"/>
        <v>4936.8284620561417</v>
      </c>
      <c r="JD29" s="61">
        <f t="shared" si="335"/>
        <v>557.23015203540933</v>
      </c>
      <c r="JE29" s="61">
        <f t="shared" si="336"/>
        <v>2821.0448354606519</v>
      </c>
      <c r="JF29" s="61">
        <f t="shared" si="337"/>
        <v>705.26120886516298</v>
      </c>
      <c r="JG29" s="61">
        <f t="shared" si="338"/>
        <v>1410.522417730326</v>
      </c>
      <c r="JH29" s="61">
        <f t="shared" si="339"/>
        <v>705.26120886516298</v>
      </c>
      <c r="JI29" s="61">
        <f t="shared" si="340"/>
        <v>705.26120886516298</v>
      </c>
      <c r="JJ29" s="61">
        <f t="shared" si="341"/>
        <v>19747.313848224567</v>
      </c>
      <c r="JK29" s="61">
        <f t="shared" si="342"/>
        <v>705.26120886516298</v>
      </c>
      <c r="JL29" s="61">
        <f t="shared" si="343"/>
        <v>15515.746595033586</v>
      </c>
      <c r="JM29" s="61">
        <f t="shared" si="344"/>
        <v>0</v>
      </c>
      <c r="JN29" s="61">
        <f t="shared" si="345"/>
        <v>0</v>
      </c>
      <c r="JO29" s="61">
        <f t="shared" si="346"/>
        <v>0</v>
      </c>
      <c r="JQ29" s="26">
        <f t="shared" si="209"/>
        <v>150002.99999999994</v>
      </c>
      <c r="JR29" s="156">
        <f t="shared" si="210"/>
        <v>0.99999999999999967</v>
      </c>
      <c r="JT29" s="157">
        <f t="shared" si="347"/>
        <v>3658.5537174270489</v>
      </c>
      <c r="JU29" s="29">
        <f t="shared" si="348"/>
        <v>1</v>
      </c>
    </row>
    <row r="30" spans="1:281" ht="18.75" x14ac:dyDescent="0.3">
      <c r="A30" t="s">
        <v>12</v>
      </c>
      <c r="B30" t="s">
        <v>8</v>
      </c>
      <c r="C30" t="s">
        <v>31</v>
      </c>
      <c r="D30" t="s">
        <v>20</v>
      </c>
      <c r="E30" t="s">
        <v>32</v>
      </c>
      <c r="F30" s="113">
        <v>49</v>
      </c>
      <c r="G30" s="15">
        <v>150007</v>
      </c>
      <c r="H30" s="20">
        <v>90913</v>
      </c>
      <c r="I30" s="23">
        <v>1.6500060497398612</v>
      </c>
      <c r="J30" s="9">
        <v>2.4389870318773949E-2</v>
      </c>
      <c r="K30" s="9">
        <v>1.2194935159386975E-2</v>
      </c>
      <c r="L30" s="9">
        <v>1.2194935159386975E-2</v>
      </c>
      <c r="M30" s="9">
        <v>0</v>
      </c>
      <c r="N30" s="9">
        <v>1.2194935159386975E-2</v>
      </c>
      <c r="O30" s="9">
        <v>5.0310142004735152E-2</v>
      </c>
      <c r="P30" s="9">
        <v>1.2194935159386975E-2</v>
      </c>
      <c r="Q30" s="9">
        <v>0</v>
      </c>
      <c r="R30" s="9">
        <v>1.2194935159386975E-2</v>
      </c>
      <c r="S30" s="9">
        <v>1.2194935159386975E-2</v>
      </c>
      <c r="T30" s="9">
        <v>0</v>
      </c>
      <c r="U30" s="9">
        <v>1.2194935159386975E-2</v>
      </c>
      <c r="V30" s="9">
        <v>1.3239511053877672E-2</v>
      </c>
      <c r="W30" s="9">
        <v>8.5364546115708831E-2</v>
      </c>
      <c r="X30" s="9">
        <v>9.6352748279770403E-3</v>
      </c>
      <c r="Y30" s="9">
        <v>4.8779740637547898E-2</v>
      </c>
      <c r="Z30" s="9">
        <v>1.2194935159386975E-2</v>
      </c>
      <c r="AA30" s="9">
        <v>2.4389870318773949E-2</v>
      </c>
      <c r="AB30" s="9">
        <v>1.2194935159386975E-2</v>
      </c>
      <c r="AC30" s="9">
        <v>1.2194935159386975E-2</v>
      </c>
      <c r="AD30" s="9">
        <v>0.34145818446283532</v>
      </c>
      <c r="AE30" s="9">
        <v>1.2194935159386975E-2</v>
      </c>
      <c r="AF30" s="9">
        <v>0.26828857350651347</v>
      </c>
      <c r="AG30" s="9">
        <v>0</v>
      </c>
      <c r="AH30" s="9">
        <v>0</v>
      </c>
      <c r="AI30" s="9">
        <v>0</v>
      </c>
      <c r="AJ30" s="8">
        <f t="shared" si="124"/>
        <v>0.99999999999999989</v>
      </c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9"/>
      <c r="BM30" s="26">
        <f t="shared" si="150"/>
        <v>3658.6512769083238</v>
      </c>
      <c r="BN30" s="26">
        <f t="shared" si="151"/>
        <v>1829.3256384541619</v>
      </c>
      <c r="BO30" s="26">
        <f t="shared" si="152"/>
        <v>1829.3256384541619</v>
      </c>
      <c r="BP30" s="26">
        <f t="shared" si="153"/>
        <v>0</v>
      </c>
      <c r="BQ30" s="26">
        <f t="shared" si="154"/>
        <v>1829.3256384541619</v>
      </c>
      <c r="BR30" s="26">
        <f t="shared" si="155"/>
        <v>7546.8734717043062</v>
      </c>
      <c r="BS30" s="26">
        <f t="shared" si="156"/>
        <v>1829.3256384541619</v>
      </c>
      <c r="BT30" s="26">
        <f t="shared" si="157"/>
        <v>0</v>
      </c>
      <c r="BU30" s="26">
        <f t="shared" si="158"/>
        <v>1829.3256384541619</v>
      </c>
      <c r="BV30" s="26">
        <f t="shared" si="159"/>
        <v>1829.3256384541619</v>
      </c>
      <c r="BW30" s="26">
        <f t="shared" si="160"/>
        <v>0</v>
      </c>
      <c r="BX30" s="26">
        <f t="shared" si="161"/>
        <v>1829.3256384541619</v>
      </c>
      <c r="BY30" s="26">
        <f t="shared" si="162"/>
        <v>1986.0193346590279</v>
      </c>
      <c r="BZ30" s="26">
        <f t="shared" si="163"/>
        <v>12805.279469179135</v>
      </c>
      <c r="CA30" s="26">
        <f t="shared" si="164"/>
        <v>1445.3586711203518</v>
      </c>
      <c r="CB30" s="26">
        <f t="shared" si="165"/>
        <v>7317.3025538166476</v>
      </c>
      <c r="CC30" s="26">
        <f t="shared" si="166"/>
        <v>1829.3256384541619</v>
      </c>
      <c r="CD30" s="26">
        <f t="shared" si="167"/>
        <v>3658.6512769083238</v>
      </c>
      <c r="CE30" s="26">
        <f t="shared" si="168"/>
        <v>1829.3256384541619</v>
      </c>
      <c r="CF30" s="26">
        <f t="shared" si="169"/>
        <v>1829.3256384541619</v>
      </c>
      <c r="CG30" s="26">
        <f t="shared" si="170"/>
        <v>51221.11787671654</v>
      </c>
      <c r="CH30" s="26">
        <f t="shared" si="171"/>
        <v>1829.3256384541619</v>
      </c>
      <c r="CI30" s="26">
        <f t="shared" si="172"/>
        <v>40245.164045991565</v>
      </c>
      <c r="CJ30" s="26">
        <f t="shared" si="173"/>
        <v>0</v>
      </c>
      <c r="CK30" s="26">
        <f t="shared" si="174"/>
        <v>0</v>
      </c>
      <c r="CL30" s="26">
        <f t="shared" si="175"/>
        <v>0</v>
      </c>
      <c r="CM30" s="110">
        <f t="shared" si="176"/>
        <v>1</v>
      </c>
      <c r="CN30" s="27">
        <f t="shared" si="177"/>
        <v>2217.3562802906958</v>
      </c>
      <c r="CO30" s="27">
        <f t="shared" si="178"/>
        <v>1108.6781401453479</v>
      </c>
      <c r="CP30" s="27">
        <f t="shared" si="179"/>
        <v>1108.6781401453479</v>
      </c>
      <c r="CQ30" s="27">
        <f t="shared" si="180"/>
        <v>0</v>
      </c>
      <c r="CR30" s="27">
        <f t="shared" si="181"/>
        <v>1108.6781401453479</v>
      </c>
      <c r="CS30" s="27">
        <f t="shared" si="182"/>
        <v>4573.8459400764868</v>
      </c>
      <c r="CT30" s="27">
        <f t="shared" si="183"/>
        <v>1108.6781401453479</v>
      </c>
      <c r="CU30" s="27">
        <f t="shared" si="184"/>
        <v>0</v>
      </c>
      <c r="CV30" s="27">
        <f t="shared" si="185"/>
        <v>1108.6781401453479</v>
      </c>
      <c r="CW30" s="27">
        <f t="shared" si="186"/>
        <v>1108.6781401453479</v>
      </c>
      <c r="CX30" s="27">
        <f t="shared" si="187"/>
        <v>0</v>
      </c>
      <c r="CY30" s="27">
        <f t="shared" si="188"/>
        <v>1108.6781401453479</v>
      </c>
      <c r="CZ30" s="27">
        <f t="shared" si="189"/>
        <v>1203.6436684411808</v>
      </c>
      <c r="DA30" s="27">
        <f t="shared" si="190"/>
        <v>7760.7469810174371</v>
      </c>
      <c r="DB30" s="27">
        <f t="shared" si="191"/>
        <v>875.97174043587665</v>
      </c>
      <c r="DC30" s="27">
        <f t="shared" si="192"/>
        <v>4434.7125605813917</v>
      </c>
      <c r="DD30" s="27">
        <f t="shared" si="193"/>
        <v>1108.6781401453479</v>
      </c>
      <c r="DE30" s="27">
        <f t="shared" si="194"/>
        <v>2217.3562802906958</v>
      </c>
      <c r="DF30" s="27">
        <f t="shared" si="195"/>
        <v>1108.6781401453479</v>
      </c>
      <c r="DG30" s="27">
        <f t="shared" si="196"/>
        <v>1108.6781401453479</v>
      </c>
      <c r="DH30" s="27">
        <f t="shared" si="197"/>
        <v>31042.987924069748</v>
      </c>
      <c r="DI30" s="27">
        <f t="shared" si="198"/>
        <v>1108.6781401453479</v>
      </c>
      <c r="DJ30" s="27">
        <f t="shared" si="199"/>
        <v>24390.919083197659</v>
      </c>
      <c r="DK30" s="27">
        <f t="shared" si="200"/>
        <v>0</v>
      </c>
      <c r="DL30" s="27">
        <f t="shared" si="201"/>
        <v>0</v>
      </c>
      <c r="DM30" s="27">
        <f t="shared" si="202"/>
        <v>0</v>
      </c>
      <c r="DN30" s="110">
        <f t="shared" si="203"/>
        <v>1</v>
      </c>
      <c r="DO30" s="28">
        <f t="shared" si="211"/>
        <v>1441.2949966176279</v>
      </c>
      <c r="DP30" s="28">
        <f t="shared" si="212"/>
        <v>720.64749830881397</v>
      </c>
      <c r="DQ30" s="28">
        <f t="shared" si="213"/>
        <v>720.64749830881397</v>
      </c>
      <c r="DR30" s="28">
        <f t="shared" si="214"/>
        <v>0</v>
      </c>
      <c r="DS30" s="28">
        <f t="shared" si="215"/>
        <v>720.64749830881397</v>
      </c>
      <c r="DT30" s="28">
        <f t="shared" si="216"/>
        <v>2973.0275316278194</v>
      </c>
      <c r="DU30" s="28">
        <f t="shared" si="217"/>
        <v>720.64749830881397</v>
      </c>
      <c r="DV30" s="28">
        <f t="shared" si="218"/>
        <v>0</v>
      </c>
      <c r="DW30" s="28">
        <f t="shared" si="219"/>
        <v>720.64749830881397</v>
      </c>
      <c r="DX30" s="28">
        <f t="shared" si="220"/>
        <v>720.64749830881397</v>
      </c>
      <c r="DY30" s="28">
        <f t="shared" si="221"/>
        <v>0</v>
      </c>
      <c r="DZ30" s="28">
        <f t="shared" si="222"/>
        <v>720.64749830881397</v>
      </c>
      <c r="EA30" s="28">
        <f t="shared" si="223"/>
        <v>782.37566621784708</v>
      </c>
      <c r="EB30" s="28">
        <f t="shared" si="224"/>
        <v>5044.532488161698</v>
      </c>
      <c r="EC30" s="28">
        <f t="shared" si="225"/>
        <v>569.38693068447515</v>
      </c>
      <c r="ED30" s="28">
        <f t="shared" si="226"/>
        <v>2882.5899932352559</v>
      </c>
      <c r="EE30" s="28">
        <f t="shared" si="227"/>
        <v>720.64749830881397</v>
      </c>
      <c r="EF30" s="28">
        <f t="shared" si="228"/>
        <v>1441.2949966176279</v>
      </c>
      <c r="EG30" s="28">
        <f t="shared" si="229"/>
        <v>720.64749830881397</v>
      </c>
      <c r="EH30" s="28">
        <f t="shared" si="230"/>
        <v>720.64749830881397</v>
      </c>
      <c r="EI30" s="28">
        <f t="shared" si="231"/>
        <v>20178.129952646792</v>
      </c>
      <c r="EJ30" s="28">
        <f t="shared" si="232"/>
        <v>720.64749830881397</v>
      </c>
      <c r="EK30" s="28">
        <f t="shared" si="233"/>
        <v>15854.244962793906</v>
      </c>
      <c r="EL30" s="28">
        <f t="shared" si="234"/>
        <v>0</v>
      </c>
      <c r="EM30" s="28">
        <f t="shared" si="235"/>
        <v>0</v>
      </c>
      <c r="EN30" s="28">
        <f t="shared" si="236"/>
        <v>0</v>
      </c>
      <c r="EQ30" s="144">
        <v>4.0165942498074009E-2</v>
      </c>
      <c r="ER30" s="144">
        <v>5.0202378574022148E-2</v>
      </c>
      <c r="ES30" s="144">
        <v>6.0238747989263097E-2</v>
      </c>
      <c r="ET30" s="144">
        <v>8.233510590819848E-2</v>
      </c>
      <c r="EU30" s="144">
        <v>7.027518406521123E-2</v>
      </c>
      <c r="EV30" s="144">
        <v>8.0311620141159376E-2</v>
      </c>
      <c r="EW30" s="144">
        <v>8.0311620141159376E-2</v>
      </c>
      <c r="EX30" s="144">
        <v>7.027518406521123E-2</v>
      </c>
      <c r="EY30" s="144">
        <v>8.0311620141159376E-2</v>
      </c>
      <c r="EZ30" s="144">
        <v>0.10742612943736163</v>
      </c>
      <c r="FA30" s="144">
        <v>0.10742612943736163</v>
      </c>
      <c r="FB30" s="144">
        <v>0.1707203376018184</v>
      </c>
      <c r="FC30" s="145">
        <f t="shared" si="237"/>
        <v>1</v>
      </c>
      <c r="FD30" s="146">
        <f t="shared" si="238"/>
        <v>0.15060706906135926</v>
      </c>
      <c r="FE30" s="146">
        <f t="shared" si="239"/>
        <v>0.23292191011456909</v>
      </c>
      <c r="FF30" s="146">
        <f t="shared" si="240"/>
        <v>0.23089842434753</v>
      </c>
      <c r="FG30" s="146">
        <f t="shared" si="241"/>
        <v>0.38557259647654163</v>
      </c>
      <c r="FH30" s="145">
        <f t="shared" si="242"/>
        <v>0.99999999999999989</v>
      </c>
      <c r="FJ30" s="52">
        <f t="shared" si="243"/>
        <v>551.01874553276218</v>
      </c>
      <c r="FK30" s="52">
        <f t="shared" si="244"/>
        <v>275.50937276638109</v>
      </c>
      <c r="FL30" s="52">
        <f t="shared" si="245"/>
        <v>275.50937276638109</v>
      </c>
      <c r="FM30" s="52">
        <f t="shared" si="246"/>
        <v>0</v>
      </c>
      <c r="FN30" s="52">
        <f t="shared" si="247"/>
        <v>275.50937276638109</v>
      </c>
      <c r="FO30" s="52">
        <f t="shared" si="248"/>
        <v>1136.6124941503106</v>
      </c>
      <c r="FP30" s="52">
        <f t="shared" si="249"/>
        <v>275.50937276638109</v>
      </c>
      <c r="FQ30" s="52">
        <f t="shared" si="250"/>
        <v>0</v>
      </c>
      <c r="FR30" s="52">
        <f t="shared" si="251"/>
        <v>275.50937276638109</v>
      </c>
      <c r="FS30" s="52">
        <f t="shared" si="252"/>
        <v>275.50937276638109</v>
      </c>
      <c r="FT30" s="52">
        <f t="shared" si="253"/>
        <v>0</v>
      </c>
      <c r="FU30" s="52">
        <f t="shared" si="254"/>
        <v>275.50937276638109</v>
      </c>
      <c r="FV30" s="52">
        <f t="shared" si="255"/>
        <v>299.10855109218699</v>
      </c>
      <c r="FW30" s="52">
        <f t="shared" si="256"/>
        <v>1928.5656093646678</v>
      </c>
      <c r="FX30" s="52">
        <f t="shared" si="257"/>
        <v>217.68123319985727</v>
      </c>
      <c r="FY30" s="52">
        <f t="shared" si="258"/>
        <v>1102.0374910655244</v>
      </c>
      <c r="FZ30" s="52">
        <f t="shared" si="259"/>
        <v>275.50937276638109</v>
      </c>
      <c r="GA30" s="52">
        <f t="shared" si="260"/>
        <v>551.01874553276218</v>
      </c>
      <c r="GB30" s="52">
        <f t="shared" si="261"/>
        <v>275.50937276638109</v>
      </c>
      <c r="GC30" s="52">
        <f t="shared" si="262"/>
        <v>275.50937276638109</v>
      </c>
      <c r="GD30" s="52">
        <f t="shared" si="263"/>
        <v>7714.2624374586712</v>
      </c>
      <c r="GE30" s="52">
        <f t="shared" si="264"/>
        <v>275.50937276638109</v>
      </c>
      <c r="GF30" s="52">
        <f t="shared" si="265"/>
        <v>6061.2062008603843</v>
      </c>
      <c r="GG30" s="52">
        <f t="shared" si="266"/>
        <v>0</v>
      </c>
      <c r="GH30" s="52">
        <f t="shared" si="267"/>
        <v>0</v>
      </c>
      <c r="GI30" s="52">
        <f t="shared" si="268"/>
        <v>0</v>
      </c>
      <c r="GJ30" s="26"/>
      <c r="GL30" s="150">
        <f t="shared" si="269"/>
        <v>852.18004386059397</v>
      </c>
      <c r="GM30" s="150">
        <f t="shared" si="270"/>
        <v>426.09002193029698</v>
      </c>
      <c r="GN30" s="150">
        <f t="shared" si="271"/>
        <v>426.09002193029698</v>
      </c>
      <c r="GO30" s="150">
        <f t="shared" si="272"/>
        <v>0</v>
      </c>
      <c r="GP30" s="150">
        <f t="shared" si="273"/>
        <v>426.09002193029698</v>
      </c>
      <c r="GQ30" s="150">
        <f t="shared" si="274"/>
        <v>1757.8321844223365</v>
      </c>
      <c r="GR30" s="150">
        <f t="shared" si="275"/>
        <v>426.09002193029698</v>
      </c>
      <c r="GS30" s="150">
        <f t="shared" si="276"/>
        <v>0</v>
      </c>
      <c r="GT30" s="150">
        <f t="shared" si="277"/>
        <v>426.09002193029698</v>
      </c>
      <c r="GU30" s="150">
        <f t="shared" si="278"/>
        <v>426.09002193029698</v>
      </c>
      <c r="GV30" s="150">
        <f t="shared" si="279"/>
        <v>0</v>
      </c>
      <c r="GW30" s="150">
        <f t="shared" si="280"/>
        <v>426.09002193029698</v>
      </c>
      <c r="GX30" s="150">
        <f t="shared" si="281"/>
        <v>462.58741695324642</v>
      </c>
      <c r="GY30" s="150">
        <f t="shared" si="282"/>
        <v>2982.6301535120792</v>
      </c>
      <c r="GZ30" s="150">
        <f t="shared" si="283"/>
        <v>336.65570247800758</v>
      </c>
      <c r="HA30" s="150">
        <f t="shared" si="284"/>
        <v>1704.3600877211879</v>
      </c>
      <c r="HB30" s="150">
        <f t="shared" si="285"/>
        <v>426.09002193029698</v>
      </c>
      <c r="HC30" s="150">
        <f t="shared" si="286"/>
        <v>852.18004386059397</v>
      </c>
      <c r="HD30" s="150">
        <f t="shared" si="287"/>
        <v>426.09002193029698</v>
      </c>
      <c r="HE30" s="150">
        <f t="shared" si="288"/>
        <v>426.09002193029698</v>
      </c>
      <c r="HF30" s="150">
        <f t="shared" si="289"/>
        <v>11930.520614048317</v>
      </c>
      <c r="HG30" s="150">
        <f t="shared" si="290"/>
        <v>426.09002193029698</v>
      </c>
      <c r="HH30" s="150">
        <f t="shared" si="291"/>
        <v>9373.9804824665352</v>
      </c>
      <c r="HI30" s="150">
        <f t="shared" si="292"/>
        <v>0</v>
      </c>
      <c r="HJ30" s="150">
        <f t="shared" si="293"/>
        <v>0</v>
      </c>
      <c r="HK30" s="150">
        <f t="shared" si="294"/>
        <v>0</v>
      </c>
      <c r="HL30" s="26"/>
      <c r="HN30" s="147">
        <f t="shared" si="295"/>
        <v>844.77681507521061</v>
      </c>
      <c r="HO30" s="147">
        <f t="shared" si="296"/>
        <v>422.3884075376053</v>
      </c>
      <c r="HP30" s="147">
        <f t="shared" si="297"/>
        <v>422.3884075376053</v>
      </c>
      <c r="HQ30" s="147">
        <f t="shared" si="298"/>
        <v>0</v>
      </c>
      <c r="HR30" s="147">
        <f t="shared" si="299"/>
        <v>422.3884075376053</v>
      </c>
      <c r="HS30" s="147">
        <f t="shared" si="300"/>
        <v>1742.5611933666978</v>
      </c>
      <c r="HT30" s="147">
        <f t="shared" si="301"/>
        <v>422.3884075376053</v>
      </c>
      <c r="HU30" s="147">
        <f t="shared" si="302"/>
        <v>0</v>
      </c>
      <c r="HV30" s="147">
        <f t="shared" si="303"/>
        <v>422.3884075376053</v>
      </c>
      <c r="HW30" s="147">
        <f t="shared" si="304"/>
        <v>422.3884075376053</v>
      </c>
      <c r="HX30" s="147">
        <f t="shared" si="305"/>
        <v>0</v>
      </c>
      <c r="HY30" s="147">
        <f t="shared" si="306"/>
        <v>422.3884075376053</v>
      </c>
      <c r="HZ30" s="147">
        <f t="shared" si="307"/>
        <v>458.56873509649938</v>
      </c>
      <c r="IA30" s="147">
        <f t="shared" si="308"/>
        <v>2956.7188527632375</v>
      </c>
      <c r="IB30" s="147">
        <f t="shared" si="309"/>
        <v>333.73103977872904</v>
      </c>
      <c r="IC30" s="147">
        <f t="shared" si="310"/>
        <v>1689.5536301504212</v>
      </c>
      <c r="ID30" s="147">
        <f t="shared" si="311"/>
        <v>422.3884075376053</v>
      </c>
      <c r="IE30" s="147">
        <f t="shared" si="312"/>
        <v>844.77681507521061</v>
      </c>
      <c r="IF30" s="147">
        <f t="shared" si="313"/>
        <v>422.3884075376053</v>
      </c>
      <c r="IG30" s="147">
        <f t="shared" si="314"/>
        <v>422.3884075376053</v>
      </c>
      <c r="IH30" s="147">
        <f t="shared" si="315"/>
        <v>11826.87541105295</v>
      </c>
      <c r="II30" s="147">
        <f t="shared" si="316"/>
        <v>422.3884075376053</v>
      </c>
      <c r="IJ30" s="147">
        <f t="shared" si="317"/>
        <v>9292.5449658273174</v>
      </c>
      <c r="IK30" s="147">
        <f t="shared" si="318"/>
        <v>0</v>
      </c>
      <c r="IL30" s="147">
        <f t="shared" si="319"/>
        <v>0</v>
      </c>
      <c r="IM30" s="147">
        <f t="shared" si="320"/>
        <v>0</v>
      </c>
      <c r="IN30" s="26"/>
      <c r="IP30" s="61">
        <f t="shared" si="321"/>
        <v>1410.6756724397569</v>
      </c>
      <c r="IQ30" s="61">
        <f t="shared" si="322"/>
        <v>705.33783621987845</v>
      </c>
      <c r="IR30" s="61">
        <f t="shared" si="323"/>
        <v>705.33783621987845</v>
      </c>
      <c r="IS30" s="61">
        <f t="shared" si="324"/>
        <v>0</v>
      </c>
      <c r="IT30" s="61">
        <f t="shared" si="325"/>
        <v>705.33783621987845</v>
      </c>
      <c r="IU30" s="61">
        <f t="shared" si="326"/>
        <v>2909.8675997649611</v>
      </c>
      <c r="IV30" s="61">
        <f t="shared" si="327"/>
        <v>705.33783621987845</v>
      </c>
      <c r="IW30" s="61">
        <f t="shared" si="328"/>
        <v>0</v>
      </c>
      <c r="IX30" s="61">
        <f t="shared" si="329"/>
        <v>705.33783621987845</v>
      </c>
      <c r="IY30" s="61">
        <f t="shared" si="330"/>
        <v>705.33783621987845</v>
      </c>
      <c r="IZ30" s="61">
        <f t="shared" si="331"/>
        <v>0</v>
      </c>
      <c r="JA30" s="61">
        <f t="shared" si="332"/>
        <v>705.33783621987845</v>
      </c>
      <c r="JB30" s="61">
        <f t="shared" si="333"/>
        <v>765.75463151709505</v>
      </c>
      <c r="JC30" s="61">
        <f t="shared" si="334"/>
        <v>4937.3648535391494</v>
      </c>
      <c r="JD30" s="61">
        <f t="shared" si="335"/>
        <v>557.2906956637579</v>
      </c>
      <c r="JE30" s="61">
        <f t="shared" si="336"/>
        <v>2821.3513448795138</v>
      </c>
      <c r="JF30" s="61">
        <f t="shared" si="337"/>
        <v>705.33783621987845</v>
      </c>
      <c r="JG30" s="61">
        <f t="shared" si="338"/>
        <v>1410.6756724397569</v>
      </c>
      <c r="JH30" s="61">
        <f t="shared" si="339"/>
        <v>705.33783621987845</v>
      </c>
      <c r="JI30" s="61">
        <f t="shared" si="340"/>
        <v>705.33783621987845</v>
      </c>
      <c r="JJ30" s="61">
        <f t="shared" si="341"/>
        <v>19749.459414156598</v>
      </c>
      <c r="JK30" s="61">
        <f t="shared" si="342"/>
        <v>705.33783621987845</v>
      </c>
      <c r="JL30" s="61">
        <f t="shared" si="343"/>
        <v>15517.432396837326</v>
      </c>
      <c r="JM30" s="61">
        <f t="shared" si="344"/>
        <v>0</v>
      </c>
      <c r="JN30" s="61">
        <f t="shared" si="345"/>
        <v>0</v>
      </c>
      <c r="JO30" s="61">
        <f t="shared" si="346"/>
        <v>0</v>
      </c>
      <c r="JQ30" s="26">
        <f t="shared" si="209"/>
        <v>150007.00000000006</v>
      </c>
      <c r="JR30" s="156">
        <f t="shared" si="210"/>
        <v>1.0000000000000004</v>
      </c>
      <c r="JT30" s="157">
        <f t="shared" si="347"/>
        <v>3658.6512769083238</v>
      </c>
      <c r="JU30" s="29">
        <f t="shared" si="348"/>
        <v>1</v>
      </c>
    </row>
    <row r="31" spans="1:281" ht="18.75" x14ac:dyDescent="0.3">
      <c r="A31" t="s">
        <v>12</v>
      </c>
      <c r="B31" t="s">
        <v>0</v>
      </c>
      <c r="C31" t="s">
        <v>13</v>
      </c>
      <c r="D31" t="s">
        <v>14</v>
      </c>
      <c r="E31" t="s">
        <v>15</v>
      </c>
      <c r="F31" s="113">
        <v>1600</v>
      </c>
      <c r="G31" s="15">
        <v>147600</v>
      </c>
      <c r="H31" s="20">
        <v>72000</v>
      </c>
      <c r="I31" s="23">
        <v>2.0499999999999998</v>
      </c>
      <c r="J31" s="9">
        <v>2.4389870318773949E-2</v>
      </c>
      <c r="K31" s="9">
        <v>1.2194935159386975E-2</v>
      </c>
      <c r="L31" s="9">
        <v>1.2194935159386975E-2</v>
      </c>
      <c r="M31" s="9">
        <v>0</v>
      </c>
      <c r="N31" s="9">
        <v>1.2194935159386975E-2</v>
      </c>
      <c r="O31" s="9">
        <v>5.0310142004735152E-2</v>
      </c>
      <c r="P31" s="9">
        <v>1.2194935159386975E-2</v>
      </c>
      <c r="Q31" s="9">
        <v>0</v>
      </c>
      <c r="R31" s="9">
        <v>1.2194935159386975E-2</v>
      </c>
      <c r="S31" s="9">
        <v>1.2194935159386975E-2</v>
      </c>
      <c r="T31" s="9">
        <v>0</v>
      </c>
      <c r="U31" s="9">
        <v>1.2194935159386975E-2</v>
      </c>
      <c r="V31" s="9">
        <v>1.3239511053877672E-2</v>
      </c>
      <c r="W31" s="9">
        <v>8.5364546115708831E-2</v>
      </c>
      <c r="X31" s="9">
        <v>9.6352748279770403E-3</v>
      </c>
      <c r="Y31" s="9">
        <v>4.8779740637547898E-2</v>
      </c>
      <c r="Z31" s="9">
        <v>1.2194935159386975E-2</v>
      </c>
      <c r="AA31" s="9">
        <v>2.4389870318773949E-2</v>
      </c>
      <c r="AB31" s="9">
        <v>1.2194935159386975E-2</v>
      </c>
      <c r="AC31" s="9">
        <v>1.2194935159386975E-2</v>
      </c>
      <c r="AD31" s="9">
        <v>0.34145818446283532</v>
      </c>
      <c r="AE31" s="9">
        <v>1.2194935159386975E-2</v>
      </c>
      <c r="AF31" s="9">
        <v>0.26828857350651347</v>
      </c>
      <c r="AG31" s="9">
        <v>0</v>
      </c>
      <c r="AH31" s="9">
        <v>0</v>
      </c>
      <c r="AI31" s="9">
        <v>0</v>
      </c>
      <c r="AJ31" s="8">
        <f t="shared" si="124"/>
        <v>0.99999999999999989</v>
      </c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9"/>
      <c r="BM31" s="26">
        <f t="shared" si="150"/>
        <v>3599.9448590510351</v>
      </c>
      <c r="BN31" s="26">
        <f t="shared" si="151"/>
        <v>1799.9724295255176</v>
      </c>
      <c r="BO31" s="26">
        <f t="shared" si="152"/>
        <v>1799.9724295255176</v>
      </c>
      <c r="BP31" s="26">
        <f t="shared" si="153"/>
        <v>0</v>
      </c>
      <c r="BQ31" s="26">
        <f t="shared" si="154"/>
        <v>1799.9724295255176</v>
      </c>
      <c r="BR31" s="26">
        <f t="shared" si="155"/>
        <v>7425.776959898908</v>
      </c>
      <c r="BS31" s="26">
        <f t="shared" si="156"/>
        <v>1799.9724295255176</v>
      </c>
      <c r="BT31" s="26">
        <f t="shared" si="157"/>
        <v>0</v>
      </c>
      <c r="BU31" s="26">
        <f t="shared" si="158"/>
        <v>1799.9724295255176</v>
      </c>
      <c r="BV31" s="26">
        <f t="shared" si="159"/>
        <v>1799.9724295255176</v>
      </c>
      <c r="BW31" s="26">
        <f t="shared" si="160"/>
        <v>0</v>
      </c>
      <c r="BX31" s="26">
        <f t="shared" si="161"/>
        <v>1799.9724295255176</v>
      </c>
      <c r="BY31" s="26">
        <f t="shared" si="162"/>
        <v>1954.1518315523444</v>
      </c>
      <c r="BZ31" s="26">
        <f t="shared" si="163"/>
        <v>12599.807006678624</v>
      </c>
      <c r="CA31" s="26">
        <f t="shared" si="164"/>
        <v>1422.1665646094111</v>
      </c>
      <c r="CB31" s="26">
        <f t="shared" si="165"/>
        <v>7199.8897181020702</v>
      </c>
      <c r="CC31" s="26">
        <f t="shared" si="166"/>
        <v>1799.9724295255176</v>
      </c>
      <c r="CD31" s="26">
        <f t="shared" si="167"/>
        <v>3599.9448590510351</v>
      </c>
      <c r="CE31" s="26">
        <f t="shared" si="168"/>
        <v>1799.9724295255176</v>
      </c>
      <c r="CF31" s="26">
        <f t="shared" si="169"/>
        <v>1799.9724295255176</v>
      </c>
      <c r="CG31" s="26">
        <f t="shared" si="170"/>
        <v>50399.228026714496</v>
      </c>
      <c r="CH31" s="26">
        <f t="shared" si="171"/>
        <v>1799.9724295255176</v>
      </c>
      <c r="CI31" s="26">
        <f t="shared" si="172"/>
        <v>39599.393449561387</v>
      </c>
      <c r="CJ31" s="26">
        <f t="shared" si="173"/>
        <v>0</v>
      </c>
      <c r="CK31" s="26">
        <f t="shared" si="174"/>
        <v>0</v>
      </c>
      <c r="CL31" s="26">
        <f t="shared" si="175"/>
        <v>0</v>
      </c>
      <c r="CM31" s="110">
        <f t="shared" si="176"/>
        <v>1</v>
      </c>
      <c r="CN31" s="27">
        <f t="shared" si="177"/>
        <v>1756.0706629517244</v>
      </c>
      <c r="CO31" s="27">
        <f t="shared" si="178"/>
        <v>878.03533147586222</v>
      </c>
      <c r="CP31" s="27">
        <f t="shared" si="179"/>
        <v>878.03533147586222</v>
      </c>
      <c r="CQ31" s="27">
        <f t="shared" si="180"/>
        <v>0</v>
      </c>
      <c r="CR31" s="27">
        <f t="shared" si="181"/>
        <v>878.03533147586222</v>
      </c>
      <c r="CS31" s="27">
        <f t="shared" si="182"/>
        <v>3622.3302243409307</v>
      </c>
      <c r="CT31" s="27">
        <f t="shared" si="183"/>
        <v>878.03533147586222</v>
      </c>
      <c r="CU31" s="27">
        <f t="shared" si="184"/>
        <v>0</v>
      </c>
      <c r="CV31" s="27">
        <f t="shared" si="185"/>
        <v>878.03533147586222</v>
      </c>
      <c r="CW31" s="27">
        <f t="shared" si="186"/>
        <v>878.03533147586222</v>
      </c>
      <c r="CX31" s="27">
        <f t="shared" si="187"/>
        <v>0</v>
      </c>
      <c r="CY31" s="27">
        <f t="shared" si="188"/>
        <v>878.03533147586222</v>
      </c>
      <c r="CZ31" s="27">
        <f t="shared" si="189"/>
        <v>953.24479587919234</v>
      </c>
      <c r="DA31" s="27">
        <f t="shared" si="190"/>
        <v>6146.2473203310356</v>
      </c>
      <c r="DB31" s="27">
        <f t="shared" si="191"/>
        <v>693.73978761434694</v>
      </c>
      <c r="DC31" s="27">
        <f t="shared" si="192"/>
        <v>3512.1413259034489</v>
      </c>
      <c r="DD31" s="27">
        <f t="shared" si="193"/>
        <v>878.03533147586222</v>
      </c>
      <c r="DE31" s="27">
        <f t="shared" si="194"/>
        <v>1756.0706629517244</v>
      </c>
      <c r="DF31" s="27">
        <f t="shared" si="195"/>
        <v>878.03533147586222</v>
      </c>
      <c r="DG31" s="27">
        <f t="shared" si="196"/>
        <v>878.03533147586222</v>
      </c>
      <c r="DH31" s="27">
        <f t="shared" si="197"/>
        <v>24584.989281324142</v>
      </c>
      <c r="DI31" s="27">
        <f t="shared" si="198"/>
        <v>878.03533147586222</v>
      </c>
      <c r="DJ31" s="27">
        <f t="shared" si="199"/>
        <v>19316.777292468971</v>
      </c>
      <c r="DK31" s="27">
        <f t="shared" si="200"/>
        <v>0</v>
      </c>
      <c r="DL31" s="27">
        <f t="shared" si="201"/>
        <v>0</v>
      </c>
      <c r="DM31" s="27">
        <f t="shared" si="202"/>
        <v>0</v>
      </c>
      <c r="DN31" s="110">
        <f t="shared" si="203"/>
        <v>1</v>
      </c>
      <c r="DO31" s="28">
        <f t="shared" si="211"/>
        <v>1843.8741960993107</v>
      </c>
      <c r="DP31" s="28">
        <f t="shared" si="212"/>
        <v>921.93709804965533</v>
      </c>
      <c r="DQ31" s="28">
        <f t="shared" si="213"/>
        <v>921.93709804965533</v>
      </c>
      <c r="DR31" s="28">
        <f t="shared" si="214"/>
        <v>0</v>
      </c>
      <c r="DS31" s="28">
        <f t="shared" si="215"/>
        <v>921.93709804965533</v>
      </c>
      <c r="DT31" s="28">
        <f t="shared" si="216"/>
        <v>3803.4467355579773</v>
      </c>
      <c r="DU31" s="28">
        <f t="shared" si="217"/>
        <v>921.93709804965533</v>
      </c>
      <c r="DV31" s="28">
        <f t="shared" si="218"/>
        <v>0</v>
      </c>
      <c r="DW31" s="28">
        <f t="shared" si="219"/>
        <v>921.93709804965533</v>
      </c>
      <c r="DX31" s="28">
        <f t="shared" si="220"/>
        <v>921.93709804965533</v>
      </c>
      <c r="DY31" s="28">
        <f t="shared" si="221"/>
        <v>0</v>
      </c>
      <c r="DZ31" s="28">
        <f t="shared" si="222"/>
        <v>921.93709804965533</v>
      </c>
      <c r="EA31" s="28">
        <f t="shared" si="223"/>
        <v>1000.9070356731521</v>
      </c>
      <c r="EB31" s="28">
        <f t="shared" si="224"/>
        <v>6453.5596863475885</v>
      </c>
      <c r="EC31" s="28">
        <f t="shared" si="225"/>
        <v>728.42677699506419</v>
      </c>
      <c r="ED31" s="28">
        <f t="shared" si="226"/>
        <v>3687.7483921986213</v>
      </c>
      <c r="EE31" s="28">
        <f t="shared" si="227"/>
        <v>921.93709804965533</v>
      </c>
      <c r="EF31" s="28">
        <f t="shared" si="228"/>
        <v>1843.8741960993107</v>
      </c>
      <c r="EG31" s="28">
        <f t="shared" si="229"/>
        <v>921.93709804965533</v>
      </c>
      <c r="EH31" s="28">
        <f t="shared" si="230"/>
        <v>921.93709804965533</v>
      </c>
      <c r="EI31" s="28">
        <f t="shared" si="231"/>
        <v>25814.238745390354</v>
      </c>
      <c r="EJ31" s="28">
        <f t="shared" si="232"/>
        <v>921.93709804965533</v>
      </c>
      <c r="EK31" s="28">
        <f t="shared" si="233"/>
        <v>20282.616157092416</v>
      </c>
      <c r="EL31" s="28">
        <f t="shared" si="234"/>
        <v>0</v>
      </c>
      <c r="EM31" s="28">
        <f t="shared" si="235"/>
        <v>0</v>
      </c>
      <c r="EN31" s="28">
        <f t="shared" si="236"/>
        <v>0</v>
      </c>
      <c r="EQ31" s="144">
        <v>4.0159878720970231E-2</v>
      </c>
      <c r="ER31" s="144">
        <v>5.0200198398412818E-2</v>
      </c>
      <c r="ES31" s="144">
        <v>6.0240518075855398E-2</v>
      </c>
      <c r="ET31" s="144">
        <v>8.2328741370069042E-2</v>
      </c>
      <c r="EU31" s="144">
        <v>7.0281037751697986E-2</v>
      </c>
      <c r="EV31" s="144">
        <v>8.0321357429140566E-2</v>
      </c>
      <c r="EW31" s="144">
        <v>8.0321357429140566E-2</v>
      </c>
      <c r="EX31" s="144">
        <v>7.0281037751697986E-2</v>
      </c>
      <c r="EY31" s="144">
        <v>8.0321357429140566E-2</v>
      </c>
      <c r="EZ31" s="144">
        <v>0.10742974056207549</v>
      </c>
      <c r="FA31" s="144">
        <v>0.10742974056207549</v>
      </c>
      <c r="FB31" s="144">
        <v>0.17068503451972383</v>
      </c>
      <c r="FC31" s="145">
        <f t="shared" si="237"/>
        <v>1</v>
      </c>
      <c r="FD31" s="146">
        <f t="shared" si="238"/>
        <v>0.15060059519523844</v>
      </c>
      <c r="FE31" s="146">
        <f t="shared" si="239"/>
        <v>0.23293113655090761</v>
      </c>
      <c r="FF31" s="146">
        <f t="shared" si="240"/>
        <v>0.23092375260997913</v>
      </c>
      <c r="FG31" s="146">
        <f t="shared" si="241"/>
        <v>0.38554451564387482</v>
      </c>
      <c r="FH31" s="145">
        <f t="shared" si="242"/>
        <v>1</v>
      </c>
      <c r="FJ31" s="52">
        <f t="shared" si="243"/>
        <v>542.15383844312464</v>
      </c>
      <c r="FK31" s="52">
        <f t="shared" si="244"/>
        <v>271.07691922156232</v>
      </c>
      <c r="FL31" s="52">
        <f t="shared" si="245"/>
        <v>271.07691922156232</v>
      </c>
      <c r="FM31" s="52">
        <f t="shared" si="246"/>
        <v>0</v>
      </c>
      <c r="FN31" s="52">
        <f t="shared" si="247"/>
        <v>271.07691922156232</v>
      </c>
      <c r="FO31" s="52">
        <f t="shared" si="248"/>
        <v>1118.3264299478637</v>
      </c>
      <c r="FP31" s="52">
        <f t="shared" si="249"/>
        <v>271.07691922156232</v>
      </c>
      <c r="FQ31" s="52">
        <f t="shared" si="250"/>
        <v>0</v>
      </c>
      <c r="FR31" s="52">
        <f t="shared" si="251"/>
        <v>271.07691922156232</v>
      </c>
      <c r="FS31" s="52">
        <f t="shared" si="252"/>
        <v>271.07691922156232</v>
      </c>
      <c r="FT31" s="52">
        <f t="shared" si="253"/>
        <v>0</v>
      </c>
      <c r="FU31" s="52">
        <f t="shared" si="254"/>
        <v>271.07691922156232</v>
      </c>
      <c r="FV31" s="52">
        <f t="shared" si="255"/>
        <v>294.29642893364843</v>
      </c>
      <c r="FW31" s="52">
        <f t="shared" si="256"/>
        <v>1897.5384345509365</v>
      </c>
      <c r="FX31" s="52">
        <f t="shared" si="257"/>
        <v>214.17913109694484</v>
      </c>
      <c r="FY31" s="52">
        <f t="shared" si="258"/>
        <v>1084.3076768862493</v>
      </c>
      <c r="FZ31" s="52">
        <f t="shared" si="259"/>
        <v>271.07691922156232</v>
      </c>
      <c r="GA31" s="52">
        <f t="shared" si="260"/>
        <v>542.15383844312464</v>
      </c>
      <c r="GB31" s="52">
        <f t="shared" si="261"/>
        <v>271.07691922156232</v>
      </c>
      <c r="GC31" s="52">
        <f t="shared" si="262"/>
        <v>271.07691922156232</v>
      </c>
      <c r="GD31" s="52">
        <f t="shared" si="263"/>
        <v>7590.1537382037459</v>
      </c>
      <c r="GE31" s="52">
        <f t="shared" si="264"/>
        <v>271.07691922156232</v>
      </c>
      <c r="GF31" s="52">
        <f t="shared" si="265"/>
        <v>5963.6922228743715</v>
      </c>
      <c r="GG31" s="52">
        <f t="shared" si="266"/>
        <v>0</v>
      </c>
      <c r="GH31" s="52">
        <f t="shared" si="267"/>
        <v>0</v>
      </c>
      <c r="GI31" s="52">
        <f t="shared" si="268"/>
        <v>0</v>
      </c>
      <c r="GJ31" s="26"/>
      <c r="GL31" s="150">
        <f t="shared" si="269"/>
        <v>838.53924753935451</v>
      </c>
      <c r="GM31" s="150">
        <f t="shared" si="270"/>
        <v>419.26962376967725</v>
      </c>
      <c r="GN31" s="150">
        <f t="shared" si="271"/>
        <v>419.26962376967725</v>
      </c>
      <c r="GO31" s="150">
        <f t="shared" si="272"/>
        <v>0</v>
      </c>
      <c r="GP31" s="150">
        <f t="shared" si="273"/>
        <v>419.26962376967725</v>
      </c>
      <c r="GQ31" s="150">
        <f t="shared" si="274"/>
        <v>1729.694667042796</v>
      </c>
      <c r="GR31" s="150">
        <f t="shared" si="275"/>
        <v>419.26962376967725</v>
      </c>
      <c r="GS31" s="150">
        <f t="shared" si="276"/>
        <v>0</v>
      </c>
      <c r="GT31" s="150">
        <f t="shared" si="277"/>
        <v>419.26962376967725</v>
      </c>
      <c r="GU31" s="150">
        <f t="shared" si="278"/>
        <v>419.26962376967725</v>
      </c>
      <c r="GV31" s="150">
        <f t="shared" si="279"/>
        <v>0</v>
      </c>
      <c r="GW31" s="150">
        <f t="shared" si="280"/>
        <v>419.26962376967725</v>
      </c>
      <c r="GX31" s="150">
        <f t="shared" si="281"/>
        <v>455.18280711652534</v>
      </c>
      <c r="GY31" s="150">
        <f t="shared" si="282"/>
        <v>2934.8873663877412</v>
      </c>
      <c r="GZ31" s="150">
        <f t="shared" si="283"/>
        <v>331.26687425916992</v>
      </c>
      <c r="HA31" s="150">
        <f t="shared" si="284"/>
        <v>1677.078495078709</v>
      </c>
      <c r="HB31" s="150">
        <f t="shared" si="285"/>
        <v>419.26962376967725</v>
      </c>
      <c r="HC31" s="150">
        <f t="shared" si="286"/>
        <v>838.53924753935451</v>
      </c>
      <c r="HD31" s="150">
        <f t="shared" si="287"/>
        <v>419.26962376967725</v>
      </c>
      <c r="HE31" s="150">
        <f t="shared" si="288"/>
        <v>419.26962376967725</v>
      </c>
      <c r="HF31" s="150">
        <f t="shared" si="289"/>
        <v>11739.549465550965</v>
      </c>
      <c r="HG31" s="150">
        <f t="shared" si="290"/>
        <v>419.26962376967725</v>
      </c>
      <c r="HH31" s="150">
        <f t="shared" si="291"/>
        <v>9223.931722932899</v>
      </c>
      <c r="HI31" s="150">
        <f t="shared" si="292"/>
        <v>0</v>
      </c>
      <c r="HJ31" s="150">
        <f t="shared" si="293"/>
        <v>0</v>
      </c>
      <c r="HK31" s="150">
        <f t="shared" si="294"/>
        <v>0</v>
      </c>
      <c r="HL31" s="26"/>
      <c r="HN31" s="147">
        <f t="shared" si="295"/>
        <v>831.31277604106742</v>
      </c>
      <c r="HO31" s="147">
        <f t="shared" si="296"/>
        <v>415.65638802053371</v>
      </c>
      <c r="HP31" s="147">
        <f t="shared" si="297"/>
        <v>415.65638802053371</v>
      </c>
      <c r="HQ31" s="147">
        <f t="shared" si="298"/>
        <v>0</v>
      </c>
      <c r="HR31" s="147">
        <f t="shared" si="299"/>
        <v>415.65638802053371</v>
      </c>
      <c r="HS31" s="147">
        <f t="shared" si="300"/>
        <v>1714.7882816245783</v>
      </c>
      <c r="HT31" s="147">
        <f t="shared" si="301"/>
        <v>415.65638802053371</v>
      </c>
      <c r="HU31" s="147">
        <f t="shared" si="302"/>
        <v>0</v>
      </c>
      <c r="HV31" s="147">
        <f t="shared" si="303"/>
        <v>415.65638802053371</v>
      </c>
      <c r="HW31" s="147">
        <f t="shared" si="304"/>
        <v>415.65638802053371</v>
      </c>
      <c r="HX31" s="147">
        <f t="shared" si="305"/>
        <v>0</v>
      </c>
      <c r="HY31" s="147">
        <f t="shared" si="306"/>
        <v>415.65638802053371</v>
      </c>
      <c r="HZ31" s="147">
        <f t="shared" si="307"/>
        <v>451.26007411173123</v>
      </c>
      <c r="IA31" s="147">
        <f t="shared" si="308"/>
        <v>2909.5947161437362</v>
      </c>
      <c r="IB31" s="147">
        <f t="shared" si="309"/>
        <v>328.41203993604756</v>
      </c>
      <c r="IC31" s="147">
        <f t="shared" si="310"/>
        <v>1662.6255520821348</v>
      </c>
      <c r="ID31" s="147">
        <f t="shared" si="311"/>
        <v>415.65638802053371</v>
      </c>
      <c r="IE31" s="147">
        <f t="shared" si="312"/>
        <v>831.31277604106742</v>
      </c>
      <c r="IF31" s="147">
        <f t="shared" si="313"/>
        <v>415.65638802053371</v>
      </c>
      <c r="IG31" s="147">
        <f t="shared" si="314"/>
        <v>415.65638802053371</v>
      </c>
      <c r="IH31" s="147">
        <f t="shared" si="315"/>
        <v>11638.378864574945</v>
      </c>
      <c r="II31" s="147">
        <f t="shared" si="316"/>
        <v>415.65638802053371</v>
      </c>
      <c r="IJ31" s="147">
        <f t="shared" si="317"/>
        <v>9144.4405364517424</v>
      </c>
      <c r="IK31" s="147">
        <f t="shared" si="318"/>
        <v>0</v>
      </c>
      <c r="IL31" s="147">
        <f t="shared" si="319"/>
        <v>0</v>
      </c>
      <c r="IM31" s="147">
        <f t="shared" si="320"/>
        <v>0</v>
      </c>
      <c r="IN31" s="26"/>
      <c r="IP31" s="61">
        <f t="shared" si="321"/>
        <v>1387.9389970274885</v>
      </c>
      <c r="IQ31" s="61">
        <f t="shared" si="322"/>
        <v>693.96949851374427</v>
      </c>
      <c r="IR31" s="61">
        <f t="shared" si="323"/>
        <v>693.96949851374427</v>
      </c>
      <c r="IS31" s="61">
        <f t="shared" si="324"/>
        <v>0</v>
      </c>
      <c r="IT31" s="61">
        <f t="shared" si="325"/>
        <v>693.96949851374427</v>
      </c>
      <c r="IU31" s="61">
        <f t="shared" si="326"/>
        <v>2862.9675812836699</v>
      </c>
      <c r="IV31" s="61">
        <f t="shared" si="327"/>
        <v>693.96949851374427</v>
      </c>
      <c r="IW31" s="61">
        <f t="shared" si="328"/>
        <v>0</v>
      </c>
      <c r="IX31" s="61">
        <f t="shared" si="329"/>
        <v>693.96949851374427</v>
      </c>
      <c r="IY31" s="61">
        <f t="shared" si="330"/>
        <v>693.96949851374427</v>
      </c>
      <c r="IZ31" s="61">
        <f t="shared" si="331"/>
        <v>0</v>
      </c>
      <c r="JA31" s="61">
        <f t="shared" si="332"/>
        <v>693.96949851374427</v>
      </c>
      <c r="JB31" s="61">
        <f t="shared" si="333"/>
        <v>753.41252139043945</v>
      </c>
      <c r="JC31" s="61">
        <f t="shared" si="334"/>
        <v>4857.7864895962102</v>
      </c>
      <c r="JD31" s="61">
        <f t="shared" si="335"/>
        <v>548.30851931724885</v>
      </c>
      <c r="JE31" s="61">
        <f t="shared" si="336"/>
        <v>2775.8779940549771</v>
      </c>
      <c r="JF31" s="61">
        <f t="shared" si="337"/>
        <v>693.96949851374427</v>
      </c>
      <c r="JG31" s="61">
        <f t="shared" si="338"/>
        <v>1387.9389970274885</v>
      </c>
      <c r="JH31" s="61">
        <f t="shared" si="339"/>
        <v>693.96949851374427</v>
      </c>
      <c r="JI31" s="61">
        <f t="shared" si="340"/>
        <v>693.96949851374427</v>
      </c>
      <c r="JJ31" s="61">
        <f t="shared" si="341"/>
        <v>19431.145958384841</v>
      </c>
      <c r="JK31" s="61">
        <f t="shared" si="342"/>
        <v>693.96949851374427</v>
      </c>
      <c r="JL31" s="61">
        <f t="shared" si="343"/>
        <v>15267.328967302374</v>
      </c>
      <c r="JM31" s="61">
        <f t="shared" si="344"/>
        <v>0</v>
      </c>
      <c r="JN31" s="61">
        <f t="shared" si="345"/>
        <v>0</v>
      </c>
      <c r="JO31" s="61">
        <f t="shared" si="346"/>
        <v>0</v>
      </c>
      <c r="JQ31" s="26">
        <f t="shared" si="209"/>
        <v>147600.00000000006</v>
      </c>
      <c r="JR31" s="156">
        <f t="shared" si="210"/>
        <v>1.0000000000000004</v>
      </c>
      <c r="JT31" s="157">
        <f t="shared" si="347"/>
        <v>3599.9448590510351</v>
      </c>
      <c r="JU31" s="29">
        <f t="shared" si="348"/>
        <v>1</v>
      </c>
    </row>
    <row r="32" spans="1:281" ht="18.75" outlineLevel="1" x14ac:dyDescent="0.3">
      <c r="A32" t="s">
        <v>69</v>
      </c>
      <c r="B32" t="s">
        <v>97</v>
      </c>
      <c r="C32" t="s">
        <v>74</v>
      </c>
      <c r="D32" t="s">
        <v>29</v>
      </c>
      <c r="E32" t="s">
        <v>124</v>
      </c>
      <c r="F32" s="113">
        <v>1000</v>
      </c>
      <c r="G32" s="15">
        <v>338550</v>
      </c>
      <c r="H32" s="20">
        <v>225700</v>
      </c>
      <c r="I32" s="23">
        <v>1.5</v>
      </c>
      <c r="J32" s="9">
        <v>0</v>
      </c>
      <c r="K32" s="9">
        <v>3.3299275869560488E-3</v>
      </c>
      <c r="L32" s="9">
        <v>0</v>
      </c>
      <c r="M32" s="9">
        <v>0</v>
      </c>
      <c r="N32" s="9">
        <v>0</v>
      </c>
      <c r="O32" s="9">
        <v>2.0138546937758208E-2</v>
      </c>
      <c r="P32" s="9">
        <v>0</v>
      </c>
      <c r="Q32" s="9">
        <v>7.2044027593464038E-3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6.2405134361561219E-2</v>
      </c>
      <c r="X32" s="9">
        <v>0</v>
      </c>
      <c r="Y32" s="9">
        <v>1.6649637934780241E-2</v>
      </c>
      <c r="Z32" s="9">
        <v>4.9948913804340727E-3</v>
      </c>
      <c r="AA32" s="9">
        <v>1.3319710347824195E-2</v>
      </c>
      <c r="AB32" s="9">
        <v>0</v>
      </c>
      <c r="AC32" s="9">
        <v>0</v>
      </c>
      <c r="AD32" s="9">
        <v>9.9897827608681454E-3</v>
      </c>
      <c r="AE32" s="9">
        <v>0</v>
      </c>
      <c r="AF32" s="9">
        <v>7.009202711717917E-2</v>
      </c>
      <c r="AG32" s="9">
        <v>0</v>
      </c>
      <c r="AH32" s="9">
        <v>0</v>
      </c>
      <c r="AI32" s="9">
        <v>0.79187593881329232</v>
      </c>
      <c r="AJ32" s="8">
        <f t="shared" si="124"/>
        <v>1</v>
      </c>
      <c r="AK32" s="141">
        <f t="shared" ref="AK32:AK36" si="349">$F32*J32</f>
        <v>0</v>
      </c>
      <c r="AL32" s="141">
        <f t="shared" ref="AL32:AL36" si="350">$F32*K32</f>
        <v>3.3299275869560487</v>
      </c>
      <c r="AM32" s="141">
        <f t="shared" ref="AM32:AM36" si="351">$F32*L32</f>
        <v>0</v>
      </c>
      <c r="AN32" s="141">
        <f t="shared" ref="AN32:AN36" si="352">$F32*M32</f>
        <v>0</v>
      </c>
      <c r="AO32" s="141">
        <f t="shared" ref="AO32:AO36" si="353">$F32*N32</f>
        <v>0</v>
      </c>
      <c r="AP32" s="141">
        <f t="shared" ref="AP32:AP36" si="354">$F32*O32</f>
        <v>20.138546937758207</v>
      </c>
      <c r="AQ32" s="141">
        <f t="shared" ref="AQ32:AQ36" si="355">$F32*P32</f>
        <v>0</v>
      </c>
      <c r="AR32" s="141">
        <f t="shared" ref="AR32:AR36" si="356">$F32*Q32</f>
        <v>7.2044027593464035</v>
      </c>
      <c r="AS32" s="141">
        <f t="shared" ref="AS32:AS36" si="357">$F32*R32</f>
        <v>0</v>
      </c>
      <c r="AT32" s="141">
        <f t="shared" ref="AT32:AT36" si="358">$F32*S32</f>
        <v>0</v>
      </c>
      <c r="AU32" s="141">
        <f t="shared" ref="AU32:AU36" si="359">$F32*T32</f>
        <v>0</v>
      </c>
      <c r="AV32" s="141">
        <f t="shared" ref="AV32:AV36" si="360">$F32*U32</f>
        <v>0</v>
      </c>
      <c r="AW32" s="141">
        <f t="shared" ref="AW32:AW36" si="361">$F32*V32</f>
        <v>0</v>
      </c>
      <c r="AX32" s="141">
        <f t="shared" ref="AX32:AX36" si="362">$F32*W32</f>
        <v>62.405134361561217</v>
      </c>
      <c r="AY32" s="141">
        <f t="shared" ref="AY32:AY36" si="363">$F32*X32</f>
        <v>0</v>
      </c>
      <c r="AZ32" s="141">
        <f t="shared" ref="AZ32:AZ36" si="364">$F32*Y32</f>
        <v>16.649637934780241</v>
      </c>
      <c r="BA32" s="141">
        <f t="shared" ref="BA32:BA36" si="365">$F32*Z32</f>
        <v>4.9948913804340727</v>
      </c>
      <c r="BB32" s="141">
        <f t="shared" ref="BB32:BB36" si="366">$F32*AA32</f>
        <v>13.319710347824195</v>
      </c>
      <c r="BC32" s="141">
        <f t="shared" ref="BC32:BC36" si="367">$F32*AB32</f>
        <v>0</v>
      </c>
      <c r="BD32" s="141">
        <f t="shared" ref="BD32:BD36" si="368">$F32*AC32</f>
        <v>0</v>
      </c>
      <c r="BE32" s="141">
        <f t="shared" ref="BE32:BE36" si="369">$F32*AD32</f>
        <v>9.9897827608681453</v>
      </c>
      <c r="BF32" s="141">
        <f t="shared" ref="BF32:BF36" si="370">$F32*AE32</f>
        <v>0</v>
      </c>
      <c r="BG32" s="141">
        <f t="shared" ref="BG32:BG36" si="371">$F32*AF32</f>
        <v>70.092027117179171</v>
      </c>
      <c r="BH32" s="141">
        <f t="shared" ref="BH32:BH36" si="372">$F32*AG32</f>
        <v>0</v>
      </c>
      <c r="BI32" s="141">
        <f t="shared" ref="BI32:BI36" si="373">$F32*AH32</f>
        <v>0</v>
      </c>
      <c r="BJ32" s="141">
        <f t="shared" ref="BJ32:BJ36" si="374">$F32*AI32</f>
        <v>791.87593881329235</v>
      </c>
      <c r="BK32" s="9"/>
      <c r="BM32" s="26">
        <f t="shared" si="150"/>
        <v>0</v>
      </c>
      <c r="BN32" s="26">
        <f t="shared" si="151"/>
        <v>1127.3469845639704</v>
      </c>
      <c r="BO32" s="26">
        <f t="shared" si="152"/>
        <v>0</v>
      </c>
      <c r="BP32" s="26">
        <f t="shared" si="153"/>
        <v>0</v>
      </c>
      <c r="BQ32" s="26">
        <f t="shared" si="154"/>
        <v>0</v>
      </c>
      <c r="BR32" s="26">
        <f t="shared" si="155"/>
        <v>6817.9050657780417</v>
      </c>
      <c r="BS32" s="26">
        <f t="shared" si="156"/>
        <v>0</v>
      </c>
      <c r="BT32" s="26">
        <f t="shared" si="157"/>
        <v>2439.0505541767252</v>
      </c>
      <c r="BU32" s="26">
        <f t="shared" si="158"/>
        <v>0</v>
      </c>
      <c r="BV32" s="26">
        <f t="shared" si="159"/>
        <v>0</v>
      </c>
      <c r="BW32" s="26">
        <f t="shared" si="160"/>
        <v>0</v>
      </c>
      <c r="BX32" s="26">
        <f t="shared" si="161"/>
        <v>0</v>
      </c>
      <c r="BY32" s="26">
        <f t="shared" si="162"/>
        <v>0</v>
      </c>
      <c r="BZ32" s="26">
        <f t="shared" si="163"/>
        <v>21127.258238106551</v>
      </c>
      <c r="CA32" s="26">
        <f t="shared" si="164"/>
        <v>0</v>
      </c>
      <c r="CB32" s="26">
        <f t="shared" si="165"/>
        <v>5636.7349228198509</v>
      </c>
      <c r="CC32" s="26">
        <f t="shared" si="166"/>
        <v>1691.0204768459553</v>
      </c>
      <c r="CD32" s="26">
        <f t="shared" si="167"/>
        <v>4509.3879382558816</v>
      </c>
      <c r="CE32" s="26">
        <f t="shared" si="168"/>
        <v>0</v>
      </c>
      <c r="CF32" s="26">
        <f t="shared" si="169"/>
        <v>0</v>
      </c>
      <c r="CG32" s="26">
        <f t="shared" si="170"/>
        <v>3382.0409536919105</v>
      </c>
      <c r="CH32" s="26">
        <f t="shared" si="171"/>
        <v>0</v>
      </c>
      <c r="CI32" s="26">
        <f t="shared" si="172"/>
        <v>23729.655780521007</v>
      </c>
      <c r="CJ32" s="26">
        <f t="shared" si="173"/>
        <v>0</v>
      </c>
      <c r="CK32" s="26">
        <f t="shared" si="174"/>
        <v>0</v>
      </c>
      <c r="CL32" s="26">
        <f t="shared" si="175"/>
        <v>268089.5990852401</v>
      </c>
      <c r="CM32" s="110">
        <f t="shared" si="176"/>
        <v>1</v>
      </c>
      <c r="CN32" s="27">
        <f t="shared" si="177"/>
        <v>0</v>
      </c>
      <c r="CO32" s="27">
        <f t="shared" si="178"/>
        <v>751.56465637598023</v>
      </c>
      <c r="CP32" s="27">
        <f t="shared" si="179"/>
        <v>0</v>
      </c>
      <c r="CQ32" s="27">
        <f t="shared" si="180"/>
        <v>0</v>
      </c>
      <c r="CR32" s="27">
        <f t="shared" si="181"/>
        <v>0</v>
      </c>
      <c r="CS32" s="27">
        <f t="shared" si="182"/>
        <v>4545.2700438520278</v>
      </c>
      <c r="CT32" s="27">
        <f t="shared" si="183"/>
        <v>0</v>
      </c>
      <c r="CU32" s="27">
        <f t="shared" si="184"/>
        <v>1626.0337027844832</v>
      </c>
      <c r="CV32" s="27">
        <f t="shared" si="185"/>
        <v>0</v>
      </c>
      <c r="CW32" s="27">
        <f t="shared" si="186"/>
        <v>0</v>
      </c>
      <c r="CX32" s="27">
        <f t="shared" si="187"/>
        <v>0</v>
      </c>
      <c r="CY32" s="27">
        <f t="shared" si="188"/>
        <v>0</v>
      </c>
      <c r="CZ32" s="27">
        <f t="shared" si="189"/>
        <v>0</v>
      </c>
      <c r="DA32" s="27">
        <f t="shared" si="190"/>
        <v>14084.838825404368</v>
      </c>
      <c r="DB32" s="27">
        <f t="shared" si="191"/>
        <v>0</v>
      </c>
      <c r="DC32" s="27">
        <f t="shared" si="192"/>
        <v>3757.8232818799006</v>
      </c>
      <c r="DD32" s="27">
        <f t="shared" si="193"/>
        <v>1127.3469845639702</v>
      </c>
      <c r="DE32" s="27">
        <f t="shared" si="194"/>
        <v>3006.2586255039209</v>
      </c>
      <c r="DF32" s="27">
        <f t="shared" si="195"/>
        <v>0</v>
      </c>
      <c r="DG32" s="27">
        <f t="shared" si="196"/>
        <v>0</v>
      </c>
      <c r="DH32" s="27">
        <f t="shared" si="197"/>
        <v>2254.6939691279404</v>
      </c>
      <c r="DI32" s="27">
        <f t="shared" si="198"/>
        <v>0</v>
      </c>
      <c r="DJ32" s="27">
        <f t="shared" si="199"/>
        <v>15819.770520347338</v>
      </c>
      <c r="DK32" s="27">
        <f t="shared" si="200"/>
        <v>0</v>
      </c>
      <c r="DL32" s="27">
        <f t="shared" si="201"/>
        <v>0</v>
      </c>
      <c r="DM32" s="27">
        <f t="shared" si="202"/>
        <v>178726.39939016008</v>
      </c>
      <c r="DN32" s="110">
        <f t="shared" si="203"/>
        <v>1</v>
      </c>
      <c r="DO32" s="28">
        <f t="shared" si="211"/>
        <v>0</v>
      </c>
      <c r="DP32" s="28">
        <f t="shared" si="212"/>
        <v>375.78232818799017</v>
      </c>
      <c r="DQ32" s="28">
        <f t="shared" si="213"/>
        <v>0</v>
      </c>
      <c r="DR32" s="28">
        <f t="shared" si="214"/>
        <v>0</v>
      </c>
      <c r="DS32" s="28">
        <f t="shared" si="215"/>
        <v>0</v>
      </c>
      <c r="DT32" s="28">
        <f t="shared" si="216"/>
        <v>2272.6350219260139</v>
      </c>
      <c r="DU32" s="28">
        <f t="shared" si="217"/>
        <v>0</v>
      </c>
      <c r="DV32" s="28">
        <f t="shared" si="218"/>
        <v>813.01685139224196</v>
      </c>
      <c r="DW32" s="28">
        <f t="shared" si="219"/>
        <v>0</v>
      </c>
      <c r="DX32" s="28">
        <f t="shared" si="220"/>
        <v>0</v>
      </c>
      <c r="DY32" s="28">
        <f t="shared" si="221"/>
        <v>0</v>
      </c>
      <c r="DZ32" s="28">
        <f t="shared" si="222"/>
        <v>0</v>
      </c>
      <c r="EA32" s="28">
        <f t="shared" si="223"/>
        <v>0</v>
      </c>
      <c r="EB32" s="28">
        <f t="shared" si="224"/>
        <v>7042.4194127021838</v>
      </c>
      <c r="EC32" s="28">
        <f t="shared" si="225"/>
        <v>0</v>
      </c>
      <c r="ED32" s="28">
        <f t="shared" si="226"/>
        <v>1878.9116409399503</v>
      </c>
      <c r="EE32" s="28">
        <f t="shared" si="227"/>
        <v>563.67349228198509</v>
      </c>
      <c r="EF32" s="28">
        <f t="shared" si="228"/>
        <v>1503.1293127519607</v>
      </c>
      <c r="EG32" s="28">
        <f t="shared" si="229"/>
        <v>0</v>
      </c>
      <c r="EH32" s="28">
        <f t="shared" si="230"/>
        <v>0</v>
      </c>
      <c r="EI32" s="28">
        <f t="shared" si="231"/>
        <v>1127.3469845639702</v>
      </c>
      <c r="EJ32" s="28">
        <f t="shared" si="232"/>
        <v>0</v>
      </c>
      <c r="EK32" s="28">
        <f t="shared" si="233"/>
        <v>7909.8852601736689</v>
      </c>
      <c r="EL32" s="28">
        <f t="shared" si="234"/>
        <v>0</v>
      </c>
      <c r="EM32" s="28">
        <f t="shared" si="235"/>
        <v>0</v>
      </c>
      <c r="EN32" s="28">
        <f t="shared" si="236"/>
        <v>89363.199695080024</v>
      </c>
      <c r="EQ32" s="144">
        <v>0.03</v>
      </c>
      <c r="ER32" s="144">
        <v>0.05</v>
      </c>
      <c r="ES32" s="144">
        <v>0.08</v>
      </c>
      <c r="ET32" s="144">
        <v>0.11000000000000001</v>
      </c>
      <c r="EU32" s="144">
        <v>0.12</v>
      </c>
      <c r="EV32" s="144">
        <v>0.15</v>
      </c>
      <c r="EW32" s="144">
        <v>0.13</v>
      </c>
      <c r="EX32" s="144">
        <v>0.08</v>
      </c>
      <c r="EY32" s="144">
        <v>6.9999999999999979E-2</v>
      </c>
      <c r="EZ32" s="144">
        <v>0.06</v>
      </c>
      <c r="FA32" s="144">
        <v>0.06</v>
      </c>
      <c r="FB32" s="144">
        <v>0.06</v>
      </c>
      <c r="FC32" s="145">
        <f t="shared" si="237"/>
        <v>1</v>
      </c>
      <c r="FD32" s="146">
        <f t="shared" si="238"/>
        <v>0.16</v>
      </c>
      <c r="FE32" s="146">
        <f t="shared" si="239"/>
        <v>0.38</v>
      </c>
      <c r="FF32" s="146">
        <f t="shared" si="240"/>
        <v>0.28000000000000003</v>
      </c>
      <c r="FG32" s="146">
        <f t="shared" si="241"/>
        <v>0.18</v>
      </c>
      <c r="FH32" s="145">
        <f t="shared" si="242"/>
        <v>1</v>
      </c>
      <c r="FJ32" s="52">
        <f t="shared" si="243"/>
        <v>0</v>
      </c>
      <c r="FK32" s="52">
        <f t="shared" si="244"/>
        <v>180.37551753023527</v>
      </c>
      <c r="FL32" s="52">
        <f t="shared" si="245"/>
        <v>0</v>
      </c>
      <c r="FM32" s="52">
        <f t="shared" si="246"/>
        <v>0</v>
      </c>
      <c r="FN32" s="52">
        <f t="shared" si="247"/>
        <v>0</v>
      </c>
      <c r="FO32" s="52">
        <f t="shared" si="248"/>
        <v>1090.8648105244868</v>
      </c>
      <c r="FP32" s="52">
        <f t="shared" si="249"/>
        <v>0</v>
      </c>
      <c r="FQ32" s="52">
        <f t="shared" si="250"/>
        <v>390.24808866827607</v>
      </c>
      <c r="FR32" s="52">
        <f t="shared" si="251"/>
        <v>0</v>
      </c>
      <c r="FS32" s="52">
        <f t="shared" si="252"/>
        <v>0</v>
      </c>
      <c r="FT32" s="52">
        <f t="shared" si="253"/>
        <v>0</v>
      </c>
      <c r="FU32" s="52">
        <f t="shared" si="254"/>
        <v>0</v>
      </c>
      <c r="FV32" s="52">
        <f t="shared" si="255"/>
        <v>0</v>
      </c>
      <c r="FW32" s="52">
        <f t="shared" si="256"/>
        <v>3380.3613180970483</v>
      </c>
      <c r="FX32" s="52">
        <f t="shared" si="257"/>
        <v>0</v>
      </c>
      <c r="FY32" s="52">
        <f t="shared" si="258"/>
        <v>901.87758765117621</v>
      </c>
      <c r="FZ32" s="52">
        <f t="shared" si="259"/>
        <v>270.56327629535286</v>
      </c>
      <c r="GA32" s="52">
        <f t="shared" si="260"/>
        <v>721.50207012094108</v>
      </c>
      <c r="GB32" s="52">
        <f t="shared" si="261"/>
        <v>0</v>
      </c>
      <c r="GC32" s="52">
        <f t="shared" si="262"/>
        <v>0</v>
      </c>
      <c r="GD32" s="52">
        <f t="shared" si="263"/>
        <v>541.12655259070573</v>
      </c>
      <c r="GE32" s="52">
        <f t="shared" si="264"/>
        <v>0</v>
      </c>
      <c r="GF32" s="52">
        <f t="shared" si="265"/>
        <v>3796.7449248833614</v>
      </c>
      <c r="GG32" s="52">
        <f t="shared" si="266"/>
        <v>0</v>
      </c>
      <c r="GH32" s="52">
        <f t="shared" si="267"/>
        <v>0</v>
      </c>
      <c r="GI32" s="52">
        <f t="shared" si="268"/>
        <v>42894.335853638418</v>
      </c>
      <c r="GJ32" s="26"/>
      <c r="GL32" s="150">
        <f t="shared" si="269"/>
        <v>0</v>
      </c>
      <c r="GM32" s="150">
        <f t="shared" si="270"/>
        <v>428.39185413430874</v>
      </c>
      <c r="GN32" s="150">
        <f t="shared" si="271"/>
        <v>0</v>
      </c>
      <c r="GO32" s="150">
        <f t="shared" si="272"/>
        <v>0</v>
      </c>
      <c r="GP32" s="150">
        <f t="shared" si="273"/>
        <v>0</v>
      </c>
      <c r="GQ32" s="150">
        <f t="shared" si="274"/>
        <v>2590.803924995656</v>
      </c>
      <c r="GR32" s="150">
        <f t="shared" si="275"/>
        <v>0</v>
      </c>
      <c r="GS32" s="150">
        <f t="shared" si="276"/>
        <v>926.83921058715555</v>
      </c>
      <c r="GT32" s="150">
        <f t="shared" si="277"/>
        <v>0</v>
      </c>
      <c r="GU32" s="150">
        <f t="shared" si="278"/>
        <v>0</v>
      </c>
      <c r="GV32" s="150">
        <f t="shared" si="279"/>
        <v>0</v>
      </c>
      <c r="GW32" s="150">
        <f t="shared" si="280"/>
        <v>0</v>
      </c>
      <c r="GX32" s="150">
        <f t="shared" si="281"/>
        <v>0</v>
      </c>
      <c r="GY32" s="150">
        <f t="shared" si="282"/>
        <v>8028.3581304804893</v>
      </c>
      <c r="GZ32" s="150">
        <f t="shared" si="283"/>
        <v>0</v>
      </c>
      <c r="HA32" s="150">
        <f t="shared" si="284"/>
        <v>2141.9592706715434</v>
      </c>
      <c r="HB32" s="150">
        <f t="shared" si="285"/>
        <v>642.58778120146303</v>
      </c>
      <c r="HC32" s="150">
        <f t="shared" si="286"/>
        <v>1713.567416537235</v>
      </c>
      <c r="HD32" s="150">
        <f t="shared" si="287"/>
        <v>0</v>
      </c>
      <c r="HE32" s="150">
        <f t="shared" si="288"/>
        <v>0</v>
      </c>
      <c r="HF32" s="150">
        <f t="shared" si="289"/>
        <v>1285.1755624029261</v>
      </c>
      <c r="HG32" s="150">
        <f t="shared" si="290"/>
        <v>0</v>
      </c>
      <c r="HH32" s="150">
        <f t="shared" si="291"/>
        <v>9017.269196597983</v>
      </c>
      <c r="HI32" s="150">
        <f t="shared" si="292"/>
        <v>0</v>
      </c>
      <c r="HJ32" s="150">
        <f t="shared" si="293"/>
        <v>0</v>
      </c>
      <c r="HK32" s="150">
        <f t="shared" si="294"/>
        <v>101874.04765239124</v>
      </c>
      <c r="HL32" s="26"/>
      <c r="HN32" s="147">
        <f t="shared" si="295"/>
        <v>0</v>
      </c>
      <c r="HO32" s="147">
        <f t="shared" si="296"/>
        <v>315.65715567791176</v>
      </c>
      <c r="HP32" s="147">
        <f t="shared" si="297"/>
        <v>0</v>
      </c>
      <c r="HQ32" s="147">
        <f t="shared" si="298"/>
        <v>0</v>
      </c>
      <c r="HR32" s="147">
        <f t="shared" si="299"/>
        <v>0</v>
      </c>
      <c r="HS32" s="147">
        <f t="shared" si="300"/>
        <v>1909.0134184178519</v>
      </c>
      <c r="HT32" s="147">
        <f t="shared" si="301"/>
        <v>0</v>
      </c>
      <c r="HU32" s="147">
        <f t="shared" si="302"/>
        <v>682.93415516948312</v>
      </c>
      <c r="HV32" s="147">
        <f t="shared" si="303"/>
        <v>0</v>
      </c>
      <c r="HW32" s="147">
        <f t="shared" si="304"/>
        <v>0</v>
      </c>
      <c r="HX32" s="147">
        <f t="shared" si="305"/>
        <v>0</v>
      </c>
      <c r="HY32" s="147">
        <f t="shared" si="306"/>
        <v>0</v>
      </c>
      <c r="HZ32" s="147">
        <f t="shared" si="307"/>
        <v>0</v>
      </c>
      <c r="IA32" s="147">
        <f t="shared" si="308"/>
        <v>5915.6323066698351</v>
      </c>
      <c r="IB32" s="147">
        <f t="shared" si="309"/>
        <v>0</v>
      </c>
      <c r="IC32" s="147">
        <f t="shared" si="310"/>
        <v>1578.2857783895583</v>
      </c>
      <c r="ID32" s="147">
        <f t="shared" si="311"/>
        <v>473.48573351686753</v>
      </c>
      <c r="IE32" s="147">
        <f t="shared" si="312"/>
        <v>1262.628622711647</v>
      </c>
      <c r="IF32" s="147">
        <f t="shared" si="313"/>
        <v>0</v>
      </c>
      <c r="IG32" s="147">
        <f t="shared" si="314"/>
        <v>0</v>
      </c>
      <c r="IH32" s="147">
        <f t="shared" si="315"/>
        <v>946.97146703373505</v>
      </c>
      <c r="II32" s="147">
        <f t="shared" si="316"/>
        <v>0</v>
      </c>
      <c r="IJ32" s="147">
        <f t="shared" si="317"/>
        <v>6644.3036185458823</v>
      </c>
      <c r="IK32" s="147">
        <f t="shared" si="318"/>
        <v>0</v>
      </c>
      <c r="IL32" s="147">
        <f t="shared" si="319"/>
        <v>0</v>
      </c>
      <c r="IM32" s="147">
        <f t="shared" si="320"/>
        <v>75065.087743867232</v>
      </c>
      <c r="IN32" s="26"/>
      <c r="IP32" s="61">
        <f t="shared" si="321"/>
        <v>0</v>
      </c>
      <c r="IQ32" s="61">
        <f t="shared" si="322"/>
        <v>202.92245722151466</v>
      </c>
      <c r="IR32" s="61">
        <f t="shared" si="323"/>
        <v>0</v>
      </c>
      <c r="IS32" s="61">
        <f t="shared" si="324"/>
        <v>0</v>
      </c>
      <c r="IT32" s="61">
        <f t="shared" si="325"/>
        <v>0</v>
      </c>
      <c r="IU32" s="61">
        <f t="shared" si="326"/>
        <v>1227.2229118400476</v>
      </c>
      <c r="IV32" s="61">
        <f t="shared" si="327"/>
        <v>0</v>
      </c>
      <c r="IW32" s="61">
        <f t="shared" si="328"/>
        <v>439.02909975181052</v>
      </c>
      <c r="IX32" s="61">
        <f t="shared" si="329"/>
        <v>0</v>
      </c>
      <c r="IY32" s="61">
        <f t="shared" si="330"/>
        <v>0</v>
      </c>
      <c r="IZ32" s="61">
        <f t="shared" si="331"/>
        <v>0</v>
      </c>
      <c r="JA32" s="61">
        <f t="shared" si="332"/>
        <v>0</v>
      </c>
      <c r="JB32" s="61">
        <f t="shared" si="333"/>
        <v>0</v>
      </c>
      <c r="JC32" s="61">
        <f t="shared" si="334"/>
        <v>3802.9064828591791</v>
      </c>
      <c r="JD32" s="61">
        <f t="shared" si="335"/>
        <v>0</v>
      </c>
      <c r="JE32" s="61">
        <f t="shared" si="336"/>
        <v>1014.6122861075731</v>
      </c>
      <c r="JF32" s="61">
        <f t="shared" si="337"/>
        <v>304.38368583227196</v>
      </c>
      <c r="JG32" s="61">
        <f t="shared" si="338"/>
        <v>811.68982888605865</v>
      </c>
      <c r="JH32" s="61">
        <f t="shared" si="339"/>
        <v>0</v>
      </c>
      <c r="JI32" s="61">
        <f t="shared" si="340"/>
        <v>0</v>
      </c>
      <c r="JJ32" s="61">
        <f t="shared" si="341"/>
        <v>608.76737166454393</v>
      </c>
      <c r="JK32" s="61">
        <f t="shared" si="342"/>
        <v>0</v>
      </c>
      <c r="JL32" s="61">
        <f t="shared" si="343"/>
        <v>4271.3380404937807</v>
      </c>
      <c r="JM32" s="61">
        <f t="shared" si="344"/>
        <v>0</v>
      </c>
      <c r="JN32" s="61">
        <f t="shared" si="345"/>
        <v>0</v>
      </c>
      <c r="JO32" s="61">
        <f t="shared" si="346"/>
        <v>48256.127835343214</v>
      </c>
      <c r="JQ32" s="26">
        <f t="shared" si="209"/>
        <v>338550</v>
      </c>
      <c r="JR32" s="156">
        <f t="shared" si="210"/>
        <v>1</v>
      </c>
      <c r="JT32" s="157">
        <f t="shared" si="347"/>
        <v>0</v>
      </c>
      <c r="JU32" s="29">
        <f t="shared" si="348"/>
        <v>0</v>
      </c>
    </row>
    <row r="33" spans="1:281" ht="18.75" outlineLevel="1" x14ac:dyDescent="0.3">
      <c r="A33" t="s">
        <v>69</v>
      </c>
      <c r="B33" t="s">
        <v>7</v>
      </c>
      <c r="C33" t="s">
        <v>28</v>
      </c>
      <c r="D33" t="s">
        <v>29</v>
      </c>
      <c r="E33" t="s">
        <v>30</v>
      </c>
      <c r="F33" s="113">
        <v>500</v>
      </c>
      <c r="G33" s="15">
        <v>528170</v>
      </c>
      <c r="H33" s="20">
        <v>340755</v>
      </c>
      <c r="I33" s="23">
        <v>1.5499992663350501</v>
      </c>
      <c r="J33" s="9">
        <v>0</v>
      </c>
      <c r="K33" s="9">
        <v>3.3299275869560488E-3</v>
      </c>
      <c r="L33" s="9">
        <v>0</v>
      </c>
      <c r="M33" s="9">
        <v>0</v>
      </c>
      <c r="N33" s="9">
        <v>0</v>
      </c>
      <c r="O33" s="9">
        <v>2.0138546937758208E-2</v>
      </c>
      <c r="P33" s="9">
        <v>0</v>
      </c>
      <c r="Q33" s="9">
        <v>7.2044027593464038E-3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6.2405134361561219E-2</v>
      </c>
      <c r="X33" s="9">
        <v>0</v>
      </c>
      <c r="Y33" s="9">
        <v>1.6649637934780241E-2</v>
      </c>
      <c r="Z33" s="9">
        <v>4.9948913804340727E-3</v>
      </c>
      <c r="AA33" s="9">
        <v>1.3319710347824195E-2</v>
      </c>
      <c r="AB33" s="9">
        <v>0</v>
      </c>
      <c r="AC33" s="9">
        <v>0</v>
      </c>
      <c r="AD33" s="9">
        <v>9.9897827608681454E-3</v>
      </c>
      <c r="AE33" s="9">
        <v>0</v>
      </c>
      <c r="AF33" s="9">
        <v>7.009202711717917E-2</v>
      </c>
      <c r="AG33" s="9">
        <v>0</v>
      </c>
      <c r="AH33" s="9">
        <v>0</v>
      </c>
      <c r="AI33" s="9">
        <v>0.79187593881329232</v>
      </c>
      <c r="AJ33" s="8">
        <f t="shared" si="124"/>
        <v>1</v>
      </c>
      <c r="AK33" s="141">
        <f t="shared" si="349"/>
        <v>0</v>
      </c>
      <c r="AL33" s="141">
        <f t="shared" si="350"/>
        <v>1.6649637934780244</v>
      </c>
      <c r="AM33" s="141">
        <f t="shared" si="351"/>
        <v>0</v>
      </c>
      <c r="AN33" s="141">
        <f t="shared" si="352"/>
        <v>0</v>
      </c>
      <c r="AO33" s="141">
        <f t="shared" si="353"/>
        <v>0</v>
      </c>
      <c r="AP33" s="141">
        <f t="shared" si="354"/>
        <v>10.069273468879103</v>
      </c>
      <c r="AQ33" s="141">
        <f t="shared" si="355"/>
        <v>0</v>
      </c>
      <c r="AR33" s="141">
        <f t="shared" si="356"/>
        <v>3.6022013796732018</v>
      </c>
      <c r="AS33" s="141">
        <f t="shared" si="357"/>
        <v>0</v>
      </c>
      <c r="AT33" s="141">
        <f t="shared" si="358"/>
        <v>0</v>
      </c>
      <c r="AU33" s="141">
        <f t="shared" si="359"/>
        <v>0</v>
      </c>
      <c r="AV33" s="141">
        <f t="shared" si="360"/>
        <v>0</v>
      </c>
      <c r="AW33" s="141">
        <f t="shared" si="361"/>
        <v>0</v>
      </c>
      <c r="AX33" s="141">
        <f t="shared" si="362"/>
        <v>31.202567180780608</v>
      </c>
      <c r="AY33" s="141">
        <f t="shared" si="363"/>
        <v>0</v>
      </c>
      <c r="AZ33" s="141">
        <f t="shared" si="364"/>
        <v>8.3248189673901205</v>
      </c>
      <c r="BA33" s="141">
        <f t="shared" si="365"/>
        <v>2.4974456902170363</v>
      </c>
      <c r="BB33" s="141">
        <f t="shared" si="366"/>
        <v>6.6598551739120975</v>
      </c>
      <c r="BC33" s="141">
        <f t="shared" si="367"/>
        <v>0</v>
      </c>
      <c r="BD33" s="141">
        <f t="shared" si="368"/>
        <v>0</v>
      </c>
      <c r="BE33" s="141">
        <f t="shared" si="369"/>
        <v>4.9948913804340727</v>
      </c>
      <c r="BF33" s="141">
        <f t="shared" si="370"/>
        <v>0</v>
      </c>
      <c r="BG33" s="141">
        <f t="shared" si="371"/>
        <v>35.046013558589586</v>
      </c>
      <c r="BH33" s="141">
        <f t="shared" si="372"/>
        <v>0</v>
      </c>
      <c r="BI33" s="141">
        <f t="shared" si="373"/>
        <v>0</v>
      </c>
      <c r="BJ33" s="141">
        <f t="shared" si="374"/>
        <v>395.93796940664618</v>
      </c>
      <c r="BK33" s="9"/>
      <c r="BM33" s="26">
        <f t="shared" si="150"/>
        <v>0</v>
      </c>
      <c r="BN33" s="26">
        <f t="shared" si="151"/>
        <v>1758.7678536025762</v>
      </c>
      <c r="BO33" s="26">
        <f t="shared" si="152"/>
        <v>0</v>
      </c>
      <c r="BP33" s="26">
        <f t="shared" si="153"/>
        <v>0</v>
      </c>
      <c r="BQ33" s="26">
        <f t="shared" si="154"/>
        <v>0</v>
      </c>
      <c r="BR33" s="26">
        <f t="shared" si="155"/>
        <v>10636.576336115753</v>
      </c>
      <c r="BS33" s="26">
        <f t="shared" si="156"/>
        <v>0</v>
      </c>
      <c r="BT33" s="26">
        <f t="shared" si="157"/>
        <v>3805.1494054039899</v>
      </c>
      <c r="BU33" s="26">
        <f t="shared" si="158"/>
        <v>0</v>
      </c>
      <c r="BV33" s="26">
        <f t="shared" si="159"/>
        <v>0</v>
      </c>
      <c r="BW33" s="26">
        <f t="shared" si="160"/>
        <v>0</v>
      </c>
      <c r="BX33" s="26">
        <f t="shared" si="161"/>
        <v>0</v>
      </c>
      <c r="BY33" s="26">
        <f t="shared" si="162"/>
        <v>0</v>
      </c>
      <c r="BZ33" s="26">
        <f t="shared" si="163"/>
        <v>32960.519815745793</v>
      </c>
      <c r="CA33" s="26">
        <f t="shared" si="164"/>
        <v>0</v>
      </c>
      <c r="CB33" s="26">
        <f t="shared" si="165"/>
        <v>8793.83926801288</v>
      </c>
      <c r="CC33" s="26">
        <f t="shared" si="166"/>
        <v>2638.151780403864</v>
      </c>
      <c r="CD33" s="26">
        <f t="shared" si="167"/>
        <v>7035.0714144103049</v>
      </c>
      <c r="CE33" s="26">
        <f t="shared" si="168"/>
        <v>0</v>
      </c>
      <c r="CF33" s="26">
        <f t="shared" si="169"/>
        <v>0</v>
      </c>
      <c r="CG33" s="26">
        <f t="shared" si="170"/>
        <v>5276.303560807728</v>
      </c>
      <c r="CH33" s="26">
        <f t="shared" si="171"/>
        <v>0</v>
      </c>
      <c r="CI33" s="26">
        <f t="shared" si="172"/>
        <v>37020.505962480522</v>
      </c>
      <c r="CJ33" s="26">
        <f t="shared" si="173"/>
        <v>0</v>
      </c>
      <c r="CK33" s="26">
        <f t="shared" si="174"/>
        <v>0</v>
      </c>
      <c r="CL33" s="26">
        <f t="shared" si="175"/>
        <v>418245.11460301658</v>
      </c>
      <c r="CM33" s="110">
        <f t="shared" si="176"/>
        <v>1</v>
      </c>
      <c r="CN33" s="27">
        <f t="shared" si="177"/>
        <v>0</v>
      </c>
      <c r="CO33" s="27">
        <f t="shared" si="178"/>
        <v>1134.6894748932084</v>
      </c>
      <c r="CP33" s="27">
        <f t="shared" si="179"/>
        <v>0</v>
      </c>
      <c r="CQ33" s="27">
        <f t="shared" si="180"/>
        <v>0</v>
      </c>
      <c r="CR33" s="27">
        <f t="shared" si="181"/>
        <v>0</v>
      </c>
      <c r="CS33" s="27">
        <f t="shared" si="182"/>
        <v>6862.3105617757983</v>
      </c>
      <c r="CT33" s="27">
        <f t="shared" si="183"/>
        <v>0</v>
      </c>
      <c r="CU33" s="27">
        <f t="shared" si="184"/>
        <v>2454.9362622610838</v>
      </c>
      <c r="CV33" s="27">
        <f t="shared" si="185"/>
        <v>0</v>
      </c>
      <c r="CW33" s="27">
        <f t="shared" si="186"/>
        <v>0</v>
      </c>
      <c r="CX33" s="27">
        <f t="shared" si="187"/>
        <v>0</v>
      </c>
      <c r="CY33" s="27">
        <f t="shared" si="188"/>
        <v>0</v>
      </c>
      <c r="CZ33" s="27">
        <f t="shared" si="189"/>
        <v>0</v>
      </c>
      <c r="DA33" s="27">
        <f t="shared" si="190"/>
        <v>21264.861559373792</v>
      </c>
      <c r="DB33" s="27">
        <f t="shared" si="191"/>
        <v>0</v>
      </c>
      <c r="DC33" s="27">
        <f t="shared" si="192"/>
        <v>5673.4473744660409</v>
      </c>
      <c r="DD33" s="27">
        <f t="shared" si="193"/>
        <v>1702.0342123398125</v>
      </c>
      <c r="DE33" s="27">
        <f t="shared" si="194"/>
        <v>4538.7578995728336</v>
      </c>
      <c r="DF33" s="27">
        <f t="shared" si="195"/>
        <v>0</v>
      </c>
      <c r="DG33" s="27">
        <f t="shared" si="196"/>
        <v>0</v>
      </c>
      <c r="DH33" s="27">
        <f t="shared" si="197"/>
        <v>3404.068424679625</v>
      </c>
      <c r="DI33" s="27">
        <f t="shared" si="198"/>
        <v>0</v>
      </c>
      <c r="DJ33" s="27">
        <f t="shared" si="199"/>
        <v>23884.20870031439</v>
      </c>
      <c r="DK33" s="27">
        <f t="shared" si="200"/>
        <v>0</v>
      </c>
      <c r="DL33" s="27">
        <f t="shared" si="201"/>
        <v>0</v>
      </c>
      <c r="DM33" s="27">
        <f t="shared" si="202"/>
        <v>269835.68553032342</v>
      </c>
      <c r="DN33" s="110">
        <f t="shared" si="203"/>
        <v>1</v>
      </c>
      <c r="DO33" s="28">
        <f t="shared" si="211"/>
        <v>0</v>
      </c>
      <c r="DP33" s="28">
        <f t="shared" si="212"/>
        <v>624.07837870936783</v>
      </c>
      <c r="DQ33" s="28">
        <f t="shared" si="213"/>
        <v>0</v>
      </c>
      <c r="DR33" s="28">
        <f t="shared" si="214"/>
        <v>0</v>
      </c>
      <c r="DS33" s="28">
        <f t="shared" si="215"/>
        <v>0</v>
      </c>
      <c r="DT33" s="28">
        <f t="shared" si="216"/>
        <v>3774.265774339955</v>
      </c>
      <c r="DU33" s="28">
        <f t="shared" si="217"/>
        <v>0</v>
      </c>
      <c r="DV33" s="28">
        <f t="shared" si="218"/>
        <v>1350.2131431429061</v>
      </c>
      <c r="DW33" s="28">
        <f t="shared" si="219"/>
        <v>0</v>
      </c>
      <c r="DX33" s="28">
        <f t="shared" si="220"/>
        <v>0</v>
      </c>
      <c r="DY33" s="28">
        <f t="shared" si="221"/>
        <v>0</v>
      </c>
      <c r="DZ33" s="28">
        <f t="shared" si="222"/>
        <v>0</v>
      </c>
      <c r="EA33" s="28">
        <f t="shared" si="223"/>
        <v>0</v>
      </c>
      <c r="EB33" s="28">
        <f t="shared" si="224"/>
        <v>11695.658256372</v>
      </c>
      <c r="EC33" s="28">
        <f t="shared" si="225"/>
        <v>0</v>
      </c>
      <c r="ED33" s="28">
        <f t="shared" si="226"/>
        <v>3120.3918935468391</v>
      </c>
      <c r="EE33" s="28">
        <f t="shared" si="227"/>
        <v>936.11756806405151</v>
      </c>
      <c r="EF33" s="28">
        <f t="shared" si="228"/>
        <v>2496.3135148374713</v>
      </c>
      <c r="EG33" s="28">
        <f t="shared" si="229"/>
        <v>0</v>
      </c>
      <c r="EH33" s="28">
        <f t="shared" si="230"/>
        <v>0</v>
      </c>
      <c r="EI33" s="28">
        <f t="shared" si="231"/>
        <v>1872.235136128103</v>
      </c>
      <c r="EJ33" s="28">
        <f t="shared" si="232"/>
        <v>0</v>
      </c>
      <c r="EK33" s="28">
        <f t="shared" si="233"/>
        <v>13136.297262166132</v>
      </c>
      <c r="EL33" s="28">
        <f t="shared" si="234"/>
        <v>0</v>
      </c>
      <c r="EM33" s="28">
        <f t="shared" si="235"/>
        <v>0</v>
      </c>
      <c r="EN33" s="28">
        <f t="shared" si="236"/>
        <v>148409.42907269316</v>
      </c>
      <c r="EQ33" s="144">
        <v>0.04</v>
      </c>
      <c r="ER33" s="144">
        <v>0.05</v>
      </c>
      <c r="ES33" s="144">
        <v>0.06</v>
      </c>
      <c r="ET33" s="144">
        <v>7.0000000000000007E-2</v>
      </c>
      <c r="EU33" s="144">
        <v>0.09</v>
      </c>
      <c r="EV33" s="144">
        <v>0.11</v>
      </c>
      <c r="EW33" s="144">
        <v>0.12</v>
      </c>
      <c r="EX33" s="144">
        <v>0.1</v>
      </c>
      <c r="EY33" s="144">
        <v>0.1</v>
      </c>
      <c r="EZ33" s="144">
        <v>0.08</v>
      </c>
      <c r="FA33" s="144">
        <v>0.09</v>
      </c>
      <c r="FB33" s="144">
        <v>0.09</v>
      </c>
      <c r="FC33" s="145">
        <f t="shared" si="237"/>
        <v>0.99999999999999989</v>
      </c>
      <c r="FD33" s="146">
        <f t="shared" si="238"/>
        <v>0.15</v>
      </c>
      <c r="FE33" s="146">
        <f t="shared" si="239"/>
        <v>0.27</v>
      </c>
      <c r="FF33" s="146">
        <f t="shared" si="240"/>
        <v>0.32</v>
      </c>
      <c r="FG33" s="146">
        <f t="shared" si="241"/>
        <v>0.26</v>
      </c>
      <c r="FH33" s="145">
        <f t="shared" ref="FH33:FH96" si="375">SUM(FD33:FG33)</f>
        <v>1</v>
      </c>
      <c r="FJ33" s="52">
        <f t="shared" si="243"/>
        <v>0</v>
      </c>
      <c r="FK33" s="52">
        <f t="shared" si="244"/>
        <v>263.8151780403864</v>
      </c>
      <c r="FL33" s="52">
        <f t="shared" si="245"/>
        <v>0</v>
      </c>
      <c r="FM33" s="52">
        <f t="shared" si="246"/>
        <v>0</v>
      </c>
      <c r="FN33" s="52">
        <f t="shared" si="247"/>
        <v>0</v>
      </c>
      <c r="FO33" s="52">
        <f t="shared" si="248"/>
        <v>1595.4864504173629</v>
      </c>
      <c r="FP33" s="52">
        <f t="shared" si="249"/>
        <v>0</v>
      </c>
      <c r="FQ33" s="52">
        <f t="shared" si="250"/>
        <v>570.77241081059844</v>
      </c>
      <c r="FR33" s="52">
        <f t="shared" si="251"/>
        <v>0</v>
      </c>
      <c r="FS33" s="52">
        <f t="shared" si="252"/>
        <v>0</v>
      </c>
      <c r="FT33" s="52">
        <f t="shared" si="253"/>
        <v>0</v>
      </c>
      <c r="FU33" s="52">
        <f t="shared" si="254"/>
        <v>0</v>
      </c>
      <c r="FV33" s="52">
        <f t="shared" si="255"/>
        <v>0</v>
      </c>
      <c r="FW33" s="52">
        <f t="shared" si="256"/>
        <v>4944.0779723618689</v>
      </c>
      <c r="FX33" s="52">
        <f t="shared" si="257"/>
        <v>0</v>
      </c>
      <c r="FY33" s="52">
        <f t="shared" si="258"/>
        <v>1319.075890201932</v>
      </c>
      <c r="FZ33" s="52">
        <f t="shared" si="259"/>
        <v>395.7227670605796</v>
      </c>
      <c r="GA33" s="52">
        <f t="shared" si="260"/>
        <v>1055.2607121615456</v>
      </c>
      <c r="GB33" s="52">
        <f t="shared" si="261"/>
        <v>0</v>
      </c>
      <c r="GC33" s="52">
        <f t="shared" si="262"/>
        <v>0</v>
      </c>
      <c r="GD33" s="52">
        <f t="shared" si="263"/>
        <v>791.4455341211592</v>
      </c>
      <c r="GE33" s="52">
        <f t="shared" si="264"/>
        <v>0</v>
      </c>
      <c r="GF33" s="52">
        <f t="shared" si="265"/>
        <v>5553.0758943720784</v>
      </c>
      <c r="GG33" s="52">
        <f t="shared" si="266"/>
        <v>0</v>
      </c>
      <c r="GH33" s="52">
        <f t="shared" si="267"/>
        <v>0</v>
      </c>
      <c r="GI33" s="52">
        <f t="shared" si="268"/>
        <v>62736.767190452483</v>
      </c>
      <c r="GJ33" s="26"/>
      <c r="GL33" s="150">
        <f t="shared" si="269"/>
        <v>0</v>
      </c>
      <c r="GM33" s="150">
        <f t="shared" si="270"/>
        <v>474.86732047269561</v>
      </c>
      <c r="GN33" s="150">
        <f t="shared" si="271"/>
        <v>0</v>
      </c>
      <c r="GO33" s="150">
        <f t="shared" si="272"/>
        <v>0</v>
      </c>
      <c r="GP33" s="150">
        <f t="shared" si="273"/>
        <v>0</v>
      </c>
      <c r="GQ33" s="150">
        <f t="shared" si="274"/>
        <v>2871.8756107512536</v>
      </c>
      <c r="GR33" s="150">
        <f t="shared" si="275"/>
        <v>0</v>
      </c>
      <c r="GS33" s="150">
        <f t="shared" si="276"/>
        <v>1027.3903394590773</v>
      </c>
      <c r="GT33" s="150">
        <f t="shared" si="277"/>
        <v>0</v>
      </c>
      <c r="GU33" s="150">
        <f t="shared" si="278"/>
        <v>0</v>
      </c>
      <c r="GV33" s="150">
        <f t="shared" si="279"/>
        <v>0</v>
      </c>
      <c r="GW33" s="150">
        <f t="shared" si="280"/>
        <v>0</v>
      </c>
      <c r="GX33" s="150">
        <f t="shared" si="281"/>
        <v>0</v>
      </c>
      <c r="GY33" s="150">
        <f t="shared" si="282"/>
        <v>8899.3403502513647</v>
      </c>
      <c r="GZ33" s="150">
        <f t="shared" si="283"/>
        <v>0</v>
      </c>
      <c r="HA33" s="150">
        <f t="shared" si="284"/>
        <v>2374.3366023634776</v>
      </c>
      <c r="HB33" s="150">
        <f t="shared" si="285"/>
        <v>712.3009807090433</v>
      </c>
      <c r="HC33" s="150">
        <f t="shared" si="286"/>
        <v>1899.4692818907824</v>
      </c>
      <c r="HD33" s="150">
        <f t="shared" si="287"/>
        <v>0</v>
      </c>
      <c r="HE33" s="150">
        <f t="shared" si="288"/>
        <v>0</v>
      </c>
      <c r="HF33" s="150">
        <f t="shared" si="289"/>
        <v>1424.6019614180866</v>
      </c>
      <c r="HG33" s="150">
        <f t="shared" si="290"/>
        <v>0</v>
      </c>
      <c r="HH33" s="150">
        <f t="shared" si="291"/>
        <v>9995.5366098697414</v>
      </c>
      <c r="HI33" s="150">
        <f t="shared" si="292"/>
        <v>0</v>
      </c>
      <c r="HJ33" s="150">
        <f t="shared" si="293"/>
        <v>0</v>
      </c>
      <c r="HK33" s="150">
        <f t="shared" si="294"/>
        <v>112926.18094281449</v>
      </c>
      <c r="HL33" s="26"/>
      <c r="HN33" s="147">
        <f t="shared" si="295"/>
        <v>0</v>
      </c>
      <c r="HO33" s="147">
        <f t="shared" si="296"/>
        <v>562.80571315282441</v>
      </c>
      <c r="HP33" s="147">
        <f t="shared" si="297"/>
        <v>0</v>
      </c>
      <c r="HQ33" s="147">
        <f t="shared" si="298"/>
        <v>0</v>
      </c>
      <c r="HR33" s="147">
        <f t="shared" si="299"/>
        <v>0</v>
      </c>
      <c r="HS33" s="147">
        <f t="shared" si="300"/>
        <v>3403.7044275570411</v>
      </c>
      <c r="HT33" s="147">
        <f t="shared" si="301"/>
        <v>0</v>
      </c>
      <c r="HU33" s="147">
        <f t="shared" si="302"/>
        <v>1217.6478097292768</v>
      </c>
      <c r="HV33" s="147">
        <f t="shared" si="303"/>
        <v>0</v>
      </c>
      <c r="HW33" s="147">
        <f t="shared" si="304"/>
        <v>0</v>
      </c>
      <c r="HX33" s="147">
        <f t="shared" si="305"/>
        <v>0</v>
      </c>
      <c r="HY33" s="147">
        <f t="shared" si="306"/>
        <v>0</v>
      </c>
      <c r="HZ33" s="147">
        <f t="shared" si="307"/>
        <v>0</v>
      </c>
      <c r="IA33" s="147">
        <f t="shared" si="308"/>
        <v>10547.366341038654</v>
      </c>
      <c r="IB33" s="147">
        <f t="shared" si="309"/>
        <v>0</v>
      </c>
      <c r="IC33" s="147">
        <f t="shared" si="310"/>
        <v>2814.0285657641216</v>
      </c>
      <c r="ID33" s="147">
        <f t="shared" si="311"/>
        <v>844.2085697292365</v>
      </c>
      <c r="IE33" s="147">
        <f t="shared" si="312"/>
        <v>2251.2228526112976</v>
      </c>
      <c r="IF33" s="147">
        <f t="shared" si="313"/>
        <v>0</v>
      </c>
      <c r="IG33" s="147">
        <f t="shared" si="314"/>
        <v>0</v>
      </c>
      <c r="IH33" s="147">
        <f t="shared" si="315"/>
        <v>1688.417139458473</v>
      </c>
      <c r="II33" s="147">
        <f t="shared" si="316"/>
        <v>0</v>
      </c>
      <c r="IJ33" s="147">
        <f t="shared" si="317"/>
        <v>11846.561907993768</v>
      </c>
      <c r="IK33" s="147">
        <f t="shared" si="318"/>
        <v>0</v>
      </c>
      <c r="IL33" s="147">
        <f t="shared" si="319"/>
        <v>0</v>
      </c>
      <c r="IM33" s="147">
        <f t="shared" si="320"/>
        <v>133838.4366729653</v>
      </c>
      <c r="IN33" s="26"/>
      <c r="IP33" s="61">
        <f t="shared" si="321"/>
        <v>0</v>
      </c>
      <c r="IQ33" s="61">
        <f t="shared" si="322"/>
        <v>457.27964193666986</v>
      </c>
      <c r="IR33" s="61">
        <f t="shared" si="323"/>
        <v>0</v>
      </c>
      <c r="IS33" s="61">
        <f t="shared" si="324"/>
        <v>0</v>
      </c>
      <c r="IT33" s="61">
        <f t="shared" si="325"/>
        <v>0</v>
      </c>
      <c r="IU33" s="61">
        <f t="shared" si="326"/>
        <v>2765.5098473900957</v>
      </c>
      <c r="IV33" s="61">
        <f t="shared" si="327"/>
        <v>0</v>
      </c>
      <c r="IW33" s="61">
        <f t="shared" si="328"/>
        <v>989.33884540503743</v>
      </c>
      <c r="IX33" s="61">
        <f t="shared" si="329"/>
        <v>0</v>
      </c>
      <c r="IY33" s="61">
        <f t="shared" si="330"/>
        <v>0</v>
      </c>
      <c r="IZ33" s="61">
        <f t="shared" si="331"/>
        <v>0</v>
      </c>
      <c r="JA33" s="61">
        <f t="shared" si="332"/>
        <v>0</v>
      </c>
      <c r="JB33" s="61">
        <f t="shared" si="333"/>
        <v>0</v>
      </c>
      <c r="JC33" s="61">
        <f t="shared" si="334"/>
        <v>8569.7351520939064</v>
      </c>
      <c r="JD33" s="61">
        <f t="shared" si="335"/>
        <v>0</v>
      </c>
      <c r="JE33" s="61">
        <f t="shared" si="336"/>
        <v>2286.3982096833488</v>
      </c>
      <c r="JF33" s="61">
        <f t="shared" si="337"/>
        <v>685.91946290500471</v>
      </c>
      <c r="JG33" s="61">
        <f t="shared" si="338"/>
        <v>1829.1185677466794</v>
      </c>
      <c r="JH33" s="61">
        <f t="shared" si="339"/>
        <v>0</v>
      </c>
      <c r="JI33" s="61">
        <f t="shared" si="340"/>
        <v>0</v>
      </c>
      <c r="JJ33" s="61">
        <f t="shared" si="341"/>
        <v>1371.8389258100094</v>
      </c>
      <c r="JK33" s="61">
        <f t="shared" si="342"/>
        <v>0</v>
      </c>
      <c r="JL33" s="61">
        <f t="shared" si="343"/>
        <v>9625.3315502449368</v>
      </c>
      <c r="JM33" s="61">
        <f t="shared" si="344"/>
        <v>0</v>
      </c>
      <c r="JN33" s="61">
        <f t="shared" si="345"/>
        <v>0</v>
      </c>
      <c r="JO33" s="61">
        <f t="shared" si="346"/>
        <v>108743.72979678432</v>
      </c>
      <c r="JQ33" s="26">
        <f t="shared" si="209"/>
        <v>528170.00000000012</v>
      </c>
      <c r="JR33" s="156">
        <f t="shared" si="210"/>
        <v>1.0000000000000002</v>
      </c>
      <c r="JT33" s="157">
        <f t="shared" si="347"/>
        <v>0</v>
      </c>
      <c r="JU33" s="29">
        <f t="shared" si="348"/>
        <v>0</v>
      </c>
    </row>
    <row r="34" spans="1:281" ht="18.75" outlineLevel="1" x14ac:dyDescent="0.3">
      <c r="A34" t="s">
        <v>69</v>
      </c>
      <c r="B34" t="s">
        <v>101</v>
      </c>
      <c r="C34" t="s">
        <v>74</v>
      </c>
      <c r="D34" t="s">
        <v>29</v>
      </c>
      <c r="E34" t="s">
        <v>127</v>
      </c>
      <c r="F34" s="113">
        <v>1000</v>
      </c>
      <c r="G34" s="15">
        <v>399450</v>
      </c>
      <c r="H34" s="20">
        <v>266300</v>
      </c>
      <c r="I34" s="23">
        <v>1.5</v>
      </c>
      <c r="J34" s="9">
        <v>0</v>
      </c>
      <c r="K34" s="9">
        <v>3.3299275869560488E-3</v>
      </c>
      <c r="L34" s="9">
        <v>0</v>
      </c>
      <c r="M34" s="9">
        <v>0</v>
      </c>
      <c r="N34" s="9">
        <v>0</v>
      </c>
      <c r="O34" s="9">
        <v>2.0138546937758208E-2</v>
      </c>
      <c r="P34" s="9">
        <v>0</v>
      </c>
      <c r="Q34" s="9">
        <v>7.2044027593464038E-3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6.2405134361561219E-2</v>
      </c>
      <c r="X34" s="9">
        <v>0</v>
      </c>
      <c r="Y34" s="9">
        <v>1.6649637934780241E-2</v>
      </c>
      <c r="Z34" s="9">
        <v>4.9948913804340727E-3</v>
      </c>
      <c r="AA34" s="9">
        <v>1.3319710347824195E-2</v>
      </c>
      <c r="AB34" s="9">
        <v>0</v>
      </c>
      <c r="AC34" s="9">
        <v>0</v>
      </c>
      <c r="AD34" s="9">
        <v>9.9897827608681454E-3</v>
      </c>
      <c r="AE34" s="9">
        <v>0</v>
      </c>
      <c r="AF34" s="9">
        <v>7.009202711717917E-2</v>
      </c>
      <c r="AG34" s="9">
        <v>0</v>
      </c>
      <c r="AH34" s="9">
        <v>0</v>
      </c>
      <c r="AI34" s="9">
        <v>0.79187593881329232</v>
      </c>
      <c r="AJ34" s="8">
        <f t="shared" si="124"/>
        <v>1</v>
      </c>
      <c r="AK34" s="141">
        <f t="shared" si="349"/>
        <v>0</v>
      </c>
      <c r="AL34" s="141">
        <f t="shared" si="350"/>
        <v>3.3299275869560487</v>
      </c>
      <c r="AM34" s="141">
        <f t="shared" si="351"/>
        <v>0</v>
      </c>
      <c r="AN34" s="141">
        <f t="shared" si="352"/>
        <v>0</v>
      </c>
      <c r="AO34" s="141">
        <f t="shared" si="353"/>
        <v>0</v>
      </c>
      <c r="AP34" s="141">
        <f t="shared" si="354"/>
        <v>20.138546937758207</v>
      </c>
      <c r="AQ34" s="141">
        <f t="shared" si="355"/>
        <v>0</v>
      </c>
      <c r="AR34" s="141">
        <f t="shared" si="356"/>
        <v>7.2044027593464035</v>
      </c>
      <c r="AS34" s="141">
        <f t="shared" si="357"/>
        <v>0</v>
      </c>
      <c r="AT34" s="141">
        <f t="shared" si="358"/>
        <v>0</v>
      </c>
      <c r="AU34" s="141">
        <f t="shared" si="359"/>
        <v>0</v>
      </c>
      <c r="AV34" s="141">
        <f t="shared" si="360"/>
        <v>0</v>
      </c>
      <c r="AW34" s="141">
        <f t="shared" si="361"/>
        <v>0</v>
      </c>
      <c r="AX34" s="141">
        <f t="shared" si="362"/>
        <v>62.405134361561217</v>
      </c>
      <c r="AY34" s="141">
        <f t="shared" si="363"/>
        <v>0</v>
      </c>
      <c r="AZ34" s="141">
        <f t="shared" si="364"/>
        <v>16.649637934780241</v>
      </c>
      <c r="BA34" s="141">
        <f t="shared" si="365"/>
        <v>4.9948913804340727</v>
      </c>
      <c r="BB34" s="141">
        <f t="shared" si="366"/>
        <v>13.319710347824195</v>
      </c>
      <c r="BC34" s="141">
        <f t="shared" si="367"/>
        <v>0</v>
      </c>
      <c r="BD34" s="141">
        <f t="shared" si="368"/>
        <v>0</v>
      </c>
      <c r="BE34" s="141">
        <f t="shared" si="369"/>
        <v>9.9897827608681453</v>
      </c>
      <c r="BF34" s="141">
        <f t="shared" si="370"/>
        <v>0</v>
      </c>
      <c r="BG34" s="141">
        <f t="shared" si="371"/>
        <v>70.092027117179171</v>
      </c>
      <c r="BH34" s="141">
        <f t="shared" si="372"/>
        <v>0</v>
      </c>
      <c r="BI34" s="141">
        <f t="shared" si="373"/>
        <v>0</v>
      </c>
      <c r="BJ34" s="141">
        <f t="shared" si="374"/>
        <v>791.87593881329235</v>
      </c>
      <c r="BK34" s="9"/>
      <c r="BM34" s="26">
        <f t="shared" si="150"/>
        <v>0</v>
      </c>
      <c r="BN34" s="26">
        <f t="shared" si="151"/>
        <v>1330.1395746095936</v>
      </c>
      <c r="BO34" s="26">
        <f t="shared" si="152"/>
        <v>0</v>
      </c>
      <c r="BP34" s="26">
        <f t="shared" si="153"/>
        <v>0</v>
      </c>
      <c r="BQ34" s="26">
        <f t="shared" si="154"/>
        <v>0</v>
      </c>
      <c r="BR34" s="26">
        <f t="shared" si="155"/>
        <v>8044.3425742875161</v>
      </c>
      <c r="BS34" s="26">
        <f t="shared" si="156"/>
        <v>0</v>
      </c>
      <c r="BT34" s="26">
        <f t="shared" si="157"/>
        <v>2877.7986822209209</v>
      </c>
      <c r="BU34" s="26">
        <f t="shared" si="158"/>
        <v>0</v>
      </c>
      <c r="BV34" s="26">
        <f t="shared" si="159"/>
        <v>0</v>
      </c>
      <c r="BW34" s="26">
        <f t="shared" si="160"/>
        <v>0</v>
      </c>
      <c r="BX34" s="26">
        <f t="shared" si="161"/>
        <v>0</v>
      </c>
      <c r="BY34" s="26">
        <f t="shared" si="162"/>
        <v>0</v>
      </c>
      <c r="BZ34" s="26">
        <f t="shared" si="163"/>
        <v>24927.730920725629</v>
      </c>
      <c r="CA34" s="26">
        <f t="shared" si="164"/>
        <v>0</v>
      </c>
      <c r="CB34" s="26">
        <f t="shared" si="165"/>
        <v>6650.6978730479677</v>
      </c>
      <c r="CC34" s="26">
        <f t="shared" si="166"/>
        <v>1995.2093619143902</v>
      </c>
      <c r="CD34" s="26">
        <f t="shared" si="167"/>
        <v>5320.5582984383745</v>
      </c>
      <c r="CE34" s="26">
        <f t="shared" si="168"/>
        <v>0</v>
      </c>
      <c r="CF34" s="26">
        <f t="shared" si="169"/>
        <v>0</v>
      </c>
      <c r="CG34" s="26">
        <f t="shared" si="170"/>
        <v>3990.4187238287805</v>
      </c>
      <c r="CH34" s="26">
        <f t="shared" si="171"/>
        <v>0</v>
      </c>
      <c r="CI34" s="26">
        <f t="shared" si="172"/>
        <v>27998.260231957218</v>
      </c>
      <c r="CJ34" s="26">
        <f t="shared" si="173"/>
        <v>0</v>
      </c>
      <c r="CK34" s="26">
        <f t="shared" si="174"/>
        <v>0</v>
      </c>
      <c r="CL34" s="26">
        <f t="shared" si="175"/>
        <v>316314.84375896963</v>
      </c>
      <c r="CM34" s="110">
        <f t="shared" si="176"/>
        <v>1</v>
      </c>
      <c r="CN34" s="27">
        <f t="shared" si="177"/>
        <v>0</v>
      </c>
      <c r="CO34" s="27">
        <f t="shared" si="178"/>
        <v>886.7597164063958</v>
      </c>
      <c r="CP34" s="27">
        <f t="shared" si="179"/>
        <v>0</v>
      </c>
      <c r="CQ34" s="27">
        <f t="shared" si="180"/>
        <v>0</v>
      </c>
      <c r="CR34" s="27">
        <f t="shared" si="181"/>
        <v>0</v>
      </c>
      <c r="CS34" s="27">
        <f t="shared" si="182"/>
        <v>5362.895049525011</v>
      </c>
      <c r="CT34" s="27">
        <f t="shared" si="183"/>
        <v>0</v>
      </c>
      <c r="CU34" s="27">
        <f t="shared" si="184"/>
        <v>1918.5324548139474</v>
      </c>
      <c r="CV34" s="27">
        <f t="shared" si="185"/>
        <v>0</v>
      </c>
      <c r="CW34" s="27">
        <f t="shared" si="186"/>
        <v>0</v>
      </c>
      <c r="CX34" s="27">
        <f t="shared" si="187"/>
        <v>0</v>
      </c>
      <c r="CY34" s="27">
        <f t="shared" si="188"/>
        <v>0</v>
      </c>
      <c r="CZ34" s="27">
        <f t="shared" si="189"/>
        <v>0</v>
      </c>
      <c r="DA34" s="27">
        <f t="shared" si="190"/>
        <v>16618.487280483754</v>
      </c>
      <c r="DB34" s="27">
        <f t="shared" si="191"/>
        <v>0</v>
      </c>
      <c r="DC34" s="27">
        <f t="shared" si="192"/>
        <v>4433.7985820319782</v>
      </c>
      <c r="DD34" s="27">
        <f t="shared" si="193"/>
        <v>1330.1395746095936</v>
      </c>
      <c r="DE34" s="27">
        <f t="shared" si="194"/>
        <v>3547.0388656255832</v>
      </c>
      <c r="DF34" s="27">
        <f t="shared" si="195"/>
        <v>0</v>
      </c>
      <c r="DG34" s="27">
        <f t="shared" si="196"/>
        <v>0</v>
      </c>
      <c r="DH34" s="27">
        <f t="shared" si="197"/>
        <v>2660.2791492191873</v>
      </c>
      <c r="DI34" s="27">
        <f t="shared" si="198"/>
        <v>0</v>
      </c>
      <c r="DJ34" s="27">
        <f t="shared" si="199"/>
        <v>18665.506821304814</v>
      </c>
      <c r="DK34" s="27">
        <f t="shared" si="200"/>
        <v>0</v>
      </c>
      <c r="DL34" s="27">
        <f t="shared" si="201"/>
        <v>0</v>
      </c>
      <c r="DM34" s="27">
        <f t="shared" si="202"/>
        <v>210876.56250597976</v>
      </c>
      <c r="DN34" s="110">
        <f t="shared" si="203"/>
        <v>1</v>
      </c>
      <c r="DO34" s="28">
        <f t="shared" si="211"/>
        <v>0</v>
      </c>
      <c r="DP34" s="28">
        <f t="shared" si="212"/>
        <v>443.37985820319784</v>
      </c>
      <c r="DQ34" s="28">
        <f t="shared" si="213"/>
        <v>0</v>
      </c>
      <c r="DR34" s="28">
        <f t="shared" si="214"/>
        <v>0</v>
      </c>
      <c r="DS34" s="28">
        <f t="shared" si="215"/>
        <v>0</v>
      </c>
      <c r="DT34" s="28">
        <f t="shared" si="216"/>
        <v>2681.4475247625051</v>
      </c>
      <c r="DU34" s="28">
        <f t="shared" si="217"/>
        <v>0</v>
      </c>
      <c r="DV34" s="28">
        <f t="shared" si="218"/>
        <v>959.26622740697348</v>
      </c>
      <c r="DW34" s="28">
        <f t="shared" si="219"/>
        <v>0</v>
      </c>
      <c r="DX34" s="28">
        <f t="shared" si="220"/>
        <v>0</v>
      </c>
      <c r="DY34" s="28">
        <f t="shared" si="221"/>
        <v>0</v>
      </c>
      <c r="DZ34" s="28">
        <f t="shared" si="222"/>
        <v>0</v>
      </c>
      <c r="EA34" s="28">
        <f t="shared" si="223"/>
        <v>0</v>
      </c>
      <c r="EB34" s="28">
        <f t="shared" si="224"/>
        <v>8309.2436402418753</v>
      </c>
      <c r="EC34" s="28">
        <f t="shared" si="225"/>
        <v>0</v>
      </c>
      <c r="ED34" s="28">
        <f t="shared" si="226"/>
        <v>2216.8992910159895</v>
      </c>
      <c r="EE34" s="28">
        <f t="shared" si="227"/>
        <v>665.06978730479659</v>
      </c>
      <c r="EF34" s="28">
        <f t="shared" si="228"/>
        <v>1773.5194328127914</v>
      </c>
      <c r="EG34" s="28">
        <f t="shared" si="229"/>
        <v>0</v>
      </c>
      <c r="EH34" s="28">
        <f t="shared" si="230"/>
        <v>0</v>
      </c>
      <c r="EI34" s="28">
        <f t="shared" si="231"/>
        <v>1330.1395746095932</v>
      </c>
      <c r="EJ34" s="28">
        <f t="shared" si="232"/>
        <v>0</v>
      </c>
      <c r="EK34" s="28">
        <f t="shared" si="233"/>
        <v>9332.7534106524035</v>
      </c>
      <c r="EL34" s="28">
        <f t="shared" si="234"/>
        <v>0</v>
      </c>
      <c r="EM34" s="28">
        <f t="shared" si="235"/>
        <v>0</v>
      </c>
      <c r="EN34" s="28">
        <f t="shared" si="236"/>
        <v>105438.28125298987</v>
      </c>
      <c r="EQ34" s="144">
        <v>0.03</v>
      </c>
      <c r="ER34" s="144">
        <v>0.05</v>
      </c>
      <c r="ES34" s="144">
        <v>0.08</v>
      </c>
      <c r="ET34" s="144">
        <v>0.11</v>
      </c>
      <c r="EU34" s="144">
        <v>0.12</v>
      </c>
      <c r="EV34" s="144">
        <v>0.15</v>
      </c>
      <c r="EW34" s="144">
        <v>0.13</v>
      </c>
      <c r="EX34" s="144">
        <v>0.08</v>
      </c>
      <c r="EY34" s="144">
        <v>7.0000000000000007E-2</v>
      </c>
      <c r="EZ34" s="144">
        <v>0.06</v>
      </c>
      <c r="FA34" s="144">
        <v>0.06</v>
      </c>
      <c r="FB34" s="144">
        <v>0.06</v>
      </c>
      <c r="FC34" s="145">
        <f t="shared" si="237"/>
        <v>1.0000000000000002</v>
      </c>
      <c r="FD34" s="146">
        <f t="shared" si="238"/>
        <v>0.16</v>
      </c>
      <c r="FE34" s="146">
        <f t="shared" si="239"/>
        <v>0.38</v>
      </c>
      <c r="FF34" s="146">
        <f t="shared" si="240"/>
        <v>0.28000000000000003</v>
      </c>
      <c r="FG34" s="146">
        <f t="shared" si="241"/>
        <v>0.18</v>
      </c>
      <c r="FH34" s="145">
        <f t="shared" si="375"/>
        <v>1</v>
      </c>
      <c r="FJ34" s="52">
        <f t="shared" si="243"/>
        <v>0</v>
      </c>
      <c r="FK34" s="52">
        <f t="shared" si="244"/>
        <v>212.82233193753498</v>
      </c>
      <c r="FL34" s="52">
        <f t="shared" si="245"/>
        <v>0</v>
      </c>
      <c r="FM34" s="52">
        <f t="shared" si="246"/>
        <v>0</v>
      </c>
      <c r="FN34" s="52">
        <f t="shared" si="247"/>
        <v>0</v>
      </c>
      <c r="FO34" s="52">
        <f t="shared" si="248"/>
        <v>1287.0948118860026</v>
      </c>
      <c r="FP34" s="52">
        <f t="shared" si="249"/>
        <v>0</v>
      </c>
      <c r="FQ34" s="52">
        <f t="shared" si="250"/>
        <v>460.44778915534738</v>
      </c>
      <c r="FR34" s="52">
        <f t="shared" si="251"/>
        <v>0</v>
      </c>
      <c r="FS34" s="52">
        <f t="shared" si="252"/>
        <v>0</v>
      </c>
      <c r="FT34" s="52">
        <f t="shared" si="253"/>
        <v>0</v>
      </c>
      <c r="FU34" s="52">
        <f t="shared" si="254"/>
        <v>0</v>
      </c>
      <c r="FV34" s="52">
        <f t="shared" si="255"/>
        <v>0</v>
      </c>
      <c r="FW34" s="52">
        <f t="shared" si="256"/>
        <v>3988.4369473161009</v>
      </c>
      <c r="FX34" s="52">
        <f t="shared" si="257"/>
        <v>0</v>
      </c>
      <c r="FY34" s="52">
        <f t="shared" si="258"/>
        <v>1064.1116596876748</v>
      </c>
      <c r="FZ34" s="52">
        <f t="shared" si="259"/>
        <v>319.23349790630243</v>
      </c>
      <c r="GA34" s="52">
        <f t="shared" si="260"/>
        <v>851.28932775013993</v>
      </c>
      <c r="GB34" s="52">
        <f t="shared" si="261"/>
        <v>0</v>
      </c>
      <c r="GC34" s="52">
        <f t="shared" si="262"/>
        <v>0</v>
      </c>
      <c r="GD34" s="52">
        <f t="shared" si="263"/>
        <v>638.46699581260486</v>
      </c>
      <c r="GE34" s="52">
        <f t="shared" si="264"/>
        <v>0</v>
      </c>
      <c r="GF34" s="52">
        <f t="shared" si="265"/>
        <v>4479.7216371131553</v>
      </c>
      <c r="GG34" s="52">
        <f t="shared" si="266"/>
        <v>0</v>
      </c>
      <c r="GH34" s="52">
        <f t="shared" si="267"/>
        <v>0</v>
      </c>
      <c r="GI34" s="52">
        <f t="shared" si="268"/>
        <v>50610.375001435139</v>
      </c>
      <c r="GJ34" s="26"/>
      <c r="GL34" s="150">
        <f t="shared" si="269"/>
        <v>0</v>
      </c>
      <c r="GM34" s="150">
        <f t="shared" si="270"/>
        <v>505.4530383516456</v>
      </c>
      <c r="GN34" s="150">
        <f t="shared" si="271"/>
        <v>0</v>
      </c>
      <c r="GO34" s="150">
        <f t="shared" si="272"/>
        <v>0</v>
      </c>
      <c r="GP34" s="150">
        <f t="shared" si="273"/>
        <v>0</v>
      </c>
      <c r="GQ34" s="150">
        <f t="shared" si="274"/>
        <v>3056.850178229256</v>
      </c>
      <c r="GR34" s="150">
        <f t="shared" si="275"/>
        <v>0</v>
      </c>
      <c r="GS34" s="150">
        <f t="shared" si="276"/>
        <v>1093.56349924395</v>
      </c>
      <c r="GT34" s="150">
        <f t="shared" si="277"/>
        <v>0</v>
      </c>
      <c r="GU34" s="150">
        <f t="shared" si="278"/>
        <v>0</v>
      </c>
      <c r="GV34" s="150">
        <f t="shared" si="279"/>
        <v>0</v>
      </c>
      <c r="GW34" s="150">
        <f t="shared" si="280"/>
        <v>0</v>
      </c>
      <c r="GX34" s="150">
        <f t="shared" si="281"/>
        <v>0</v>
      </c>
      <c r="GY34" s="150">
        <f t="shared" si="282"/>
        <v>9472.5377498757389</v>
      </c>
      <c r="GZ34" s="150">
        <f t="shared" si="283"/>
        <v>0</v>
      </c>
      <c r="HA34" s="150">
        <f t="shared" si="284"/>
        <v>2527.265191758228</v>
      </c>
      <c r="HB34" s="150">
        <f t="shared" si="285"/>
        <v>758.17955752746832</v>
      </c>
      <c r="HC34" s="150">
        <f t="shared" si="286"/>
        <v>2021.8121534065824</v>
      </c>
      <c r="HD34" s="150">
        <f t="shared" si="287"/>
        <v>0</v>
      </c>
      <c r="HE34" s="150">
        <f t="shared" si="288"/>
        <v>0</v>
      </c>
      <c r="HF34" s="150">
        <f t="shared" si="289"/>
        <v>1516.3591150549366</v>
      </c>
      <c r="HG34" s="150">
        <f t="shared" si="290"/>
        <v>0</v>
      </c>
      <c r="HH34" s="150">
        <f t="shared" si="291"/>
        <v>10639.338888143742</v>
      </c>
      <c r="HI34" s="150">
        <f t="shared" si="292"/>
        <v>0</v>
      </c>
      <c r="HJ34" s="150">
        <f t="shared" si="293"/>
        <v>0</v>
      </c>
      <c r="HK34" s="150">
        <f t="shared" si="294"/>
        <v>120199.64062840847</v>
      </c>
      <c r="HL34" s="26"/>
      <c r="HN34" s="147">
        <f t="shared" si="295"/>
        <v>0</v>
      </c>
      <c r="HO34" s="147">
        <f t="shared" si="296"/>
        <v>372.43908089068623</v>
      </c>
      <c r="HP34" s="147">
        <f t="shared" si="297"/>
        <v>0</v>
      </c>
      <c r="HQ34" s="147">
        <f t="shared" si="298"/>
        <v>0</v>
      </c>
      <c r="HR34" s="147">
        <f t="shared" si="299"/>
        <v>0</v>
      </c>
      <c r="HS34" s="147">
        <f t="shared" si="300"/>
        <v>2252.4159208005049</v>
      </c>
      <c r="HT34" s="147">
        <f t="shared" si="301"/>
        <v>0</v>
      </c>
      <c r="HU34" s="147">
        <f t="shared" si="302"/>
        <v>805.7836310218579</v>
      </c>
      <c r="HV34" s="147">
        <f t="shared" si="303"/>
        <v>0</v>
      </c>
      <c r="HW34" s="147">
        <f t="shared" si="304"/>
        <v>0</v>
      </c>
      <c r="HX34" s="147">
        <f t="shared" si="305"/>
        <v>0</v>
      </c>
      <c r="HY34" s="147">
        <f t="shared" si="306"/>
        <v>0</v>
      </c>
      <c r="HZ34" s="147">
        <f t="shared" si="307"/>
        <v>0</v>
      </c>
      <c r="IA34" s="147">
        <f t="shared" si="308"/>
        <v>6979.7646578031772</v>
      </c>
      <c r="IB34" s="147">
        <f t="shared" si="309"/>
        <v>0</v>
      </c>
      <c r="IC34" s="147">
        <f t="shared" si="310"/>
        <v>1862.1954044534311</v>
      </c>
      <c r="ID34" s="147">
        <f t="shared" si="311"/>
        <v>558.65862133602934</v>
      </c>
      <c r="IE34" s="147">
        <f t="shared" si="312"/>
        <v>1489.7563235627449</v>
      </c>
      <c r="IF34" s="147">
        <f t="shared" si="313"/>
        <v>0</v>
      </c>
      <c r="IG34" s="147">
        <f t="shared" si="314"/>
        <v>0</v>
      </c>
      <c r="IH34" s="147">
        <f t="shared" si="315"/>
        <v>1117.3172426720587</v>
      </c>
      <c r="II34" s="147">
        <f t="shared" si="316"/>
        <v>0</v>
      </c>
      <c r="IJ34" s="147">
        <f t="shared" si="317"/>
        <v>7839.5128649480221</v>
      </c>
      <c r="IK34" s="147">
        <f t="shared" si="318"/>
        <v>0</v>
      </c>
      <c r="IL34" s="147">
        <f t="shared" si="319"/>
        <v>0</v>
      </c>
      <c r="IM34" s="147">
        <f t="shared" si="320"/>
        <v>88568.1562525115</v>
      </c>
      <c r="IN34" s="26"/>
      <c r="IP34" s="61">
        <f t="shared" si="321"/>
        <v>0</v>
      </c>
      <c r="IQ34" s="61">
        <f t="shared" si="322"/>
        <v>239.42512342972685</v>
      </c>
      <c r="IR34" s="61">
        <f t="shared" si="323"/>
        <v>0</v>
      </c>
      <c r="IS34" s="61">
        <f t="shared" si="324"/>
        <v>0</v>
      </c>
      <c r="IT34" s="61">
        <f t="shared" si="325"/>
        <v>0</v>
      </c>
      <c r="IU34" s="61">
        <f t="shared" si="326"/>
        <v>1447.9816633717528</v>
      </c>
      <c r="IV34" s="61">
        <f t="shared" si="327"/>
        <v>0</v>
      </c>
      <c r="IW34" s="61">
        <f t="shared" si="328"/>
        <v>518.0037627997657</v>
      </c>
      <c r="IX34" s="61">
        <f t="shared" si="329"/>
        <v>0</v>
      </c>
      <c r="IY34" s="61">
        <f t="shared" si="330"/>
        <v>0</v>
      </c>
      <c r="IZ34" s="61">
        <f t="shared" si="331"/>
        <v>0</v>
      </c>
      <c r="JA34" s="61">
        <f t="shared" si="332"/>
        <v>0</v>
      </c>
      <c r="JB34" s="61">
        <f t="shared" si="333"/>
        <v>0</v>
      </c>
      <c r="JC34" s="61">
        <f t="shared" si="334"/>
        <v>4486.9915657306128</v>
      </c>
      <c r="JD34" s="61">
        <f t="shared" si="335"/>
        <v>0</v>
      </c>
      <c r="JE34" s="61">
        <f t="shared" si="336"/>
        <v>1197.1256171486341</v>
      </c>
      <c r="JF34" s="61">
        <f t="shared" si="337"/>
        <v>359.13768514459025</v>
      </c>
      <c r="JG34" s="61">
        <f t="shared" si="338"/>
        <v>957.70049371890741</v>
      </c>
      <c r="JH34" s="61">
        <f t="shared" si="339"/>
        <v>0</v>
      </c>
      <c r="JI34" s="61">
        <f t="shared" si="340"/>
        <v>0</v>
      </c>
      <c r="JJ34" s="61">
        <f t="shared" si="341"/>
        <v>718.2753702891805</v>
      </c>
      <c r="JK34" s="61">
        <f t="shared" si="342"/>
        <v>0</v>
      </c>
      <c r="JL34" s="61">
        <f t="shared" si="343"/>
        <v>5039.6868417522992</v>
      </c>
      <c r="JM34" s="61">
        <f t="shared" si="344"/>
        <v>0</v>
      </c>
      <c r="JN34" s="61">
        <f t="shared" si="345"/>
        <v>0</v>
      </c>
      <c r="JO34" s="61">
        <f t="shared" si="346"/>
        <v>56936.671876614528</v>
      </c>
      <c r="JQ34" s="26">
        <f t="shared" si="209"/>
        <v>399450</v>
      </c>
      <c r="JR34" s="156">
        <f t="shared" si="210"/>
        <v>1</v>
      </c>
      <c r="JT34" s="157">
        <f t="shared" si="347"/>
        <v>0</v>
      </c>
      <c r="JU34" s="29">
        <f t="shared" si="348"/>
        <v>0</v>
      </c>
    </row>
    <row r="35" spans="1:281" ht="18.75" outlineLevel="1" x14ac:dyDescent="0.3">
      <c r="A35" t="s">
        <v>69</v>
      </c>
      <c r="B35" t="s">
        <v>102</v>
      </c>
      <c r="C35" t="s">
        <v>74</v>
      </c>
      <c r="D35" t="s">
        <v>29</v>
      </c>
      <c r="E35" t="s">
        <v>128</v>
      </c>
      <c r="F35" s="113">
        <v>2000</v>
      </c>
      <c r="G35" s="15">
        <v>658360</v>
      </c>
      <c r="H35" s="20">
        <v>438900</v>
      </c>
      <c r="I35" s="23">
        <v>1.5000227842333105</v>
      </c>
      <c r="J35" s="9">
        <v>0</v>
      </c>
      <c r="K35" s="9">
        <v>3.3299275869560488E-3</v>
      </c>
      <c r="L35" s="9">
        <v>0</v>
      </c>
      <c r="M35" s="9">
        <v>0</v>
      </c>
      <c r="N35" s="9">
        <v>0</v>
      </c>
      <c r="O35" s="9">
        <v>2.0138546937758208E-2</v>
      </c>
      <c r="P35" s="9">
        <v>0</v>
      </c>
      <c r="Q35" s="9">
        <v>7.2044027593464038E-3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6.2405134361561219E-2</v>
      </c>
      <c r="X35" s="9">
        <v>0</v>
      </c>
      <c r="Y35" s="9">
        <v>1.6649637934780241E-2</v>
      </c>
      <c r="Z35" s="9">
        <v>4.9948913804340727E-3</v>
      </c>
      <c r="AA35" s="9">
        <v>1.3319710347824195E-2</v>
      </c>
      <c r="AB35" s="9">
        <v>0</v>
      </c>
      <c r="AC35" s="9">
        <v>0</v>
      </c>
      <c r="AD35" s="9">
        <v>9.9897827608681454E-3</v>
      </c>
      <c r="AE35" s="9">
        <v>0</v>
      </c>
      <c r="AF35" s="9">
        <v>7.009202711717917E-2</v>
      </c>
      <c r="AG35" s="9">
        <v>0</v>
      </c>
      <c r="AH35" s="9">
        <v>0</v>
      </c>
      <c r="AI35" s="9">
        <v>0.79187593881329232</v>
      </c>
      <c r="AJ35" s="8">
        <f t="shared" si="124"/>
        <v>1</v>
      </c>
      <c r="AK35" s="141">
        <f t="shared" si="349"/>
        <v>0</v>
      </c>
      <c r="AL35" s="141">
        <f t="shared" si="350"/>
        <v>6.6598551739120975</v>
      </c>
      <c r="AM35" s="141">
        <f t="shared" si="351"/>
        <v>0</v>
      </c>
      <c r="AN35" s="141">
        <f t="shared" si="352"/>
        <v>0</v>
      </c>
      <c r="AO35" s="141">
        <f t="shared" si="353"/>
        <v>0</v>
      </c>
      <c r="AP35" s="141">
        <f t="shared" si="354"/>
        <v>40.277093875516414</v>
      </c>
      <c r="AQ35" s="141">
        <f t="shared" si="355"/>
        <v>0</v>
      </c>
      <c r="AR35" s="141">
        <f t="shared" si="356"/>
        <v>14.408805518692807</v>
      </c>
      <c r="AS35" s="141">
        <f t="shared" si="357"/>
        <v>0</v>
      </c>
      <c r="AT35" s="141">
        <f t="shared" si="358"/>
        <v>0</v>
      </c>
      <c r="AU35" s="141">
        <f t="shared" si="359"/>
        <v>0</v>
      </c>
      <c r="AV35" s="141">
        <f t="shared" si="360"/>
        <v>0</v>
      </c>
      <c r="AW35" s="141">
        <f t="shared" si="361"/>
        <v>0</v>
      </c>
      <c r="AX35" s="141">
        <f t="shared" si="362"/>
        <v>124.81026872312243</v>
      </c>
      <c r="AY35" s="141">
        <f t="shared" si="363"/>
        <v>0</v>
      </c>
      <c r="AZ35" s="141">
        <f t="shared" si="364"/>
        <v>33.299275869560482</v>
      </c>
      <c r="BA35" s="141">
        <f t="shared" si="365"/>
        <v>9.9897827608681453</v>
      </c>
      <c r="BB35" s="141">
        <f t="shared" si="366"/>
        <v>26.63942069564839</v>
      </c>
      <c r="BC35" s="141">
        <f t="shared" si="367"/>
        <v>0</v>
      </c>
      <c r="BD35" s="141">
        <f t="shared" si="368"/>
        <v>0</v>
      </c>
      <c r="BE35" s="141">
        <f t="shared" si="369"/>
        <v>19.979565521736291</v>
      </c>
      <c r="BF35" s="141">
        <f t="shared" si="370"/>
        <v>0</v>
      </c>
      <c r="BG35" s="141">
        <f t="shared" si="371"/>
        <v>140.18405423435834</v>
      </c>
      <c r="BH35" s="141">
        <f t="shared" si="372"/>
        <v>0</v>
      </c>
      <c r="BI35" s="141">
        <f t="shared" si="373"/>
        <v>0</v>
      </c>
      <c r="BJ35" s="141">
        <f t="shared" si="374"/>
        <v>1583.7518776265847</v>
      </c>
      <c r="BK35" s="9"/>
      <c r="BM35" s="26">
        <f t="shared" si="150"/>
        <v>0</v>
      </c>
      <c r="BN35" s="26">
        <f t="shared" si="151"/>
        <v>2192.2911261483841</v>
      </c>
      <c r="BO35" s="26">
        <f t="shared" si="152"/>
        <v>0</v>
      </c>
      <c r="BP35" s="26">
        <f t="shared" si="153"/>
        <v>0</v>
      </c>
      <c r="BQ35" s="26">
        <f t="shared" si="154"/>
        <v>0</v>
      </c>
      <c r="BR35" s="26">
        <f t="shared" si="155"/>
        <v>13258.413761942495</v>
      </c>
      <c r="BS35" s="26">
        <f t="shared" si="156"/>
        <v>0</v>
      </c>
      <c r="BT35" s="26">
        <f t="shared" si="157"/>
        <v>4743.0906006432988</v>
      </c>
      <c r="BU35" s="26">
        <f t="shared" si="158"/>
        <v>0</v>
      </c>
      <c r="BV35" s="26">
        <f t="shared" si="159"/>
        <v>0</v>
      </c>
      <c r="BW35" s="26">
        <f t="shared" si="160"/>
        <v>0</v>
      </c>
      <c r="BX35" s="26">
        <f t="shared" si="161"/>
        <v>0</v>
      </c>
      <c r="BY35" s="26">
        <f t="shared" si="162"/>
        <v>0</v>
      </c>
      <c r="BZ35" s="26">
        <f t="shared" si="163"/>
        <v>41085.044258277441</v>
      </c>
      <c r="CA35" s="26">
        <f t="shared" si="164"/>
        <v>0</v>
      </c>
      <c r="CB35" s="26">
        <f t="shared" si="165"/>
        <v>10961.455630741919</v>
      </c>
      <c r="CC35" s="26">
        <f t="shared" si="166"/>
        <v>3288.4366892225762</v>
      </c>
      <c r="CD35" s="26">
        <f t="shared" si="167"/>
        <v>8769.1645045935365</v>
      </c>
      <c r="CE35" s="26">
        <f t="shared" si="168"/>
        <v>0</v>
      </c>
      <c r="CF35" s="26">
        <f t="shared" si="169"/>
        <v>0</v>
      </c>
      <c r="CG35" s="26">
        <f t="shared" si="170"/>
        <v>6576.8733784451524</v>
      </c>
      <c r="CH35" s="26">
        <f t="shared" si="171"/>
        <v>0</v>
      </c>
      <c r="CI35" s="26">
        <f t="shared" si="172"/>
        <v>46145.786972866081</v>
      </c>
      <c r="CJ35" s="26">
        <f t="shared" si="173"/>
        <v>0</v>
      </c>
      <c r="CK35" s="26">
        <f t="shared" si="174"/>
        <v>0</v>
      </c>
      <c r="CL35" s="26">
        <f t="shared" si="175"/>
        <v>521339.44307711913</v>
      </c>
      <c r="CM35" s="110">
        <f t="shared" si="176"/>
        <v>1</v>
      </c>
      <c r="CN35" s="27">
        <f t="shared" si="177"/>
        <v>0</v>
      </c>
      <c r="CO35" s="27">
        <f t="shared" si="178"/>
        <v>1461.5052179150098</v>
      </c>
      <c r="CP35" s="27">
        <f t="shared" si="179"/>
        <v>0</v>
      </c>
      <c r="CQ35" s="27">
        <f t="shared" si="180"/>
        <v>0</v>
      </c>
      <c r="CR35" s="27">
        <f t="shared" si="181"/>
        <v>0</v>
      </c>
      <c r="CS35" s="27">
        <f t="shared" si="182"/>
        <v>8838.8082509820779</v>
      </c>
      <c r="CT35" s="27">
        <f t="shared" si="183"/>
        <v>0</v>
      </c>
      <c r="CU35" s="27">
        <f t="shared" si="184"/>
        <v>3162.0123710771368</v>
      </c>
      <c r="CV35" s="27">
        <f t="shared" si="185"/>
        <v>0</v>
      </c>
      <c r="CW35" s="27">
        <f t="shared" si="186"/>
        <v>0</v>
      </c>
      <c r="CX35" s="27">
        <f t="shared" si="187"/>
        <v>0</v>
      </c>
      <c r="CY35" s="27">
        <f t="shared" si="188"/>
        <v>0</v>
      </c>
      <c r="CZ35" s="27">
        <f t="shared" si="189"/>
        <v>0</v>
      </c>
      <c r="DA35" s="27">
        <f t="shared" si="190"/>
        <v>27389.61347128922</v>
      </c>
      <c r="DB35" s="27">
        <f t="shared" si="191"/>
        <v>0</v>
      </c>
      <c r="DC35" s="27">
        <f t="shared" si="192"/>
        <v>7307.526089575048</v>
      </c>
      <c r="DD35" s="27">
        <f t="shared" si="193"/>
        <v>2192.2578268725147</v>
      </c>
      <c r="DE35" s="27">
        <f t="shared" si="194"/>
        <v>5846.0208716600391</v>
      </c>
      <c r="DF35" s="27">
        <f t="shared" si="195"/>
        <v>0</v>
      </c>
      <c r="DG35" s="27">
        <f t="shared" si="196"/>
        <v>0</v>
      </c>
      <c r="DH35" s="27">
        <f t="shared" si="197"/>
        <v>4384.5156537450293</v>
      </c>
      <c r="DI35" s="27">
        <f t="shared" si="198"/>
        <v>0</v>
      </c>
      <c r="DJ35" s="27">
        <f t="shared" si="199"/>
        <v>30763.390701729939</v>
      </c>
      <c r="DK35" s="27">
        <f t="shared" si="200"/>
        <v>0</v>
      </c>
      <c r="DL35" s="27">
        <f t="shared" si="201"/>
        <v>0</v>
      </c>
      <c r="DM35" s="27">
        <f t="shared" si="202"/>
        <v>347554.34954515402</v>
      </c>
      <c r="DN35" s="110">
        <f t="shared" si="203"/>
        <v>1</v>
      </c>
      <c r="DO35" s="28">
        <f t="shared" si="211"/>
        <v>0</v>
      </c>
      <c r="DP35" s="28">
        <f t="shared" si="212"/>
        <v>730.78590823337436</v>
      </c>
      <c r="DQ35" s="28">
        <f t="shared" si="213"/>
        <v>0</v>
      </c>
      <c r="DR35" s="28">
        <f t="shared" si="214"/>
        <v>0</v>
      </c>
      <c r="DS35" s="28">
        <f t="shared" si="215"/>
        <v>0</v>
      </c>
      <c r="DT35" s="28">
        <f t="shared" si="216"/>
        <v>4419.6055109604167</v>
      </c>
      <c r="DU35" s="28">
        <f t="shared" si="217"/>
        <v>0</v>
      </c>
      <c r="DV35" s="28">
        <f t="shared" si="218"/>
        <v>1581.078229566162</v>
      </c>
      <c r="DW35" s="28">
        <f t="shared" si="219"/>
        <v>0</v>
      </c>
      <c r="DX35" s="28">
        <f t="shared" si="220"/>
        <v>0</v>
      </c>
      <c r="DY35" s="28">
        <f t="shared" si="221"/>
        <v>0</v>
      </c>
      <c r="DZ35" s="28">
        <f t="shared" si="222"/>
        <v>0</v>
      </c>
      <c r="EA35" s="28">
        <f t="shared" si="223"/>
        <v>0</v>
      </c>
      <c r="EB35" s="28">
        <f t="shared" si="224"/>
        <v>13695.430786988221</v>
      </c>
      <c r="EC35" s="28">
        <f t="shared" si="225"/>
        <v>0</v>
      </c>
      <c r="ED35" s="28">
        <f t="shared" si="226"/>
        <v>3653.9295411668709</v>
      </c>
      <c r="EE35" s="28">
        <f t="shared" si="227"/>
        <v>1096.1788623500615</v>
      </c>
      <c r="EF35" s="28">
        <f t="shared" si="228"/>
        <v>2923.1436329334974</v>
      </c>
      <c r="EG35" s="28">
        <f t="shared" si="229"/>
        <v>0</v>
      </c>
      <c r="EH35" s="28">
        <f t="shared" si="230"/>
        <v>0</v>
      </c>
      <c r="EI35" s="28">
        <f t="shared" si="231"/>
        <v>2192.3577247001231</v>
      </c>
      <c r="EJ35" s="28">
        <f t="shared" si="232"/>
        <v>0</v>
      </c>
      <c r="EK35" s="28">
        <f t="shared" si="233"/>
        <v>15382.396271136142</v>
      </c>
      <c r="EL35" s="28">
        <f t="shared" si="234"/>
        <v>0</v>
      </c>
      <c r="EM35" s="28">
        <f t="shared" si="235"/>
        <v>0</v>
      </c>
      <c r="EN35" s="28">
        <f t="shared" si="236"/>
        <v>173785.0935319651</v>
      </c>
      <c r="EQ35" s="144">
        <v>0.03</v>
      </c>
      <c r="ER35" s="144">
        <v>0.05</v>
      </c>
      <c r="ES35" s="144">
        <v>0.08</v>
      </c>
      <c r="ET35" s="144">
        <v>0.11</v>
      </c>
      <c r="EU35" s="144">
        <v>0.12</v>
      </c>
      <c r="EV35" s="144">
        <v>0.15</v>
      </c>
      <c r="EW35" s="144">
        <v>0.13</v>
      </c>
      <c r="EX35" s="144">
        <v>0.08</v>
      </c>
      <c r="EY35" s="144">
        <v>7.0000000000000007E-2</v>
      </c>
      <c r="EZ35" s="144">
        <v>0.06</v>
      </c>
      <c r="FA35" s="144">
        <v>0.06</v>
      </c>
      <c r="FB35" s="144">
        <v>0.06</v>
      </c>
      <c r="FC35" s="145">
        <f t="shared" si="237"/>
        <v>1.0000000000000002</v>
      </c>
      <c r="FD35" s="146">
        <f t="shared" si="238"/>
        <v>0.16</v>
      </c>
      <c r="FE35" s="146">
        <f t="shared" si="239"/>
        <v>0.38</v>
      </c>
      <c r="FF35" s="146">
        <f t="shared" si="240"/>
        <v>0.28000000000000003</v>
      </c>
      <c r="FG35" s="146">
        <f t="shared" si="241"/>
        <v>0.18</v>
      </c>
      <c r="FH35" s="145">
        <f t="shared" si="375"/>
        <v>1</v>
      </c>
      <c r="FJ35" s="52">
        <f t="shared" si="243"/>
        <v>0</v>
      </c>
      <c r="FK35" s="52">
        <f t="shared" si="244"/>
        <v>350.7665801837415</v>
      </c>
      <c r="FL35" s="52">
        <f t="shared" si="245"/>
        <v>0</v>
      </c>
      <c r="FM35" s="52">
        <f t="shared" si="246"/>
        <v>0</v>
      </c>
      <c r="FN35" s="52">
        <f t="shared" si="247"/>
        <v>0</v>
      </c>
      <c r="FO35" s="52">
        <f t="shared" si="248"/>
        <v>2121.3462019107992</v>
      </c>
      <c r="FP35" s="52">
        <f t="shared" si="249"/>
        <v>0</v>
      </c>
      <c r="FQ35" s="52">
        <f t="shared" si="250"/>
        <v>758.89449610292786</v>
      </c>
      <c r="FR35" s="52">
        <f t="shared" si="251"/>
        <v>0</v>
      </c>
      <c r="FS35" s="52">
        <f t="shared" si="252"/>
        <v>0</v>
      </c>
      <c r="FT35" s="52">
        <f t="shared" si="253"/>
        <v>0</v>
      </c>
      <c r="FU35" s="52">
        <f t="shared" si="254"/>
        <v>0</v>
      </c>
      <c r="FV35" s="52">
        <f t="shared" si="255"/>
        <v>0</v>
      </c>
      <c r="FW35" s="52">
        <f t="shared" si="256"/>
        <v>6573.6070813243905</v>
      </c>
      <c r="FX35" s="52">
        <f t="shared" si="257"/>
        <v>0</v>
      </c>
      <c r="FY35" s="52">
        <f t="shared" si="258"/>
        <v>1753.8329009187071</v>
      </c>
      <c r="FZ35" s="52">
        <f t="shared" si="259"/>
        <v>526.14987027561222</v>
      </c>
      <c r="GA35" s="52">
        <f t="shared" si="260"/>
        <v>1403.066320734966</v>
      </c>
      <c r="GB35" s="52">
        <f t="shared" si="261"/>
        <v>0</v>
      </c>
      <c r="GC35" s="52">
        <f t="shared" si="262"/>
        <v>0</v>
      </c>
      <c r="GD35" s="52">
        <f t="shared" si="263"/>
        <v>1052.2997405512244</v>
      </c>
      <c r="GE35" s="52">
        <f t="shared" si="264"/>
        <v>0</v>
      </c>
      <c r="GF35" s="52">
        <f t="shared" si="265"/>
        <v>7383.3259156585727</v>
      </c>
      <c r="GG35" s="52">
        <f t="shared" si="266"/>
        <v>0</v>
      </c>
      <c r="GH35" s="52">
        <f t="shared" si="267"/>
        <v>0</v>
      </c>
      <c r="GI35" s="52">
        <f t="shared" si="268"/>
        <v>83414.310892339068</v>
      </c>
      <c r="GJ35" s="26"/>
      <c r="GL35" s="150">
        <f t="shared" si="269"/>
        <v>0</v>
      </c>
      <c r="GM35" s="150">
        <f t="shared" si="270"/>
        <v>833.07062793638602</v>
      </c>
      <c r="GN35" s="150">
        <f t="shared" si="271"/>
        <v>0</v>
      </c>
      <c r="GO35" s="150">
        <f t="shared" si="272"/>
        <v>0</v>
      </c>
      <c r="GP35" s="150">
        <f t="shared" si="273"/>
        <v>0</v>
      </c>
      <c r="GQ35" s="150">
        <f t="shared" si="274"/>
        <v>5038.1972295381483</v>
      </c>
      <c r="GR35" s="150">
        <f t="shared" si="275"/>
        <v>0</v>
      </c>
      <c r="GS35" s="150">
        <f t="shared" si="276"/>
        <v>1802.3744282444536</v>
      </c>
      <c r="GT35" s="150">
        <f t="shared" si="277"/>
        <v>0</v>
      </c>
      <c r="GU35" s="150">
        <f t="shared" si="278"/>
        <v>0</v>
      </c>
      <c r="GV35" s="150">
        <f t="shared" si="279"/>
        <v>0</v>
      </c>
      <c r="GW35" s="150">
        <f t="shared" si="280"/>
        <v>0</v>
      </c>
      <c r="GX35" s="150">
        <f t="shared" si="281"/>
        <v>0</v>
      </c>
      <c r="GY35" s="150">
        <f t="shared" si="282"/>
        <v>15612.316818145428</v>
      </c>
      <c r="GZ35" s="150">
        <f t="shared" si="283"/>
        <v>0</v>
      </c>
      <c r="HA35" s="150">
        <f t="shared" si="284"/>
        <v>4165.353139681929</v>
      </c>
      <c r="HB35" s="150">
        <f t="shared" si="285"/>
        <v>1249.6059419045789</v>
      </c>
      <c r="HC35" s="150">
        <f t="shared" si="286"/>
        <v>3332.2825117455441</v>
      </c>
      <c r="HD35" s="150">
        <f t="shared" si="287"/>
        <v>0</v>
      </c>
      <c r="HE35" s="150">
        <f t="shared" si="288"/>
        <v>0</v>
      </c>
      <c r="HF35" s="150">
        <f t="shared" si="289"/>
        <v>2499.2118838091578</v>
      </c>
      <c r="HG35" s="150">
        <f t="shared" si="290"/>
        <v>0</v>
      </c>
      <c r="HH35" s="150">
        <f t="shared" si="291"/>
        <v>17535.399049689109</v>
      </c>
      <c r="HI35" s="150">
        <f t="shared" si="292"/>
        <v>0</v>
      </c>
      <c r="HJ35" s="150">
        <f t="shared" si="293"/>
        <v>0</v>
      </c>
      <c r="HK35" s="150">
        <f t="shared" si="294"/>
        <v>198108.98836930527</v>
      </c>
      <c r="HL35" s="26"/>
      <c r="HN35" s="147">
        <f t="shared" si="295"/>
        <v>0</v>
      </c>
      <c r="HO35" s="147">
        <f t="shared" si="296"/>
        <v>613.8415153215476</v>
      </c>
      <c r="HP35" s="147">
        <f t="shared" si="297"/>
        <v>0</v>
      </c>
      <c r="HQ35" s="147">
        <f t="shared" si="298"/>
        <v>0</v>
      </c>
      <c r="HR35" s="147">
        <f t="shared" si="299"/>
        <v>0</v>
      </c>
      <c r="HS35" s="147">
        <f t="shared" si="300"/>
        <v>3712.3558533438986</v>
      </c>
      <c r="HT35" s="147">
        <f t="shared" si="301"/>
        <v>0</v>
      </c>
      <c r="HU35" s="147">
        <f t="shared" si="302"/>
        <v>1328.0653681801239</v>
      </c>
      <c r="HV35" s="147">
        <f t="shared" si="303"/>
        <v>0</v>
      </c>
      <c r="HW35" s="147">
        <f t="shared" si="304"/>
        <v>0</v>
      </c>
      <c r="HX35" s="147">
        <f t="shared" si="305"/>
        <v>0</v>
      </c>
      <c r="HY35" s="147">
        <f t="shared" si="306"/>
        <v>0</v>
      </c>
      <c r="HZ35" s="147">
        <f t="shared" si="307"/>
        <v>0</v>
      </c>
      <c r="IA35" s="147">
        <f t="shared" si="308"/>
        <v>11503.812392317684</v>
      </c>
      <c r="IB35" s="147">
        <f t="shared" si="309"/>
        <v>0</v>
      </c>
      <c r="IC35" s="147">
        <f t="shared" si="310"/>
        <v>3069.2075766077378</v>
      </c>
      <c r="ID35" s="147">
        <f t="shared" si="311"/>
        <v>920.76227298232141</v>
      </c>
      <c r="IE35" s="147">
        <f t="shared" si="312"/>
        <v>2455.3660612861904</v>
      </c>
      <c r="IF35" s="147">
        <f t="shared" si="313"/>
        <v>0</v>
      </c>
      <c r="IG35" s="147">
        <f t="shared" si="314"/>
        <v>0</v>
      </c>
      <c r="IH35" s="147">
        <f t="shared" si="315"/>
        <v>1841.5245459646428</v>
      </c>
      <c r="II35" s="147">
        <f t="shared" si="316"/>
        <v>0</v>
      </c>
      <c r="IJ35" s="147">
        <f t="shared" si="317"/>
        <v>12920.820352402503</v>
      </c>
      <c r="IK35" s="147">
        <f t="shared" si="318"/>
        <v>0</v>
      </c>
      <c r="IL35" s="147">
        <f t="shared" si="319"/>
        <v>0</v>
      </c>
      <c r="IM35" s="147">
        <f t="shared" si="320"/>
        <v>145975.04406159336</v>
      </c>
      <c r="IN35" s="26"/>
      <c r="IP35" s="61">
        <f t="shared" si="321"/>
        <v>0</v>
      </c>
      <c r="IQ35" s="61">
        <f t="shared" si="322"/>
        <v>394.61240270670913</v>
      </c>
      <c r="IR35" s="61">
        <f t="shared" si="323"/>
        <v>0</v>
      </c>
      <c r="IS35" s="61">
        <f t="shared" si="324"/>
        <v>0</v>
      </c>
      <c r="IT35" s="61">
        <f t="shared" si="325"/>
        <v>0</v>
      </c>
      <c r="IU35" s="61">
        <f t="shared" si="326"/>
        <v>2386.5144771496489</v>
      </c>
      <c r="IV35" s="61">
        <f t="shared" si="327"/>
        <v>0</v>
      </c>
      <c r="IW35" s="61">
        <f t="shared" si="328"/>
        <v>853.75630811579379</v>
      </c>
      <c r="IX35" s="61">
        <f t="shared" si="329"/>
        <v>0</v>
      </c>
      <c r="IY35" s="61">
        <f t="shared" si="330"/>
        <v>0</v>
      </c>
      <c r="IZ35" s="61">
        <f t="shared" si="331"/>
        <v>0</v>
      </c>
      <c r="JA35" s="61">
        <f t="shared" si="332"/>
        <v>0</v>
      </c>
      <c r="JB35" s="61">
        <f t="shared" si="333"/>
        <v>0</v>
      </c>
      <c r="JC35" s="61">
        <f t="shared" si="334"/>
        <v>7395.3079664899387</v>
      </c>
      <c r="JD35" s="61">
        <f t="shared" si="335"/>
        <v>0</v>
      </c>
      <c r="JE35" s="61">
        <f t="shared" si="336"/>
        <v>1973.0620135335453</v>
      </c>
      <c r="JF35" s="61">
        <f t="shared" si="337"/>
        <v>591.91860406006367</v>
      </c>
      <c r="JG35" s="61">
        <f t="shared" si="338"/>
        <v>1578.4496108268365</v>
      </c>
      <c r="JH35" s="61">
        <f t="shared" si="339"/>
        <v>0</v>
      </c>
      <c r="JI35" s="61">
        <f t="shared" si="340"/>
        <v>0</v>
      </c>
      <c r="JJ35" s="61">
        <f t="shared" si="341"/>
        <v>1183.8372081201273</v>
      </c>
      <c r="JK35" s="61">
        <f t="shared" si="342"/>
        <v>0</v>
      </c>
      <c r="JL35" s="61">
        <f t="shared" si="343"/>
        <v>8306.2416551158949</v>
      </c>
      <c r="JM35" s="61">
        <f t="shared" si="344"/>
        <v>0</v>
      </c>
      <c r="JN35" s="61">
        <f t="shared" si="345"/>
        <v>0</v>
      </c>
      <c r="JO35" s="61">
        <f t="shared" si="346"/>
        <v>93841.099753881441</v>
      </c>
      <c r="JQ35" s="26">
        <f t="shared" si="209"/>
        <v>658360.00000000023</v>
      </c>
      <c r="JR35" s="156">
        <f t="shared" si="210"/>
        <v>1.0000000000000004</v>
      </c>
      <c r="JT35" s="157">
        <f t="shared" si="347"/>
        <v>0</v>
      </c>
      <c r="JU35" s="29">
        <f t="shared" si="348"/>
        <v>0</v>
      </c>
    </row>
    <row r="36" spans="1:281" ht="18.75" outlineLevel="1" x14ac:dyDescent="0.3">
      <c r="A36" t="s">
        <v>69</v>
      </c>
      <c r="B36" t="s">
        <v>103</v>
      </c>
      <c r="C36" t="s">
        <v>74</v>
      </c>
      <c r="D36" t="s">
        <v>29</v>
      </c>
      <c r="E36" t="s">
        <v>129</v>
      </c>
      <c r="F36" s="113">
        <v>2000</v>
      </c>
      <c r="G36" s="15">
        <v>577160</v>
      </c>
      <c r="H36" s="20">
        <v>384760</v>
      </c>
      <c r="I36" s="23">
        <v>1.5000519804553487</v>
      </c>
      <c r="J36" s="9">
        <v>0</v>
      </c>
      <c r="K36" s="9">
        <v>3.3299275869560488E-3</v>
      </c>
      <c r="L36" s="9">
        <v>0</v>
      </c>
      <c r="M36" s="9">
        <v>0</v>
      </c>
      <c r="N36" s="9">
        <v>0</v>
      </c>
      <c r="O36" s="9">
        <v>2.0138546937758208E-2</v>
      </c>
      <c r="P36" s="9">
        <v>0</v>
      </c>
      <c r="Q36" s="9">
        <v>7.2044027593464038E-3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6.2405134361561219E-2</v>
      </c>
      <c r="X36" s="9">
        <v>0</v>
      </c>
      <c r="Y36" s="9">
        <v>1.6649637934780241E-2</v>
      </c>
      <c r="Z36" s="9">
        <v>4.9948913804340727E-3</v>
      </c>
      <c r="AA36" s="9">
        <v>1.3319710347824195E-2</v>
      </c>
      <c r="AB36" s="9">
        <v>0</v>
      </c>
      <c r="AC36" s="9">
        <v>0</v>
      </c>
      <c r="AD36" s="9">
        <v>9.9897827608681454E-3</v>
      </c>
      <c r="AE36" s="9">
        <v>0</v>
      </c>
      <c r="AF36" s="9">
        <v>7.009202711717917E-2</v>
      </c>
      <c r="AG36" s="9">
        <v>0</v>
      </c>
      <c r="AH36" s="9">
        <v>0</v>
      </c>
      <c r="AI36" s="9">
        <v>0.79187593881329232</v>
      </c>
      <c r="AJ36" s="8">
        <f t="shared" si="124"/>
        <v>1</v>
      </c>
      <c r="AK36" s="141">
        <f t="shared" si="349"/>
        <v>0</v>
      </c>
      <c r="AL36" s="141">
        <f t="shared" si="350"/>
        <v>6.6598551739120975</v>
      </c>
      <c r="AM36" s="141">
        <f t="shared" si="351"/>
        <v>0</v>
      </c>
      <c r="AN36" s="141">
        <f t="shared" si="352"/>
        <v>0</v>
      </c>
      <c r="AO36" s="141">
        <f t="shared" si="353"/>
        <v>0</v>
      </c>
      <c r="AP36" s="141">
        <f t="shared" si="354"/>
        <v>40.277093875516414</v>
      </c>
      <c r="AQ36" s="141">
        <f t="shared" si="355"/>
        <v>0</v>
      </c>
      <c r="AR36" s="141">
        <f t="shared" si="356"/>
        <v>14.408805518692807</v>
      </c>
      <c r="AS36" s="141">
        <f t="shared" si="357"/>
        <v>0</v>
      </c>
      <c r="AT36" s="141">
        <f t="shared" si="358"/>
        <v>0</v>
      </c>
      <c r="AU36" s="141">
        <f t="shared" si="359"/>
        <v>0</v>
      </c>
      <c r="AV36" s="141">
        <f t="shared" si="360"/>
        <v>0</v>
      </c>
      <c r="AW36" s="141">
        <f t="shared" si="361"/>
        <v>0</v>
      </c>
      <c r="AX36" s="141">
        <f t="shared" si="362"/>
        <v>124.81026872312243</v>
      </c>
      <c r="AY36" s="141">
        <f t="shared" si="363"/>
        <v>0</v>
      </c>
      <c r="AZ36" s="141">
        <f t="shared" si="364"/>
        <v>33.299275869560482</v>
      </c>
      <c r="BA36" s="141">
        <f t="shared" si="365"/>
        <v>9.9897827608681453</v>
      </c>
      <c r="BB36" s="141">
        <f t="shared" si="366"/>
        <v>26.63942069564839</v>
      </c>
      <c r="BC36" s="141">
        <f t="shared" si="367"/>
        <v>0</v>
      </c>
      <c r="BD36" s="141">
        <f t="shared" si="368"/>
        <v>0</v>
      </c>
      <c r="BE36" s="141">
        <f t="shared" si="369"/>
        <v>19.979565521736291</v>
      </c>
      <c r="BF36" s="141">
        <f t="shared" si="370"/>
        <v>0</v>
      </c>
      <c r="BG36" s="141">
        <f t="shared" si="371"/>
        <v>140.18405423435834</v>
      </c>
      <c r="BH36" s="141">
        <f t="shared" si="372"/>
        <v>0</v>
      </c>
      <c r="BI36" s="141">
        <f t="shared" si="373"/>
        <v>0</v>
      </c>
      <c r="BJ36" s="141">
        <f t="shared" si="374"/>
        <v>1583.7518776265847</v>
      </c>
      <c r="BK36" s="9"/>
      <c r="BM36" s="26">
        <f t="shared" si="150"/>
        <v>0</v>
      </c>
      <c r="BN36" s="26">
        <f t="shared" si="151"/>
        <v>1921.901006087553</v>
      </c>
      <c r="BO36" s="26">
        <f t="shared" si="152"/>
        <v>0</v>
      </c>
      <c r="BP36" s="26">
        <f t="shared" si="153"/>
        <v>0</v>
      </c>
      <c r="BQ36" s="26">
        <f t="shared" si="154"/>
        <v>0</v>
      </c>
      <c r="BR36" s="26">
        <f t="shared" si="155"/>
        <v>11623.163750596528</v>
      </c>
      <c r="BS36" s="26">
        <f t="shared" si="156"/>
        <v>0</v>
      </c>
      <c r="BT36" s="26">
        <f t="shared" si="157"/>
        <v>4158.0930965843709</v>
      </c>
      <c r="BU36" s="26">
        <f t="shared" si="158"/>
        <v>0</v>
      </c>
      <c r="BV36" s="26">
        <f t="shared" si="159"/>
        <v>0</v>
      </c>
      <c r="BW36" s="26">
        <f t="shared" si="160"/>
        <v>0</v>
      </c>
      <c r="BX36" s="26">
        <f t="shared" si="161"/>
        <v>0</v>
      </c>
      <c r="BY36" s="26">
        <f t="shared" si="162"/>
        <v>0</v>
      </c>
      <c r="BZ36" s="26">
        <f t="shared" si="163"/>
        <v>36017.747348118675</v>
      </c>
      <c r="CA36" s="26">
        <f t="shared" si="164"/>
        <v>0</v>
      </c>
      <c r="CB36" s="26">
        <f t="shared" si="165"/>
        <v>9609.5050304377637</v>
      </c>
      <c r="CC36" s="26">
        <f t="shared" si="166"/>
        <v>2882.8515091313293</v>
      </c>
      <c r="CD36" s="26">
        <f t="shared" si="167"/>
        <v>7687.6040243502121</v>
      </c>
      <c r="CE36" s="26">
        <f t="shared" si="168"/>
        <v>0</v>
      </c>
      <c r="CF36" s="26">
        <f t="shared" si="169"/>
        <v>0</v>
      </c>
      <c r="CG36" s="26">
        <f t="shared" si="170"/>
        <v>5765.7030182626586</v>
      </c>
      <c r="CH36" s="26">
        <f t="shared" si="171"/>
        <v>0</v>
      </c>
      <c r="CI36" s="26">
        <f t="shared" si="172"/>
        <v>40454.314370951128</v>
      </c>
      <c r="CJ36" s="26">
        <f t="shared" si="173"/>
        <v>0</v>
      </c>
      <c r="CK36" s="26">
        <f t="shared" si="174"/>
        <v>0</v>
      </c>
      <c r="CL36" s="26">
        <f t="shared" si="175"/>
        <v>457039.11684547982</v>
      </c>
      <c r="CM36" s="110">
        <f t="shared" si="176"/>
        <v>1</v>
      </c>
      <c r="CN36" s="27">
        <f t="shared" si="177"/>
        <v>0</v>
      </c>
      <c r="CO36" s="27">
        <f t="shared" si="178"/>
        <v>1281.2229383572094</v>
      </c>
      <c r="CP36" s="27">
        <f t="shared" si="179"/>
        <v>0</v>
      </c>
      <c r="CQ36" s="27">
        <f t="shared" si="180"/>
        <v>0</v>
      </c>
      <c r="CR36" s="27">
        <f t="shared" si="181"/>
        <v>0</v>
      </c>
      <c r="CS36" s="27">
        <f t="shared" si="182"/>
        <v>7748.5073197718484</v>
      </c>
      <c r="CT36" s="27">
        <f t="shared" si="183"/>
        <v>0</v>
      </c>
      <c r="CU36" s="27">
        <f t="shared" si="184"/>
        <v>2771.9660056861221</v>
      </c>
      <c r="CV36" s="27">
        <f t="shared" si="185"/>
        <v>0</v>
      </c>
      <c r="CW36" s="27">
        <f t="shared" si="186"/>
        <v>0</v>
      </c>
      <c r="CX36" s="27">
        <f t="shared" si="187"/>
        <v>0</v>
      </c>
      <c r="CY36" s="27">
        <f t="shared" si="188"/>
        <v>0</v>
      </c>
      <c r="CZ36" s="27">
        <f t="shared" si="189"/>
        <v>0</v>
      </c>
      <c r="DA36" s="27">
        <f t="shared" si="190"/>
        <v>24010.999496954293</v>
      </c>
      <c r="DB36" s="27">
        <f t="shared" si="191"/>
        <v>0</v>
      </c>
      <c r="DC36" s="27">
        <f t="shared" si="192"/>
        <v>6406.114691786046</v>
      </c>
      <c r="DD36" s="27">
        <f t="shared" si="193"/>
        <v>1921.8344075358139</v>
      </c>
      <c r="DE36" s="27">
        <f t="shared" si="194"/>
        <v>5124.8917534288375</v>
      </c>
      <c r="DF36" s="27">
        <f t="shared" si="195"/>
        <v>0</v>
      </c>
      <c r="DG36" s="27">
        <f t="shared" si="196"/>
        <v>0</v>
      </c>
      <c r="DH36" s="27">
        <f t="shared" si="197"/>
        <v>3843.6688150716277</v>
      </c>
      <c r="DI36" s="27">
        <f t="shared" si="198"/>
        <v>0</v>
      </c>
      <c r="DJ36" s="27">
        <f t="shared" si="199"/>
        <v>26968.608353605858</v>
      </c>
      <c r="DK36" s="27">
        <f t="shared" si="200"/>
        <v>0</v>
      </c>
      <c r="DL36" s="27">
        <f t="shared" si="201"/>
        <v>0</v>
      </c>
      <c r="DM36" s="27">
        <f t="shared" si="202"/>
        <v>304682.18621780234</v>
      </c>
      <c r="DN36" s="110">
        <f t="shared" si="203"/>
        <v>1</v>
      </c>
      <c r="DO36" s="28">
        <f t="shared" si="211"/>
        <v>0</v>
      </c>
      <c r="DP36" s="28">
        <f t="shared" si="212"/>
        <v>640.67806773034363</v>
      </c>
      <c r="DQ36" s="28">
        <f t="shared" si="213"/>
        <v>0</v>
      </c>
      <c r="DR36" s="28">
        <f t="shared" si="214"/>
        <v>0</v>
      </c>
      <c r="DS36" s="28">
        <f t="shared" si="215"/>
        <v>0</v>
      </c>
      <c r="DT36" s="28">
        <f t="shared" si="216"/>
        <v>3874.6564308246798</v>
      </c>
      <c r="DU36" s="28">
        <f t="shared" si="217"/>
        <v>0</v>
      </c>
      <c r="DV36" s="28">
        <f t="shared" si="218"/>
        <v>1386.1270908982488</v>
      </c>
      <c r="DW36" s="28">
        <f t="shared" si="219"/>
        <v>0</v>
      </c>
      <c r="DX36" s="28">
        <f t="shared" si="220"/>
        <v>0</v>
      </c>
      <c r="DY36" s="28">
        <f t="shared" si="221"/>
        <v>0</v>
      </c>
      <c r="DZ36" s="28">
        <f t="shared" si="222"/>
        <v>0</v>
      </c>
      <c r="EA36" s="28">
        <f t="shared" si="223"/>
        <v>0</v>
      </c>
      <c r="EB36" s="28">
        <f t="shared" si="224"/>
        <v>12006.747851164382</v>
      </c>
      <c r="EC36" s="28">
        <f t="shared" si="225"/>
        <v>0</v>
      </c>
      <c r="ED36" s="28">
        <f t="shared" si="226"/>
        <v>3203.3903386517177</v>
      </c>
      <c r="EE36" s="28">
        <f t="shared" si="227"/>
        <v>961.01710159551544</v>
      </c>
      <c r="EF36" s="28">
        <f t="shared" si="228"/>
        <v>2562.7122709213745</v>
      </c>
      <c r="EG36" s="28">
        <f t="shared" si="229"/>
        <v>0</v>
      </c>
      <c r="EH36" s="28">
        <f t="shared" si="230"/>
        <v>0</v>
      </c>
      <c r="EI36" s="28">
        <f t="shared" si="231"/>
        <v>1922.0342031910309</v>
      </c>
      <c r="EJ36" s="28">
        <f t="shared" si="232"/>
        <v>0</v>
      </c>
      <c r="EK36" s="28">
        <f t="shared" si="233"/>
        <v>13485.70601734527</v>
      </c>
      <c r="EL36" s="28">
        <f t="shared" si="234"/>
        <v>0</v>
      </c>
      <c r="EM36" s="28">
        <f t="shared" si="235"/>
        <v>0</v>
      </c>
      <c r="EN36" s="28">
        <f t="shared" si="236"/>
        <v>152356.93062767747</v>
      </c>
      <c r="EQ36" s="144">
        <v>0.03</v>
      </c>
      <c r="ER36" s="144">
        <v>4.9999999999999996E-2</v>
      </c>
      <c r="ES36" s="144">
        <v>0.08</v>
      </c>
      <c r="ET36" s="144">
        <v>0.11</v>
      </c>
      <c r="EU36" s="144">
        <v>0.12</v>
      </c>
      <c r="EV36" s="144">
        <v>0.15</v>
      </c>
      <c r="EW36" s="144">
        <v>0.13</v>
      </c>
      <c r="EX36" s="144">
        <v>0.08</v>
      </c>
      <c r="EY36" s="144">
        <v>6.9999999999999993E-2</v>
      </c>
      <c r="EZ36" s="144">
        <v>0.06</v>
      </c>
      <c r="FA36" s="144">
        <v>0.06</v>
      </c>
      <c r="FB36" s="144">
        <v>0.06</v>
      </c>
      <c r="FC36" s="145">
        <f t="shared" si="237"/>
        <v>1</v>
      </c>
      <c r="FD36" s="146">
        <f t="shared" si="238"/>
        <v>0.15999999999999998</v>
      </c>
      <c r="FE36" s="146">
        <f t="shared" si="239"/>
        <v>0.38</v>
      </c>
      <c r="FF36" s="146">
        <f t="shared" si="240"/>
        <v>0.28000000000000003</v>
      </c>
      <c r="FG36" s="146">
        <f t="shared" si="241"/>
        <v>0.18</v>
      </c>
      <c r="FH36" s="145">
        <f t="shared" si="375"/>
        <v>1</v>
      </c>
      <c r="FJ36" s="52">
        <f t="shared" si="243"/>
        <v>0</v>
      </c>
      <c r="FK36" s="52">
        <f t="shared" si="244"/>
        <v>307.50416097400841</v>
      </c>
      <c r="FL36" s="52">
        <f t="shared" si="245"/>
        <v>0</v>
      </c>
      <c r="FM36" s="52">
        <f t="shared" si="246"/>
        <v>0</v>
      </c>
      <c r="FN36" s="52">
        <f t="shared" si="247"/>
        <v>0</v>
      </c>
      <c r="FO36" s="52">
        <f t="shared" si="248"/>
        <v>1859.7062000954443</v>
      </c>
      <c r="FP36" s="52">
        <f t="shared" si="249"/>
        <v>0</v>
      </c>
      <c r="FQ36" s="52">
        <f t="shared" si="250"/>
        <v>665.29489545349929</v>
      </c>
      <c r="FR36" s="52">
        <f t="shared" si="251"/>
        <v>0</v>
      </c>
      <c r="FS36" s="52">
        <f t="shared" si="252"/>
        <v>0</v>
      </c>
      <c r="FT36" s="52">
        <f t="shared" si="253"/>
        <v>0</v>
      </c>
      <c r="FU36" s="52">
        <f t="shared" si="254"/>
        <v>0</v>
      </c>
      <c r="FV36" s="52">
        <f t="shared" si="255"/>
        <v>0</v>
      </c>
      <c r="FW36" s="52">
        <f t="shared" si="256"/>
        <v>5762.8395756989876</v>
      </c>
      <c r="FX36" s="52">
        <f t="shared" si="257"/>
        <v>0</v>
      </c>
      <c r="FY36" s="52">
        <f t="shared" si="258"/>
        <v>1537.520804870042</v>
      </c>
      <c r="FZ36" s="52">
        <f t="shared" si="259"/>
        <v>461.25624146101262</v>
      </c>
      <c r="GA36" s="52">
        <f t="shared" si="260"/>
        <v>1230.0166438960337</v>
      </c>
      <c r="GB36" s="52">
        <f t="shared" si="261"/>
        <v>0</v>
      </c>
      <c r="GC36" s="52">
        <f t="shared" si="262"/>
        <v>0</v>
      </c>
      <c r="GD36" s="52">
        <f t="shared" si="263"/>
        <v>922.51248292202524</v>
      </c>
      <c r="GE36" s="52">
        <f t="shared" si="264"/>
        <v>0</v>
      </c>
      <c r="GF36" s="52">
        <f t="shared" si="265"/>
        <v>6472.6902993521799</v>
      </c>
      <c r="GG36" s="52">
        <f t="shared" si="266"/>
        <v>0</v>
      </c>
      <c r="GH36" s="52">
        <f t="shared" si="267"/>
        <v>0</v>
      </c>
      <c r="GI36" s="52">
        <f t="shared" si="268"/>
        <v>73126.25869527676</v>
      </c>
      <c r="GJ36" s="26"/>
      <c r="GL36" s="150">
        <f t="shared" si="269"/>
        <v>0</v>
      </c>
      <c r="GM36" s="150">
        <f t="shared" si="270"/>
        <v>730.32238231327017</v>
      </c>
      <c r="GN36" s="150">
        <f t="shared" si="271"/>
        <v>0</v>
      </c>
      <c r="GO36" s="150">
        <f t="shared" si="272"/>
        <v>0</v>
      </c>
      <c r="GP36" s="150">
        <f t="shared" si="273"/>
        <v>0</v>
      </c>
      <c r="GQ36" s="150">
        <f t="shared" si="274"/>
        <v>4416.802225226681</v>
      </c>
      <c r="GR36" s="150">
        <f t="shared" si="275"/>
        <v>0</v>
      </c>
      <c r="GS36" s="150">
        <f t="shared" si="276"/>
        <v>1580.075376702061</v>
      </c>
      <c r="GT36" s="150">
        <f t="shared" si="277"/>
        <v>0</v>
      </c>
      <c r="GU36" s="150">
        <f t="shared" si="278"/>
        <v>0</v>
      </c>
      <c r="GV36" s="150">
        <f t="shared" si="279"/>
        <v>0</v>
      </c>
      <c r="GW36" s="150">
        <f t="shared" si="280"/>
        <v>0</v>
      </c>
      <c r="GX36" s="150">
        <f t="shared" si="281"/>
        <v>0</v>
      </c>
      <c r="GY36" s="150">
        <f t="shared" si="282"/>
        <v>13686.743992285097</v>
      </c>
      <c r="GZ36" s="150">
        <f t="shared" si="283"/>
        <v>0</v>
      </c>
      <c r="HA36" s="150">
        <f t="shared" si="284"/>
        <v>3651.61191156635</v>
      </c>
      <c r="HB36" s="150">
        <f t="shared" si="285"/>
        <v>1095.4835734699052</v>
      </c>
      <c r="HC36" s="150">
        <f t="shared" si="286"/>
        <v>2921.2895292530807</v>
      </c>
      <c r="HD36" s="150">
        <f t="shared" si="287"/>
        <v>0</v>
      </c>
      <c r="HE36" s="150">
        <f t="shared" si="288"/>
        <v>0</v>
      </c>
      <c r="HF36" s="150">
        <f t="shared" si="289"/>
        <v>2190.9671469398104</v>
      </c>
      <c r="HG36" s="150">
        <f t="shared" si="290"/>
        <v>0</v>
      </c>
      <c r="HH36" s="150">
        <f t="shared" si="291"/>
        <v>15372.639460961429</v>
      </c>
      <c r="HI36" s="150">
        <f t="shared" si="292"/>
        <v>0</v>
      </c>
      <c r="HJ36" s="150">
        <f t="shared" si="293"/>
        <v>0</v>
      </c>
      <c r="HK36" s="150">
        <f t="shared" si="294"/>
        <v>173674.86440128234</v>
      </c>
      <c r="HL36" s="26"/>
      <c r="HN36" s="147">
        <f t="shared" si="295"/>
        <v>0</v>
      </c>
      <c r="HO36" s="147">
        <f t="shared" si="296"/>
        <v>538.13228170451487</v>
      </c>
      <c r="HP36" s="147">
        <f t="shared" si="297"/>
        <v>0</v>
      </c>
      <c r="HQ36" s="147">
        <f t="shared" si="298"/>
        <v>0</v>
      </c>
      <c r="HR36" s="147">
        <f t="shared" si="299"/>
        <v>0</v>
      </c>
      <c r="HS36" s="147">
        <f t="shared" si="300"/>
        <v>3254.4858501670283</v>
      </c>
      <c r="HT36" s="147">
        <f t="shared" si="301"/>
        <v>0</v>
      </c>
      <c r="HU36" s="147">
        <f t="shared" si="302"/>
        <v>1164.2660670436239</v>
      </c>
      <c r="HV36" s="147">
        <f t="shared" si="303"/>
        <v>0</v>
      </c>
      <c r="HW36" s="147">
        <f t="shared" si="304"/>
        <v>0</v>
      </c>
      <c r="HX36" s="147">
        <f t="shared" si="305"/>
        <v>0</v>
      </c>
      <c r="HY36" s="147">
        <f t="shared" si="306"/>
        <v>0</v>
      </c>
      <c r="HZ36" s="147">
        <f t="shared" si="307"/>
        <v>0</v>
      </c>
      <c r="IA36" s="147">
        <f t="shared" si="308"/>
        <v>10084.969257473231</v>
      </c>
      <c r="IB36" s="147">
        <f t="shared" si="309"/>
        <v>0</v>
      </c>
      <c r="IC36" s="147">
        <f t="shared" si="310"/>
        <v>2690.6614085225742</v>
      </c>
      <c r="ID36" s="147">
        <f t="shared" si="311"/>
        <v>807.19842255677224</v>
      </c>
      <c r="IE36" s="147">
        <f t="shared" si="312"/>
        <v>2152.5291268180595</v>
      </c>
      <c r="IF36" s="147">
        <f t="shared" si="313"/>
        <v>0</v>
      </c>
      <c r="IG36" s="147">
        <f t="shared" si="314"/>
        <v>0</v>
      </c>
      <c r="IH36" s="147">
        <f t="shared" si="315"/>
        <v>1614.3968451135445</v>
      </c>
      <c r="II36" s="147">
        <f t="shared" si="316"/>
        <v>0</v>
      </c>
      <c r="IJ36" s="147">
        <f t="shared" si="317"/>
        <v>11327.208023866317</v>
      </c>
      <c r="IK36" s="147">
        <f t="shared" si="318"/>
        <v>0</v>
      </c>
      <c r="IL36" s="147">
        <f t="shared" si="319"/>
        <v>0</v>
      </c>
      <c r="IM36" s="147">
        <f t="shared" si="320"/>
        <v>127970.95271673436</v>
      </c>
      <c r="IN36" s="26"/>
      <c r="IP36" s="61">
        <f t="shared" si="321"/>
        <v>0</v>
      </c>
      <c r="IQ36" s="61">
        <f t="shared" si="322"/>
        <v>345.94218109575951</v>
      </c>
      <c r="IR36" s="61">
        <f t="shared" si="323"/>
        <v>0</v>
      </c>
      <c r="IS36" s="61">
        <f t="shared" si="324"/>
        <v>0</v>
      </c>
      <c r="IT36" s="61">
        <f t="shared" si="325"/>
        <v>0</v>
      </c>
      <c r="IU36" s="61">
        <f t="shared" si="326"/>
        <v>2092.1694751073751</v>
      </c>
      <c r="IV36" s="61">
        <f t="shared" si="327"/>
        <v>0</v>
      </c>
      <c r="IW36" s="61">
        <f t="shared" si="328"/>
        <v>748.45675738518673</v>
      </c>
      <c r="IX36" s="61">
        <f t="shared" si="329"/>
        <v>0</v>
      </c>
      <c r="IY36" s="61">
        <f t="shared" si="330"/>
        <v>0</v>
      </c>
      <c r="IZ36" s="61">
        <f t="shared" si="331"/>
        <v>0</v>
      </c>
      <c r="JA36" s="61">
        <f t="shared" si="332"/>
        <v>0</v>
      </c>
      <c r="JB36" s="61">
        <f t="shared" si="333"/>
        <v>0</v>
      </c>
      <c r="JC36" s="61">
        <f t="shared" si="334"/>
        <v>6483.1945226613616</v>
      </c>
      <c r="JD36" s="61">
        <f t="shared" si="335"/>
        <v>0</v>
      </c>
      <c r="JE36" s="61">
        <f t="shared" si="336"/>
        <v>1729.7109054787975</v>
      </c>
      <c r="JF36" s="61">
        <f t="shared" si="337"/>
        <v>518.91327164363929</v>
      </c>
      <c r="JG36" s="61">
        <f t="shared" si="338"/>
        <v>1383.768724383038</v>
      </c>
      <c r="JH36" s="61">
        <f t="shared" si="339"/>
        <v>0</v>
      </c>
      <c r="JI36" s="61">
        <f t="shared" si="340"/>
        <v>0</v>
      </c>
      <c r="JJ36" s="61">
        <f t="shared" si="341"/>
        <v>1037.8265432872786</v>
      </c>
      <c r="JK36" s="61">
        <f t="shared" si="342"/>
        <v>0</v>
      </c>
      <c r="JL36" s="61">
        <f t="shared" si="343"/>
        <v>7281.7765867712023</v>
      </c>
      <c r="JM36" s="61">
        <f t="shared" si="344"/>
        <v>0</v>
      </c>
      <c r="JN36" s="61">
        <f t="shared" si="345"/>
        <v>0</v>
      </c>
      <c r="JO36" s="61">
        <f t="shared" si="346"/>
        <v>82267.04103218636</v>
      </c>
      <c r="JQ36" s="26">
        <f t="shared" si="209"/>
        <v>577160.00000000012</v>
      </c>
      <c r="JR36" s="156">
        <f t="shared" si="210"/>
        <v>1.0000000000000002</v>
      </c>
      <c r="JT36" s="157">
        <f t="shared" si="347"/>
        <v>0</v>
      </c>
      <c r="JU36" s="29">
        <f t="shared" si="348"/>
        <v>0</v>
      </c>
    </row>
    <row r="37" spans="1:281" ht="18.75" outlineLevel="1" x14ac:dyDescent="0.3">
      <c r="A37" t="s">
        <v>69</v>
      </c>
      <c r="B37" t="s">
        <v>93</v>
      </c>
      <c r="C37" t="s">
        <v>71</v>
      </c>
      <c r="D37" t="s">
        <v>119</v>
      </c>
      <c r="E37" t="s">
        <v>120</v>
      </c>
      <c r="F37" s="113"/>
      <c r="G37" s="15">
        <v>183091.97119567826</v>
      </c>
      <c r="H37" s="20">
        <v>105225.27080211394</v>
      </c>
      <c r="I37" s="23">
        <v>1.74</v>
      </c>
      <c r="J37" s="9">
        <v>0</v>
      </c>
      <c r="K37" s="9">
        <v>3.3299275869560488E-3</v>
      </c>
      <c r="L37" s="9">
        <v>0</v>
      </c>
      <c r="M37" s="9">
        <v>0</v>
      </c>
      <c r="N37" s="9">
        <v>0</v>
      </c>
      <c r="O37" s="9">
        <v>2.0138546937758208E-2</v>
      </c>
      <c r="P37" s="9">
        <v>0</v>
      </c>
      <c r="Q37" s="9">
        <v>7.2044027593464038E-3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6.2405134361561219E-2</v>
      </c>
      <c r="X37" s="9">
        <v>0</v>
      </c>
      <c r="Y37" s="9">
        <v>1.6649637934780241E-2</v>
      </c>
      <c r="Z37" s="9">
        <v>4.9948913804340727E-3</v>
      </c>
      <c r="AA37" s="9">
        <v>1.3319710347824195E-2</v>
      </c>
      <c r="AB37" s="9">
        <v>0</v>
      </c>
      <c r="AC37" s="9">
        <v>0</v>
      </c>
      <c r="AD37" s="9">
        <v>9.9897827608681454E-3</v>
      </c>
      <c r="AE37" s="9">
        <v>0</v>
      </c>
      <c r="AF37" s="9">
        <v>7.009202711717917E-2</v>
      </c>
      <c r="AG37" s="9">
        <v>0</v>
      </c>
      <c r="AH37" s="9">
        <v>0</v>
      </c>
      <c r="AI37" s="9">
        <v>0.79187593881329232</v>
      </c>
      <c r="AJ37" s="8">
        <f t="shared" si="124"/>
        <v>1</v>
      </c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9"/>
      <c r="BM37" s="26">
        <f t="shared" si="150"/>
        <v>0</v>
      </c>
      <c r="BN37" s="26">
        <f t="shared" si="151"/>
        <v>609.68300583465123</v>
      </c>
      <c r="BO37" s="26">
        <f t="shared" si="152"/>
        <v>0</v>
      </c>
      <c r="BP37" s="26">
        <f t="shared" si="153"/>
        <v>0</v>
      </c>
      <c r="BQ37" s="26">
        <f t="shared" si="154"/>
        <v>0</v>
      </c>
      <c r="BR37" s="26">
        <f t="shared" si="155"/>
        <v>3687.2062558508405</v>
      </c>
      <c r="BS37" s="26">
        <f t="shared" si="156"/>
        <v>0</v>
      </c>
      <c r="BT37" s="26">
        <f t="shared" si="157"/>
        <v>1319.0683024963166</v>
      </c>
      <c r="BU37" s="26">
        <f t="shared" si="158"/>
        <v>0</v>
      </c>
      <c r="BV37" s="26">
        <f t="shared" si="159"/>
        <v>0</v>
      </c>
      <c r="BW37" s="26">
        <f t="shared" si="160"/>
        <v>0</v>
      </c>
      <c r="BX37" s="26">
        <f t="shared" si="161"/>
        <v>0</v>
      </c>
      <c r="BY37" s="26">
        <f t="shared" si="162"/>
        <v>0</v>
      </c>
      <c r="BZ37" s="26">
        <f t="shared" si="163"/>
        <v>11425.879062989397</v>
      </c>
      <c r="CA37" s="26">
        <f t="shared" si="164"/>
        <v>0</v>
      </c>
      <c r="CB37" s="26">
        <f t="shared" si="165"/>
        <v>3048.4150291732558</v>
      </c>
      <c r="CC37" s="26">
        <f t="shared" si="166"/>
        <v>914.5245087519769</v>
      </c>
      <c r="CD37" s="26">
        <f t="shared" si="167"/>
        <v>2438.7320233386049</v>
      </c>
      <c r="CE37" s="26">
        <f t="shared" si="168"/>
        <v>0</v>
      </c>
      <c r="CF37" s="26">
        <f t="shared" si="169"/>
        <v>0</v>
      </c>
      <c r="CG37" s="26">
        <f t="shared" si="170"/>
        <v>1829.0490175039538</v>
      </c>
      <c r="CH37" s="26">
        <f t="shared" si="171"/>
        <v>0</v>
      </c>
      <c r="CI37" s="26">
        <f t="shared" si="172"/>
        <v>12833.287409985267</v>
      </c>
      <c r="CJ37" s="26">
        <f t="shared" si="173"/>
        <v>0</v>
      </c>
      <c r="CK37" s="26">
        <f t="shared" si="174"/>
        <v>0</v>
      </c>
      <c r="CL37" s="26">
        <f t="shared" si="175"/>
        <v>144986.126579754</v>
      </c>
      <c r="CM37" s="110">
        <f t="shared" si="176"/>
        <v>1</v>
      </c>
      <c r="CN37" s="27">
        <f t="shared" si="177"/>
        <v>0</v>
      </c>
      <c r="CO37" s="27">
        <f t="shared" si="178"/>
        <v>350.39253208888005</v>
      </c>
      <c r="CP37" s="27">
        <f t="shared" si="179"/>
        <v>0</v>
      </c>
      <c r="CQ37" s="27">
        <f t="shared" si="180"/>
        <v>0</v>
      </c>
      <c r="CR37" s="27">
        <f t="shared" si="181"/>
        <v>0</v>
      </c>
      <c r="CS37" s="27">
        <f t="shared" si="182"/>
        <v>2119.0840550866897</v>
      </c>
      <c r="CT37" s="27">
        <f t="shared" si="183"/>
        <v>0</v>
      </c>
      <c r="CU37" s="27">
        <f t="shared" si="184"/>
        <v>758.08523131972231</v>
      </c>
      <c r="CV37" s="27">
        <f t="shared" si="185"/>
        <v>0</v>
      </c>
      <c r="CW37" s="27">
        <f t="shared" si="186"/>
        <v>0</v>
      </c>
      <c r="CX37" s="27">
        <f t="shared" si="187"/>
        <v>0</v>
      </c>
      <c r="CY37" s="27">
        <f t="shared" si="188"/>
        <v>0</v>
      </c>
      <c r="CZ37" s="27">
        <f t="shared" si="189"/>
        <v>0</v>
      </c>
      <c r="DA37" s="27">
        <f t="shared" si="190"/>
        <v>6566.5971626375849</v>
      </c>
      <c r="DB37" s="27">
        <f t="shared" si="191"/>
        <v>0</v>
      </c>
      <c r="DC37" s="27">
        <f t="shared" si="192"/>
        <v>1751.9626604443999</v>
      </c>
      <c r="DD37" s="27">
        <f t="shared" si="193"/>
        <v>525.58879813331998</v>
      </c>
      <c r="DE37" s="27">
        <f t="shared" si="194"/>
        <v>1401.5701283555202</v>
      </c>
      <c r="DF37" s="27">
        <f t="shared" si="195"/>
        <v>0</v>
      </c>
      <c r="DG37" s="27">
        <f t="shared" si="196"/>
        <v>0</v>
      </c>
      <c r="DH37" s="27">
        <f t="shared" si="197"/>
        <v>1051.17759626664</v>
      </c>
      <c r="DI37" s="27">
        <f t="shared" si="198"/>
        <v>0</v>
      </c>
      <c r="DJ37" s="27">
        <f t="shared" si="199"/>
        <v>7375.4525344742915</v>
      </c>
      <c r="DK37" s="27">
        <f t="shared" si="200"/>
        <v>0</v>
      </c>
      <c r="DL37" s="27">
        <f t="shared" si="201"/>
        <v>0</v>
      </c>
      <c r="DM37" s="27">
        <f t="shared" si="202"/>
        <v>83325.360103306899</v>
      </c>
      <c r="DN37" s="110">
        <f t="shared" si="203"/>
        <v>1.0000000000000002</v>
      </c>
      <c r="DO37" s="28">
        <f t="shared" si="211"/>
        <v>0</v>
      </c>
      <c r="DP37" s="28">
        <f t="shared" si="212"/>
        <v>259.29047374577118</v>
      </c>
      <c r="DQ37" s="28">
        <f t="shared" si="213"/>
        <v>0</v>
      </c>
      <c r="DR37" s="28">
        <f t="shared" si="214"/>
        <v>0</v>
      </c>
      <c r="DS37" s="28">
        <f t="shared" si="215"/>
        <v>0</v>
      </c>
      <c r="DT37" s="28">
        <f t="shared" si="216"/>
        <v>1568.1222007641509</v>
      </c>
      <c r="DU37" s="28">
        <f t="shared" si="217"/>
        <v>0</v>
      </c>
      <c r="DV37" s="28">
        <f t="shared" si="218"/>
        <v>560.98307117659431</v>
      </c>
      <c r="DW37" s="28">
        <f t="shared" si="219"/>
        <v>0</v>
      </c>
      <c r="DX37" s="28">
        <f t="shared" si="220"/>
        <v>0</v>
      </c>
      <c r="DY37" s="28">
        <f t="shared" si="221"/>
        <v>0</v>
      </c>
      <c r="DZ37" s="28">
        <f t="shared" si="222"/>
        <v>0</v>
      </c>
      <c r="EA37" s="28">
        <f t="shared" si="223"/>
        <v>0</v>
      </c>
      <c r="EB37" s="28">
        <f t="shared" si="224"/>
        <v>4859.2819003518125</v>
      </c>
      <c r="EC37" s="28">
        <f t="shared" si="225"/>
        <v>0</v>
      </c>
      <c r="ED37" s="28">
        <f t="shared" si="226"/>
        <v>1296.4523687288558</v>
      </c>
      <c r="EE37" s="28">
        <f t="shared" si="227"/>
        <v>388.93571061865691</v>
      </c>
      <c r="EF37" s="28">
        <f t="shared" si="228"/>
        <v>1037.1618949830847</v>
      </c>
      <c r="EG37" s="28">
        <f t="shared" si="229"/>
        <v>0</v>
      </c>
      <c r="EH37" s="28">
        <f t="shared" si="230"/>
        <v>0</v>
      </c>
      <c r="EI37" s="28">
        <f t="shared" si="231"/>
        <v>777.87142123731383</v>
      </c>
      <c r="EJ37" s="28">
        <f t="shared" si="232"/>
        <v>0</v>
      </c>
      <c r="EK37" s="28">
        <f t="shared" si="233"/>
        <v>5457.8348755109755</v>
      </c>
      <c r="EL37" s="28">
        <f t="shared" si="234"/>
        <v>0</v>
      </c>
      <c r="EM37" s="28">
        <f t="shared" si="235"/>
        <v>0</v>
      </c>
      <c r="EN37" s="28">
        <f t="shared" si="236"/>
        <v>61660.766476447097</v>
      </c>
      <c r="EQ37" s="144">
        <v>4.0000138666569596E-2</v>
      </c>
      <c r="ER37" s="144">
        <v>5.0000164999884494E-2</v>
      </c>
      <c r="ES37" s="144">
        <v>5.9999858000099403E-2</v>
      </c>
      <c r="ET37" s="144">
        <v>6.9999884333414295E-2</v>
      </c>
      <c r="EU37" s="144">
        <v>8.9999970333354093E-2</v>
      </c>
      <c r="EV37" s="144">
        <v>0.11000002299998388</v>
      </c>
      <c r="EW37" s="144">
        <v>0.1200000826666088</v>
      </c>
      <c r="EX37" s="144">
        <v>9.9999996666668992E-2</v>
      </c>
      <c r="EY37" s="144">
        <v>9.9999996666668992E-2</v>
      </c>
      <c r="EZ37" s="144">
        <v>7.9999944000039194E-2</v>
      </c>
      <c r="FA37" s="144">
        <v>8.9999970333354093E-2</v>
      </c>
      <c r="FB37" s="144">
        <v>8.9999970333354093E-2</v>
      </c>
      <c r="FC37" s="145">
        <f t="shared" si="237"/>
        <v>0.99999999999999989</v>
      </c>
      <c r="FD37" s="146">
        <f t="shared" si="238"/>
        <v>0.1500001616665535</v>
      </c>
      <c r="FE37" s="146">
        <f t="shared" si="239"/>
        <v>0.26999987766675226</v>
      </c>
      <c r="FF37" s="146">
        <f t="shared" si="240"/>
        <v>0.32000007599994679</v>
      </c>
      <c r="FG37" s="146">
        <f t="shared" si="241"/>
        <v>0.25999988466674739</v>
      </c>
      <c r="FH37" s="145">
        <f t="shared" si="375"/>
        <v>0.99999999999999989</v>
      </c>
      <c r="FJ37" s="52">
        <f t="shared" si="243"/>
        <v>0</v>
      </c>
      <c r="FK37" s="52">
        <f t="shared" si="244"/>
        <v>91.452549440547969</v>
      </c>
      <c r="FL37" s="52">
        <f t="shared" si="245"/>
        <v>0</v>
      </c>
      <c r="FM37" s="52">
        <f t="shared" si="246"/>
        <v>0</v>
      </c>
      <c r="FN37" s="52">
        <f t="shared" si="247"/>
        <v>0</v>
      </c>
      <c r="FO37" s="52">
        <f t="shared" si="248"/>
        <v>553.08153447555355</v>
      </c>
      <c r="FP37" s="52">
        <f t="shared" si="249"/>
        <v>0</v>
      </c>
      <c r="FQ37" s="52">
        <f t="shared" si="250"/>
        <v>197.86045862367379</v>
      </c>
      <c r="FR37" s="52">
        <f t="shared" si="251"/>
        <v>0</v>
      </c>
      <c r="FS37" s="52">
        <f t="shared" si="252"/>
        <v>0</v>
      </c>
      <c r="FT37" s="52">
        <f t="shared" si="253"/>
        <v>0</v>
      </c>
      <c r="FU37" s="52">
        <f t="shared" si="254"/>
        <v>0</v>
      </c>
      <c r="FV37" s="52">
        <f t="shared" si="255"/>
        <v>0</v>
      </c>
      <c r="FW37" s="52">
        <f t="shared" si="256"/>
        <v>1713.8837066308984</v>
      </c>
      <c r="FX37" s="52">
        <f t="shared" si="257"/>
        <v>0</v>
      </c>
      <c r="FY37" s="52">
        <f t="shared" si="258"/>
        <v>457.26274720273977</v>
      </c>
      <c r="FZ37" s="52">
        <f t="shared" si="259"/>
        <v>137.17882416082196</v>
      </c>
      <c r="GA37" s="52">
        <f t="shared" si="260"/>
        <v>365.81019776219188</v>
      </c>
      <c r="GB37" s="52">
        <f t="shared" si="261"/>
        <v>0</v>
      </c>
      <c r="GC37" s="52">
        <f t="shared" si="262"/>
        <v>0</v>
      </c>
      <c r="GD37" s="52">
        <f t="shared" si="263"/>
        <v>274.35764832164392</v>
      </c>
      <c r="GE37" s="52">
        <f t="shared" si="264"/>
        <v>0</v>
      </c>
      <c r="GF37" s="52">
        <f t="shared" si="265"/>
        <v>1924.9951862111357</v>
      </c>
      <c r="GG37" s="52">
        <f t="shared" si="266"/>
        <v>0</v>
      </c>
      <c r="GH37" s="52">
        <f t="shared" si="267"/>
        <v>0</v>
      </c>
      <c r="GI37" s="52">
        <f t="shared" si="268"/>
        <v>21747.94242637049</v>
      </c>
      <c r="GJ37" s="26"/>
      <c r="GL37" s="150">
        <f t="shared" si="269"/>
        <v>0</v>
      </c>
      <c r="GM37" s="150">
        <f t="shared" si="270"/>
        <v>164.61433699085364</v>
      </c>
      <c r="GN37" s="150">
        <f t="shared" si="271"/>
        <v>0</v>
      </c>
      <c r="GO37" s="150">
        <f t="shared" si="272"/>
        <v>0</v>
      </c>
      <c r="GP37" s="150">
        <f t="shared" si="273"/>
        <v>0</v>
      </c>
      <c r="GQ37" s="150">
        <f t="shared" si="274"/>
        <v>995.54523801181062</v>
      </c>
      <c r="GR37" s="150">
        <f t="shared" si="275"/>
        <v>0</v>
      </c>
      <c r="GS37" s="150">
        <f t="shared" si="276"/>
        <v>356.14828030809605</v>
      </c>
      <c r="GT37" s="150">
        <f t="shared" si="277"/>
        <v>0</v>
      </c>
      <c r="GU37" s="150">
        <f t="shared" si="278"/>
        <v>0</v>
      </c>
      <c r="GV37" s="150">
        <f t="shared" si="279"/>
        <v>0</v>
      </c>
      <c r="GW37" s="150">
        <f t="shared" si="280"/>
        <v>0</v>
      </c>
      <c r="GX37" s="150">
        <f t="shared" si="281"/>
        <v>0</v>
      </c>
      <c r="GY37" s="150">
        <f t="shared" si="282"/>
        <v>3084.9859492422434</v>
      </c>
      <c r="GZ37" s="150">
        <f t="shared" si="283"/>
        <v>0</v>
      </c>
      <c r="HA37" s="150">
        <f t="shared" si="284"/>
        <v>823.07168495426811</v>
      </c>
      <c r="HB37" s="150">
        <f t="shared" si="285"/>
        <v>246.92150548628047</v>
      </c>
      <c r="HC37" s="150">
        <f t="shared" si="286"/>
        <v>658.45734796341458</v>
      </c>
      <c r="HD37" s="150">
        <f t="shared" si="287"/>
        <v>0</v>
      </c>
      <c r="HE37" s="150">
        <f t="shared" si="288"/>
        <v>0</v>
      </c>
      <c r="HF37" s="150">
        <f t="shared" si="289"/>
        <v>493.84301097256093</v>
      </c>
      <c r="HG37" s="150">
        <f t="shared" si="290"/>
        <v>0</v>
      </c>
      <c r="HH37" s="150">
        <f t="shared" si="291"/>
        <v>3464.986030758294</v>
      </c>
      <c r="HI37" s="150">
        <f t="shared" si="292"/>
        <v>0</v>
      </c>
      <c r="HJ37" s="150">
        <f t="shared" si="293"/>
        <v>0</v>
      </c>
      <c r="HK37" s="150">
        <f t="shared" si="294"/>
        <v>39146.236439909837</v>
      </c>
      <c r="HL37" s="26"/>
      <c r="HN37" s="147">
        <f t="shared" si="295"/>
        <v>0</v>
      </c>
      <c r="HO37" s="147">
        <f t="shared" si="296"/>
        <v>195.09860820296439</v>
      </c>
      <c r="HP37" s="147">
        <f t="shared" si="297"/>
        <v>0</v>
      </c>
      <c r="HQ37" s="147">
        <f t="shared" si="298"/>
        <v>0</v>
      </c>
      <c r="HR37" s="147">
        <f t="shared" si="299"/>
        <v>0</v>
      </c>
      <c r="HS37" s="147">
        <f t="shared" si="300"/>
        <v>1179.9062820997483</v>
      </c>
      <c r="HT37" s="147">
        <f t="shared" si="301"/>
        <v>0</v>
      </c>
      <c r="HU37" s="147">
        <f t="shared" si="302"/>
        <v>422.10195704794211</v>
      </c>
      <c r="HV37" s="147">
        <f t="shared" si="303"/>
        <v>0</v>
      </c>
      <c r="HW37" s="147">
        <f t="shared" si="304"/>
        <v>0</v>
      </c>
      <c r="HX37" s="147">
        <f t="shared" si="305"/>
        <v>0</v>
      </c>
      <c r="HY37" s="147">
        <f t="shared" si="306"/>
        <v>0</v>
      </c>
      <c r="HZ37" s="147">
        <f t="shared" si="307"/>
        <v>0</v>
      </c>
      <c r="IA37" s="147">
        <f t="shared" si="308"/>
        <v>3656.2821685228078</v>
      </c>
      <c r="IB37" s="147">
        <f t="shared" si="309"/>
        <v>0</v>
      </c>
      <c r="IC37" s="147">
        <f t="shared" si="310"/>
        <v>975.49304101482187</v>
      </c>
      <c r="ID37" s="147">
        <f t="shared" si="311"/>
        <v>292.64791230444661</v>
      </c>
      <c r="IE37" s="147">
        <f t="shared" si="312"/>
        <v>780.39443281185754</v>
      </c>
      <c r="IF37" s="147">
        <f t="shared" si="313"/>
        <v>0</v>
      </c>
      <c r="IG37" s="147">
        <f t="shared" si="314"/>
        <v>0</v>
      </c>
      <c r="IH37" s="147">
        <f t="shared" si="315"/>
        <v>585.29582460889321</v>
      </c>
      <c r="II37" s="147">
        <f t="shared" si="316"/>
        <v>0</v>
      </c>
      <c r="IJ37" s="147">
        <f t="shared" si="317"/>
        <v>4106.6529465244457</v>
      </c>
      <c r="IK37" s="147">
        <f t="shared" si="318"/>
        <v>0</v>
      </c>
      <c r="IL37" s="147">
        <f t="shared" si="319"/>
        <v>0</v>
      </c>
      <c r="IM37" s="147">
        <f t="shared" si="320"/>
        <v>46395.571524459185</v>
      </c>
      <c r="IN37" s="26"/>
      <c r="IP37" s="61">
        <f t="shared" si="321"/>
        <v>0</v>
      </c>
      <c r="IQ37" s="61">
        <f t="shared" si="322"/>
        <v>158.51751120028518</v>
      </c>
      <c r="IR37" s="61">
        <f t="shared" si="323"/>
        <v>0</v>
      </c>
      <c r="IS37" s="61">
        <f t="shared" si="324"/>
        <v>0</v>
      </c>
      <c r="IT37" s="61">
        <f t="shared" si="325"/>
        <v>0</v>
      </c>
      <c r="IU37" s="61">
        <f t="shared" si="326"/>
        <v>958.67320126372806</v>
      </c>
      <c r="IV37" s="61">
        <f t="shared" si="327"/>
        <v>0</v>
      </c>
      <c r="IW37" s="61">
        <f t="shared" si="328"/>
        <v>342.95760651660459</v>
      </c>
      <c r="IX37" s="61">
        <f t="shared" si="329"/>
        <v>0</v>
      </c>
      <c r="IY37" s="61">
        <f t="shared" si="330"/>
        <v>0</v>
      </c>
      <c r="IZ37" s="61">
        <f t="shared" si="331"/>
        <v>0</v>
      </c>
      <c r="JA37" s="61">
        <f t="shared" si="332"/>
        <v>0</v>
      </c>
      <c r="JB37" s="61">
        <f t="shared" si="333"/>
        <v>0</v>
      </c>
      <c r="JC37" s="61">
        <f t="shared" si="334"/>
        <v>2970.7272385934471</v>
      </c>
      <c r="JD37" s="61">
        <f t="shared" si="335"/>
        <v>0</v>
      </c>
      <c r="JE37" s="61">
        <f t="shared" si="336"/>
        <v>792.58755600142592</v>
      </c>
      <c r="JF37" s="61">
        <f t="shared" si="337"/>
        <v>237.77626680042781</v>
      </c>
      <c r="JG37" s="61">
        <f t="shared" si="338"/>
        <v>634.07004480114074</v>
      </c>
      <c r="JH37" s="61">
        <f t="shared" si="339"/>
        <v>0</v>
      </c>
      <c r="JI37" s="61">
        <f t="shared" si="340"/>
        <v>0</v>
      </c>
      <c r="JJ37" s="61">
        <f t="shared" si="341"/>
        <v>475.55253360085561</v>
      </c>
      <c r="JK37" s="61">
        <f t="shared" si="342"/>
        <v>0</v>
      </c>
      <c r="JL37" s="61">
        <f t="shared" si="343"/>
        <v>3336.6532464913907</v>
      </c>
      <c r="JM37" s="61">
        <f t="shared" si="344"/>
        <v>0</v>
      </c>
      <c r="JN37" s="61">
        <f t="shared" si="345"/>
        <v>0</v>
      </c>
      <c r="JO37" s="61">
        <f t="shared" si="346"/>
        <v>37696.376189014474</v>
      </c>
      <c r="JQ37" s="26">
        <f t="shared" si="209"/>
        <v>183091.97119567826</v>
      </c>
      <c r="JR37" s="156">
        <f t="shared" si="210"/>
        <v>1</v>
      </c>
      <c r="JT37" s="157">
        <f t="shared" si="347"/>
        <v>0</v>
      </c>
      <c r="JU37" s="29">
        <f t="shared" si="348"/>
        <v>0</v>
      </c>
    </row>
    <row r="38" spans="1:281" ht="18.75" outlineLevel="1" x14ac:dyDescent="0.3">
      <c r="A38" t="s">
        <v>69</v>
      </c>
      <c r="B38" t="s">
        <v>5</v>
      </c>
      <c r="C38" t="s">
        <v>24</v>
      </c>
      <c r="D38" t="s">
        <v>25</v>
      </c>
      <c r="E38" t="s">
        <v>24</v>
      </c>
      <c r="F38" s="113">
        <v>153</v>
      </c>
      <c r="G38" s="15">
        <v>148571</v>
      </c>
      <c r="H38" s="20">
        <v>62425</v>
      </c>
      <c r="I38" s="23">
        <v>2.3799919903884663</v>
      </c>
      <c r="J38" s="9">
        <v>0</v>
      </c>
      <c r="K38" s="9">
        <v>3.3299275869560488E-3</v>
      </c>
      <c r="L38" s="9">
        <v>0</v>
      </c>
      <c r="M38" s="9">
        <v>0</v>
      </c>
      <c r="N38" s="9">
        <v>0</v>
      </c>
      <c r="O38" s="9">
        <v>2.0138546937758208E-2</v>
      </c>
      <c r="P38" s="9">
        <v>0</v>
      </c>
      <c r="Q38" s="9">
        <v>7.2044027593464038E-3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6.2405134361561219E-2</v>
      </c>
      <c r="X38" s="9">
        <v>0</v>
      </c>
      <c r="Y38" s="9">
        <v>1.6649637934780241E-2</v>
      </c>
      <c r="Z38" s="9">
        <v>4.9948913804340727E-3</v>
      </c>
      <c r="AA38" s="9">
        <v>1.3319710347824195E-2</v>
      </c>
      <c r="AB38" s="9">
        <v>0</v>
      </c>
      <c r="AC38" s="9">
        <v>0</v>
      </c>
      <c r="AD38" s="9">
        <v>9.9897827608681454E-3</v>
      </c>
      <c r="AE38" s="9">
        <v>0</v>
      </c>
      <c r="AF38" s="9">
        <v>7.009202711717917E-2</v>
      </c>
      <c r="AG38" s="9">
        <v>0</v>
      </c>
      <c r="AH38" s="9">
        <v>0</v>
      </c>
      <c r="AI38" s="9">
        <v>0.79187593881329232</v>
      </c>
      <c r="AJ38" s="8">
        <f t="shared" si="124"/>
        <v>1</v>
      </c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9"/>
      <c r="BM38" s="26">
        <f t="shared" si="150"/>
        <v>0</v>
      </c>
      <c r="BN38" s="26">
        <f t="shared" si="151"/>
        <v>494.73067152164714</v>
      </c>
      <c r="BO38" s="26">
        <f t="shared" si="152"/>
        <v>0</v>
      </c>
      <c r="BP38" s="26">
        <f t="shared" si="153"/>
        <v>0</v>
      </c>
      <c r="BQ38" s="26">
        <f t="shared" si="154"/>
        <v>0</v>
      </c>
      <c r="BR38" s="26">
        <f t="shared" si="155"/>
        <v>2992.0040570896749</v>
      </c>
      <c r="BS38" s="26">
        <f t="shared" si="156"/>
        <v>0</v>
      </c>
      <c r="BT38" s="26">
        <f t="shared" si="157"/>
        <v>1070.3653223588547</v>
      </c>
      <c r="BU38" s="26">
        <f t="shared" si="158"/>
        <v>0</v>
      </c>
      <c r="BV38" s="26">
        <f t="shared" si="159"/>
        <v>0</v>
      </c>
      <c r="BW38" s="26">
        <f t="shared" si="160"/>
        <v>0</v>
      </c>
      <c r="BX38" s="26">
        <f t="shared" si="161"/>
        <v>0</v>
      </c>
      <c r="BY38" s="26">
        <f t="shared" si="162"/>
        <v>0</v>
      </c>
      <c r="BZ38" s="26">
        <f t="shared" si="163"/>
        <v>9271.5932172315115</v>
      </c>
      <c r="CA38" s="26">
        <f t="shared" si="164"/>
        <v>0</v>
      </c>
      <c r="CB38" s="26">
        <f t="shared" si="165"/>
        <v>2473.6533576082352</v>
      </c>
      <c r="CC38" s="26">
        <f t="shared" si="166"/>
        <v>742.09600728247062</v>
      </c>
      <c r="CD38" s="26">
        <f t="shared" si="167"/>
        <v>1978.9226860865886</v>
      </c>
      <c r="CE38" s="26">
        <f t="shared" si="168"/>
        <v>0</v>
      </c>
      <c r="CF38" s="26">
        <f t="shared" si="169"/>
        <v>0</v>
      </c>
      <c r="CG38" s="26">
        <f t="shared" si="170"/>
        <v>1484.1920145649412</v>
      </c>
      <c r="CH38" s="26">
        <f t="shared" si="171"/>
        <v>0</v>
      </c>
      <c r="CI38" s="26">
        <f t="shared" si="172"/>
        <v>10413.642560826427</v>
      </c>
      <c r="CJ38" s="26">
        <f t="shared" si="173"/>
        <v>0</v>
      </c>
      <c r="CK38" s="26">
        <f t="shared" si="174"/>
        <v>0</v>
      </c>
      <c r="CL38" s="26">
        <f t="shared" si="175"/>
        <v>117649.80010542965</v>
      </c>
      <c r="CM38" s="110">
        <f t="shared" si="176"/>
        <v>1</v>
      </c>
      <c r="CN38" s="27">
        <f t="shared" si="177"/>
        <v>0</v>
      </c>
      <c r="CO38" s="27">
        <f t="shared" si="178"/>
        <v>207.87072961573134</v>
      </c>
      <c r="CP38" s="27">
        <f t="shared" si="179"/>
        <v>0</v>
      </c>
      <c r="CQ38" s="27">
        <f t="shared" si="180"/>
        <v>0</v>
      </c>
      <c r="CR38" s="27">
        <f t="shared" si="181"/>
        <v>0</v>
      </c>
      <c r="CS38" s="27">
        <f t="shared" si="182"/>
        <v>1257.1487925895563</v>
      </c>
      <c r="CT38" s="27">
        <f t="shared" si="183"/>
        <v>0</v>
      </c>
      <c r="CU38" s="27">
        <f t="shared" si="184"/>
        <v>449.73484225219926</v>
      </c>
      <c r="CV38" s="27">
        <f t="shared" si="185"/>
        <v>0</v>
      </c>
      <c r="CW38" s="27">
        <f t="shared" si="186"/>
        <v>0</v>
      </c>
      <c r="CX38" s="27">
        <f t="shared" si="187"/>
        <v>0</v>
      </c>
      <c r="CY38" s="27">
        <f t="shared" si="188"/>
        <v>0</v>
      </c>
      <c r="CZ38" s="27">
        <f t="shared" si="189"/>
        <v>0</v>
      </c>
      <c r="DA38" s="27">
        <f t="shared" si="190"/>
        <v>3895.6405125204592</v>
      </c>
      <c r="DB38" s="27">
        <f t="shared" si="191"/>
        <v>0</v>
      </c>
      <c r="DC38" s="27">
        <f t="shared" si="192"/>
        <v>1039.3536480786565</v>
      </c>
      <c r="DD38" s="27">
        <f t="shared" si="193"/>
        <v>311.80609442359696</v>
      </c>
      <c r="DE38" s="27">
        <f t="shared" si="194"/>
        <v>831.48291846292534</v>
      </c>
      <c r="DF38" s="27">
        <f t="shared" si="195"/>
        <v>0</v>
      </c>
      <c r="DG38" s="27">
        <f t="shared" si="196"/>
        <v>0</v>
      </c>
      <c r="DH38" s="27">
        <f t="shared" si="197"/>
        <v>623.61218884719392</v>
      </c>
      <c r="DI38" s="27">
        <f t="shared" si="198"/>
        <v>0</v>
      </c>
      <c r="DJ38" s="27">
        <f t="shared" si="199"/>
        <v>4375.4947927899093</v>
      </c>
      <c r="DK38" s="27">
        <f t="shared" si="200"/>
        <v>0</v>
      </c>
      <c r="DL38" s="27">
        <f t="shared" si="201"/>
        <v>0</v>
      </c>
      <c r="DM38" s="27">
        <f t="shared" si="202"/>
        <v>49432.85548041977</v>
      </c>
      <c r="DN38" s="110">
        <f t="shared" si="203"/>
        <v>1</v>
      </c>
      <c r="DO38" s="28">
        <f t="shared" si="211"/>
        <v>0</v>
      </c>
      <c r="DP38" s="28">
        <f t="shared" si="212"/>
        <v>286.85994190591578</v>
      </c>
      <c r="DQ38" s="28">
        <f t="shared" si="213"/>
        <v>0</v>
      </c>
      <c r="DR38" s="28">
        <f t="shared" si="214"/>
        <v>0</v>
      </c>
      <c r="DS38" s="28">
        <f t="shared" si="215"/>
        <v>0</v>
      </c>
      <c r="DT38" s="28">
        <f t="shared" si="216"/>
        <v>1734.8552645001187</v>
      </c>
      <c r="DU38" s="28">
        <f t="shared" si="217"/>
        <v>0</v>
      </c>
      <c r="DV38" s="28">
        <f t="shared" si="218"/>
        <v>620.63048010665534</v>
      </c>
      <c r="DW38" s="28">
        <f t="shared" si="219"/>
        <v>0</v>
      </c>
      <c r="DX38" s="28">
        <f t="shared" si="220"/>
        <v>0</v>
      </c>
      <c r="DY38" s="28">
        <f t="shared" si="221"/>
        <v>0</v>
      </c>
      <c r="DZ38" s="28">
        <f t="shared" si="222"/>
        <v>0</v>
      </c>
      <c r="EA38" s="28">
        <f t="shared" si="223"/>
        <v>0</v>
      </c>
      <c r="EB38" s="28">
        <f t="shared" si="224"/>
        <v>5375.9527047110523</v>
      </c>
      <c r="EC38" s="28">
        <f t="shared" si="225"/>
        <v>0</v>
      </c>
      <c r="ED38" s="28">
        <f t="shared" si="226"/>
        <v>1434.2997095295786</v>
      </c>
      <c r="EE38" s="28">
        <f t="shared" si="227"/>
        <v>430.28991285887366</v>
      </c>
      <c r="EF38" s="28">
        <f t="shared" si="228"/>
        <v>1147.4397676236631</v>
      </c>
      <c r="EG38" s="28">
        <f t="shared" si="229"/>
        <v>0</v>
      </c>
      <c r="EH38" s="28">
        <f t="shared" si="230"/>
        <v>0</v>
      </c>
      <c r="EI38" s="28">
        <f t="shared" si="231"/>
        <v>860.57982571774733</v>
      </c>
      <c r="EJ38" s="28">
        <f t="shared" si="232"/>
        <v>0</v>
      </c>
      <c r="EK38" s="28">
        <f t="shared" si="233"/>
        <v>6038.1477680365178</v>
      </c>
      <c r="EL38" s="28">
        <f t="shared" si="234"/>
        <v>0</v>
      </c>
      <c r="EM38" s="28">
        <f t="shared" si="235"/>
        <v>0</v>
      </c>
      <c r="EN38" s="28">
        <f t="shared" si="236"/>
        <v>68216.94462500987</v>
      </c>
      <c r="EQ38" s="144">
        <v>4.0080963374019681E-2</v>
      </c>
      <c r="ER38" s="144">
        <v>6.0121411728502834E-2</v>
      </c>
      <c r="ES38" s="144">
        <v>7.0141635905744418E-2</v>
      </c>
      <c r="ET38" s="144">
        <v>8.1160635912610912E-2</v>
      </c>
      <c r="EU38" s="144">
        <v>8.1160635912610912E-2</v>
      </c>
      <c r="EV38" s="144">
        <v>8.1160635912610912E-2</v>
      </c>
      <c r="EW38" s="144">
        <v>8.8178066090800603E-2</v>
      </c>
      <c r="EX38" s="144">
        <v>9.0182150925280938E-2</v>
      </c>
      <c r="EY38" s="144">
        <v>0.10020237510252251</v>
      </c>
      <c r="EZ38" s="144">
        <v>9.7193047928240128E-2</v>
      </c>
      <c r="FA38" s="144">
        <v>0.10020237510252251</v>
      </c>
      <c r="FB38" s="144">
        <v>0.11021606610453362</v>
      </c>
      <c r="FC38" s="145">
        <f t="shared" si="237"/>
        <v>0.99999999999999989</v>
      </c>
      <c r="FD38" s="146">
        <f t="shared" si="238"/>
        <v>0.17034401100826693</v>
      </c>
      <c r="FE38" s="146">
        <f t="shared" si="239"/>
        <v>0.24348190773783274</v>
      </c>
      <c r="FF38" s="146">
        <f t="shared" si="240"/>
        <v>0.27856259211860407</v>
      </c>
      <c r="FG38" s="146">
        <f t="shared" si="241"/>
        <v>0.30761148913529623</v>
      </c>
      <c r="FH38" s="145">
        <f t="shared" si="375"/>
        <v>0.99999999999999989</v>
      </c>
      <c r="FJ38" s="52">
        <f t="shared" si="243"/>
        <v>0</v>
      </c>
      <c r="FK38" s="52">
        <f t="shared" si="244"/>
        <v>84.274406955810747</v>
      </c>
      <c r="FL38" s="52">
        <f t="shared" si="245"/>
        <v>0</v>
      </c>
      <c r="FM38" s="52">
        <f t="shared" si="246"/>
        <v>0</v>
      </c>
      <c r="FN38" s="52">
        <f t="shared" si="247"/>
        <v>0</v>
      </c>
      <c r="FO38" s="52">
        <f t="shared" si="248"/>
        <v>509.66997203766289</v>
      </c>
      <c r="FP38" s="52">
        <f t="shared" si="249"/>
        <v>0</v>
      </c>
      <c r="FQ38" s="52">
        <f t="shared" si="250"/>
        <v>182.33032225476393</v>
      </c>
      <c r="FR38" s="52">
        <f t="shared" si="251"/>
        <v>0</v>
      </c>
      <c r="FS38" s="52">
        <f t="shared" si="252"/>
        <v>0</v>
      </c>
      <c r="FT38" s="52">
        <f t="shared" si="253"/>
        <v>0</v>
      </c>
      <c r="FU38" s="52">
        <f t="shared" si="254"/>
        <v>0</v>
      </c>
      <c r="FV38" s="52">
        <f t="shared" si="255"/>
        <v>0</v>
      </c>
      <c r="FW38" s="52">
        <f t="shared" si="256"/>
        <v>1579.3603770602576</v>
      </c>
      <c r="FX38" s="52">
        <f t="shared" si="257"/>
        <v>0</v>
      </c>
      <c r="FY38" s="52">
        <f t="shared" si="258"/>
        <v>421.37203477905365</v>
      </c>
      <c r="FZ38" s="52">
        <f t="shared" si="259"/>
        <v>126.41161043371612</v>
      </c>
      <c r="GA38" s="52">
        <f t="shared" si="260"/>
        <v>337.09762782324299</v>
      </c>
      <c r="GB38" s="52">
        <f t="shared" si="261"/>
        <v>0</v>
      </c>
      <c r="GC38" s="52">
        <f t="shared" si="262"/>
        <v>0</v>
      </c>
      <c r="GD38" s="52">
        <f t="shared" si="263"/>
        <v>252.82322086743224</v>
      </c>
      <c r="GE38" s="52">
        <f t="shared" si="264"/>
        <v>0</v>
      </c>
      <c r="GF38" s="52">
        <f t="shared" si="265"/>
        <v>1773.9016430175739</v>
      </c>
      <c r="GG38" s="52">
        <f t="shared" si="266"/>
        <v>0</v>
      </c>
      <c r="GH38" s="52">
        <f t="shared" si="267"/>
        <v>0</v>
      </c>
      <c r="GI38" s="52">
        <f t="shared" si="268"/>
        <v>20040.938844279714</v>
      </c>
      <c r="GJ38" s="26"/>
      <c r="GL38" s="150">
        <f t="shared" si="269"/>
        <v>0</v>
      </c>
      <c r="GM38" s="150">
        <f t="shared" si="270"/>
        <v>120.45796771850972</v>
      </c>
      <c r="GN38" s="150">
        <f t="shared" si="271"/>
        <v>0</v>
      </c>
      <c r="GO38" s="150">
        <f t="shared" si="272"/>
        <v>0</v>
      </c>
      <c r="GP38" s="150">
        <f t="shared" si="273"/>
        <v>0</v>
      </c>
      <c r="GQ38" s="150">
        <f t="shared" si="274"/>
        <v>728.49885577952944</v>
      </c>
      <c r="GR38" s="150">
        <f t="shared" si="275"/>
        <v>0</v>
      </c>
      <c r="GS38" s="150">
        <f t="shared" si="276"/>
        <v>260.61459066435424</v>
      </c>
      <c r="GT38" s="150">
        <f t="shared" si="277"/>
        <v>0</v>
      </c>
      <c r="GU38" s="150">
        <f t="shared" si="278"/>
        <v>0</v>
      </c>
      <c r="GV38" s="150">
        <f t="shared" si="279"/>
        <v>0</v>
      </c>
      <c r="GW38" s="150">
        <f t="shared" si="280"/>
        <v>0</v>
      </c>
      <c r="GX38" s="150">
        <f t="shared" si="281"/>
        <v>0</v>
      </c>
      <c r="GY38" s="150">
        <f t="shared" si="282"/>
        <v>2257.4652043006786</v>
      </c>
      <c r="GZ38" s="150">
        <f t="shared" si="283"/>
        <v>0</v>
      </c>
      <c r="HA38" s="150">
        <f t="shared" si="284"/>
        <v>602.28983859254845</v>
      </c>
      <c r="HB38" s="150">
        <f t="shared" si="285"/>
        <v>180.68695157776457</v>
      </c>
      <c r="HC38" s="150">
        <f t="shared" si="286"/>
        <v>481.83187087403888</v>
      </c>
      <c r="HD38" s="150">
        <f t="shared" si="287"/>
        <v>0</v>
      </c>
      <c r="HE38" s="150">
        <f t="shared" si="288"/>
        <v>0</v>
      </c>
      <c r="HF38" s="150">
        <f t="shared" si="289"/>
        <v>361.37390315552915</v>
      </c>
      <c r="HG38" s="150">
        <f t="shared" si="290"/>
        <v>0</v>
      </c>
      <c r="HH38" s="150">
        <f t="shared" si="291"/>
        <v>2535.5335572099084</v>
      </c>
      <c r="HI38" s="150">
        <f t="shared" si="292"/>
        <v>0</v>
      </c>
      <c r="HJ38" s="150">
        <f t="shared" si="293"/>
        <v>0</v>
      </c>
      <c r="HK38" s="150">
        <f t="shared" si="294"/>
        <v>28645.597774644684</v>
      </c>
      <c r="HL38" s="26"/>
      <c r="HN38" s="147">
        <f t="shared" si="295"/>
        <v>0</v>
      </c>
      <c r="HO38" s="147">
        <f t="shared" si="296"/>
        <v>137.81345825964769</v>
      </c>
      <c r="HP38" s="147">
        <f t="shared" si="297"/>
        <v>0</v>
      </c>
      <c r="HQ38" s="147">
        <f t="shared" si="298"/>
        <v>0</v>
      </c>
      <c r="HR38" s="147">
        <f t="shared" si="299"/>
        <v>0</v>
      </c>
      <c r="HS38" s="147">
        <f t="shared" si="300"/>
        <v>833.46040577227973</v>
      </c>
      <c r="HT38" s="147">
        <f t="shared" si="301"/>
        <v>0</v>
      </c>
      <c r="HU38" s="147">
        <f t="shared" si="302"/>
        <v>298.16373871014781</v>
      </c>
      <c r="HV38" s="147">
        <f t="shared" si="303"/>
        <v>0</v>
      </c>
      <c r="HW38" s="147">
        <f t="shared" si="304"/>
        <v>0</v>
      </c>
      <c r="HX38" s="147">
        <f t="shared" si="305"/>
        <v>0</v>
      </c>
      <c r="HY38" s="147">
        <f t="shared" si="306"/>
        <v>0</v>
      </c>
      <c r="HZ38" s="147">
        <f t="shared" si="307"/>
        <v>0</v>
      </c>
      <c r="IA38" s="147">
        <f t="shared" si="308"/>
        <v>2582.7190396612777</v>
      </c>
      <c r="IB38" s="147">
        <f t="shared" si="309"/>
        <v>0</v>
      </c>
      <c r="IC38" s="147">
        <f t="shared" si="310"/>
        <v>689.06729129823827</v>
      </c>
      <c r="ID38" s="147">
        <f t="shared" si="311"/>
        <v>206.7201873894715</v>
      </c>
      <c r="IE38" s="147">
        <f t="shared" si="312"/>
        <v>551.25383303859076</v>
      </c>
      <c r="IF38" s="147">
        <f t="shared" si="313"/>
        <v>0</v>
      </c>
      <c r="IG38" s="147">
        <f t="shared" si="314"/>
        <v>0</v>
      </c>
      <c r="IH38" s="147">
        <f t="shared" si="315"/>
        <v>413.44037477894301</v>
      </c>
      <c r="II38" s="147">
        <f t="shared" si="316"/>
        <v>0</v>
      </c>
      <c r="IJ38" s="147">
        <f t="shared" si="317"/>
        <v>2900.8512651404276</v>
      </c>
      <c r="IK38" s="147">
        <f t="shared" si="318"/>
        <v>0</v>
      </c>
      <c r="IL38" s="147">
        <f t="shared" si="319"/>
        <v>0</v>
      </c>
      <c r="IM38" s="147">
        <f t="shared" si="320"/>
        <v>32772.8332796041</v>
      </c>
      <c r="IN38" s="26"/>
      <c r="IP38" s="61">
        <f t="shared" si="321"/>
        <v>0</v>
      </c>
      <c r="IQ38" s="61">
        <f t="shared" si="322"/>
        <v>152.18483858767897</v>
      </c>
      <c r="IR38" s="61">
        <f t="shared" si="323"/>
        <v>0</v>
      </c>
      <c r="IS38" s="61">
        <f t="shared" si="324"/>
        <v>0</v>
      </c>
      <c r="IT38" s="61">
        <f t="shared" si="325"/>
        <v>0</v>
      </c>
      <c r="IU38" s="61">
        <f t="shared" si="326"/>
        <v>920.37482350020275</v>
      </c>
      <c r="IV38" s="61">
        <f t="shared" si="327"/>
        <v>0</v>
      </c>
      <c r="IW38" s="61">
        <f t="shared" si="328"/>
        <v>329.25667072958868</v>
      </c>
      <c r="IX38" s="61">
        <f t="shared" si="329"/>
        <v>0</v>
      </c>
      <c r="IY38" s="61">
        <f t="shared" si="330"/>
        <v>0</v>
      </c>
      <c r="IZ38" s="61">
        <f t="shared" si="331"/>
        <v>0</v>
      </c>
      <c r="JA38" s="61">
        <f t="shared" si="332"/>
        <v>0</v>
      </c>
      <c r="JB38" s="61">
        <f t="shared" si="333"/>
        <v>0</v>
      </c>
      <c r="JC38" s="61">
        <f t="shared" si="334"/>
        <v>2852.0485962092976</v>
      </c>
      <c r="JD38" s="61">
        <f t="shared" si="335"/>
        <v>0</v>
      </c>
      <c r="JE38" s="61">
        <f t="shared" si="336"/>
        <v>760.92419293839464</v>
      </c>
      <c r="JF38" s="61">
        <f t="shared" si="337"/>
        <v>228.27725788151844</v>
      </c>
      <c r="JG38" s="61">
        <f t="shared" si="338"/>
        <v>608.73935435071587</v>
      </c>
      <c r="JH38" s="61">
        <f t="shared" si="339"/>
        <v>0</v>
      </c>
      <c r="JI38" s="61">
        <f t="shared" si="340"/>
        <v>0</v>
      </c>
      <c r="JJ38" s="61">
        <f t="shared" si="341"/>
        <v>456.55451576303687</v>
      </c>
      <c r="JK38" s="61">
        <f t="shared" si="342"/>
        <v>0</v>
      </c>
      <c r="JL38" s="61">
        <f t="shared" si="343"/>
        <v>3203.3560954585168</v>
      </c>
      <c r="JM38" s="61">
        <f t="shared" si="344"/>
        <v>0</v>
      </c>
      <c r="JN38" s="61">
        <f t="shared" si="345"/>
        <v>0</v>
      </c>
      <c r="JO38" s="61">
        <f t="shared" si="346"/>
        <v>36190.430206901146</v>
      </c>
      <c r="JQ38" s="26">
        <f t="shared" si="209"/>
        <v>148571.00000000003</v>
      </c>
      <c r="JR38" s="156">
        <f t="shared" si="210"/>
        <v>1.0000000000000002</v>
      </c>
      <c r="JT38" s="157">
        <f t="shared" si="347"/>
        <v>0</v>
      </c>
      <c r="JU38" s="29">
        <f t="shared" si="348"/>
        <v>0</v>
      </c>
    </row>
    <row r="39" spans="1:281" ht="18.75" outlineLevel="1" x14ac:dyDescent="0.3">
      <c r="A39" t="s">
        <v>69</v>
      </c>
      <c r="B39" t="s">
        <v>110</v>
      </c>
      <c r="C39" t="s">
        <v>33</v>
      </c>
      <c r="D39" t="s">
        <v>25</v>
      </c>
      <c r="E39" t="s">
        <v>135</v>
      </c>
      <c r="F39" s="113">
        <v>283</v>
      </c>
      <c r="G39" s="15">
        <v>1986432</v>
      </c>
      <c r="H39" s="20">
        <v>1360570</v>
      </c>
      <c r="I39" s="23">
        <v>1.4599998530027856</v>
      </c>
      <c r="J39" s="9">
        <v>0</v>
      </c>
      <c r="K39" s="9">
        <v>3.3299275869560488E-3</v>
      </c>
      <c r="L39" s="9">
        <v>0</v>
      </c>
      <c r="M39" s="9">
        <v>0</v>
      </c>
      <c r="N39" s="9">
        <v>0</v>
      </c>
      <c r="O39" s="9">
        <v>2.0138546937758208E-2</v>
      </c>
      <c r="P39" s="9">
        <v>0</v>
      </c>
      <c r="Q39" s="9">
        <v>7.2044027593464038E-3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6.2405134361561219E-2</v>
      </c>
      <c r="X39" s="9">
        <v>0</v>
      </c>
      <c r="Y39" s="9">
        <v>1.6649637934780241E-2</v>
      </c>
      <c r="Z39" s="9">
        <v>4.9948913804340727E-3</v>
      </c>
      <c r="AA39" s="9">
        <v>1.3319710347824195E-2</v>
      </c>
      <c r="AB39" s="9">
        <v>0</v>
      </c>
      <c r="AC39" s="9">
        <v>0</v>
      </c>
      <c r="AD39" s="9">
        <v>9.9897827608681454E-3</v>
      </c>
      <c r="AE39" s="9">
        <v>0</v>
      </c>
      <c r="AF39" s="9">
        <v>7.009202711717917E-2</v>
      </c>
      <c r="AG39" s="9">
        <v>0</v>
      </c>
      <c r="AH39" s="9">
        <v>0</v>
      </c>
      <c r="AI39" s="9">
        <v>0.79187593881329232</v>
      </c>
      <c r="AJ39" s="8">
        <f t="shared" si="124"/>
        <v>1</v>
      </c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9"/>
      <c r="BM39" s="26">
        <f t="shared" si="150"/>
        <v>0</v>
      </c>
      <c r="BN39" s="26">
        <f t="shared" si="151"/>
        <v>6614.674716412278</v>
      </c>
      <c r="BO39" s="26">
        <f t="shared" si="152"/>
        <v>0</v>
      </c>
      <c r="BP39" s="26">
        <f t="shared" si="153"/>
        <v>0</v>
      </c>
      <c r="BQ39" s="26">
        <f t="shared" si="154"/>
        <v>0</v>
      </c>
      <c r="BR39" s="26">
        <f t="shared" si="155"/>
        <v>40003.854070664915</v>
      </c>
      <c r="BS39" s="26">
        <f t="shared" si="156"/>
        <v>0</v>
      </c>
      <c r="BT39" s="26">
        <f t="shared" si="157"/>
        <v>14311.056182053995</v>
      </c>
      <c r="BU39" s="26">
        <f t="shared" si="158"/>
        <v>0</v>
      </c>
      <c r="BV39" s="26">
        <f t="shared" si="159"/>
        <v>0</v>
      </c>
      <c r="BW39" s="26">
        <f t="shared" si="160"/>
        <v>0</v>
      </c>
      <c r="BX39" s="26">
        <f t="shared" si="161"/>
        <v>0</v>
      </c>
      <c r="BY39" s="26">
        <f t="shared" si="162"/>
        <v>0</v>
      </c>
      <c r="BZ39" s="26">
        <f t="shared" si="163"/>
        <v>123963.55586010478</v>
      </c>
      <c r="CA39" s="26">
        <f t="shared" si="164"/>
        <v>0</v>
      </c>
      <c r="CB39" s="26">
        <f t="shared" si="165"/>
        <v>33073.373582061387</v>
      </c>
      <c r="CC39" s="26">
        <f t="shared" si="166"/>
        <v>9922.0120746184166</v>
      </c>
      <c r="CD39" s="26">
        <f t="shared" si="167"/>
        <v>26458.698865649112</v>
      </c>
      <c r="CE39" s="26">
        <f t="shared" si="168"/>
        <v>0</v>
      </c>
      <c r="CF39" s="26">
        <f t="shared" si="169"/>
        <v>0</v>
      </c>
      <c r="CG39" s="26">
        <f t="shared" si="170"/>
        <v>19844.024149236833</v>
      </c>
      <c r="CH39" s="26">
        <f t="shared" si="171"/>
        <v>0</v>
      </c>
      <c r="CI39" s="26">
        <f t="shared" si="172"/>
        <v>139233.04561043245</v>
      </c>
      <c r="CJ39" s="26">
        <f t="shared" si="173"/>
        <v>0</v>
      </c>
      <c r="CK39" s="26">
        <f t="shared" si="174"/>
        <v>0</v>
      </c>
      <c r="CL39" s="26">
        <f t="shared" si="175"/>
        <v>1573007.7048887659</v>
      </c>
      <c r="CM39" s="110">
        <f t="shared" si="176"/>
        <v>1</v>
      </c>
      <c r="CN39" s="27">
        <f t="shared" si="177"/>
        <v>0</v>
      </c>
      <c r="CO39" s="27">
        <f t="shared" si="178"/>
        <v>4530.5995769847914</v>
      </c>
      <c r="CP39" s="27">
        <f t="shared" si="179"/>
        <v>0</v>
      </c>
      <c r="CQ39" s="27">
        <f t="shared" si="180"/>
        <v>0</v>
      </c>
      <c r="CR39" s="27">
        <f t="shared" si="181"/>
        <v>0</v>
      </c>
      <c r="CS39" s="27">
        <f t="shared" si="182"/>
        <v>27399.902807105685</v>
      </c>
      <c r="CT39" s="27">
        <f t="shared" si="183"/>
        <v>0</v>
      </c>
      <c r="CU39" s="27">
        <f t="shared" si="184"/>
        <v>9802.0942622839375</v>
      </c>
      <c r="CV39" s="27">
        <f t="shared" si="185"/>
        <v>0</v>
      </c>
      <c r="CW39" s="27">
        <f t="shared" si="186"/>
        <v>0</v>
      </c>
      <c r="CX39" s="27">
        <f t="shared" si="187"/>
        <v>0</v>
      </c>
      <c r="CY39" s="27">
        <f t="shared" si="188"/>
        <v>0</v>
      </c>
      <c r="CZ39" s="27">
        <f t="shared" si="189"/>
        <v>0</v>
      </c>
      <c r="DA39" s="27">
        <f t="shared" si="190"/>
        <v>84906.553658309349</v>
      </c>
      <c r="DB39" s="27">
        <f t="shared" si="191"/>
        <v>0</v>
      </c>
      <c r="DC39" s="27">
        <f t="shared" si="192"/>
        <v>22652.997884923952</v>
      </c>
      <c r="DD39" s="27">
        <f t="shared" si="193"/>
        <v>6795.8993654771866</v>
      </c>
      <c r="DE39" s="27">
        <f t="shared" si="194"/>
        <v>18122.398307939166</v>
      </c>
      <c r="DF39" s="27">
        <f t="shared" si="195"/>
        <v>0</v>
      </c>
      <c r="DG39" s="27">
        <f t="shared" si="196"/>
        <v>0</v>
      </c>
      <c r="DH39" s="27">
        <f t="shared" si="197"/>
        <v>13591.798730954373</v>
      </c>
      <c r="DI39" s="27">
        <f t="shared" si="198"/>
        <v>0</v>
      </c>
      <c r="DJ39" s="27">
        <f t="shared" si="199"/>
        <v>95365.109334820459</v>
      </c>
      <c r="DK39" s="27">
        <f t="shared" si="200"/>
        <v>0</v>
      </c>
      <c r="DL39" s="27">
        <f t="shared" si="201"/>
        <v>0</v>
      </c>
      <c r="DM39" s="27">
        <f t="shared" si="202"/>
        <v>1077402.6460712012</v>
      </c>
      <c r="DN39" s="110">
        <f t="shared" si="203"/>
        <v>1</v>
      </c>
      <c r="DO39" s="28">
        <f t="shared" si="211"/>
        <v>0</v>
      </c>
      <c r="DP39" s="28">
        <f t="shared" si="212"/>
        <v>2084.0751394274866</v>
      </c>
      <c r="DQ39" s="28">
        <f t="shared" si="213"/>
        <v>0</v>
      </c>
      <c r="DR39" s="28">
        <f t="shared" si="214"/>
        <v>0</v>
      </c>
      <c r="DS39" s="28">
        <f t="shared" si="215"/>
        <v>0</v>
      </c>
      <c r="DT39" s="28">
        <f t="shared" si="216"/>
        <v>12603.951263559229</v>
      </c>
      <c r="DU39" s="28">
        <f t="shared" si="217"/>
        <v>0</v>
      </c>
      <c r="DV39" s="28">
        <f t="shared" si="218"/>
        <v>4508.9619197700576</v>
      </c>
      <c r="DW39" s="28">
        <f t="shared" si="219"/>
        <v>0</v>
      </c>
      <c r="DX39" s="28">
        <f t="shared" si="220"/>
        <v>0</v>
      </c>
      <c r="DY39" s="28">
        <f t="shared" si="221"/>
        <v>0</v>
      </c>
      <c r="DZ39" s="28">
        <f t="shared" si="222"/>
        <v>0</v>
      </c>
      <c r="EA39" s="28">
        <f t="shared" si="223"/>
        <v>0</v>
      </c>
      <c r="EB39" s="28">
        <f t="shared" si="224"/>
        <v>39057.002201795432</v>
      </c>
      <c r="EC39" s="28">
        <f t="shared" si="225"/>
        <v>0</v>
      </c>
      <c r="ED39" s="28">
        <f t="shared" si="226"/>
        <v>10420.375697137435</v>
      </c>
      <c r="EE39" s="28">
        <f t="shared" si="227"/>
        <v>3126.11270914123</v>
      </c>
      <c r="EF39" s="28">
        <f t="shared" si="228"/>
        <v>8336.3005577099466</v>
      </c>
      <c r="EG39" s="28">
        <f t="shared" si="229"/>
        <v>0</v>
      </c>
      <c r="EH39" s="28">
        <f t="shared" si="230"/>
        <v>0</v>
      </c>
      <c r="EI39" s="28">
        <f t="shared" si="231"/>
        <v>6252.2254182824599</v>
      </c>
      <c r="EJ39" s="28">
        <f t="shared" si="232"/>
        <v>0</v>
      </c>
      <c r="EK39" s="28">
        <f t="shared" si="233"/>
        <v>43867.936275611995</v>
      </c>
      <c r="EL39" s="28">
        <f t="shared" si="234"/>
        <v>0</v>
      </c>
      <c r="EM39" s="28">
        <f t="shared" si="235"/>
        <v>0</v>
      </c>
      <c r="EN39" s="28">
        <f t="shared" si="236"/>
        <v>495605.05881756474</v>
      </c>
      <c r="EQ39" s="144">
        <v>4.0080555065561241E-2</v>
      </c>
      <c r="ER39" s="144">
        <v>6.0119362615393669E-2</v>
      </c>
      <c r="ES39" s="144">
        <v>7.0141706356206285E-2</v>
      </c>
      <c r="ET39" s="144">
        <v>8.1163638501793395E-2</v>
      </c>
      <c r="EU39" s="144">
        <v>8.1163638501793395E-2</v>
      </c>
      <c r="EV39" s="144">
        <v>8.1163638501793395E-2</v>
      </c>
      <c r="EW39" s="144">
        <v>8.8175457164696908E-2</v>
      </c>
      <c r="EX39" s="144">
        <v>9.0180513906038706E-2</v>
      </c>
      <c r="EY39" s="144">
        <v>0.10019991768095493</v>
      </c>
      <c r="EZ39" s="144">
        <v>9.7195272534838603E-2</v>
      </c>
      <c r="FA39" s="144">
        <v>0.10019991768095493</v>
      </c>
      <c r="FB39" s="144">
        <v>0.11021638148997473</v>
      </c>
      <c r="FC39" s="145">
        <f t="shared" si="237"/>
        <v>1.0000000000000002</v>
      </c>
      <c r="FD39" s="146">
        <f t="shared" si="238"/>
        <v>0.17034162403716119</v>
      </c>
      <c r="FE39" s="146">
        <f t="shared" si="239"/>
        <v>0.24349091550538018</v>
      </c>
      <c r="FF39" s="146">
        <f t="shared" si="240"/>
        <v>0.27855588875169057</v>
      </c>
      <c r="FG39" s="146">
        <f t="shared" si="241"/>
        <v>0.30761157170576825</v>
      </c>
      <c r="FH39" s="145">
        <f t="shared" si="375"/>
        <v>1.0000000000000002</v>
      </c>
      <c r="FJ39" s="52">
        <f t="shared" si="243"/>
        <v>0</v>
      </c>
      <c r="FK39" s="52">
        <f t="shared" si="244"/>
        <v>1126.754433671216</v>
      </c>
      <c r="FL39" s="52">
        <f t="shared" si="245"/>
        <v>0</v>
      </c>
      <c r="FM39" s="52">
        <f t="shared" si="246"/>
        <v>0</v>
      </c>
      <c r="FN39" s="52">
        <f t="shared" si="247"/>
        <v>0</v>
      </c>
      <c r="FO39" s="52">
        <f t="shared" si="248"/>
        <v>6814.3214701426632</v>
      </c>
      <c r="FP39" s="52">
        <f t="shared" si="249"/>
        <v>0</v>
      </c>
      <c r="FQ39" s="52">
        <f t="shared" si="250"/>
        <v>2437.7685517381328</v>
      </c>
      <c r="FR39" s="52">
        <f t="shared" si="251"/>
        <v>0</v>
      </c>
      <c r="FS39" s="52">
        <f t="shared" si="252"/>
        <v>0</v>
      </c>
      <c r="FT39" s="52">
        <f t="shared" si="253"/>
        <v>0</v>
      </c>
      <c r="FU39" s="52">
        <f t="shared" si="254"/>
        <v>0</v>
      </c>
      <c r="FV39" s="52">
        <f t="shared" si="255"/>
        <v>0</v>
      </c>
      <c r="FW39" s="52">
        <f t="shared" si="256"/>
        <v>21116.153426631598</v>
      </c>
      <c r="FX39" s="52">
        <f t="shared" si="257"/>
        <v>0</v>
      </c>
      <c r="FY39" s="52">
        <f t="shared" si="258"/>
        <v>5633.7721683560794</v>
      </c>
      <c r="FZ39" s="52">
        <f t="shared" si="259"/>
        <v>1690.1316505068239</v>
      </c>
      <c r="GA39" s="52">
        <f t="shared" si="260"/>
        <v>4507.0177346848641</v>
      </c>
      <c r="GB39" s="52">
        <f t="shared" si="261"/>
        <v>0</v>
      </c>
      <c r="GC39" s="52">
        <f t="shared" si="262"/>
        <v>0</v>
      </c>
      <c r="GD39" s="52">
        <f t="shared" si="263"/>
        <v>3380.2633010136478</v>
      </c>
      <c r="GE39" s="52">
        <f t="shared" si="264"/>
        <v>0</v>
      </c>
      <c r="GF39" s="52">
        <f t="shared" si="265"/>
        <v>23717.183108921203</v>
      </c>
      <c r="GG39" s="52">
        <f t="shared" si="266"/>
        <v>0</v>
      </c>
      <c r="GH39" s="52">
        <f t="shared" si="267"/>
        <v>0</v>
      </c>
      <c r="GI39" s="52">
        <f t="shared" si="268"/>
        <v>267948.68707371998</v>
      </c>
      <c r="GJ39" s="26"/>
      <c r="GL39" s="150">
        <f t="shared" si="269"/>
        <v>0</v>
      </c>
      <c r="GM39" s="150">
        <f t="shared" si="270"/>
        <v>1610.6132024695166</v>
      </c>
      <c r="GN39" s="150">
        <f t="shared" si="271"/>
        <v>0</v>
      </c>
      <c r="GO39" s="150">
        <f t="shared" si="272"/>
        <v>0</v>
      </c>
      <c r="GP39" s="150">
        <f t="shared" si="273"/>
        <v>0</v>
      </c>
      <c r="GQ39" s="150">
        <f t="shared" si="274"/>
        <v>9740.575051409829</v>
      </c>
      <c r="GR39" s="150">
        <f t="shared" si="275"/>
        <v>0</v>
      </c>
      <c r="GS39" s="150">
        <f t="shared" si="276"/>
        <v>3484.6121716172579</v>
      </c>
      <c r="GT39" s="150">
        <f t="shared" si="277"/>
        <v>0</v>
      </c>
      <c r="GU39" s="150">
        <f t="shared" si="278"/>
        <v>0</v>
      </c>
      <c r="GV39" s="150">
        <f t="shared" si="279"/>
        <v>0</v>
      </c>
      <c r="GW39" s="150">
        <f t="shared" si="280"/>
        <v>0</v>
      </c>
      <c r="GX39" s="150">
        <f t="shared" si="281"/>
        <v>0</v>
      </c>
      <c r="GY39" s="150">
        <f t="shared" si="282"/>
        <v>30183.999705679249</v>
      </c>
      <c r="GZ39" s="150">
        <f t="shared" si="283"/>
        <v>0</v>
      </c>
      <c r="HA39" s="150">
        <f t="shared" si="284"/>
        <v>8053.0660123475827</v>
      </c>
      <c r="HB39" s="150">
        <f t="shared" si="285"/>
        <v>2415.9198037042747</v>
      </c>
      <c r="HC39" s="150">
        <f t="shared" si="286"/>
        <v>6442.4528098780665</v>
      </c>
      <c r="HD39" s="150">
        <f t="shared" si="287"/>
        <v>0</v>
      </c>
      <c r="HE39" s="150">
        <f t="shared" si="288"/>
        <v>0</v>
      </c>
      <c r="HF39" s="150">
        <f t="shared" si="289"/>
        <v>4831.8396074085495</v>
      </c>
      <c r="HG39" s="150">
        <f t="shared" si="290"/>
        <v>0</v>
      </c>
      <c r="HH39" s="150">
        <f t="shared" si="291"/>
        <v>33901.981744286553</v>
      </c>
      <c r="HI39" s="150">
        <f t="shared" si="292"/>
        <v>0</v>
      </c>
      <c r="HJ39" s="150">
        <f t="shared" si="293"/>
        <v>0</v>
      </c>
      <c r="HK39" s="150">
        <f t="shared" si="294"/>
        <v>383013.08616038249</v>
      </c>
      <c r="HL39" s="26"/>
      <c r="HN39" s="147">
        <f t="shared" si="295"/>
        <v>0</v>
      </c>
      <c r="HO39" s="147">
        <f t="shared" si="296"/>
        <v>1842.556594433559</v>
      </c>
      <c r="HP39" s="147">
        <f t="shared" si="297"/>
        <v>0</v>
      </c>
      <c r="HQ39" s="147">
        <f t="shared" si="298"/>
        <v>0</v>
      </c>
      <c r="HR39" s="147">
        <f t="shared" si="299"/>
        <v>0</v>
      </c>
      <c r="HS39" s="147">
        <f t="shared" si="300"/>
        <v>11143.309124146999</v>
      </c>
      <c r="HT39" s="147">
        <f t="shared" si="301"/>
        <v>0</v>
      </c>
      <c r="HU39" s="147">
        <f t="shared" si="302"/>
        <v>3986.4289737674262</v>
      </c>
      <c r="HV39" s="147">
        <f t="shared" si="303"/>
        <v>0</v>
      </c>
      <c r="HW39" s="147">
        <f t="shared" si="304"/>
        <v>0</v>
      </c>
      <c r="HX39" s="147">
        <f t="shared" si="305"/>
        <v>0</v>
      </c>
      <c r="HY39" s="147">
        <f t="shared" si="306"/>
        <v>0</v>
      </c>
      <c r="HZ39" s="147">
        <f t="shared" si="307"/>
        <v>0</v>
      </c>
      <c r="IA39" s="147">
        <f t="shared" si="308"/>
        <v>34530.778475431325</v>
      </c>
      <c r="IB39" s="147">
        <f t="shared" si="309"/>
        <v>0</v>
      </c>
      <c r="IC39" s="147">
        <f t="shared" si="310"/>
        <v>9212.7829721677936</v>
      </c>
      <c r="ID39" s="147">
        <f t="shared" si="311"/>
        <v>2763.8348916503382</v>
      </c>
      <c r="IE39" s="147">
        <f t="shared" si="312"/>
        <v>7370.2263777342359</v>
      </c>
      <c r="IF39" s="147">
        <f t="shared" si="313"/>
        <v>0</v>
      </c>
      <c r="IG39" s="147">
        <f t="shared" si="314"/>
        <v>0</v>
      </c>
      <c r="IH39" s="147">
        <f t="shared" si="315"/>
        <v>5527.6697833006765</v>
      </c>
      <c r="II39" s="147">
        <f t="shared" si="316"/>
        <v>0</v>
      </c>
      <c r="IJ39" s="147">
        <f t="shared" si="317"/>
        <v>38784.184763618679</v>
      </c>
      <c r="IK39" s="147">
        <f t="shared" si="318"/>
        <v>0</v>
      </c>
      <c r="IL39" s="147">
        <f t="shared" si="319"/>
        <v>0</v>
      </c>
      <c r="IM39" s="147">
        <f t="shared" si="320"/>
        <v>438170.55924854719</v>
      </c>
      <c r="IN39" s="26"/>
      <c r="IP39" s="61">
        <f t="shared" si="321"/>
        <v>0</v>
      </c>
      <c r="IQ39" s="61">
        <f t="shared" si="322"/>
        <v>2034.7504858379878</v>
      </c>
      <c r="IR39" s="61">
        <f t="shared" si="323"/>
        <v>0</v>
      </c>
      <c r="IS39" s="61">
        <f t="shared" si="324"/>
        <v>0</v>
      </c>
      <c r="IT39" s="61">
        <f t="shared" si="325"/>
        <v>0</v>
      </c>
      <c r="IU39" s="61">
        <f t="shared" si="326"/>
        <v>12305.64842496543</v>
      </c>
      <c r="IV39" s="61">
        <f t="shared" si="327"/>
        <v>0</v>
      </c>
      <c r="IW39" s="61">
        <f t="shared" si="328"/>
        <v>4402.2464849311809</v>
      </c>
      <c r="IX39" s="61">
        <f t="shared" si="329"/>
        <v>0</v>
      </c>
      <c r="IY39" s="61">
        <f t="shared" si="330"/>
        <v>0</v>
      </c>
      <c r="IZ39" s="61">
        <f t="shared" si="331"/>
        <v>0</v>
      </c>
      <c r="JA39" s="61">
        <f t="shared" si="332"/>
        <v>0</v>
      </c>
      <c r="JB39" s="61">
        <f t="shared" si="333"/>
        <v>0</v>
      </c>
      <c r="JC39" s="61">
        <f t="shared" si="334"/>
        <v>38132.624252362628</v>
      </c>
      <c r="JD39" s="61">
        <f t="shared" si="335"/>
        <v>0</v>
      </c>
      <c r="JE39" s="61">
        <f t="shared" si="336"/>
        <v>10173.752429189937</v>
      </c>
      <c r="JF39" s="61">
        <f t="shared" si="337"/>
        <v>3052.1257287569815</v>
      </c>
      <c r="JG39" s="61">
        <f t="shared" si="338"/>
        <v>8139.001943351951</v>
      </c>
      <c r="JH39" s="61">
        <f t="shared" si="339"/>
        <v>0</v>
      </c>
      <c r="JI39" s="61">
        <f t="shared" si="340"/>
        <v>0</v>
      </c>
      <c r="JJ39" s="61">
        <f t="shared" si="341"/>
        <v>6104.251457513963</v>
      </c>
      <c r="JK39" s="61">
        <f t="shared" si="342"/>
        <v>0</v>
      </c>
      <c r="JL39" s="61">
        <f t="shared" si="343"/>
        <v>42829.695993606045</v>
      </c>
      <c r="JM39" s="61">
        <f t="shared" si="344"/>
        <v>0</v>
      </c>
      <c r="JN39" s="61">
        <f t="shared" si="345"/>
        <v>0</v>
      </c>
      <c r="JO39" s="61">
        <f t="shared" si="346"/>
        <v>483875.37240611657</v>
      </c>
      <c r="JQ39" s="26">
        <f t="shared" si="209"/>
        <v>1986432.0000000005</v>
      </c>
      <c r="JR39" s="156">
        <f t="shared" si="210"/>
        <v>1.0000000000000002</v>
      </c>
      <c r="JT39" s="157">
        <f t="shared" si="347"/>
        <v>0</v>
      </c>
      <c r="JU39" s="29">
        <f t="shared" si="348"/>
        <v>0</v>
      </c>
    </row>
    <row r="40" spans="1:281" ht="18.75" outlineLevel="1" x14ac:dyDescent="0.3">
      <c r="A40" t="s">
        <v>69</v>
      </c>
      <c r="B40" t="s">
        <v>9</v>
      </c>
      <c r="C40" t="s">
        <v>33</v>
      </c>
      <c r="D40" t="s">
        <v>25</v>
      </c>
      <c r="E40" t="s">
        <v>34</v>
      </c>
      <c r="F40" s="113">
        <v>233</v>
      </c>
      <c r="G40" s="15">
        <v>3470224</v>
      </c>
      <c r="H40" s="20">
        <v>2168890</v>
      </c>
      <c r="I40" s="23">
        <v>1.6</v>
      </c>
      <c r="J40" s="9">
        <v>0</v>
      </c>
      <c r="K40" s="9">
        <v>3.3299275869560488E-3</v>
      </c>
      <c r="L40" s="9">
        <v>0</v>
      </c>
      <c r="M40" s="9">
        <v>0</v>
      </c>
      <c r="N40" s="9">
        <v>0</v>
      </c>
      <c r="O40" s="9">
        <v>2.0138546937758208E-2</v>
      </c>
      <c r="P40" s="9">
        <v>0</v>
      </c>
      <c r="Q40" s="9">
        <v>7.2044027593464038E-3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6.2405134361561219E-2</v>
      </c>
      <c r="X40" s="9">
        <v>0</v>
      </c>
      <c r="Y40" s="9">
        <v>1.6649637934780241E-2</v>
      </c>
      <c r="Z40" s="9">
        <v>4.9948913804340727E-3</v>
      </c>
      <c r="AA40" s="9">
        <v>1.3319710347824195E-2</v>
      </c>
      <c r="AB40" s="9">
        <v>0</v>
      </c>
      <c r="AC40" s="9">
        <v>0</v>
      </c>
      <c r="AD40" s="9">
        <v>9.9897827608681454E-3</v>
      </c>
      <c r="AE40" s="9">
        <v>0</v>
      </c>
      <c r="AF40" s="9">
        <v>7.009202711717917E-2</v>
      </c>
      <c r="AG40" s="9">
        <v>0</v>
      </c>
      <c r="AH40" s="9">
        <v>0</v>
      </c>
      <c r="AI40" s="9">
        <v>0.79187593881329232</v>
      </c>
      <c r="AJ40" s="8">
        <f t="shared" si="124"/>
        <v>1</v>
      </c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9"/>
      <c r="BM40" s="26">
        <f t="shared" si="150"/>
        <v>0</v>
      </c>
      <c r="BN40" s="26">
        <f t="shared" si="151"/>
        <v>11555.594630516967</v>
      </c>
      <c r="BO40" s="26">
        <f t="shared" si="152"/>
        <v>0</v>
      </c>
      <c r="BP40" s="26">
        <f t="shared" si="153"/>
        <v>0</v>
      </c>
      <c r="BQ40" s="26">
        <f t="shared" si="154"/>
        <v>0</v>
      </c>
      <c r="BR40" s="26">
        <f t="shared" si="155"/>
        <v>69885.268908535043</v>
      </c>
      <c r="BS40" s="26">
        <f t="shared" si="156"/>
        <v>0</v>
      </c>
      <c r="BT40" s="26">
        <f t="shared" si="157"/>
        <v>25000.891361150116</v>
      </c>
      <c r="BU40" s="26">
        <f t="shared" si="158"/>
        <v>0</v>
      </c>
      <c r="BV40" s="26">
        <f t="shared" si="159"/>
        <v>0</v>
      </c>
      <c r="BW40" s="26">
        <f t="shared" si="160"/>
        <v>0</v>
      </c>
      <c r="BX40" s="26">
        <f t="shared" si="161"/>
        <v>0</v>
      </c>
      <c r="BY40" s="26">
        <f t="shared" si="162"/>
        <v>0</v>
      </c>
      <c r="BZ40" s="26">
        <f t="shared" si="163"/>
        <v>216559.79498471442</v>
      </c>
      <c r="CA40" s="26">
        <f t="shared" si="164"/>
        <v>0</v>
      </c>
      <c r="CB40" s="26">
        <f t="shared" si="165"/>
        <v>57777.973152584826</v>
      </c>
      <c r="CC40" s="26">
        <f t="shared" si="166"/>
        <v>17333.391945775449</v>
      </c>
      <c r="CD40" s="26">
        <f t="shared" si="167"/>
        <v>46222.378522067869</v>
      </c>
      <c r="CE40" s="26">
        <f t="shared" si="168"/>
        <v>0</v>
      </c>
      <c r="CF40" s="26">
        <f t="shared" si="169"/>
        <v>0</v>
      </c>
      <c r="CG40" s="26">
        <f t="shared" si="170"/>
        <v>34666.783891550898</v>
      </c>
      <c r="CH40" s="26">
        <f t="shared" si="171"/>
        <v>0</v>
      </c>
      <c r="CI40" s="26">
        <f t="shared" si="172"/>
        <v>243235.03471068596</v>
      </c>
      <c r="CJ40" s="26">
        <f t="shared" si="173"/>
        <v>0</v>
      </c>
      <c r="CK40" s="26">
        <f t="shared" si="174"/>
        <v>0</v>
      </c>
      <c r="CL40" s="26">
        <f t="shared" si="175"/>
        <v>2747986.8878924185</v>
      </c>
      <c r="CM40" s="110">
        <f t="shared" si="176"/>
        <v>1</v>
      </c>
      <c r="CN40" s="27">
        <f t="shared" si="177"/>
        <v>0</v>
      </c>
      <c r="CO40" s="27">
        <f t="shared" si="178"/>
        <v>7222.246644073105</v>
      </c>
      <c r="CP40" s="27">
        <f t="shared" si="179"/>
        <v>0</v>
      </c>
      <c r="CQ40" s="27">
        <f t="shared" si="180"/>
        <v>0</v>
      </c>
      <c r="CR40" s="27">
        <f t="shared" si="181"/>
        <v>0</v>
      </c>
      <c r="CS40" s="27">
        <f t="shared" si="182"/>
        <v>43678.293067834398</v>
      </c>
      <c r="CT40" s="27">
        <f t="shared" si="183"/>
        <v>0</v>
      </c>
      <c r="CU40" s="27">
        <f t="shared" si="184"/>
        <v>15625.557100718821</v>
      </c>
      <c r="CV40" s="27">
        <f t="shared" si="185"/>
        <v>0</v>
      </c>
      <c r="CW40" s="27">
        <f t="shared" si="186"/>
        <v>0</v>
      </c>
      <c r="CX40" s="27">
        <f t="shared" si="187"/>
        <v>0</v>
      </c>
      <c r="CY40" s="27">
        <f t="shared" si="188"/>
        <v>0</v>
      </c>
      <c r="CZ40" s="27">
        <f t="shared" si="189"/>
        <v>0</v>
      </c>
      <c r="DA40" s="27">
        <f t="shared" si="190"/>
        <v>135349.8718654465</v>
      </c>
      <c r="DB40" s="27">
        <f t="shared" si="191"/>
        <v>0</v>
      </c>
      <c r="DC40" s="27">
        <f t="shared" si="192"/>
        <v>36111.233220365517</v>
      </c>
      <c r="DD40" s="27">
        <f t="shared" si="193"/>
        <v>10833.369966109656</v>
      </c>
      <c r="DE40" s="27">
        <f t="shared" si="194"/>
        <v>28888.98657629242</v>
      </c>
      <c r="DF40" s="27">
        <f t="shared" si="195"/>
        <v>0</v>
      </c>
      <c r="DG40" s="27">
        <f t="shared" si="196"/>
        <v>0</v>
      </c>
      <c r="DH40" s="27">
        <f t="shared" si="197"/>
        <v>21666.739932219312</v>
      </c>
      <c r="DI40" s="27">
        <f t="shared" si="198"/>
        <v>0</v>
      </c>
      <c r="DJ40" s="27">
        <f t="shared" si="199"/>
        <v>152021.89669417872</v>
      </c>
      <c r="DK40" s="27">
        <f t="shared" si="200"/>
        <v>0</v>
      </c>
      <c r="DL40" s="27">
        <f t="shared" si="201"/>
        <v>0</v>
      </c>
      <c r="DM40" s="27">
        <f t="shared" si="202"/>
        <v>1717491.8049327617</v>
      </c>
      <c r="DN40" s="110">
        <f t="shared" si="203"/>
        <v>1</v>
      </c>
      <c r="DO40" s="28">
        <f t="shared" si="211"/>
        <v>0</v>
      </c>
      <c r="DP40" s="28">
        <f t="shared" si="212"/>
        <v>4333.3479864438623</v>
      </c>
      <c r="DQ40" s="28">
        <f t="shared" si="213"/>
        <v>0</v>
      </c>
      <c r="DR40" s="28">
        <f t="shared" si="214"/>
        <v>0</v>
      </c>
      <c r="DS40" s="28">
        <f t="shared" si="215"/>
        <v>0</v>
      </c>
      <c r="DT40" s="28">
        <f t="shared" si="216"/>
        <v>26206.975840700645</v>
      </c>
      <c r="DU40" s="28">
        <f t="shared" si="217"/>
        <v>0</v>
      </c>
      <c r="DV40" s="28">
        <f t="shared" si="218"/>
        <v>9375.3342604312948</v>
      </c>
      <c r="DW40" s="28">
        <f t="shared" si="219"/>
        <v>0</v>
      </c>
      <c r="DX40" s="28">
        <f t="shared" si="220"/>
        <v>0</v>
      </c>
      <c r="DY40" s="28">
        <f t="shared" si="221"/>
        <v>0</v>
      </c>
      <c r="DZ40" s="28">
        <f t="shared" si="222"/>
        <v>0</v>
      </c>
      <c r="EA40" s="28">
        <f t="shared" si="223"/>
        <v>0</v>
      </c>
      <c r="EB40" s="28">
        <f t="shared" si="224"/>
        <v>81209.923119267914</v>
      </c>
      <c r="EC40" s="28">
        <f t="shared" si="225"/>
        <v>0</v>
      </c>
      <c r="ED40" s="28">
        <f t="shared" si="226"/>
        <v>21666.739932219309</v>
      </c>
      <c r="EE40" s="28">
        <f t="shared" si="227"/>
        <v>6500.021979665793</v>
      </c>
      <c r="EF40" s="28">
        <f t="shared" si="228"/>
        <v>17333.391945775449</v>
      </c>
      <c r="EG40" s="28">
        <f t="shared" si="229"/>
        <v>0</v>
      </c>
      <c r="EH40" s="28">
        <f t="shared" si="230"/>
        <v>0</v>
      </c>
      <c r="EI40" s="28">
        <f t="shared" si="231"/>
        <v>13000.043959331586</v>
      </c>
      <c r="EJ40" s="28">
        <f t="shared" si="232"/>
        <v>0</v>
      </c>
      <c r="EK40" s="28">
        <f t="shared" si="233"/>
        <v>91213.138016507233</v>
      </c>
      <c r="EL40" s="28">
        <f t="shared" si="234"/>
        <v>0</v>
      </c>
      <c r="EM40" s="28">
        <f t="shared" si="235"/>
        <v>0</v>
      </c>
      <c r="EN40" s="28">
        <f t="shared" si="236"/>
        <v>1030495.0829596568</v>
      </c>
      <c r="EQ40" s="144">
        <v>4.0078939346347368E-2</v>
      </c>
      <c r="ER40" s="144">
        <v>6.0120326154830164E-2</v>
      </c>
      <c r="ES40" s="144">
        <v>7.0141018130505745E-2</v>
      </c>
      <c r="ET40" s="144">
        <v>8.1161863311292423E-2</v>
      </c>
      <c r="EU40" s="144">
        <v>8.1161863311292423E-2</v>
      </c>
      <c r="EV40" s="144">
        <v>8.1161863311292423E-2</v>
      </c>
      <c r="EW40" s="144">
        <v>8.8178264258148134E-2</v>
      </c>
      <c r="EX40" s="144">
        <v>9.0178570668370317E-2</v>
      </c>
      <c r="EY40" s="144">
        <v>0.10019926550117753</v>
      </c>
      <c r="EZ40" s="144">
        <v>9.7194971615226014E-2</v>
      </c>
      <c r="FA40" s="144">
        <v>0.10019926550117753</v>
      </c>
      <c r="FB40" s="144">
        <v>0.11022378889033972</v>
      </c>
      <c r="FC40" s="145">
        <f t="shared" si="237"/>
        <v>0.99999999999999978</v>
      </c>
      <c r="FD40" s="146">
        <f t="shared" si="238"/>
        <v>0.17034028363168327</v>
      </c>
      <c r="FE40" s="146">
        <f t="shared" si="239"/>
        <v>0.24348558993387726</v>
      </c>
      <c r="FF40" s="146">
        <f t="shared" si="240"/>
        <v>0.27855610042769596</v>
      </c>
      <c r="FG40" s="146">
        <f t="shared" si="241"/>
        <v>0.30761802600674326</v>
      </c>
      <c r="FH40" s="145">
        <f t="shared" si="375"/>
        <v>0.99999999999999978</v>
      </c>
      <c r="FJ40" s="52">
        <f t="shared" si="243"/>
        <v>0</v>
      </c>
      <c r="FK40" s="52">
        <f t="shared" si="244"/>
        <v>1968.3832668950165</v>
      </c>
      <c r="FL40" s="52">
        <f t="shared" si="245"/>
        <v>0</v>
      </c>
      <c r="FM40" s="52">
        <f t="shared" si="246"/>
        <v>0</v>
      </c>
      <c r="FN40" s="52">
        <f t="shared" si="247"/>
        <v>0</v>
      </c>
      <c r="FO40" s="52">
        <f t="shared" si="248"/>
        <v>11904.276527556316</v>
      </c>
      <c r="FP40" s="52">
        <f t="shared" si="249"/>
        <v>0</v>
      </c>
      <c r="FQ40" s="52">
        <f t="shared" si="250"/>
        <v>4258.6589255032104</v>
      </c>
      <c r="FR40" s="52">
        <f t="shared" si="251"/>
        <v>0</v>
      </c>
      <c r="FS40" s="52">
        <f t="shared" si="252"/>
        <v>0</v>
      </c>
      <c r="FT40" s="52">
        <f t="shared" si="253"/>
        <v>0</v>
      </c>
      <c r="FU40" s="52">
        <f t="shared" si="254"/>
        <v>0</v>
      </c>
      <c r="FV40" s="52">
        <f t="shared" si="255"/>
        <v>0</v>
      </c>
      <c r="FW40" s="52">
        <f t="shared" si="256"/>
        <v>36888.856900915431</v>
      </c>
      <c r="FX40" s="52">
        <f t="shared" si="257"/>
        <v>0</v>
      </c>
      <c r="FY40" s="52">
        <f t="shared" si="258"/>
        <v>9841.9163344750796</v>
      </c>
      <c r="FZ40" s="52">
        <f t="shared" si="259"/>
        <v>2952.5749003425244</v>
      </c>
      <c r="GA40" s="52">
        <f t="shared" si="260"/>
        <v>7873.533067580066</v>
      </c>
      <c r="GB40" s="52">
        <f t="shared" si="261"/>
        <v>0</v>
      </c>
      <c r="GC40" s="52">
        <f t="shared" si="262"/>
        <v>0</v>
      </c>
      <c r="GD40" s="52">
        <f t="shared" si="263"/>
        <v>5905.1498006850488</v>
      </c>
      <c r="GE40" s="52">
        <f t="shared" si="264"/>
        <v>0</v>
      </c>
      <c r="GF40" s="52">
        <f t="shared" si="265"/>
        <v>41432.724801780569</v>
      </c>
      <c r="GG40" s="52">
        <f t="shared" si="266"/>
        <v>0</v>
      </c>
      <c r="GH40" s="52">
        <f t="shared" si="267"/>
        <v>0</v>
      </c>
      <c r="GI40" s="52">
        <f t="shared" si="268"/>
        <v>468092.86589974118</v>
      </c>
      <c r="GJ40" s="26"/>
      <c r="GL40" s="150">
        <f t="shared" si="269"/>
        <v>0</v>
      </c>
      <c r="GM40" s="150">
        <f t="shared" si="270"/>
        <v>2813.6207756481681</v>
      </c>
      <c r="GN40" s="150">
        <f t="shared" si="271"/>
        <v>0</v>
      </c>
      <c r="GO40" s="150">
        <f t="shared" si="272"/>
        <v>0</v>
      </c>
      <c r="GP40" s="150">
        <f t="shared" si="273"/>
        <v>0</v>
      </c>
      <c r="GQ40" s="150">
        <f t="shared" si="274"/>
        <v>17016.055927882306</v>
      </c>
      <c r="GR40" s="150">
        <f t="shared" si="275"/>
        <v>0</v>
      </c>
      <c r="GS40" s="150">
        <f t="shared" si="276"/>
        <v>6087.3567819424115</v>
      </c>
      <c r="GT40" s="150">
        <f t="shared" si="277"/>
        <v>0</v>
      </c>
      <c r="GU40" s="150">
        <f t="shared" si="278"/>
        <v>0</v>
      </c>
      <c r="GV40" s="150">
        <f t="shared" si="279"/>
        <v>0</v>
      </c>
      <c r="GW40" s="150">
        <f t="shared" si="280"/>
        <v>0</v>
      </c>
      <c r="GX40" s="150">
        <f t="shared" si="281"/>
        <v>0</v>
      </c>
      <c r="GY40" s="150">
        <f t="shared" si="282"/>
        <v>52729.189437812704</v>
      </c>
      <c r="GZ40" s="150">
        <f t="shared" si="283"/>
        <v>0</v>
      </c>
      <c r="HA40" s="150">
        <f t="shared" si="284"/>
        <v>14068.103878240838</v>
      </c>
      <c r="HB40" s="150">
        <f t="shared" si="285"/>
        <v>4220.4311634722517</v>
      </c>
      <c r="HC40" s="150">
        <f t="shared" si="286"/>
        <v>11254.483102592672</v>
      </c>
      <c r="HD40" s="150">
        <f t="shared" si="287"/>
        <v>0</v>
      </c>
      <c r="HE40" s="150">
        <f t="shared" si="288"/>
        <v>0</v>
      </c>
      <c r="HF40" s="150">
        <f t="shared" si="289"/>
        <v>8440.8623269445034</v>
      </c>
      <c r="HG40" s="150">
        <f t="shared" si="290"/>
        <v>0</v>
      </c>
      <c r="HH40" s="150">
        <f t="shared" si="291"/>
        <v>59224.225919118478</v>
      </c>
      <c r="HI40" s="150">
        <f t="shared" si="292"/>
        <v>0</v>
      </c>
      <c r="HJ40" s="150">
        <f t="shared" si="293"/>
        <v>0</v>
      </c>
      <c r="HK40" s="150">
        <f t="shared" si="294"/>
        <v>669095.20852904499</v>
      </c>
      <c r="HL40" s="26"/>
      <c r="HN40" s="147">
        <f t="shared" si="295"/>
        <v>0</v>
      </c>
      <c r="HO40" s="147">
        <f t="shared" si="296"/>
        <v>3218.8813784000286</v>
      </c>
      <c r="HP40" s="147">
        <f t="shared" si="297"/>
        <v>0</v>
      </c>
      <c r="HQ40" s="147">
        <f t="shared" si="298"/>
        <v>0</v>
      </c>
      <c r="HR40" s="147">
        <f t="shared" si="299"/>
        <v>0</v>
      </c>
      <c r="HS40" s="147">
        <f t="shared" si="300"/>
        <v>19466.967984502426</v>
      </c>
      <c r="HT40" s="147">
        <f t="shared" si="301"/>
        <v>0</v>
      </c>
      <c r="HU40" s="147">
        <f t="shared" si="302"/>
        <v>6964.1508047784482</v>
      </c>
      <c r="HV40" s="147">
        <f t="shared" si="303"/>
        <v>0</v>
      </c>
      <c r="HW40" s="147">
        <f t="shared" si="304"/>
        <v>0</v>
      </c>
      <c r="HX40" s="147">
        <f t="shared" si="305"/>
        <v>0</v>
      </c>
      <c r="HY40" s="147">
        <f t="shared" si="306"/>
        <v>0</v>
      </c>
      <c r="HZ40" s="147">
        <f t="shared" si="307"/>
        <v>0</v>
      </c>
      <c r="IA40" s="147">
        <f t="shared" si="308"/>
        <v>60324.052000363357</v>
      </c>
      <c r="IB40" s="147">
        <f t="shared" si="309"/>
        <v>0</v>
      </c>
      <c r="IC40" s="147">
        <f t="shared" si="310"/>
        <v>16094.406892000139</v>
      </c>
      <c r="ID40" s="147">
        <f t="shared" si="311"/>
        <v>4828.3220676000419</v>
      </c>
      <c r="IE40" s="147">
        <f t="shared" si="312"/>
        <v>12875.525513600114</v>
      </c>
      <c r="IF40" s="147">
        <f t="shared" si="313"/>
        <v>0</v>
      </c>
      <c r="IG40" s="147">
        <f t="shared" si="314"/>
        <v>0</v>
      </c>
      <c r="IH40" s="147">
        <f t="shared" si="315"/>
        <v>9656.6441352000838</v>
      </c>
      <c r="II40" s="147">
        <f t="shared" si="316"/>
        <v>0</v>
      </c>
      <c r="IJ40" s="147">
        <f t="shared" si="317"/>
        <v>67754.602756403954</v>
      </c>
      <c r="IK40" s="147">
        <f t="shared" si="318"/>
        <v>0</v>
      </c>
      <c r="IL40" s="147">
        <f t="shared" si="319"/>
        <v>0</v>
      </c>
      <c r="IM40" s="147">
        <f t="shared" si="320"/>
        <v>765468.51151775219</v>
      </c>
      <c r="IN40" s="26"/>
      <c r="IP40" s="61">
        <f t="shared" si="321"/>
        <v>0</v>
      </c>
      <c r="IQ40" s="61">
        <f t="shared" si="322"/>
        <v>3554.7092095737512</v>
      </c>
      <c r="IR40" s="61">
        <f t="shared" si="323"/>
        <v>0</v>
      </c>
      <c r="IS40" s="61">
        <f t="shared" si="324"/>
        <v>0</v>
      </c>
      <c r="IT40" s="61">
        <f t="shared" si="325"/>
        <v>0</v>
      </c>
      <c r="IU40" s="61">
        <f t="shared" si="326"/>
        <v>21497.968468593979</v>
      </c>
      <c r="IV40" s="61">
        <f t="shared" si="327"/>
        <v>0</v>
      </c>
      <c r="IW40" s="61">
        <f t="shared" si="328"/>
        <v>7690.7248489260392</v>
      </c>
      <c r="IX40" s="61">
        <f t="shared" si="329"/>
        <v>0</v>
      </c>
      <c r="IY40" s="61">
        <f t="shared" si="330"/>
        <v>0</v>
      </c>
      <c r="IZ40" s="61">
        <f t="shared" si="331"/>
        <v>0</v>
      </c>
      <c r="JA40" s="61">
        <f t="shared" si="332"/>
        <v>0</v>
      </c>
      <c r="JB40" s="61">
        <f t="shared" si="333"/>
        <v>0</v>
      </c>
      <c r="JC40" s="61">
        <f t="shared" si="334"/>
        <v>66617.696645622869</v>
      </c>
      <c r="JD40" s="61">
        <f t="shared" si="335"/>
        <v>0</v>
      </c>
      <c r="JE40" s="61">
        <f t="shared" si="336"/>
        <v>17773.546047868753</v>
      </c>
      <c r="JF40" s="61">
        <f t="shared" si="337"/>
        <v>5332.0638143606266</v>
      </c>
      <c r="JG40" s="61">
        <f t="shared" si="338"/>
        <v>14218.836838295005</v>
      </c>
      <c r="JH40" s="61">
        <f t="shared" si="339"/>
        <v>0</v>
      </c>
      <c r="JI40" s="61">
        <f t="shared" si="340"/>
        <v>0</v>
      </c>
      <c r="JJ40" s="61">
        <f t="shared" si="341"/>
        <v>10664.127628721253</v>
      </c>
      <c r="JK40" s="61">
        <f t="shared" si="342"/>
        <v>0</v>
      </c>
      <c r="JL40" s="61">
        <f t="shared" si="343"/>
        <v>74823.481233382889</v>
      </c>
      <c r="JM40" s="61">
        <f t="shared" si="344"/>
        <v>0</v>
      </c>
      <c r="JN40" s="61">
        <f t="shared" si="345"/>
        <v>0</v>
      </c>
      <c r="JO40" s="61">
        <f t="shared" si="346"/>
        <v>845330.30194587947</v>
      </c>
      <c r="JQ40" s="26">
        <f t="shared" si="209"/>
        <v>3470223.9999999991</v>
      </c>
      <c r="JR40" s="156">
        <f t="shared" si="210"/>
        <v>0.99999999999999978</v>
      </c>
      <c r="JT40" s="157">
        <f t="shared" si="347"/>
        <v>0</v>
      </c>
      <c r="JU40" s="29">
        <f t="shared" si="348"/>
        <v>0</v>
      </c>
    </row>
    <row r="41" spans="1:281" ht="18.75" outlineLevel="1" x14ac:dyDescent="0.3">
      <c r="A41" t="s">
        <v>69</v>
      </c>
      <c r="B41" t="s">
        <v>10</v>
      </c>
      <c r="C41" t="s">
        <v>33</v>
      </c>
      <c r="D41" t="s">
        <v>25</v>
      </c>
      <c r="E41" t="s">
        <v>35</v>
      </c>
      <c r="F41" s="113">
        <v>124.00000000000001</v>
      </c>
      <c r="G41" s="15">
        <v>993800</v>
      </c>
      <c r="H41" s="20">
        <v>621125</v>
      </c>
      <c r="I41" s="23">
        <v>1.6</v>
      </c>
      <c r="J41" s="9">
        <v>0</v>
      </c>
      <c r="K41" s="9">
        <v>3.3299275869560488E-3</v>
      </c>
      <c r="L41" s="9">
        <v>0</v>
      </c>
      <c r="M41" s="9">
        <v>0</v>
      </c>
      <c r="N41" s="9">
        <v>0</v>
      </c>
      <c r="O41" s="9">
        <v>2.0138546937758208E-2</v>
      </c>
      <c r="P41" s="9">
        <v>0</v>
      </c>
      <c r="Q41" s="9">
        <v>7.2044027593464038E-3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6.2405134361561219E-2</v>
      </c>
      <c r="X41" s="9">
        <v>0</v>
      </c>
      <c r="Y41" s="9">
        <v>1.6649637934780241E-2</v>
      </c>
      <c r="Z41" s="9">
        <v>4.9948913804340727E-3</v>
      </c>
      <c r="AA41" s="9">
        <v>1.3319710347824195E-2</v>
      </c>
      <c r="AB41" s="9">
        <v>0</v>
      </c>
      <c r="AC41" s="9">
        <v>0</v>
      </c>
      <c r="AD41" s="9">
        <v>9.9897827608681454E-3</v>
      </c>
      <c r="AE41" s="9">
        <v>0</v>
      </c>
      <c r="AF41" s="9">
        <v>7.009202711717917E-2</v>
      </c>
      <c r="AG41" s="9">
        <v>0</v>
      </c>
      <c r="AH41" s="9">
        <v>0</v>
      </c>
      <c r="AI41" s="9">
        <v>0.79187593881329232</v>
      </c>
      <c r="AJ41" s="8">
        <f t="shared" si="124"/>
        <v>1</v>
      </c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9"/>
      <c r="BM41" s="26">
        <f t="shared" si="150"/>
        <v>0</v>
      </c>
      <c r="BN41" s="26">
        <f t="shared" si="151"/>
        <v>3309.2820359169214</v>
      </c>
      <c r="BO41" s="26">
        <f t="shared" si="152"/>
        <v>0</v>
      </c>
      <c r="BP41" s="26">
        <f t="shared" si="153"/>
        <v>0</v>
      </c>
      <c r="BQ41" s="26">
        <f t="shared" si="154"/>
        <v>0</v>
      </c>
      <c r="BR41" s="26">
        <f t="shared" si="155"/>
        <v>20013.687946744107</v>
      </c>
      <c r="BS41" s="26">
        <f t="shared" si="156"/>
        <v>0</v>
      </c>
      <c r="BT41" s="26">
        <f t="shared" si="157"/>
        <v>7159.7354622384564</v>
      </c>
      <c r="BU41" s="26">
        <f t="shared" si="158"/>
        <v>0</v>
      </c>
      <c r="BV41" s="26">
        <f t="shared" si="159"/>
        <v>0</v>
      </c>
      <c r="BW41" s="26">
        <f t="shared" si="160"/>
        <v>0</v>
      </c>
      <c r="BX41" s="26">
        <f t="shared" si="161"/>
        <v>0</v>
      </c>
      <c r="BY41" s="26">
        <f t="shared" si="162"/>
        <v>0</v>
      </c>
      <c r="BZ41" s="26">
        <f t="shared" si="163"/>
        <v>62018.222528519538</v>
      </c>
      <c r="CA41" s="26">
        <f t="shared" si="164"/>
        <v>0</v>
      </c>
      <c r="CB41" s="26">
        <f t="shared" si="165"/>
        <v>16546.410179584604</v>
      </c>
      <c r="CC41" s="26">
        <f t="shared" si="166"/>
        <v>4963.9230538753818</v>
      </c>
      <c r="CD41" s="26">
        <f t="shared" si="167"/>
        <v>13237.128143667685</v>
      </c>
      <c r="CE41" s="26">
        <f t="shared" si="168"/>
        <v>0</v>
      </c>
      <c r="CF41" s="26">
        <f t="shared" si="169"/>
        <v>0</v>
      </c>
      <c r="CG41" s="26">
        <f t="shared" si="170"/>
        <v>9927.8461077507636</v>
      </c>
      <c r="CH41" s="26">
        <f t="shared" si="171"/>
        <v>0</v>
      </c>
      <c r="CI41" s="26">
        <f t="shared" si="172"/>
        <v>69657.456549052658</v>
      </c>
      <c r="CJ41" s="26">
        <f t="shared" si="173"/>
        <v>0</v>
      </c>
      <c r="CK41" s="26">
        <f t="shared" si="174"/>
        <v>0</v>
      </c>
      <c r="CL41" s="26">
        <f t="shared" si="175"/>
        <v>786966.30799264996</v>
      </c>
      <c r="CM41" s="110">
        <f t="shared" si="176"/>
        <v>1</v>
      </c>
      <c r="CN41" s="27">
        <f t="shared" si="177"/>
        <v>0</v>
      </c>
      <c r="CO41" s="27">
        <f t="shared" si="178"/>
        <v>2068.3012724480759</v>
      </c>
      <c r="CP41" s="27">
        <f t="shared" si="179"/>
        <v>0</v>
      </c>
      <c r="CQ41" s="27">
        <f t="shared" si="180"/>
        <v>0</v>
      </c>
      <c r="CR41" s="27">
        <f t="shared" si="181"/>
        <v>0</v>
      </c>
      <c r="CS41" s="27">
        <f t="shared" si="182"/>
        <v>12508.554966715066</v>
      </c>
      <c r="CT41" s="27">
        <f t="shared" si="183"/>
        <v>0</v>
      </c>
      <c r="CU41" s="27">
        <f t="shared" si="184"/>
        <v>4474.8346638990351</v>
      </c>
      <c r="CV41" s="27">
        <f t="shared" si="185"/>
        <v>0</v>
      </c>
      <c r="CW41" s="27">
        <f t="shared" si="186"/>
        <v>0</v>
      </c>
      <c r="CX41" s="27">
        <f t="shared" si="187"/>
        <v>0</v>
      </c>
      <c r="CY41" s="27">
        <f t="shared" si="188"/>
        <v>0</v>
      </c>
      <c r="CZ41" s="27">
        <f t="shared" si="189"/>
        <v>0</v>
      </c>
      <c r="DA41" s="27">
        <f t="shared" si="190"/>
        <v>38761.389080324712</v>
      </c>
      <c r="DB41" s="27">
        <f t="shared" si="191"/>
        <v>0</v>
      </c>
      <c r="DC41" s="27">
        <f t="shared" si="192"/>
        <v>10341.506362240378</v>
      </c>
      <c r="DD41" s="27">
        <f t="shared" si="193"/>
        <v>3102.4519086721134</v>
      </c>
      <c r="DE41" s="27">
        <f t="shared" si="194"/>
        <v>8273.2050897923036</v>
      </c>
      <c r="DF41" s="27">
        <f t="shared" si="195"/>
        <v>0</v>
      </c>
      <c r="DG41" s="27">
        <f t="shared" si="196"/>
        <v>0</v>
      </c>
      <c r="DH41" s="27">
        <f t="shared" si="197"/>
        <v>6204.9038173442268</v>
      </c>
      <c r="DI41" s="27">
        <f t="shared" si="198"/>
        <v>0</v>
      </c>
      <c r="DJ41" s="27">
        <f t="shared" si="199"/>
        <v>43535.910343157913</v>
      </c>
      <c r="DK41" s="27">
        <f t="shared" si="200"/>
        <v>0</v>
      </c>
      <c r="DL41" s="27">
        <f t="shared" si="201"/>
        <v>0</v>
      </c>
      <c r="DM41" s="27">
        <f t="shared" si="202"/>
        <v>491853.9424954062</v>
      </c>
      <c r="DN41" s="110">
        <f t="shared" si="203"/>
        <v>1</v>
      </c>
      <c r="DO41" s="28">
        <f t="shared" si="211"/>
        <v>0</v>
      </c>
      <c r="DP41" s="28">
        <f t="shared" si="212"/>
        <v>1240.9807634688455</v>
      </c>
      <c r="DQ41" s="28">
        <f t="shared" si="213"/>
        <v>0</v>
      </c>
      <c r="DR41" s="28">
        <f t="shared" si="214"/>
        <v>0</v>
      </c>
      <c r="DS41" s="28">
        <f t="shared" si="215"/>
        <v>0</v>
      </c>
      <c r="DT41" s="28">
        <f t="shared" si="216"/>
        <v>7505.1329800290405</v>
      </c>
      <c r="DU41" s="28">
        <f t="shared" si="217"/>
        <v>0</v>
      </c>
      <c r="DV41" s="28">
        <f t="shared" si="218"/>
        <v>2684.9007983394213</v>
      </c>
      <c r="DW41" s="28">
        <f t="shared" si="219"/>
        <v>0</v>
      </c>
      <c r="DX41" s="28">
        <f t="shared" si="220"/>
        <v>0</v>
      </c>
      <c r="DY41" s="28">
        <f t="shared" si="221"/>
        <v>0</v>
      </c>
      <c r="DZ41" s="28">
        <f t="shared" si="222"/>
        <v>0</v>
      </c>
      <c r="EA41" s="28">
        <f t="shared" si="223"/>
        <v>0</v>
      </c>
      <c r="EB41" s="28">
        <f t="shared" si="224"/>
        <v>23256.833448194826</v>
      </c>
      <c r="EC41" s="28">
        <f t="shared" si="225"/>
        <v>0</v>
      </c>
      <c r="ED41" s="28">
        <f t="shared" si="226"/>
        <v>6204.9038173442259</v>
      </c>
      <c r="EE41" s="28">
        <f t="shared" si="227"/>
        <v>1861.4711452032684</v>
      </c>
      <c r="EF41" s="28">
        <f t="shared" si="228"/>
        <v>4963.9230538753818</v>
      </c>
      <c r="EG41" s="28">
        <f t="shared" si="229"/>
        <v>0</v>
      </c>
      <c r="EH41" s="28">
        <f t="shared" si="230"/>
        <v>0</v>
      </c>
      <c r="EI41" s="28">
        <f t="shared" si="231"/>
        <v>3722.9422904065368</v>
      </c>
      <c r="EJ41" s="28">
        <f t="shared" si="232"/>
        <v>0</v>
      </c>
      <c r="EK41" s="28">
        <f t="shared" si="233"/>
        <v>26121.546205894745</v>
      </c>
      <c r="EL41" s="28">
        <f t="shared" si="234"/>
        <v>0</v>
      </c>
      <c r="EM41" s="28">
        <f t="shared" si="235"/>
        <v>0</v>
      </c>
      <c r="EN41" s="28">
        <f t="shared" si="236"/>
        <v>295112.36549724377</v>
      </c>
      <c r="EQ41" s="144">
        <v>4.0080301059775315E-2</v>
      </c>
      <c r="ER41" s="144">
        <v>6.0116656653000471E-2</v>
      </c>
      <c r="ES41" s="144">
        <v>7.0138629386275547E-2</v>
      </c>
      <c r="ET41" s="144">
        <v>8.1160515430997462E-2</v>
      </c>
      <c r="EU41" s="144">
        <v>8.1160515430997462E-2</v>
      </c>
      <c r="EV41" s="144">
        <v>8.1160515430997462E-2</v>
      </c>
      <c r="EW41" s="144">
        <v>8.8175138356940824E-2</v>
      </c>
      <c r="EX41" s="144">
        <v>9.0182564852992614E-2</v>
      </c>
      <c r="EY41" s="144">
        <v>0.10019695771277579</v>
      </c>
      <c r="EZ41" s="144">
        <v>9.7197177779102875E-2</v>
      </c>
      <c r="FA41" s="144">
        <v>0.10019695771277579</v>
      </c>
      <c r="FB41" s="144">
        <v>0.11023407019336848</v>
      </c>
      <c r="FC41" s="145">
        <f t="shared" si="237"/>
        <v>1</v>
      </c>
      <c r="FD41" s="146">
        <f t="shared" si="238"/>
        <v>0.17033558709905133</v>
      </c>
      <c r="FE41" s="146">
        <f t="shared" si="239"/>
        <v>0.2434815462929924</v>
      </c>
      <c r="FF41" s="146">
        <f t="shared" si="240"/>
        <v>0.2785546609227092</v>
      </c>
      <c r="FG41" s="146">
        <f t="shared" si="241"/>
        <v>0.30762820568524718</v>
      </c>
      <c r="FH41" s="145">
        <f t="shared" si="375"/>
        <v>1</v>
      </c>
      <c r="FJ41" s="52">
        <f t="shared" si="243"/>
        <v>0</v>
      </c>
      <c r="FK41" s="52">
        <f t="shared" si="244"/>
        <v>563.68849846425269</v>
      </c>
      <c r="FL41" s="52">
        <f t="shared" si="245"/>
        <v>0</v>
      </c>
      <c r="FM41" s="52">
        <f t="shared" si="246"/>
        <v>0</v>
      </c>
      <c r="FN41" s="52">
        <f t="shared" si="247"/>
        <v>0</v>
      </c>
      <c r="FO41" s="52">
        <f t="shared" si="248"/>
        <v>3409.0432864258646</v>
      </c>
      <c r="FP41" s="52">
        <f t="shared" si="249"/>
        <v>0</v>
      </c>
      <c r="FQ41" s="52">
        <f t="shared" si="250"/>
        <v>1219.5577434342852</v>
      </c>
      <c r="FR41" s="52">
        <f t="shared" si="251"/>
        <v>0</v>
      </c>
      <c r="FS41" s="52">
        <f t="shared" si="252"/>
        <v>0</v>
      </c>
      <c r="FT41" s="52">
        <f t="shared" si="253"/>
        <v>0</v>
      </c>
      <c r="FU41" s="52">
        <f t="shared" si="254"/>
        <v>0</v>
      </c>
      <c r="FV41" s="52">
        <f t="shared" si="255"/>
        <v>0</v>
      </c>
      <c r="FW41" s="52">
        <f t="shared" si="256"/>
        <v>10563.910345234988</v>
      </c>
      <c r="FX41" s="52">
        <f t="shared" si="257"/>
        <v>0</v>
      </c>
      <c r="FY41" s="52">
        <f t="shared" si="258"/>
        <v>2818.4424923212628</v>
      </c>
      <c r="FZ41" s="52">
        <f t="shared" si="259"/>
        <v>845.53274769637903</v>
      </c>
      <c r="GA41" s="52">
        <f t="shared" si="260"/>
        <v>2254.7539938570108</v>
      </c>
      <c r="GB41" s="52">
        <f t="shared" si="261"/>
        <v>0</v>
      </c>
      <c r="GC41" s="52">
        <f t="shared" si="262"/>
        <v>0</v>
      </c>
      <c r="GD41" s="52">
        <f t="shared" si="263"/>
        <v>1691.0654953927581</v>
      </c>
      <c r="GE41" s="52">
        <f t="shared" si="264"/>
        <v>0</v>
      </c>
      <c r="GF41" s="52">
        <f t="shared" si="265"/>
        <v>11865.143757109543</v>
      </c>
      <c r="GG41" s="52">
        <f t="shared" si="266"/>
        <v>0</v>
      </c>
      <c r="GH41" s="52">
        <f t="shared" si="267"/>
        <v>0</v>
      </c>
      <c r="GI41" s="52">
        <f t="shared" si="268"/>
        <v>134048.36809910089</v>
      </c>
      <c r="GJ41" s="26"/>
      <c r="GL41" s="150">
        <f t="shared" si="269"/>
        <v>0</v>
      </c>
      <c r="GM41" s="150">
        <f t="shared" si="270"/>
        <v>805.74910722467405</v>
      </c>
      <c r="GN41" s="150">
        <f t="shared" si="271"/>
        <v>0</v>
      </c>
      <c r="GO41" s="150">
        <f t="shared" si="272"/>
        <v>0</v>
      </c>
      <c r="GP41" s="150">
        <f t="shared" si="273"/>
        <v>0</v>
      </c>
      <c r="GQ41" s="150">
        <f t="shared" si="274"/>
        <v>4872.9636882986797</v>
      </c>
      <c r="GR41" s="150">
        <f t="shared" si="275"/>
        <v>0</v>
      </c>
      <c r="GS41" s="150">
        <f t="shared" si="276"/>
        <v>1743.263461394592</v>
      </c>
      <c r="GT41" s="150">
        <f t="shared" si="277"/>
        <v>0</v>
      </c>
      <c r="GU41" s="150">
        <f t="shared" si="278"/>
        <v>0</v>
      </c>
      <c r="GV41" s="150">
        <f t="shared" si="279"/>
        <v>0</v>
      </c>
      <c r="GW41" s="150">
        <f t="shared" si="280"/>
        <v>0</v>
      </c>
      <c r="GX41" s="150">
        <f t="shared" si="281"/>
        <v>0</v>
      </c>
      <c r="GY41" s="150">
        <f t="shared" si="282"/>
        <v>15100.292719586834</v>
      </c>
      <c r="GZ41" s="150">
        <f t="shared" si="283"/>
        <v>0</v>
      </c>
      <c r="HA41" s="150">
        <f t="shared" si="284"/>
        <v>4028.7455361233692</v>
      </c>
      <c r="HB41" s="150">
        <f t="shared" si="285"/>
        <v>1208.6236608370109</v>
      </c>
      <c r="HC41" s="150">
        <f t="shared" si="286"/>
        <v>3222.9964288986962</v>
      </c>
      <c r="HD41" s="150">
        <f t="shared" si="287"/>
        <v>0</v>
      </c>
      <c r="HE41" s="150">
        <f t="shared" si="288"/>
        <v>0</v>
      </c>
      <c r="HF41" s="150">
        <f t="shared" si="289"/>
        <v>2417.2473216740218</v>
      </c>
      <c r="HG41" s="150">
        <f t="shared" si="290"/>
        <v>0</v>
      </c>
      <c r="HH41" s="150">
        <f t="shared" si="291"/>
        <v>16960.305231400271</v>
      </c>
      <c r="HI41" s="150">
        <f t="shared" si="292"/>
        <v>0</v>
      </c>
      <c r="HJ41" s="150">
        <f t="shared" si="293"/>
        <v>0</v>
      </c>
      <c r="HK41" s="150">
        <f t="shared" si="294"/>
        <v>191611.77355053771</v>
      </c>
      <c r="HL41" s="26"/>
      <c r="HN41" s="147">
        <f t="shared" si="295"/>
        <v>0</v>
      </c>
      <c r="HO41" s="147">
        <f t="shared" si="296"/>
        <v>921.81593541245081</v>
      </c>
      <c r="HP41" s="147">
        <f t="shared" si="297"/>
        <v>0</v>
      </c>
      <c r="HQ41" s="147">
        <f t="shared" si="298"/>
        <v>0</v>
      </c>
      <c r="HR41" s="147">
        <f t="shared" si="299"/>
        <v>0</v>
      </c>
      <c r="HS41" s="147">
        <f t="shared" si="300"/>
        <v>5574.9060598182168</v>
      </c>
      <c r="HT41" s="147">
        <f t="shared" si="301"/>
        <v>0</v>
      </c>
      <c r="HU41" s="147">
        <f t="shared" si="302"/>
        <v>1994.3776839801299</v>
      </c>
      <c r="HV41" s="147">
        <f t="shared" si="303"/>
        <v>0</v>
      </c>
      <c r="HW41" s="147">
        <f t="shared" si="304"/>
        <v>0</v>
      </c>
      <c r="HX41" s="147">
        <f t="shared" si="305"/>
        <v>0</v>
      </c>
      <c r="HY41" s="147">
        <f t="shared" si="306"/>
        <v>0</v>
      </c>
      <c r="HZ41" s="147">
        <f t="shared" si="307"/>
        <v>0</v>
      </c>
      <c r="IA41" s="147">
        <f t="shared" si="308"/>
        <v>17275.464947460885</v>
      </c>
      <c r="IB41" s="147">
        <f t="shared" si="309"/>
        <v>0</v>
      </c>
      <c r="IC41" s="147">
        <f t="shared" si="310"/>
        <v>4609.0796770622528</v>
      </c>
      <c r="ID41" s="147">
        <f t="shared" si="311"/>
        <v>1382.7239031186762</v>
      </c>
      <c r="IE41" s="147">
        <f t="shared" si="312"/>
        <v>3687.2637416498033</v>
      </c>
      <c r="IF41" s="147">
        <f t="shared" si="313"/>
        <v>0</v>
      </c>
      <c r="IG41" s="147">
        <f t="shared" si="314"/>
        <v>0</v>
      </c>
      <c r="IH41" s="147">
        <f t="shared" si="315"/>
        <v>2765.4478062373523</v>
      </c>
      <c r="II41" s="147">
        <f t="shared" si="316"/>
        <v>0</v>
      </c>
      <c r="IJ41" s="147">
        <f t="shared" si="317"/>
        <v>19403.409189759714</v>
      </c>
      <c r="IK41" s="147">
        <f t="shared" si="318"/>
        <v>0</v>
      </c>
      <c r="IL41" s="147">
        <f t="shared" si="319"/>
        <v>0</v>
      </c>
      <c r="IM41" s="147">
        <f t="shared" si="320"/>
        <v>219213.13308048894</v>
      </c>
      <c r="IN41" s="26"/>
      <c r="IP41" s="61">
        <f t="shared" si="321"/>
        <v>0</v>
      </c>
      <c r="IQ41" s="61">
        <f t="shared" si="322"/>
        <v>1018.0284948155443</v>
      </c>
      <c r="IR41" s="61">
        <f t="shared" si="323"/>
        <v>0</v>
      </c>
      <c r="IS41" s="61">
        <f t="shared" si="324"/>
        <v>0</v>
      </c>
      <c r="IT41" s="61">
        <f t="shared" si="325"/>
        <v>0</v>
      </c>
      <c r="IU41" s="61">
        <f t="shared" si="326"/>
        <v>6156.7749122013483</v>
      </c>
      <c r="IV41" s="61">
        <f t="shared" si="327"/>
        <v>0</v>
      </c>
      <c r="IW41" s="61">
        <f t="shared" si="328"/>
        <v>2202.5365734294501</v>
      </c>
      <c r="IX41" s="61">
        <f t="shared" si="329"/>
        <v>0</v>
      </c>
      <c r="IY41" s="61">
        <f t="shared" si="330"/>
        <v>0</v>
      </c>
      <c r="IZ41" s="61">
        <f t="shared" si="331"/>
        <v>0</v>
      </c>
      <c r="JA41" s="61">
        <f t="shared" si="332"/>
        <v>0</v>
      </c>
      <c r="JB41" s="61">
        <f t="shared" si="333"/>
        <v>0</v>
      </c>
      <c r="JC41" s="61">
        <f t="shared" si="334"/>
        <v>19078.55451623684</v>
      </c>
      <c r="JD41" s="61">
        <f t="shared" si="335"/>
        <v>0</v>
      </c>
      <c r="JE41" s="61">
        <f t="shared" si="336"/>
        <v>5090.1424740777202</v>
      </c>
      <c r="JF41" s="61">
        <f t="shared" si="337"/>
        <v>1527.0427422233163</v>
      </c>
      <c r="JG41" s="61">
        <f t="shared" si="338"/>
        <v>4072.1139792621771</v>
      </c>
      <c r="JH41" s="61">
        <f t="shared" si="339"/>
        <v>0</v>
      </c>
      <c r="JI41" s="61">
        <f t="shared" si="340"/>
        <v>0</v>
      </c>
      <c r="JJ41" s="61">
        <f t="shared" si="341"/>
        <v>3054.0854844466326</v>
      </c>
      <c r="JK41" s="61">
        <f t="shared" si="342"/>
        <v>0</v>
      </c>
      <c r="JL41" s="61">
        <f t="shared" si="343"/>
        <v>21428.59837078314</v>
      </c>
      <c r="JM41" s="61">
        <f t="shared" si="344"/>
        <v>0</v>
      </c>
      <c r="JN41" s="61">
        <f t="shared" si="345"/>
        <v>0</v>
      </c>
      <c r="JO41" s="61">
        <f t="shared" si="346"/>
        <v>242093.03326252251</v>
      </c>
      <c r="JQ41" s="26">
        <f t="shared" si="209"/>
        <v>993800.00000000023</v>
      </c>
      <c r="JR41" s="156">
        <f t="shared" si="210"/>
        <v>1.0000000000000002</v>
      </c>
      <c r="JT41" s="157">
        <f t="shared" si="347"/>
        <v>0</v>
      </c>
      <c r="JU41" s="29">
        <f t="shared" si="348"/>
        <v>0</v>
      </c>
    </row>
    <row r="42" spans="1:281" ht="18.75" outlineLevel="1" x14ac:dyDescent="0.3">
      <c r="A42" t="s">
        <v>69</v>
      </c>
      <c r="B42" t="s">
        <v>11</v>
      </c>
      <c r="C42" t="s">
        <v>33</v>
      </c>
      <c r="D42" t="s">
        <v>25</v>
      </c>
      <c r="E42" t="s">
        <v>36</v>
      </c>
      <c r="F42" s="113">
        <v>963.99999999999989</v>
      </c>
      <c r="G42" s="15">
        <v>6930364</v>
      </c>
      <c r="H42" s="20">
        <v>4708127.7173913047</v>
      </c>
      <c r="I42" s="23">
        <v>1.4700000169443563</v>
      </c>
      <c r="J42" s="9">
        <v>0</v>
      </c>
      <c r="K42" s="9">
        <v>3.3299275869560501E-3</v>
      </c>
      <c r="L42" s="9">
        <v>0</v>
      </c>
      <c r="M42" s="9">
        <v>0</v>
      </c>
      <c r="N42" s="9">
        <v>0</v>
      </c>
      <c r="O42" s="9">
        <v>2.0138546937758201E-2</v>
      </c>
      <c r="P42" s="9">
        <v>0</v>
      </c>
      <c r="Q42" s="9">
        <v>7.2044027593464004E-3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6.2405134361561199E-2</v>
      </c>
      <c r="X42" s="9">
        <v>0</v>
      </c>
      <c r="Y42" s="9">
        <v>1.66496379347802E-2</v>
      </c>
      <c r="Z42" s="9">
        <v>4.9948913804340701E-3</v>
      </c>
      <c r="AA42" s="9">
        <v>1.33197103478242E-2</v>
      </c>
      <c r="AB42" s="9">
        <v>0</v>
      </c>
      <c r="AC42" s="9">
        <v>0</v>
      </c>
      <c r="AD42" s="9">
        <v>9.9897827608681506E-3</v>
      </c>
      <c r="AE42" s="9">
        <v>0</v>
      </c>
      <c r="AF42" s="9">
        <v>7.0092027117179198E-2</v>
      </c>
      <c r="AG42" s="9">
        <v>0</v>
      </c>
      <c r="AH42" s="9">
        <v>0</v>
      </c>
      <c r="AI42" s="9">
        <v>0.79187593881329199</v>
      </c>
      <c r="AJ42" s="8">
        <f t="shared" si="124"/>
        <v>0.99999999999999967</v>
      </c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9"/>
      <c r="BM42" s="26">
        <f t="shared" si="150"/>
        <v>0</v>
      </c>
      <c r="BN42" s="26">
        <f t="shared" si="151"/>
        <v>23077.610271247078</v>
      </c>
      <c r="BO42" s="26">
        <f t="shared" si="152"/>
        <v>0</v>
      </c>
      <c r="BP42" s="26">
        <f t="shared" si="153"/>
        <v>0</v>
      </c>
      <c r="BQ42" s="26">
        <f t="shared" si="154"/>
        <v>0</v>
      </c>
      <c r="BR42" s="26">
        <f t="shared" si="155"/>
        <v>139567.46070974969</v>
      </c>
      <c r="BS42" s="26">
        <f t="shared" si="156"/>
        <v>0</v>
      </c>
      <c r="BT42" s="26">
        <f t="shared" si="157"/>
        <v>49929.13352487496</v>
      </c>
      <c r="BU42" s="26">
        <f t="shared" si="158"/>
        <v>0</v>
      </c>
      <c r="BV42" s="26">
        <f t="shared" si="159"/>
        <v>0</v>
      </c>
      <c r="BW42" s="26">
        <f t="shared" si="160"/>
        <v>0</v>
      </c>
      <c r="BX42" s="26">
        <f t="shared" si="161"/>
        <v>0</v>
      </c>
      <c r="BY42" s="26">
        <f t="shared" si="162"/>
        <v>0</v>
      </c>
      <c r="BZ42" s="26">
        <f t="shared" si="163"/>
        <v>432490.29659452674</v>
      </c>
      <c r="CA42" s="26">
        <f t="shared" si="164"/>
        <v>0</v>
      </c>
      <c r="CB42" s="26">
        <f t="shared" si="165"/>
        <v>115388.05135623504</v>
      </c>
      <c r="CC42" s="26">
        <f t="shared" si="166"/>
        <v>34616.415406870583</v>
      </c>
      <c r="CD42" s="26">
        <f t="shared" si="167"/>
        <v>92310.441084988313</v>
      </c>
      <c r="CE42" s="26">
        <f t="shared" si="168"/>
        <v>0</v>
      </c>
      <c r="CF42" s="26">
        <f t="shared" si="169"/>
        <v>0</v>
      </c>
      <c r="CG42" s="26">
        <f t="shared" si="170"/>
        <v>69232.830813741239</v>
      </c>
      <c r="CH42" s="26">
        <f t="shared" si="171"/>
        <v>0</v>
      </c>
      <c r="CI42" s="26">
        <f t="shared" si="172"/>
        <v>485763.26141992252</v>
      </c>
      <c r="CJ42" s="26">
        <f t="shared" si="173"/>
        <v>0</v>
      </c>
      <c r="CK42" s="26">
        <f t="shared" si="174"/>
        <v>0</v>
      </c>
      <c r="CL42" s="26">
        <f t="shared" si="175"/>
        <v>5487988.4988178415</v>
      </c>
      <c r="CM42" s="110">
        <f t="shared" si="176"/>
        <v>0.99999999999999978</v>
      </c>
      <c r="CN42" s="27">
        <f t="shared" si="177"/>
        <v>0</v>
      </c>
      <c r="CO42" s="27">
        <f t="shared" si="178"/>
        <v>15677.724369053723</v>
      </c>
      <c r="CP42" s="27">
        <f t="shared" si="179"/>
        <v>0</v>
      </c>
      <c r="CQ42" s="27">
        <f t="shared" si="180"/>
        <v>0</v>
      </c>
      <c r="CR42" s="27">
        <f t="shared" si="181"/>
        <v>0</v>
      </c>
      <c r="CS42" s="27">
        <f t="shared" si="182"/>
        <v>94814.85102564517</v>
      </c>
      <c r="CT42" s="27">
        <f t="shared" si="183"/>
        <v>0</v>
      </c>
      <c r="CU42" s="27">
        <f t="shared" si="184"/>
        <v>33919.248318529186</v>
      </c>
      <c r="CV42" s="27">
        <f t="shared" si="185"/>
        <v>0</v>
      </c>
      <c r="CW42" s="27">
        <f t="shared" si="186"/>
        <v>0</v>
      </c>
      <c r="CX42" s="27">
        <f t="shared" si="187"/>
        <v>0</v>
      </c>
      <c r="CY42" s="27">
        <f t="shared" si="188"/>
        <v>0</v>
      </c>
      <c r="CZ42" s="27">
        <f t="shared" si="189"/>
        <v>0</v>
      </c>
      <c r="DA42" s="27">
        <f t="shared" si="190"/>
        <v>293811.34279519483</v>
      </c>
      <c r="DB42" s="27">
        <f t="shared" si="191"/>
        <v>0</v>
      </c>
      <c r="DC42" s="27">
        <f t="shared" si="192"/>
        <v>78388.621845268382</v>
      </c>
      <c r="DD42" s="27">
        <f t="shared" si="193"/>
        <v>23516.586553580561</v>
      </c>
      <c r="DE42" s="27">
        <f t="shared" si="194"/>
        <v>62710.897476214894</v>
      </c>
      <c r="DF42" s="27">
        <f t="shared" si="195"/>
        <v>0</v>
      </c>
      <c r="DG42" s="27">
        <f t="shared" si="196"/>
        <v>0</v>
      </c>
      <c r="DH42" s="27">
        <f t="shared" si="197"/>
        <v>47033.173107161172</v>
      </c>
      <c r="DI42" s="27">
        <f t="shared" si="198"/>
        <v>0</v>
      </c>
      <c r="DJ42" s="27">
        <f t="shared" si="199"/>
        <v>330002.21563853434</v>
      </c>
      <c r="DK42" s="27">
        <f t="shared" si="200"/>
        <v>0</v>
      </c>
      <c r="DL42" s="27">
        <f t="shared" si="201"/>
        <v>0</v>
      </c>
      <c r="DM42" s="27">
        <f t="shared" si="202"/>
        <v>3728253.0562621211</v>
      </c>
      <c r="DN42" s="110">
        <f t="shared" si="203"/>
        <v>0.99999999999999978</v>
      </c>
      <c r="DO42" s="28">
        <f t="shared" si="211"/>
        <v>0</v>
      </c>
      <c r="DP42" s="28">
        <f t="shared" si="212"/>
        <v>7399.8859021933549</v>
      </c>
      <c r="DQ42" s="28">
        <f t="shared" si="213"/>
        <v>0</v>
      </c>
      <c r="DR42" s="28">
        <f t="shared" si="214"/>
        <v>0</v>
      </c>
      <c r="DS42" s="28">
        <f t="shared" si="215"/>
        <v>0</v>
      </c>
      <c r="DT42" s="28">
        <f t="shared" si="216"/>
        <v>44752.609684104522</v>
      </c>
      <c r="DU42" s="28">
        <f t="shared" si="217"/>
        <v>0</v>
      </c>
      <c r="DV42" s="28">
        <f t="shared" si="218"/>
        <v>16009.885206345774</v>
      </c>
      <c r="DW42" s="28">
        <f t="shared" si="219"/>
        <v>0</v>
      </c>
      <c r="DX42" s="28">
        <f t="shared" si="220"/>
        <v>0</v>
      </c>
      <c r="DY42" s="28">
        <f t="shared" si="221"/>
        <v>0</v>
      </c>
      <c r="DZ42" s="28">
        <f t="shared" si="222"/>
        <v>0</v>
      </c>
      <c r="EA42" s="28">
        <f t="shared" si="223"/>
        <v>0</v>
      </c>
      <c r="EB42" s="28">
        <f t="shared" si="224"/>
        <v>138678.95379933191</v>
      </c>
      <c r="EC42" s="28">
        <f t="shared" si="225"/>
        <v>0</v>
      </c>
      <c r="ED42" s="28">
        <f t="shared" si="226"/>
        <v>36999.429510966656</v>
      </c>
      <c r="EE42" s="28">
        <f t="shared" si="227"/>
        <v>11099.828853290022</v>
      </c>
      <c r="EF42" s="28">
        <f t="shared" si="228"/>
        <v>29599.54360877342</v>
      </c>
      <c r="EG42" s="28">
        <f t="shared" si="229"/>
        <v>0</v>
      </c>
      <c r="EH42" s="28">
        <f t="shared" si="230"/>
        <v>0</v>
      </c>
      <c r="EI42" s="28">
        <f t="shared" si="231"/>
        <v>22199.657706580067</v>
      </c>
      <c r="EJ42" s="28">
        <f t="shared" si="232"/>
        <v>0</v>
      </c>
      <c r="EK42" s="28">
        <f t="shared" si="233"/>
        <v>155761.04578138818</v>
      </c>
      <c r="EL42" s="28">
        <f t="shared" si="234"/>
        <v>0</v>
      </c>
      <c r="EM42" s="28">
        <f t="shared" si="235"/>
        <v>0</v>
      </c>
      <c r="EN42" s="28">
        <f t="shared" si="236"/>
        <v>1759735.4425557205</v>
      </c>
      <c r="EQ42" s="144">
        <v>4.0079718461664311E-2</v>
      </c>
      <c r="ER42" s="144">
        <v>6.0120046979246541E-2</v>
      </c>
      <c r="ES42" s="144">
        <v>7.0140210523750357E-2</v>
      </c>
      <c r="ET42" s="144">
        <v>8.1162016279021629E-2</v>
      </c>
      <c r="EU42" s="144">
        <v>8.1162016279021629E-2</v>
      </c>
      <c r="EV42" s="144">
        <v>8.1162016279021629E-2</v>
      </c>
      <c r="EW42" s="144">
        <v>8.817631890344671E-2</v>
      </c>
      <c r="EX42" s="144">
        <v>9.0180539041332594E-2</v>
      </c>
      <c r="EY42" s="144">
        <v>0.10020070401441099</v>
      </c>
      <c r="EZ42" s="144">
        <v>9.7194841665757647E-2</v>
      </c>
      <c r="FA42" s="144">
        <v>0.10020070401441099</v>
      </c>
      <c r="FB42" s="144">
        <v>0.1102208675589148</v>
      </c>
      <c r="FC42" s="145">
        <f t="shared" si="237"/>
        <v>0.99999999999999978</v>
      </c>
      <c r="FD42" s="146">
        <f t="shared" si="238"/>
        <v>0.17033997596466122</v>
      </c>
      <c r="FE42" s="146">
        <f t="shared" si="239"/>
        <v>0.24348604883706487</v>
      </c>
      <c r="FF42" s="146">
        <f t="shared" si="240"/>
        <v>0.27855756195919029</v>
      </c>
      <c r="FG42" s="146">
        <f t="shared" si="241"/>
        <v>0.30761641323908345</v>
      </c>
      <c r="FH42" s="145">
        <f t="shared" si="375"/>
        <v>0.99999999999999978</v>
      </c>
      <c r="FJ42" s="52">
        <f t="shared" si="243"/>
        <v>0</v>
      </c>
      <c r="FK42" s="52">
        <f t="shared" si="244"/>
        <v>3931.039578926046</v>
      </c>
      <c r="FL42" s="52">
        <f t="shared" si="245"/>
        <v>0</v>
      </c>
      <c r="FM42" s="52">
        <f t="shared" si="246"/>
        <v>0</v>
      </c>
      <c r="FN42" s="52">
        <f t="shared" si="247"/>
        <v>0</v>
      </c>
      <c r="FO42" s="52">
        <f t="shared" si="248"/>
        <v>23773.917902747562</v>
      </c>
      <c r="FP42" s="52">
        <f t="shared" si="249"/>
        <v>0</v>
      </c>
      <c r="FQ42" s="52">
        <f t="shared" si="250"/>
        <v>8504.9274045635611</v>
      </c>
      <c r="FR42" s="52">
        <f t="shared" si="251"/>
        <v>0</v>
      </c>
      <c r="FS42" s="52">
        <f t="shared" si="252"/>
        <v>0</v>
      </c>
      <c r="FT42" s="52">
        <f t="shared" si="253"/>
        <v>0</v>
      </c>
      <c r="FU42" s="52">
        <f t="shared" si="254"/>
        <v>0</v>
      </c>
      <c r="FV42" s="52">
        <f t="shared" si="255"/>
        <v>0</v>
      </c>
      <c r="FW42" s="52">
        <f t="shared" si="256"/>
        <v>73670.386726860888</v>
      </c>
      <c r="FX42" s="52">
        <f t="shared" si="257"/>
        <v>0</v>
      </c>
      <c r="FY42" s="52">
        <f t="shared" si="258"/>
        <v>19655.197894630172</v>
      </c>
      <c r="FZ42" s="52">
        <f t="shared" si="259"/>
        <v>5896.5593683890629</v>
      </c>
      <c r="GA42" s="52">
        <f t="shared" si="260"/>
        <v>15724.158315704184</v>
      </c>
      <c r="GB42" s="52">
        <f t="shared" si="261"/>
        <v>0</v>
      </c>
      <c r="GC42" s="52">
        <f t="shared" si="262"/>
        <v>0</v>
      </c>
      <c r="GD42" s="52">
        <f t="shared" si="263"/>
        <v>11793.118736778139</v>
      </c>
      <c r="GE42" s="52">
        <f t="shared" si="264"/>
        <v>0</v>
      </c>
      <c r="GF42" s="52">
        <f t="shared" si="265"/>
        <v>82744.902274785039</v>
      </c>
      <c r="GG42" s="52">
        <f t="shared" si="266"/>
        <v>0</v>
      </c>
      <c r="GH42" s="52">
        <f t="shared" si="267"/>
        <v>0</v>
      </c>
      <c r="GI42" s="52">
        <f t="shared" si="268"/>
        <v>934823.82898296835</v>
      </c>
      <c r="GJ42" s="26"/>
      <c r="GL42" s="150">
        <f t="shared" si="269"/>
        <v>0</v>
      </c>
      <c r="GM42" s="150">
        <f t="shared" si="270"/>
        <v>5619.0761415476163</v>
      </c>
      <c r="GN42" s="150">
        <f t="shared" si="271"/>
        <v>0</v>
      </c>
      <c r="GO42" s="150">
        <f t="shared" si="272"/>
        <v>0</v>
      </c>
      <c r="GP42" s="150">
        <f t="shared" si="273"/>
        <v>0</v>
      </c>
      <c r="GQ42" s="150">
        <f t="shared" si="274"/>
        <v>33982.729554439247</v>
      </c>
      <c r="GR42" s="150">
        <f t="shared" si="275"/>
        <v>0</v>
      </c>
      <c r="GS42" s="150">
        <f t="shared" si="276"/>
        <v>12157.047443830037</v>
      </c>
      <c r="GT42" s="150">
        <f t="shared" si="277"/>
        <v>0</v>
      </c>
      <c r="GU42" s="150">
        <f t="shared" si="278"/>
        <v>0</v>
      </c>
      <c r="GV42" s="150">
        <f t="shared" si="279"/>
        <v>0</v>
      </c>
      <c r="GW42" s="150">
        <f t="shared" si="280"/>
        <v>0</v>
      </c>
      <c r="GX42" s="150">
        <f t="shared" si="281"/>
        <v>0</v>
      </c>
      <c r="GY42" s="150">
        <f t="shared" si="282"/>
        <v>105305.35347817162</v>
      </c>
      <c r="GZ42" s="150">
        <f t="shared" si="283"/>
        <v>0</v>
      </c>
      <c r="HA42" s="150">
        <f t="shared" si="284"/>
        <v>28095.380707737993</v>
      </c>
      <c r="HB42" s="150">
        <f t="shared" si="285"/>
        <v>8428.6142123214158</v>
      </c>
      <c r="HC42" s="150">
        <f t="shared" si="286"/>
        <v>22476.304566190465</v>
      </c>
      <c r="HD42" s="150">
        <f t="shared" si="287"/>
        <v>0</v>
      </c>
      <c r="HE42" s="150">
        <f t="shared" si="288"/>
        <v>0</v>
      </c>
      <c r="HF42" s="150">
        <f t="shared" si="289"/>
        <v>16857.22842464285</v>
      </c>
      <c r="HG42" s="150">
        <f t="shared" si="290"/>
        <v>0</v>
      </c>
      <c r="HH42" s="150">
        <f t="shared" si="291"/>
        <v>118276.57719334317</v>
      </c>
      <c r="HI42" s="150">
        <f t="shared" si="292"/>
        <v>0</v>
      </c>
      <c r="HJ42" s="150">
        <f t="shared" si="293"/>
        <v>0</v>
      </c>
      <c r="HK42" s="150">
        <f t="shared" si="294"/>
        <v>1336248.6356404114</v>
      </c>
      <c r="HL42" s="26"/>
      <c r="HN42" s="147">
        <f t="shared" si="295"/>
        <v>0</v>
      </c>
      <c r="HO42" s="147">
        <f t="shared" si="296"/>
        <v>6428.4428530029545</v>
      </c>
      <c r="HP42" s="147">
        <f t="shared" si="297"/>
        <v>0</v>
      </c>
      <c r="HQ42" s="147">
        <f t="shared" si="298"/>
        <v>0</v>
      </c>
      <c r="HR42" s="147">
        <f t="shared" si="299"/>
        <v>0</v>
      </c>
      <c r="HS42" s="147">
        <f t="shared" si="300"/>
        <v>38877.571584142956</v>
      </c>
      <c r="HT42" s="147">
        <f t="shared" si="301"/>
        <v>0</v>
      </c>
      <c r="HU42" s="147">
        <f t="shared" si="302"/>
        <v>13908.137705424042</v>
      </c>
      <c r="HV42" s="147">
        <f t="shared" si="303"/>
        <v>0</v>
      </c>
      <c r="HW42" s="147">
        <f t="shared" si="304"/>
        <v>0</v>
      </c>
      <c r="HX42" s="147">
        <f t="shared" si="305"/>
        <v>0</v>
      </c>
      <c r="HY42" s="147">
        <f t="shared" si="306"/>
        <v>0</v>
      </c>
      <c r="HZ42" s="147">
        <f t="shared" si="307"/>
        <v>0</v>
      </c>
      <c r="IA42" s="147">
        <f t="shared" si="308"/>
        <v>120473.44259037847</v>
      </c>
      <c r="IB42" s="147">
        <f t="shared" si="309"/>
        <v>0</v>
      </c>
      <c r="IC42" s="147">
        <f t="shared" si="310"/>
        <v>32142.214265014674</v>
      </c>
      <c r="ID42" s="147">
        <f t="shared" si="311"/>
        <v>9642.6642795044227</v>
      </c>
      <c r="IE42" s="147">
        <f t="shared" si="312"/>
        <v>25713.771412011818</v>
      </c>
      <c r="IF42" s="147">
        <f t="shared" si="313"/>
        <v>0</v>
      </c>
      <c r="IG42" s="147">
        <f t="shared" si="314"/>
        <v>0</v>
      </c>
      <c r="IH42" s="147">
        <f t="shared" si="315"/>
        <v>19285.328559008864</v>
      </c>
      <c r="II42" s="147">
        <f t="shared" si="316"/>
        <v>0</v>
      </c>
      <c r="IJ42" s="147">
        <f t="shared" si="317"/>
        <v>135313.02979047841</v>
      </c>
      <c r="IK42" s="147">
        <f t="shared" si="318"/>
        <v>0</v>
      </c>
      <c r="IL42" s="147">
        <f t="shared" si="319"/>
        <v>0</v>
      </c>
      <c r="IM42" s="147">
        <f t="shared" si="320"/>
        <v>1528720.6962907745</v>
      </c>
      <c r="IN42" s="26"/>
      <c r="IP42" s="61">
        <f t="shared" si="321"/>
        <v>0</v>
      </c>
      <c r="IQ42" s="61">
        <f t="shared" si="322"/>
        <v>7099.0516977704583</v>
      </c>
      <c r="IR42" s="61">
        <f t="shared" si="323"/>
        <v>0</v>
      </c>
      <c r="IS42" s="61">
        <f t="shared" si="324"/>
        <v>0</v>
      </c>
      <c r="IT42" s="61">
        <f t="shared" si="325"/>
        <v>0</v>
      </c>
      <c r="IU42" s="61">
        <f t="shared" si="326"/>
        <v>42933.241668419905</v>
      </c>
      <c r="IV42" s="61">
        <f t="shared" si="327"/>
        <v>0</v>
      </c>
      <c r="IW42" s="61">
        <f t="shared" si="328"/>
        <v>15359.020971057311</v>
      </c>
      <c r="IX42" s="61">
        <f t="shared" si="329"/>
        <v>0</v>
      </c>
      <c r="IY42" s="61">
        <f t="shared" si="330"/>
        <v>0</v>
      </c>
      <c r="IZ42" s="61">
        <f t="shared" si="331"/>
        <v>0</v>
      </c>
      <c r="JA42" s="61">
        <f t="shared" si="332"/>
        <v>0</v>
      </c>
      <c r="JB42" s="61">
        <f t="shared" si="333"/>
        <v>0</v>
      </c>
      <c r="JC42" s="61">
        <f t="shared" si="334"/>
        <v>133041.1137991157</v>
      </c>
      <c r="JD42" s="61">
        <f t="shared" si="335"/>
        <v>0</v>
      </c>
      <c r="JE42" s="61">
        <f t="shared" si="336"/>
        <v>35495.258488852181</v>
      </c>
      <c r="JF42" s="61">
        <f t="shared" si="337"/>
        <v>10648.577546655677</v>
      </c>
      <c r="JG42" s="61">
        <f t="shared" si="338"/>
        <v>28396.206791081833</v>
      </c>
      <c r="JH42" s="61">
        <f t="shared" si="339"/>
        <v>0</v>
      </c>
      <c r="JI42" s="61">
        <f t="shared" si="340"/>
        <v>0</v>
      </c>
      <c r="JJ42" s="61">
        <f t="shared" si="341"/>
        <v>21297.155093311376</v>
      </c>
      <c r="JK42" s="61">
        <f t="shared" si="342"/>
        <v>0</v>
      </c>
      <c r="JL42" s="61">
        <f t="shared" si="343"/>
        <v>149428.75216131582</v>
      </c>
      <c r="JM42" s="61">
        <f t="shared" si="344"/>
        <v>0</v>
      </c>
      <c r="JN42" s="61">
        <f t="shared" si="345"/>
        <v>0</v>
      </c>
      <c r="JO42" s="61">
        <f t="shared" si="346"/>
        <v>1688195.3379036863</v>
      </c>
      <c r="JQ42" s="26">
        <f t="shared" si="209"/>
        <v>6930363.9999999944</v>
      </c>
      <c r="JR42" s="156">
        <f t="shared" si="210"/>
        <v>0.99999999999999922</v>
      </c>
      <c r="JT42" s="157">
        <f t="shared" si="347"/>
        <v>0</v>
      </c>
      <c r="JU42" s="29">
        <f t="shared" si="348"/>
        <v>0</v>
      </c>
    </row>
    <row r="43" spans="1:281" ht="18.75" outlineLevel="1" x14ac:dyDescent="0.3">
      <c r="A43" t="s">
        <v>69</v>
      </c>
      <c r="B43" t="s">
        <v>92</v>
      </c>
      <c r="C43" t="s">
        <v>89</v>
      </c>
      <c r="D43" t="s">
        <v>17</v>
      </c>
      <c r="E43" t="s">
        <v>18</v>
      </c>
      <c r="F43" s="113">
        <v>2472.2222222222222</v>
      </c>
      <c r="G43" s="15">
        <v>197767</v>
      </c>
      <c r="H43" s="20">
        <v>111250</v>
      </c>
      <c r="I43" s="23">
        <v>1.7776808988764046</v>
      </c>
      <c r="J43" s="9">
        <v>0</v>
      </c>
      <c r="K43" s="9">
        <v>3.3299275869560488E-3</v>
      </c>
      <c r="L43" s="9">
        <v>0</v>
      </c>
      <c r="M43" s="9">
        <v>0</v>
      </c>
      <c r="N43" s="9">
        <v>0</v>
      </c>
      <c r="O43" s="9">
        <v>2.0138546937758208E-2</v>
      </c>
      <c r="P43" s="9">
        <v>0</v>
      </c>
      <c r="Q43" s="9">
        <v>7.2044027593464038E-3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6.2405134361561219E-2</v>
      </c>
      <c r="X43" s="9">
        <v>0</v>
      </c>
      <c r="Y43" s="9">
        <v>1.6649637934780241E-2</v>
      </c>
      <c r="Z43" s="9">
        <v>4.9948913804340727E-3</v>
      </c>
      <c r="AA43" s="9">
        <v>1.3319710347824195E-2</v>
      </c>
      <c r="AB43" s="9">
        <v>0</v>
      </c>
      <c r="AC43" s="9">
        <v>0</v>
      </c>
      <c r="AD43" s="9">
        <v>9.9897827608681454E-3</v>
      </c>
      <c r="AE43" s="9">
        <v>0</v>
      </c>
      <c r="AF43" s="9">
        <v>7.009202711717917E-2</v>
      </c>
      <c r="AG43" s="9">
        <v>0</v>
      </c>
      <c r="AH43" s="9">
        <v>0</v>
      </c>
      <c r="AI43" s="9">
        <v>0.79187593881329232</v>
      </c>
      <c r="AJ43" s="8">
        <f t="shared" si="124"/>
        <v>1</v>
      </c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9"/>
      <c r="BM43" s="26">
        <f t="shared" si="150"/>
        <v>0</v>
      </c>
      <c r="BN43" s="26">
        <f t="shared" si="151"/>
        <v>658.54978908953694</v>
      </c>
      <c r="BO43" s="26">
        <f t="shared" si="152"/>
        <v>0</v>
      </c>
      <c r="BP43" s="26">
        <f t="shared" si="153"/>
        <v>0</v>
      </c>
      <c r="BQ43" s="26">
        <f t="shared" si="154"/>
        <v>0</v>
      </c>
      <c r="BR43" s="26">
        <f t="shared" si="155"/>
        <v>3982.7400122396275</v>
      </c>
      <c r="BS43" s="26">
        <f t="shared" si="156"/>
        <v>0</v>
      </c>
      <c r="BT43" s="26">
        <f t="shared" si="157"/>
        <v>1424.7931205076602</v>
      </c>
      <c r="BU43" s="26">
        <f t="shared" si="158"/>
        <v>0</v>
      </c>
      <c r="BV43" s="26">
        <f t="shared" si="159"/>
        <v>0</v>
      </c>
      <c r="BW43" s="26">
        <f t="shared" si="160"/>
        <v>0</v>
      </c>
      <c r="BX43" s="26">
        <f t="shared" si="161"/>
        <v>0</v>
      </c>
      <c r="BY43" s="26">
        <f t="shared" si="162"/>
        <v>0</v>
      </c>
      <c r="BZ43" s="26">
        <f t="shared" si="163"/>
        <v>12341.676207282877</v>
      </c>
      <c r="CA43" s="26">
        <f t="shared" si="164"/>
        <v>0</v>
      </c>
      <c r="CB43" s="26">
        <f t="shared" si="165"/>
        <v>3292.748945447684</v>
      </c>
      <c r="CC43" s="26">
        <f t="shared" si="166"/>
        <v>987.8246836343053</v>
      </c>
      <c r="CD43" s="26">
        <f t="shared" si="167"/>
        <v>2634.1991563581478</v>
      </c>
      <c r="CE43" s="26">
        <f t="shared" si="168"/>
        <v>0</v>
      </c>
      <c r="CF43" s="26">
        <f t="shared" si="169"/>
        <v>0</v>
      </c>
      <c r="CG43" s="26">
        <f t="shared" si="170"/>
        <v>1975.6493672686106</v>
      </c>
      <c r="CH43" s="26">
        <f t="shared" si="171"/>
        <v>0</v>
      </c>
      <c r="CI43" s="26">
        <f t="shared" si="172"/>
        <v>13861.889926883174</v>
      </c>
      <c r="CJ43" s="26">
        <f t="shared" si="173"/>
        <v>0</v>
      </c>
      <c r="CK43" s="26">
        <f t="shared" si="174"/>
        <v>0</v>
      </c>
      <c r="CL43" s="26">
        <f t="shared" si="175"/>
        <v>156606.92879128837</v>
      </c>
      <c r="CM43" s="110">
        <f t="shared" si="176"/>
        <v>1</v>
      </c>
      <c r="CN43" s="27">
        <f t="shared" si="177"/>
        <v>0</v>
      </c>
      <c r="CO43" s="27">
        <f t="shared" si="178"/>
        <v>370.45444404886041</v>
      </c>
      <c r="CP43" s="27">
        <f t="shared" si="179"/>
        <v>0</v>
      </c>
      <c r="CQ43" s="27">
        <f t="shared" si="180"/>
        <v>0</v>
      </c>
      <c r="CR43" s="27">
        <f t="shared" si="181"/>
        <v>0</v>
      </c>
      <c r="CS43" s="27">
        <f t="shared" si="182"/>
        <v>2240.4133468256005</v>
      </c>
      <c r="CT43" s="27">
        <f t="shared" si="183"/>
        <v>0</v>
      </c>
      <c r="CU43" s="27">
        <f t="shared" si="184"/>
        <v>801.48980697728746</v>
      </c>
      <c r="CV43" s="27">
        <f t="shared" si="185"/>
        <v>0</v>
      </c>
      <c r="CW43" s="27">
        <f t="shared" si="186"/>
        <v>0</v>
      </c>
      <c r="CX43" s="27">
        <f t="shared" si="187"/>
        <v>0</v>
      </c>
      <c r="CY43" s="27">
        <f t="shared" si="188"/>
        <v>0</v>
      </c>
      <c r="CZ43" s="27">
        <f t="shared" si="189"/>
        <v>0</v>
      </c>
      <c r="DA43" s="27">
        <f t="shared" si="190"/>
        <v>6942.5711977236861</v>
      </c>
      <c r="DB43" s="27">
        <f t="shared" si="191"/>
        <v>0</v>
      </c>
      <c r="DC43" s="27">
        <f t="shared" si="192"/>
        <v>1852.2722202443019</v>
      </c>
      <c r="DD43" s="27">
        <f t="shared" si="193"/>
        <v>555.68166607329056</v>
      </c>
      <c r="DE43" s="27">
        <f t="shared" si="194"/>
        <v>1481.8177761954416</v>
      </c>
      <c r="DF43" s="27">
        <f t="shared" si="195"/>
        <v>0</v>
      </c>
      <c r="DG43" s="27">
        <f t="shared" si="196"/>
        <v>0</v>
      </c>
      <c r="DH43" s="27">
        <f t="shared" si="197"/>
        <v>1111.3633321465811</v>
      </c>
      <c r="DI43" s="27">
        <f t="shared" si="198"/>
        <v>0</v>
      </c>
      <c r="DJ43" s="27">
        <f t="shared" si="199"/>
        <v>7797.7380167861829</v>
      </c>
      <c r="DK43" s="27">
        <f t="shared" si="200"/>
        <v>0</v>
      </c>
      <c r="DL43" s="27">
        <f t="shared" si="201"/>
        <v>0</v>
      </c>
      <c r="DM43" s="27">
        <f t="shared" si="202"/>
        <v>88096.198192978773</v>
      </c>
      <c r="DN43" s="110">
        <f t="shared" si="203"/>
        <v>1</v>
      </c>
      <c r="DO43" s="28">
        <f t="shared" si="211"/>
        <v>0</v>
      </c>
      <c r="DP43" s="28">
        <f t="shared" si="212"/>
        <v>288.09534504067653</v>
      </c>
      <c r="DQ43" s="28">
        <f t="shared" si="213"/>
        <v>0</v>
      </c>
      <c r="DR43" s="28">
        <f t="shared" si="214"/>
        <v>0</v>
      </c>
      <c r="DS43" s="28">
        <f t="shared" si="215"/>
        <v>0</v>
      </c>
      <c r="DT43" s="28">
        <f t="shared" si="216"/>
        <v>1742.326665414027</v>
      </c>
      <c r="DU43" s="28">
        <f t="shared" si="217"/>
        <v>0</v>
      </c>
      <c r="DV43" s="28">
        <f t="shared" si="218"/>
        <v>623.30331353037275</v>
      </c>
      <c r="DW43" s="28">
        <f t="shared" si="219"/>
        <v>0</v>
      </c>
      <c r="DX43" s="28">
        <f t="shared" si="220"/>
        <v>0</v>
      </c>
      <c r="DY43" s="28">
        <f t="shared" si="221"/>
        <v>0</v>
      </c>
      <c r="DZ43" s="28">
        <f t="shared" si="222"/>
        <v>0</v>
      </c>
      <c r="EA43" s="28">
        <f t="shared" si="223"/>
        <v>0</v>
      </c>
      <c r="EB43" s="28">
        <f t="shared" si="224"/>
        <v>5399.1050095591909</v>
      </c>
      <c r="EC43" s="28">
        <f t="shared" si="225"/>
        <v>0</v>
      </c>
      <c r="ED43" s="28">
        <f t="shared" si="226"/>
        <v>1440.4767252033821</v>
      </c>
      <c r="EE43" s="28">
        <f t="shared" si="227"/>
        <v>432.14301756101474</v>
      </c>
      <c r="EF43" s="28">
        <f t="shared" si="228"/>
        <v>1152.3813801627061</v>
      </c>
      <c r="EG43" s="28">
        <f t="shared" si="229"/>
        <v>0</v>
      </c>
      <c r="EH43" s="28">
        <f t="shared" si="230"/>
        <v>0</v>
      </c>
      <c r="EI43" s="28">
        <f t="shared" si="231"/>
        <v>864.28603512202949</v>
      </c>
      <c r="EJ43" s="28">
        <f t="shared" si="232"/>
        <v>0</v>
      </c>
      <c r="EK43" s="28">
        <f t="shared" si="233"/>
        <v>6064.1519100969908</v>
      </c>
      <c r="EL43" s="28">
        <f t="shared" si="234"/>
        <v>0</v>
      </c>
      <c r="EM43" s="28">
        <f t="shared" si="235"/>
        <v>0</v>
      </c>
      <c r="EN43" s="28">
        <f t="shared" si="236"/>
        <v>68510.730598309601</v>
      </c>
      <c r="EQ43" s="144">
        <v>4.0080329859422739E-2</v>
      </c>
      <c r="ER43" s="144">
        <v>6.0120144789746609E-2</v>
      </c>
      <c r="ES43" s="144">
        <v>7.0140227254602283E-2</v>
      </c>
      <c r="ET43" s="144">
        <v>8.1162257966048534E-2</v>
      </c>
      <c r="EU43" s="144">
        <v>8.1162257966048534E-2</v>
      </c>
      <c r="EV43" s="144">
        <v>8.1162257966048534E-2</v>
      </c>
      <c r="EW43" s="144">
        <v>8.8176445691220018E-2</v>
      </c>
      <c r="EX43" s="144">
        <v>9.018039218431366E-2</v>
      </c>
      <c r="EY43" s="144">
        <v>0.10020047464916935</v>
      </c>
      <c r="EZ43" s="144">
        <v>9.7194579909485129E-2</v>
      </c>
      <c r="FA43" s="144">
        <v>0.10020047464916935</v>
      </c>
      <c r="FB43" s="144">
        <v>0.11022015711472503</v>
      </c>
      <c r="FC43" s="145">
        <f t="shared" si="237"/>
        <v>0.99999999999999978</v>
      </c>
      <c r="FD43" s="146">
        <f t="shared" si="238"/>
        <v>0.17034070190377162</v>
      </c>
      <c r="FE43" s="146">
        <f t="shared" si="239"/>
        <v>0.2434867738981456</v>
      </c>
      <c r="FF43" s="146">
        <f t="shared" si="240"/>
        <v>0.27855731252470306</v>
      </c>
      <c r="FG43" s="146">
        <f t="shared" si="241"/>
        <v>0.30761521167337952</v>
      </c>
      <c r="FH43" s="145">
        <f t="shared" si="375"/>
        <v>0.99999999999999978</v>
      </c>
      <c r="FJ43" s="52">
        <f t="shared" si="243"/>
        <v>0</v>
      </c>
      <c r="FK43" s="52">
        <f t="shared" si="244"/>
        <v>112.17783331209249</v>
      </c>
      <c r="FL43" s="52">
        <f t="shared" si="245"/>
        <v>0</v>
      </c>
      <c r="FM43" s="52">
        <f t="shared" si="246"/>
        <v>0</v>
      </c>
      <c r="FN43" s="52">
        <f t="shared" si="247"/>
        <v>0</v>
      </c>
      <c r="FO43" s="52">
        <f t="shared" si="248"/>
        <v>678.42272918513413</v>
      </c>
      <c r="FP43" s="52">
        <f t="shared" si="249"/>
        <v>0</v>
      </c>
      <c r="FQ43" s="52">
        <f t="shared" si="250"/>
        <v>242.7002602149399</v>
      </c>
      <c r="FR43" s="52">
        <f t="shared" si="251"/>
        <v>0</v>
      </c>
      <c r="FS43" s="52">
        <f t="shared" si="252"/>
        <v>0</v>
      </c>
      <c r="FT43" s="52">
        <f t="shared" si="253"/>
        <v>0</v>
      </c>
      <c r="FU43" s="52">
        <f t="shared" si="254"/>
        <v>0</v>
      </c>
      <c r="FV43" s="52">
        <f t="shared" si="255"/>
        <v>0</v>
      </c>
      <c r="FW43" s="52">
        <f t="shared" si="256"/>
        <v>2102.2897878176432</v>
      </c>
      <c r="FX43" s="52">
        <f t="shared" si="257"/>
        <v>0</v>
      </c>
      <c r="FY43" s="52">
        <f t="shared" si="258"/>
        <v>560.88916656046229</v>
      </c>
      <c r="FZ43" s="52">
        <f t="shared" si="259"/>
        <v>168.26674996813873</v>
      </c>
      <c r="GA43" s="52">
        <f t="shared" si="260"/>
        <v>448.71133324836995</v>
      </c>
      <c r="GB43" s="52">
        <f t="shared" si="261"/>
        <v>0</v>
      </c>
      <c r="GC43" s="52">
        <f t="shared" si="262"/>
        <v>0</v>
      </c>
      <c r="GD43" s="52">
        <f t="shared" si="263"/>
        <v>336.53349993627745</v>
      </c>
      <c r="GE43" s="52">
        <f t="shared" si="264"/>
        <v>0</v>
      </c>
      <c r="GF43" s="52">
        <f t="shared" si="265"/>
        <v>2361.2440598581015</v>
      </c>
      <c r="GG43" s="52">
        <f t="shared" si="266"/>
        <v>0</v>
      </c>
      <c r="GH43" s="52">
        <f t="shared" si="267"/>
        <v>0</v>
      </c>
      <c r="GI43" s="52">
        <f t="shared" si="268"/>
        <v>26676.534173302043</v>
      </c>
      <c r="GJ43" s="26"/>
      <c r="GL43" s="150">
        <f t="shared" si="269"/>
        <v>0</v>
      </c>
      <c r="GM43" s="150">
        <f t="shared" si="270"/>
        <v>160.34816359671555</v>
      </c>
      <c r="GN43" s="150">
        <f t="shared" si="271"/>
        <v>0</v>
      </c>
      <c r="GO43" s="150">
        <f t="shared" si="272"/>
        <v>0</v>
      </c>
      <c r="GP43" s="150">
        <f t="shared" si="273"/>
        <v>0</v>
      </c>
      <c r="GQ43" s="150">
        <f t="shared" si="274"/>
        <v>969.74451685528788</v>
      </c>
      <c r="GR43" s="150">
        <f t="shared" si="275"/>
        <v>0</v>
      </c>
      <c r="GS43" s="150">
        <f t="shared" si="276"/>
        <v>346.91828038468196</v>
      </c>
      <c r="GT43" s="150">
        <f t="shared" si="277"/>
        <v>0</v>
      </c>
      <c r="GU43" s="150">
        <f t="shared" si="278"/>
        <v>0</v>
      </c>
      <c r="GV43" s="150">
        <f t="shared" si="279"/>
        <v>0</v>
      </c>
      <c r="GW43" s="150">
        <f t="shared" si="280"/>
        <v>0</v>
      </c>
      <c r="GX43" s="150">
        <f t="shared" si="281"/>
        <v>0</v>
      </c>
      <c r="GY43" s="150">
        <f t="shared" si="282"/>
        <v>3005.0349242068091</v>
      </c>
      <c r="GZ43" s="150">
        <f t="shared" si="283"/>
        <v>0</v>
      </c>
      <c r="HA43" s="150">
        <f t="shared" si="284"/>
        <v>801.74081798357759</v>
      </c>
      <c r="HB43" s="150">
        <f t="shared" si="285"/>
        <v>240.5222453950733</v>
      </c>
      <c r="HC43" s="150">
        <f t="shared" si="286"/>
        <v>641.3926543868622</v>
      </c>
      <c r="HD43" s="150">
        <f t="shared" si="287"/>
        <v>0</v>
      </c>
      <c r="HE43" s="150">
        <f t="shared" si="288"/>
        <v>0</v>
      </c>
      <c r="HF43" s="150">
        <f t="shared" si="289"/>
        <v>481.0444907901466</v>
      </c>
      <c r="HG43" s="150">
        <f t="shared" si="290"/>
        <v>0</v>
      </c>
      <c r="HH43" s="150">
        <f t="shared" si="291"/>
        <v>3375.1868584279855</v>
      </c>
      <c r="HI43" s="150">
        <f t="shared" si="292"/>
        <v>0</v>
      </c>
      <c r="HJ43" s="150">
        <f t="shared" si="293"/>
        <v>0</v>
      </c>
      <c r="HK43" s="150">
        <f t="shared" si="294"/>
        <v>38131.715861487421</v>
      </c>
      <c r="HL43" s="26"/>
      <c r="HN43" s="147">
        <f t="shared" si="295"/>
        <v>0</v>
      </c>
      <c r="HO43" s="147">
        <f t="shared" si="296"/>
        <v>183.44385941249143</v>
      </c>
      <c r="HP43" s="147">
        <f t="shared" si="297"/>
        <v>0</v>
      </c>
      <c r="HQ43" s="147">
        <f t="shared" si="298"/>
        <v>0</v>
      </c>
      <c r="HR43" s="147">
        <f t="shared" si="299"/>
        <v>0</v>
      </c>
      <c r="HS43" s="147">
        <f t="shared" si="300"/>
        <v>1109.4213542940736</v>
      </c>
      <c r="HT43" s="147">
        <f t="shared" si="301"/>
        <v>0</v>
      </c>
      <c r="HU43" s="147">
        <f t="shared" si="302"/>
        <v>396.8865425522992</v>
      </c>
      <c r="HV43" s="147">
        <f t="shared" si="303"/>
        <v>0</v>
      </c>
      <c r="HW43" s="147">
        <f t="shared" si="304"/>
        <v>0</v>
      </c>
      <c r="HX43" s="147">
        <f t="shared" si="305"/>
        <v>0</v>
      </c>
      <c r="HY43" s="147">
        <f t="shared" si="306"/>
        <v>0</v>
      </c>
      <c r="HZ43" s="147">
        <f t="shared" si="307"/>
        <v>0</v>
      </c>
      <c r="IA43" s="147">
        <f t="shared" si="308"/>
        <v>3437.8641563507881</v>
      </c>
      <c r="IB43" s="147">
        <f t="shared" si="309"/>
        <v>0</v>
      </c>
      <c r="IC43" s="147">
        <f t="shared" si="310"/>
        <v>917.21929706245692</v>
      </c>
      <c r="ID43" s="147">
        <f t="shared" si="311"/>
        <v>275.16578911873711</v>
      </c>
      <c r="IE43" s="147">
        <f t="shared" si="312"/>
        <v>733.77543764996574</v>
      </c>
      <c r="IF43" s="147">
        <f t="shared" si="313"/>
        <v>0</v>
      </c>
      <c r="IG43" s="147">
        <f t="shared" si="314"/>
        <v>0</v>
      </c>
      <c r="IH43" s="147">
        <f t="shared" si="315"/>
        <v>550.33157823747422</v>
      </c>
      <c r="II43" s="147">
        <f t="shared" si="316"/>
        <v>0</v>
      </c>
      <c r="IJ43" s="147">
        <f t="shared" si="317"/>
        <v>3861.3308045458293</v>
      </c>
      <c r="IK43" s="147">
        <f t="shared" si="318"/>
        <v>0</v>
      </c>
      <c r="IL43" s="147">
        <f t="shared" si="319"/>
        <v>0</v>
      </c>
      <c r="IM43" s="147">
        <f t="shared" si="320"/>
        <v>43624.005206848837</v>
      </c>
      <c r="IN43" s="26"/>
      <c r="IP43" s="61">
        <f t="shared" si="321"/>
        <v>0</v>
      </c>
      <c r="IQ43" s="61">
        <f t="shared" si="322"/>
        <v>202.57993276823734</v>
      </c>
      <c r="IR43" s="61">
        <f t="shared" si="323"/>
        <v>0</v>
      </c>
      <c r="IS43" s="61">
        <f t="shared" si="324"/>
        <v>0</v>
      </c>
      <c r="IT43" s="61">
        <f t="shared" si="325"/>
        <v>0</v>
      </c>
      <c r="IU43" s="61">
        <f t="shared" si="326"/>
        <v>1225.1514119051312</v>
      </c>
      <c r="IV43" s="61">
        <f t="shared" si="327"/>
        <v>0</v>
      </c>
      <c r="IW43" s="61">
        <f t="shared" si="328"/>
        <v>438.28803735573882</v>
      </c>
      <c r="IX43" s="61">
        <f t="shared" si="329"/>
        <v>0</v>
      </c>
      <c r="IY43" s="61">
        <f t="shared" si="330"/>
        <v>0</v>
      </c>
      <c r="IZ43" s="61">
        <f t="shared" si="331"/>
        <v>0</v>
      </c>
      <c r="JA43" s="61">
        <f t="shared" si="332"/>
        <v>0</v>
      </c>
      <c r="JB43" s="61">
        <f t="shared" si="333"/>
        <v>0</v>
      </c>
      <c r="JC43" s="61">
        <f t="shared" si="334"/>
        <v>3796.4873389076338</v>
      </c>
      <c r="JD43" s="61">
        <f t="shared" si="335"/>
        <v>0</v>
      </c>
      <c r="JE43" s="61">
        <f t="shared" si="336"/>
        <v>1012.8996638411866</v>
      </c>
      <c r="JF43" s="61">
        <f t="shared" si="337"/>
        <v>303.86989915235597</v>
      </c>
      <c r="JG43" s="61">
        <f t="shared" si="338"/>
        <v>810.31973107294937</v>
      </c>
      <c r="JH43" s="61">
        <f t="shared" si="339"/>
        <v>0</v>
      </c>
      <c r="JI43" s="61">
        <f t="shared" si="340"/>
        <v>0</v>
      </c>
      <c r="JJ43" s="61">
        <f t="shared" si="341"/>
        <v>607.73979830471194</v>
      </c>
      <c r="JK43" s="61">
        <f t="shared" si="342"/>
        <v>0</v>
      </c>
      <c r="JL43" s="61">
        <f t="shared" si="343"/>
        <v>4264.1282040512551</v>
      </c>
      <c r="JM43" s="61">
        <f t="shared" si="344"/>
        <v>0</v>
      </c>
      <c r="JN43" s="61">
        <f t="shared" si="345"/>
        <v>0</v>
      </c>
      <c r="JO43" s="61">
        <f t="shared" si="346"/>
        <v>48174.673549650048</v>
      </c>
      <c r="JQ43" s="26">
        <f t="shared" si="209"/>
        <v>197766.99999999991</v>
      </c>
      <c r="JR43" s="156">
        <f t="shared" si="210"/>
        <v>0.99999999999999956</v>
      </c>
      <c r="JT43" s="157">
        <f t="shared" si="347"/>
        <v>0</v>
      </c>
      <c r="JU43" s="29">
        <f t="shared" si="348"/>
        <v>0</v>
      </c>
    </row>
    <row r="44" spans="1:281" ht="18.75" outlineLevel="1" x14ac:dyDescent="0.3">
      <c r="A44" t="s">
        <v>69</v>
      </c>
      <c r="B44" t="s">
        <v>1</v>
      </c>
      <c r="C44" t="s">
        <v>16</v>
      </c>
      <c r="D44" t="s">
        <v>17</v>
      </c>
      <c r="E44" t="s">
        <v>18</v>
      </c>
      <c r="F44" s="113">
        <v>21998.178585373622</v>
      </c>
      <c r="G44" s="15">
        <v>1666606.8421445</v>
      </c>
      <c r="H44" s="20">
        <v>974623.88429502922</v>
      </c>
      <c r="I44" s="23">
        <f>G44/H44</f>
        <v>1.71</v>
      </c>
      <c r="J44" s="9">
        <v>0</v>
      </c>
      <c r="K44" s="9">
        <v>3.3299275869560488E-3</v>
      </c>
      <c r="L44" s="9">
        <v>0</v>
      </c>
      <c r="M44" s="9">
        <v>0</v>
      </c>
      <c r="N44" s="9">
        <v>0</v>
      </c>
      <c r="O44" s="9">
        <v>2.0138546937758208E-2</v>
      </c>
      <c r="P44" s="9">
        <v>0</v>
      </c>
      <c r="Q44" s="9">
        <v>7.2044027593464038E-3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6.2405134361561219E-2</v>
      </c>
      <c r="X44" s="9">
        <v>0</v>
      </c>
      <c r="Y44" s="9">
        <v>1.6649637934780241E-2</v>
      </c>
      <c r="Z44" s="9">
        <v>4.9948913804340727E-3</v>
      </c>
      <c r="AA44" s="9">
        <v>1.3319710347824195E-2</v>
      </c>
      <c r="AB44" s="9">
        <v>0</v>
      </c>
      <c r="AC44" s="9">
        <v>0</v>
      </c>
      <c r="AD44" s="9">
        <v>9.9897827608681454E-3</v>
      </c>
      <c r="AE44" s="9">
        <v>0</v>
      </c>
      <c r="AF44" s="9">
        <v>7.009202711717917E-2</v>
      </c>
      <c r="AG44" s="9">
        <v>0</v>
      </c>
      <c r="AH44" s="9">
        <v>0</v>
      </c>
      <c r="AI44" s="9">
        <v>0.79187593881329232</v>
      </c>
      <c r="AJ44" s="8">
        <f t="shared" si="124"/>
        <v>1</v>
      </c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9"/>
      <c r="BM44" s="26">
        <f t="shared" si="150"/>
        <v>0</v>
      </c>
      <c r="BN44" s="26">
        <f t="shared" si="151"/>
        <v>5549.6801002666753</v>
      </c>
      <c r="BO44" s="26">
        <f t="shared" si="152"/>
        <v>0</v>
      </c>
      <c r="BP44" s="26">
        <f t="shared" si="153"/>
        <v>0</v>
      </c>
      <c r="BQ44" s="26">
        <f t="shared" si="154"/>
        <v>0</v>
      </c>
      <c r="BR44" s="26">
        <f t="shared" si="155"/>
        <v>33563.040117315999</v>
      </c>
      <c r="BS44" s="26">
        <f t="shared" si="156"/>
        <v>0</v>
      </c>
      <c r="BT44" s="26">
        <f t="shared" si="157"/>
        <v>12006.906932291433</v>
      </c>
      <c r="BU44" s="26">
        <f t="shared" si="158"/>
        <v>0</v>
      </c>
      <c r="BV44" s="26">
        <f t="shared" si="159"/>
        <v>0</v>
      </c>
      <c r="BW44" s="26">
        <f t="shared" si="160"/>
        <v>0</v>
      </c>
      <c r="BX44" s="26">
        <f t="shared" si="161"/>
        <v>0</v>
      </c>
      <c r="BY44" s="26">
        <f t="shared" si="162"/>
        <v>0</v>
      </c>
      <c r="BZ44" s="26">
        <f t="shared" si="163"/>
        <v>104004.82391192477</v>
      </c>
      <c r="CA44" s="26">
        <f t="shared" si="164"/>
        <v>0</v>
      </c>
      <c r="CB44" s="26">
        <f t="shared" si="165"/>
        <v>27748.400501333374</v>
      </c>
      <c r="CC44" s="26">
        <f t="shared" si="166"/>
        <v>8324.5201504000124</v>
      </c>
      <c r="CD44" s="26">
        <f t="shared" si="167"/>
        <v>22198.720401066701</v>
      </c>
      <c r="CE44" s="26">
        <f t="shared" si="168"/>
        <v>0</v>
      </c>
      <c r="CF44" s="26">
        <f t="shared" si="169"/>
        <v>0</v>
      </c>
      <c r="CG44" s="26">
        <f t="shared" si="170"/>
        <v>16649.040300800025</v>
      </c>
      <c r="CH44" s="26">
        <f t="shared" si="171"/>
        <v>0</v>
      </c>
      <c r="CI44" s="26">
        <f t="shared" si="172"/>
        <v>116815.85197326864</v>
      </c>
      <c r="CJ44" s="26">
        <f t="shared" si="173"/>
        <v>0</v>
      </c>
      <c r="CK44" s="26">
        <f t="shared" si="174"/>
        <v>0</v>
      </c>
      <c r="CL44" s="26">
        <f t="shared" si="175"/>
        <v>1319745.8577558324</v>
      </c>
      <c r="CM44" s="110">
        <f t="shared" si="176"/>
        <v>1</v>
      </c>
      <c r="CN44" s="27">
        <f t="shared" si="177"/>
        <v>0</v>
      </c>
      <c r="CO44" s="27">
        <f t="shared" si="178"/>
        <v>3245.4269592202777</v>
      </c>
      <c r="CP44" s="27">
        <f t="shared" si="179"/>
        <v>0</v>
      </c>
      <c r="CQ44" s="27">
        <f t="shared" si="180"/>
        <v>0</v>
      </c>
      <c r="CR44" s="27">
        <f t="shared" si="181"/>
        <v>0</v>
      </c>
      <c r="CS44" s="27">
        <f t="shared" si="182"/>
        <v>19627.508840535669</v>
      </c>
      <c r="CT44" s="27">
        <f t="shared" si="183"/>
        <v>0</v>
      </c>
      <c r="CU44" s="27">
        <f t="shared" si="184"/>
        <v>7021.5830013400191</v>
      </c>
      <c r="CV44" s="27">
        <f t="shared" si="185"/>
        <v>0</v>
      </c>
      <c r="CW44" s="27">
        <f t="shared" si="186"/>
        <v>0</v>
      </c>
      <c r="CX44" s="27">
        <f t="shared" si="187"/>
        <v>0</v>
      </c>
      <c r="CY44" s="27">
        <f t="shared" si="188"/>
        <v>0</v>
      </c>
      <c r="CZ44" s="27">
        <f t="shared" si="189"/>
        <v>0</v>
      </c>
      <c r="DA44" s="27">
        <f t="shared" si="190"/>
        <v>60821.534451417996</v>
      </c>
      <c r="DB44" s="27">
        <f t="shared" si="191"/>
        <v>0</v>
      </c>
      <c r="DC44" s="27">
        <f t="shared" si="192"/>
        <v>16227.134796101387</v>
      </c>
      <c r="DD44" s="27">
        <f t="shared" si="193"/>
        <v>4868.1404388304163</v>
      </c>
      <c r="DE44" s="27">
        <f t="shared" si="194"/>
        <v>12981.707836881111</v>
      </c>
      <c r="DF44" s="27">
        <f t="shared" si="195"/>
        <v>0</v>
      </c>
      <c r="DG44" s="27">
        <f t="shared" si="196"/>
        <v>0</v>
      </c>
      <c r="DH44" s="27">
        <f t="shared" si="197"/>
        <v>9736.2808776608326</v>
      </c>
      <c r="DI44" s="27">
        <f t="shared" si="198"/>
        <v>0</v>
      </c>
      <c r="DJ44" s="27">
        <f t="shared" si="199"/>
        <v>68313.363727057687</v>
      </c>
      <c r="DK44" s="27">
        <f t="shared" si="200"/>
        <v>0</v>
      </c>
      <c r="DL44" s="27">
        <f t="shared" si="201"/>
        <v>0</v>
      </c>
      <c r="DM44" s="27">
        <f t="shared" si="202"/>
        <v>771781.20336598391</v>
      </c>
      <c r="DN44" s="110">
        <f t="shared" si="203"/>
        <v>1.0000000000000002</v>
      </c>
      <c r="DO44" s="28">
        <f t="shared" si="211"/>
        <v>0</v>
      </c>
      <c r="DP44" s="28">
        <f t="shared" si="212"/>
        <v>2304.2531410463976</v>
      </c>
      <c r="DQ44" s="28">
        <f t="shared" si="213"/>
        <v>0</v>
      </c>
      <c r="DR44" s="28">
        <f t="shared" si="214"/>
        <v>0</v>
      </c>
      <c r="DS44" s="28">
        <f t="shared" si="215"/>
        <v>0</v>
      </c>
      <c r="DT44" s="28">
        <f t="shared" si="216"/>
        <v>13935.53127678033</v>
      </c>
      <c r="DU44" s="28">
        <f t="shared" si="217"/>
        <v>0</v>
      </c>
      <c r="DV44" s="28">
        <f t="shared" si="218"/>
        <v>4985.3239309514138</v>
      </c>
      <c r="DW44" s="28">
        <f t="shared" si="219"/>
        <v>0</v>
      </c>
      <c r="DX44" s="28">
        <f t="shared" si="220"/>
        <v>0</v>
      </c>
      <c r="DY44" s="28">
        <f t="shared" si="221"/>
        <v>0</v>
      </c>
      <c r="DZ44" s="28">
        <f t="shared" si="222"/>
        <v>0</v>
      </c>
      <c r="EA44" s="28">
        <f t="shared" si="223"/>
        <v>0</v>
      </c>
      <c r="EB44" s="28">
        <f t="shared" si="224"/>
        <v>43183.289460506778</v>
      </c>
      <c r="EC44" s="28">
        <f t="shared" si="225"/>
        <v>0</v>
      </c>
      <c r="ED44" s="28">
        <f t="shared" si="226"/>
        <v>11521.265705231986</v>
      </c>
      <c r="EE44" s="28">
        <f t="shared" si="227"/>
        <v>3456.3797115695961</v>
      </c>
      <c r="EF44" s="28">
        <f t="shared" si="228"/>
        <v>9217.0125641855902</v>
      </c>
      <c r="EG44" s="28">
        <f t="shared" si="229"/>
        <v>0</v>
      </c>
      <c r="EH44" s="28">
        <f t="shared" si="230"/>
        <v>0</v>
      </c>
      <c r="EI44" s="28">
        <f t="shared" si="231"/>
        <v>6912.7594231391922</v>
      </c>
      <c r="EJ44" s="28">
        <f t="shared" si="232"/>
        <v>0</v>
      </c>
      <c r="EK44" s="28">
        <f t="shared" si="233"/>
        <v>48502.488246210953</v>
      </c>
      <c r="EL44" s="28">
        <f t="shared" si="234"/>
        <v>0</v>
      </c>
      <c r="EM44" s="28">
        <f t="shared" si="235"/>
        <v>0</v>
      </c>
      <c r="EN44" s="28">
        <f t="shared" si="236"/>
        <v>547964.65438984847</v>
      </c>
      <c r="EQ44" s="144">
        <v>4.0080149559990251E-2</v>
      </c>
      <c r="ER44" s="144">
        <v>6.0120256948678896E-2</v>
      </c>
      <c r="ES44" s="144">
        <v>7.0140295425632909E-2</v>
      </c>
      <c r="ET44" s="144">
        <v>8.1162325141587485E-2</v>
      </c>
      <c r="EU44" s="144">
        <v>8.1162325141587485E-2</v>
      </c>
      <c r="EV44" s="144">
        <v>8.1162325141587485E-2</v>
      </c>
      <c r="EW44" s="144">
        <v>8.8176346423281746E-2</v>
      </c>
      <c r="EX44" s="144">
        <v>9.0180368031715127E-2</v>
      </c>
      <c r="EY44" s="144">
        <v>0.10020040650866914</v>
      </c>
      <c r="EZ44" s="144">
        <v>9.7194389313409388E-2</v>
      </c>
      <c r="FA44" s="144">
        <v>0.10020040650866914</v>
      </c>
      <c r="FB44" s="144">
        <v>0.11022040585519093</v>
      </c>
      <c r="FC44" s="145">
        <f t="shared" si="237"/>
        <v>1</v>
      </c>
      <c r="FD44" s="146">
        <f t="shared" si="238"/>
        <v>0.17034070193430206</v>
      </c>
      <c r="FE44" s="146">
        <f t="shared" si="239"/>
        <v>0.24348697542476244</v>
      </c>
      <c r="FF44" s="146">
        <f t="shared" si="240"/>
        <v>0.27855712096366603</v>
      </c>
      <c r="FG44" s="146">
        <f t="shared" si="241"/>
        <v>0.30761520167726947</v>
      </c>
      <c r="FH44" s="145">
        <f t="shared" si="375"/>
        <v>1</v>
      </c>
      <c r="FJ44" s="52">
        <f t="shared" si="243"/>
        <v>0</v>
      </c>
      <c r="FK44" s="52">
        <f t="shared" si="244"/>
        <v>945.33640379025337</v>
      </c>
      <c r="FL44" s="52">
        <f t="shared" si="245"/>
        <v>0</v>
      </c>
      <c r="FM44" s="52">
        <f t="shared" si="246"/>
        <v>0</v>
      </c>
      <c r="FN44" s="52">
        <f t="shared" si="247"/>
        <v>0</v>
      </c>
      <c r="FO44" s="52">
        <f t="shared" si="248"/>
        <v>5717.1518126327474</v>
      </c>
      <c r="FP44" s="52">
        <f t="shared" si="249"/>
        <v>0</v>
      </c>
      <c r="FQ44" s="52">
        <f t="shared" si="250"/>
        <v>2045.2649549063601</v>
      </c>
      <c r="FR44" s="52">
        <f t="shared" si="251"/>
        <v>0</v>
      </c>
      <c r="FS44" s="52">
        <f t="shared" si="252"/>
        <v>0</v>
      </c>
      <c r="FT44" s="52">
        <f t="shared" si="253"/>
        <v>0</v>
      </c>
      <c r="FU44" s="52">
        <f t="shared" si="254"/>
        <v>0</v>
      </c>
      <c r="FV44" s="52">
        <f t="shared" si="255"/>
        <v>0</v>
      </c>
      <c r="FW44" s="52">
        <f t="shared" si="256"/>
        <v>17716.254709710749</v>
      </c>
      <c r="FX44" s="52">
        <f t="shared" si="257"/>
        <v>0</v>
      </c>
      <c r="FY44" s="52">
        <f t="shared" si="258"/>
        <v>4726.6820189512664</v>
      </c>
      <c r="FZ44" s="52">
        <f t="shared" si="259"/>
        <v>1418.0046056853798</v>
      </c>
      <c r="GA44" s="52">
        <f t="shared" si="260"/>
        <v>3781.3456151610135</v>
      </c>
      <c r="GB44" s="52">
        <f t="shared" si="261"/>
        <v>0</v>
      </c>
      <c r="GC44" s="52">
        <f t="shared" si="262"/>
        <v>0</v>
      </c>
      <c r="GD44" s="52">
        <f t="shared" si="263"/>
        <v>2836.0092113707597</v>
      </c>
      <c r="GE44" s="52">
        <f t="shared" si="264"/>
        <v>0</v>
      </c>
      <c r="GF44" s="52">
        <f t="shared" si="265"/>
        <v>19898.494222180107</v>
      </c>
      <c r="GG44" s="52">
        <f t="shared" si="266"/>
        <v>0</v>
      </c>
      <c r="GH44" s="52">
        <f t="shared" si="267"/>
        <v>0</v>
      </c>
      <c r="GI44" s="52">
        <f t="shared" si="268"/>
        <v>224806.43578501604</v>
      </c>
      <c r="GJ44" s="26"/>
      <c r="GL44" s="150">
        <f t="shared" si="269"/>
        <v>0</v>
      </c>
      <c r="GM44" s="150">
        <f t="shared" si="270"/>
        <v>1351.2748221889251</v>
      </c>
      <c r="GN44" s="150">
        <f t="shared" si="271"/>
        <v>0</v>
      </c>
      <c r="GO44" s="150">
        <f t="shared" si="272"/>
        <v>0</v>
      </c>
      <c r="GP44" s="150">
        <f t="shared" si="273"/>
        <v>0</v>
      </c>
      <c r="GQ44" s="150">
        <f t="shared" si="274"/>
        <v>8172.163124225237</v>
      </c>
      <c r="GR44" s="150">
        <f t="shared" si="275"/>
        <v>0</v>
      </c>
      <c r="GS44" s="150">
        <f t="shared" si="276"/>
        <v>2923.5254531502537</v>
      </c>
      <c r="GT44" s="150">
        <f t="shared" si="277"/>
        <v>0</v>
      </c>
      <c r="GU44" s="150">
        <f t="shared" si="278"/>
        <v>0</v>
      </c>
      <c r="GV44" s="150">
        <f t="shared" si="279"/>
        <v>0</v>
      </c>
      <c r="GW44" s="150">
        <f t="shared" si="280"/>
        <v>0</v>
      </c>
      <c r="GX44" s="150">
        <f t="shared" si="281"/>
        <v>0</v>
      </c>
      <c r="GY44" s="150">
        <f t="shared" si="282"/>
        <v>25323.820003899571</v>
      </c>
      <c r="GZ44" s="150">
        <f t="shared" si="283"/>
        <v>0</v>
      </c>
      <c r="HA44" s="150">
        <f t="shared" si="284"/>
        <v>6756.3741109446246</v>
      </c>
      <c r="HB44" s="150">
        <f t="shared" si="285"/>
        <v>2026.9122332833876</v>
      </c>
      <c r="HC44" s="150">
        <f t="shared" si="286"/>
        <v>5405.0992887557004</v>
      </c>
      <c r="HD44" s="150">
        <f t="shared" si="287"/>
        <v>0</v>
      </c>
      <c r="HE44" s="150">
        <f t="shared" si="288"/>
        <v>0</v>
      </c>
      <c r="HF44" s="150">
        <f t="shared" si="289"/>
        <v>4053.8244665667753</v>
      </c>
      <c r="HG44" s="150">
        <f t="shared" si="290"/>
        <v>0</v>
      </c>
      <c r="HH44" s="150">
        <f t="shared" si="291"/>
        <v>28443.138478637949</v>
      </c>
      <c r="HI44" s="150">
        <f t="shared" si="292"/>
        <v>0</v>
      </c>
      <c r="HJ44" s="150">
        <f t="shared" si="293"/>
        <v>0</v>
      </c>
      <c r="HK44" s="150">
        <f t="shared" si="294"/>
        <v>321340.92723432637</v>
      </c>
      <c r="HL44" s="26"/>
      <c r="HN44" s="147">
        <f t="shared" si="295"/>
        <v>0</v>
      </c>
      <c r="HO44" s="147">
        <f t="shared" si="296"/>
        <v>1545.9029109996345</v>
      </c>
      <c r="HP44" s="147">
        <f t="shared" si="297"/>
        <v>0</v>
      </c>
      <c r="HQ44" s="147">
        <f t="shared" si="298"/>
        <v>0</v>
      </c>
      <c r="HR44" s="147">
        <f t="shared" si="299"/>
        <v>0</v>
      </c>
      <c r="HS44" s="147">
        <f t="shared" si="300"/>
        <v>9349.2238258675679</v>
      </c>
      <c r="HT44" s="147">
        <f t="shared" si="301"/>
        <v>0</v>
      </c>
      <c r="HU44" s="147">
        <f t="shared" si="302"/>
        <v>3344.6094267377848</v>
      </c>
      <c r="HV44" s="147">
        <f t="shared" si="303"/>
        <v>0</v>
      </c>
      <c r="HW44" s="147">
        <f t="shared" si="304"/>
        <v>0</v>
      </c>
      <c r="HX44" s="147">
        <f t="shared" si="305"/>
        <v>0</v>
      </c>
      <c r="HY44" s="147">
        <f t="shared" si="306"/>
        <v>0</v>
      </c>
      <c r="HZ44" s="147">
        <f t="shared" si="307"/>
        <v>0</v>
      </c>
      <c r="IA44" s="147">
        <f t="shared" si="308"/>
        <v>28971.284315238816</v>
      </c>
      <c r="IB44" s="147">
        <f t="shared" si="309"/>
        <v>0</v>
      </c>
      <c r="IC44" s="147">
        <f t="shared" si="310"/>
        <v>7729.5145549981717</v>
      </c>
      <c r="ID44" s="147">
        <f t="shared" si="311"/>
        <v>2318.8543664994518</v>
      </c>
      <c r="IE44" s="147">
        <f t="shared" si="312"/>
        <v>6183.6116439985381</v>
      </c>
      <c r="IF44" s="147">
        <f t="shared" si="313"/>
        <v>0</v>
      </c>
      <c r="IG44" s="147">
        <f t="shared" si="314"/>
        <v>0</v>
      </c>
      <c r="IH44" s="147">
        <f t="shared" si="315"/>
        <v>4637.7087329989035</v>
      </c>
      <c r="II44" s="147">
        <f t="shared" si="316"/>
        <v>0</v>
      </c>
      <c r="IJ44" s="147">
        <f t="shared" si="317"/>
        <v>32539.887408591498</v>
      </c>
      <c r="IK44" s="147">
        <f t="shared" si="318"/>
        <v>0</v>
      </c>
      <c r="IL44" s="147">
        <f t="shared" si="319"/>
        <v>0</v>
      </c>
      <c r="IM44" s="147">
        <f t="shared" si="320"/>
        <v>367624.6065401886</v>
      </c>
      <c r="IN44" s="26"/>
      <c r="IP44" s="61">
        <f t="shared" si="321"/>
        <v>0</v>
      </c>
      <c r="IQ44" s="61">
        <f t="shared" si="322"/>
        <v>1707.1659632878623</v>
      </c>
      <c r="IR44" s="61">
        <f t="shared" si="323"/>
        <v>0</v>
      </c>
      <c r="IS44" s="61">
        <f t="shared" si="324"/>
        <v>0</v>
      </c>
      <c r="IT44" s="61">
        <f t="shared" si="325"/>
        <v>0</v>
      </c>
      <c r="IU44" s="61">
        <f t="shared" si="326"/>
        <v>10324.501354590448</v>
      </c>
      <c r="IV44" s="61">
        <f t="shared" si="327"/>
        <v>0</v>
      </c>
      <c r="IW44" s="61">
        <f t="shared" si="328"/>
        <v>3693.507097497034</v>
      </c>
      <c r="IX44" s="61">
        <f t="shared" si="329"/>
        <v>0</v>
      </c>
      <c r="IY44" s="61">
        <f t="shared" si="330"/>
        <v>0</v>
      </c>
      <c r="IZ44" s="61">
        <f t="shared" si="331"/>
        <v>0</v>
      </c>
      <c r="JA44" s="61">
        <f t="shared" si="332"/>
        <v>0</v>
      </c>
      <c r="JB44" s="61">
        <f t="shared" si="333"/>
        <v>0</v>
      </c>
      <c r="JC44" s="61">
        <f t="shared" si="334"/>
        <v>31993.464883075638</v>
      </c>
      <c r="JD44" s="61">
        <f t="shared" si="335"/>
        <v>0</v>
      </c>
      <c r="JE44" s="61">
        <f t="shared" si="336"/>
        <v>8535.8298164393109</v>
      </c>
      <c r="JF44" s="61">
        <f t="shared" si="337"/>
        <v>2560.7489449317932</v>
      </c>
      <c r="JG44" s="61">
        <f t="shared" si="338"/>
        <v>6828.6638531514491</v>
      </c>
      <c r="JH44" s="61">
        <f t="shared" si="339"/>
        <v>0</v>
      </c>
      <c r="JI44" s="61">
        <f t="shared" si="340"/>
        <v>0</v>
      </c>
      <c r="JJ44" s="61">
        <f t="shared" si="341"/>
        <v>5121.4978898635864</v>
      </c>
      <c r="JK44" s="61">
        <f t="shared" si="342"/>
        <v>0</v>
      </c>
      <c r="JL44" s="61">
        <f t="shared" si="343"/>
        <v>35934.331863859086</v>
      </c>
      <c r="JM44" s="61">
        <f t="shared" si="344"/>
        <v>0</v>
      </c>
      <c r="JN44" s="61">
        <f t="shared" si="345"/>
        <v>0</v>
      </c>
      <c r="JO44" s="61">
        <f t="shared" si="346"/>
        <v>405973.88819630136</v>
      </c>
      <c r="JQ44" s="26">
        <f t="shared" si="209"/>
        <v>1666606.8421445</v>
      </c>
      <c r="JR44" s="156">
        <f t="shared" si="210"/>
        <v>1</v>
      </c>
      <c r="JT44" s="157">
        <f t="shared" si="347"/>
        <v>0</v>
      </c>
      <c r="JU44" s="29">
        <f t="shared" si="348"/>
        <v>0</v>
      </c>
    </row>
    <row r="45" spans="1:281" ht="18.75" x14ac:dyDescent="0.3">
      <c r="A45" t="s">
        <v>69</v>
      </c>
      <c r="B45" t="s">
        <v>94</v>
      </c>
      <c r="C45" t="s">
        <v>19</v>
      </c>
      <c r="D45" t="s">
        <v>20</v>
      </c>
      <c r="E45" t="s">
        <v>121</v>
      </c>
      <c r="F45" s="113">
        <v>20</v>
      </c>
      <c r="G45" s="15">
        <v>595444</v>
      </c>
      <c r="H45" s="20">
        <v>405064</v>
      </c>
      <c r="I45" s="23">
        <v>1.4699998025003456</v>
      </c>
      <c r="J45" s="9">
        <v>0</v>
      </c>
      <c r="K45" s="9">
        <v>3.3299426404357251E-3</v>
      </c>
      <c r="L45" s="9">
        <v>0</v>
      </c>
      <c r="M45" s="9">
        <v>0</v>
      </c>
      <c r="N45" s="9">
        <v>0</v>
      </c>
      <c r="O45" s="9">
        <v>2.3866732025892779E-2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5.9380900340398494E-2</v>
      </c>
      <c r="X45" s="9">
        <v>0</v>
      </c>
      <c r="Y45" s="9">
        <v>1.6649713202178625E-2</v>
      </c>
      <c r="Z45" s="9">
        <v>4.9949139606535872E-3</v>
      </c>
      <c r="AA45" s="9">
        <v>1.33197705617429E-2</v>
      </c>
      <c r="AB45" s="9">
        <v>0</v>
      </c>
      <c r="AC45" s="9">
        <v>0</v>
      </c>
      <c r="AD45" s="9">
        <v>9.9898279213071744E-3</v>
      </c>
      <c r="AE45" s="9">
        <v>0</v>
      </c>
      <c r="AF45" s="9">
        <v>7.6588680730021688E-2</v>
      </c>
      <c r="AG45" s="9">
        <v>0</v>
      </c>
      <c r="AH45" s="9">
        <v>0</v>
      </c>
      <c r="AI45" s="9">
        <v>0.79187951861736916</v>
      </c>
      <c r="AJ45" s="8">
        <f t="shared" si="124"/>
        <v>1</v>
      </c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9"/>
      <c r="BM45" s="26">
        <f t="shared" si="150"/>
        <v>0</v>
      </c>
      <c r="BN45" s="26">
        <f t="shared" si="151"/>
        <v>1982.7943655916099</v>
      </c>
      <c r="BO45" s="26">
        <f t="shared" si="152"/>
        <v>0</v>
      </c>
      <c r="BP45" s="26">
        <f t="shared" si="153"/>
        <v>0</v>
      </c>
      <c r="BQ45" s="26">
        <f t="shared" si="154"/>
        <v>0</v>
      </c>
      <c r="BR45" s="26">
        <f t="shared" si="155"/>
        <v>14211.3023844257</v>
      </c>
      <c r="BS45" s="26">
        <f t="shared" si="156"/>
        <v>0</v>
      </c>
      <c r="BT45" s="26">
        <f t="shared" si="157"/>
        <v>0</v>
      </c>
      <c r="BU45" s="26">
        <f t="shared" si="158"/>
        <v>0</v>
      </c>
      <c r="BV45" s="26">
        <f t="shared" si="159"/>
        <v>0</v>
      </c>
      <c r="BW45" s="26">
        <f t="shared" si="160"/>
        <v>0</v>
      </c>
      <c r="BX45" s="26">
        <f t="shared" si="161"/>
        <v>0</v>
      </c>
      <c r="BY45" s="26">
        <f t="shared" si="162"/>
        <v>0</v>
      </c>
      <c r="BZ45" s="26">
        <f t="shared" si="163"/>
        <v>35358.000822288239</v>
      </c>
      <c r="CA45" s="26">
        <f t="shared" si="164"/>
        <v>0</v>
      </c>
      <c r="CB45" s="26">
        <f t="shared" si="165"/>
        <v>9913.9718279580484</v>
      </c>
      <c r="CC45" s="26">
        <f t="shared" si="166"/>
        <v>2974.1915483874145</v>
      </c>
      <c r="CD45" s="26">
        <f t="shared" si="167"/>
        <v>7931.1774623664396</v>
      </c>
      <c r="CE45" s="26">
        <f t="shared" si="168"/>
        <v>0</v>
      </c>
      <c r="CF45" s="26">
        <f t="shared" si="169"/>
        <v>0</v>
      </c>
      <c r="CG45" s="26">
        <f t="shared" si="170"/>
        <v>5948.383096774829</v>
      </c>
      <c r="CH45" s="26">
        <f t="shared" si="171"/>
        <v>0</v>
      </c>
      <c r="CI45" s="26">
        <f t="shared" si="172"/>
        <v>45604.270408607037</v>
      </c>
      <c r="CJ45" s="26">
        <f t="shared" si="173"/>
        <v>0</v>
      </c>
      <c r="CK45" s="26">
        <f t="shared" si="174"/>
        <v>0</v>
      </c>
      <c r="CL45" s="26">
        <f t="shared" si="175"/>
        <v>471519.90808360075</v>
      </c>
      <c r="CM45" s="110">
        <f t="shared" si="176"/>
        <v>1</v>
      </c>
      <c r="CN45" s="27">
        <f t="shared" si="177"/>
        <v>0</v>
      </c>
      <c r="CO45" s="27">
        <f t="shared" si="178"/>
        <v>1348.8398857054565</v>
      </c>
      <c r="CP45" s="27">
        <f t="shared" si="179"/>
        <v>0</v>
      </c>
      <c r="CQ45" s="27">
        <f t="shared" si="180"/>
        <v>0</v>
      </c>
      <c r="CR45" s="27">
        <f t="shared" si="181"/>
        <v>0</v>
      </c>
      <c r="CS45" s="27">
        <f t="shared" si="182"/>
        <v>9667.553941336233</v>
      </c>
      <c r="CT45" s="27">
        <f t="shared" si="183"/>
        <v>0</v>
      </c>
      <c r="CU45" s="27">
        <f t="shared" si="184"/>
        <v>0</v>
      </c>
      <c r="CV45" s="27">
        <f t="shared" si="185"/>
        <v>0</v>
      </c>
      <c r="CW45" s="27">
        <f t="shared" si="186"/>
        <v>0</v>
      </c>
      <c r="CX45" s="27">
        <f t="shared" si="187"/>
        <v>0</v>
      </c>
      <c r="CY45" s="27">
        <f t="shared" si="188"/>
        <v>0</v>
      </c>
      <c r="CZ45" s="27">
        <f t="shared" si="189"/>
        <v>0</v>
      </c>
      <c r="DA45" s="27">
        <f t="shared" si="190"/>
        <v>24053.065015483175</v>
      </c>
      <c r="DB45" s="27">
        <f t="shared" si="191"/>
        <v>0</v>
      </c>
      <c r="DC45" s="27">
        <f t="shared" si="192"/>
        <v>6744.1994285272822</v>
      </c>
      <c r="DD45" s="27">
        <f t="shared" si="193"/>
        <v>2023.2598285581846</v>
      </c>
      <c r="DE45" s="27">
        <f t="shared" si="194"/>
        <v>5395.3595428218259</v>
      </c>
      <c r="DF45" s="27">
        <f t="shared" si="195"/>
        <v>0</v>
      </c>
      <c r="DG45" s="27">
        <f t="shared" si="196"/>
        <v>0</v>
      </c>
      <c r="DH45" s="27">
        <f t="shared" si="197"/>
        <v>4046.5196571163692</v>
      </c>
      <c r="DI45" s="27">
        <f t="shared" si="198"/>
        <v>0</v>
      </c>
      <c r="DJ45" s="27">
        <f t="shared" si="199"/>
        <v>31023.317371225505</v>
      </c>
      <c r="DK45" s="27">
        <f t="shared" si="200"/>
        <v>0</v>
      </c>
      <c r="DL45" s="27">
        <f t="shared" si="201"/>
        <v>0</v>
      </c>
      <c r="DM45" s="27">
        <f t="shared" si="202"/>
        <v>320761.88532922603</v>
      </c>
      <c r="DN45" s="110">
        <f t="shared" si="203"/>
        <v>1.0000000000000002</v>
      </c>
      <c r="DO45" s="28">
        <f t="shared" si="211"/>
        <v>0</v>
      </c>
      <c r="DP45" s="28">
        <f t="shared" si="212"/>
        <v>633.95447988615342</v>
      </c>
      <c r="DQ45" s="28">
        <f t="shared" si="213"/>
        <v>0</v>
      </c>
      <c r="DR45" s="28">
        <f t="shared" si="214"/>
        <v>0</v>
      </c>
      <c r="DS45" s="28">
        <f t="shared" si="215"/>
        <v>0</v>
      </c>
      <c r="DT45" s="28">
        <f t="shared" si="216"/>
        <v>4543.7484430894674</v>
      </c>
      <c r="DU45" s="28">
        <f t="shared" si="217"/>
        <v>0</v>
      </c>
      <c r="DV45" s="28">
        <f t="shared" si="218"/>
        <v>0</v>
      </c>
      <c r="DW45" s="28">
        <f t="shared" si="219"/>
        <v>0</v>
      </c>
      <c r="DX45" s="28">
        <f t="shared" si="220"/>
        <v>0</v>
      </c>
      <c r="DY45" s="28">
        <f t="shared" si="221"/>
        <v>0</v>
      </c>
      <c r="DZ45" s="28">
        <f t="shared" si="222"/>
        <v>0</v>
      </c>
      <c r="EA45" s="28">
        <f t="shared" si="223"/>
        <v>0</v>
      </c>
      <c r="EB45" s="28">
        <f t="shared" si="224"/>
        <v>11304.935806805064</v>
      </c>
      <c r="EC45" s="28">
        <f t="shared" si="225"/>
        <v>0</v>
      </c>
      <c r="ED45" s="28">
        <f t="shared" si="226"/>
        <v>3169.7723994307662</v>
      </c>
      <c r="EE45" s="28">
        <f t="shared" si="227"/>
        <v>950.93171982922991</v>
      </c>
      <c r="EF45" s="28">
        <f t="shared" si="228"/>
        <v>2535.8179195446137</v>
      </c>
      <c r="EG45" s="28">
        <f t="shared" si="229"/>
        <v>0</v>
      </c>
      <c r="EH45" s="28">
        <f t="shared" si="230"/>
        <v>0</v>
      </c>
      <c r="EI45" s="28">
        <f t="shared" si="231"/>
        <v>1901.8634396584598</v>
      </c>
      <c r="EJ45" s="28">
        <f t="shared" si="232"/>
        <v>0</v>
      </c>
      <c r="EK45" s="28">
        <f t="shared" si="233"/>
        <v>14580.953037381532</v>
      </c>
      <c r="EL45" s="28">
        <f t="shared" si="234"/>
        <v>0</v>
      </c>
      <c r="EM45" s="28">
        <f t="shared" si="235"/>
        <v>0</v>
      </c>
      <c r="EN45" s="28">
        <f t="shared" si="236"/>
        <v>150758.02275437472</v>
      </c>
      <c r="EQ45" s="144">
        <v>4.0157868771583623E-2</v>
      </c>
      <c r="ER45" s="144">
        <v>5.0222002960039466E-2</v>
      </c>
      <c r="ES45" s="144">
        <v>6.0236803157375424E-2</v>
      </c>
      <c r="ET45" s="144">
        <v>8.2338431179082391E-2</v>
      </c>
      <c r="EU45" s="144">
        <v>7.0300937345831274E-2</v>
      </c>
      <c r="EV45" s="144">
        <v>8.0315737543167245E-2</v>
      </c>
      <c r="EW45" s="144">
        <v>8.0315737543167245E-2</v>
      </c>
      <c r="EX45" s="144">
        <v>7.0300937345831274E-2</v>
      </c>
      <c r="EY45" s="144">
        <v>8.0315737543167245E-2</v>
      </c>
      <c r="EZ45" s="144">
        <v>0.10740009866798224</v>
      </c>
      <c r="FA45" s="144">
        <v>0.10744943265910215</v>
      </c>
      <c r="FB45" s="144">
        <v>0.17064627528367043</v>
      </c>
      <c r="FC45" s="145">
        <f t="shared" si="237"/>
        <v>1</v>
      </c>
      <c r="FD45" s="146">
        <f t="shared" si="238"/>
        <v>0.15061667488899852</v>
      </c>
      <c r="FE45" s="146">
        <f t="shared" si="239"/>
        <v>0.2329551060680809</v>
      </c>
      <c r="FF45" s="146">
        <f t="shared" si="240"/>
        <v>0.23093241243216578</v>
      </c>
      <c r="FG45" s="146">
        <f t="shared" si="241"/>
        <v>0.38549580661075483</v>
      </c>
      <c r="FH45" s="145">
        <f t="shared" si="375"/>
        <v>1</v>
      </c>
      <c r="FJ45" s="52">
        <f t="shared" si="243"/>
        <v>0</v>
      </c>
      <c r="FK45" s="52">
        <f t="shared" si="244"/>
        <v>298.6418943340496</v>
      </c>
      <c r="FL45" s="52">
        <f t="shared" si="245"/>
        <v>0</v>
      </c>
      <c r="FM45" s="52">
        <f t="shared" si="246"/>
        <v>0</v>
      </c>
      <c r="FN45" s="52">
        <f t="shared" si="247"/>
        <v>0</v>
      </c>
      <c r="FO45" s="52">
        <f t="shared" si="248"/>
        <v>2140.459110984295</v>
      </c>
      <c r="FP45" s="52">
        <f t="shared" si="249"/>
        <v>0</v>
      </c>
      <c r="FQ45" s="52">
        <f t="shared" si="250"/>
        <v>0</v>
      </c>
      <c r="FR45" s="52">
        <f t="shared" si="251"/>
        <v>0</v>
      </c>
      <c r="FS45" s="52">
        <f t="shared" si="252"/>
        <v>0</v>
      </c>
      <c r="FT45" s="52">
        <f t="shared" si="253"/>
        <v>0</v>
      </c>
      <c r="FU45" s="52">
        <f t="shared" si="254"/>
        <v>0</v>
      </c>
      <c r="FV45" s="52">
        <f t="shared" si="255"/>
        <v>0</v>
      </c>
      <c r="FW45" s="52">
        <f t="shared" si="256"/>
        <v>5325.5045145755303</v>
      </c>
      <c r="FX45" s="52">
        <f t="shared" si="257"/>
        <v>0</v>
      </c>
      <c r="FY45" s="52">
        <f t="shared" si="258"/>
        <v>1493.2094716702477</v>
      </c>
      <c r="FZ45" s="52">
        <f t="shared" si="259"/>
        <v>447.96284150107431</v>
      </c>
      <c r="GA45" s="52">
        <f t="shared" si="260"/>
        <v>1194.5675773361984</v>
      </c>
      <c r="GB45" s="52">
        <f t="shared" si="261"/>
        <v>0</v>
      </c>
      <c r="GC45" s="52">
        <f t="shared" si="262"/>
        <v>0</v>
      </c>
      <c r="GD45" s="52">
        <f t="shared" si="263"/>
        <v>895.92568300214862</v>
      </c>
      <c r="GE45" s="52">
        <f t="shared" si="264"/>
        <v>0</v>
      </c>
      <c r="GF45" s="52">
        <f t="shared" si="265"/>
        <v>6868.7635696831421</v>
      </c>
      <c r="GG45" s="52">
        <f t="shared" si="266"/>
        <v>0</v>
      </c>
      <c r="GH45" s="52">
        <f t="shared" si="267"/>
        <v>0</v>
      </c>
      <c r="GI45" s="52">
        <f t="shared" si="268"/>
        <v>71018.760699518156</v>
      </c>
      <c r="GJ45" s="26"/>
      <c r="GL45" s="150">
        <f t="shared" si="269"/>
        <v>0</v>
      </c>
      <c r="GM45" s="150">
        <f t="shared" si="270"/>
        <v>461.90207174758666</v>
      </c>
      <c r="GN45" s="150">
        <f t="shared" si="271"/>
        <v>0</v>
      </c>
      <c r="GO45" s="150">
        <f t="shared" si="272"/>
        <v>0</v>
      </c>
      <c r="GP45" s="150">
        <f t="shared" si="273"/>
        <v>0</v>
      </c>
      <c r="GQ45" s="150">
        <f t="shared" si="274"/>
        <v>3310.5954543294602</v>
      </c>
      <c r="GR45" s="150">
        <f t="shared" si="275"/>
        <v>0</v>
      </c>
      <c r="GS45" s="150">
        <f t="shared" si="276"/>
        <v>0</v>
      </c>
      <c r="GT45" s="150">
        <f t="shared" si="277"/>
        <v>0</v>
      </c>
      <c r="GU45" s="150">
        <f t="shared" si="278"/>
        <v>0</v>
      </c>
      <c r="GV45" s="150">
        <f t="shared" si="279"/>
        <v>0</v>
      </c>
      <c r="GW45" s="150">
        <f t="shared" si="280"/>
        <v>0</v>
      </c>
      <c r="GX45" s="150">
        <f t="shared" si="281"/>
        <v>0</v>
      </c>
      <c r="GY45" s="150">
        <f t="shared" si="282"/>
        <v>8236.8268319114486</v>
      </c>
      <c r="GZ45" s="150">
        <f t="shared" si="283"/>
        <v>0</v>
      </c>
      <c r="HA45" s="150">
        <f t="shared" si="284"/>
        <v>2309.5103587379331</v>
      </c>
      <c r="HB45" s="150">
        <f t="shared" si="285"/>
        <v>692.85310762137988</v>
      </c>
      <c r="HC45" s="150">
        <f t="shared" si="286"/>
        <v>1847.6082869903466</v>
      </c>
      <c r="HD45" s="150">
        <f t="shared" si="287"/>
        <v>0</v>
      </c>
      <c r="HE45" s="150">
        <f t="shared" si="288"/>
        <v>0</v>
      </c>
      <c r="HF45" s="150">
        <f t="shared" si="289"/>
        <v>1385.7062152427598</v>
      </c>
      <c r="HG45" s="150">
        <f t="shared" si="290"/>
        <v>0</v>
      </c>
      <c r="HH45" s="150">
        <f t="shared" si="291"/>
        <v>10623.747650194495</v>
      </c>
      <c r="HI45" s="150">
        <f t="shared" si="292"/>
        <v>0</v>
      </c>
      <c r="HJ45" s="150">
        <f t="shared" si="293"/>
        <v>0</v>
      </c>
      <c r="HK45" s="150">
        <f t="shared" si="294"/>
        <v>109842.97020082697</v>
      </c>
      <c r="HL45" s="26"/>
      <c r="HN45" s="147">
        <f t="shared" si="295"/>
        <v>0</v>
      </c>
      <c r="HO45" s="147">
        <f t="shared" si="296"/>
        <v>457.89148620297613</v>
      </c>
      <c r="HP45" s="147">
        <f t="shared" si="297"/>
        <v>0</v>
      </c>
      <c r="HQ45" s="147">
        <f t="shared" si="298"/>
        <v>0</v>
      </c>
      <c r="HR45" s="147">
        <f t="shared" si="299"/>
        <v>0</v>
      </c>
      <c r="HS45" s="147">
        <f t="shared" si="300"/>
        <v>3281.850343438417</v>
      </c>
      <c r="HT45" s="147">
        <f t="shared" si="301"/>
        <v>0</v>
      </c>
      <c r="HU45" s="147">
        <f t="shared" si="302"/>
        <v>0</v>
      </c>
      <c r="HV45" s="147">
        <f t="shared" si="303"/>
        <v>0</v>
      </c>
      <c r="HW45" s="147">
        <f t="shared" si="304"/>
        <v>0</v>
      </c>
      <c r="HX45" s="147">
        <f t="shared" si="305"/>
        <v>0</v>
      </c>
      <c r="HY45" s="147">
        <f t="shared" si="306"/>
        <v>0</v>
      </c>
      <c r="HZ45" s="147">
        <f t="shared" si="307"/>
        <v>0</v>
      </c>
      <c r="IA45" s="147">
        <f t="shared" si="308"/>
        <v>8165.3084286695239</v>
      </c>
      <c r="IB45" s="147">
        <f t="shared" si="309"/>
        <v>0</v>
      </c>
      <c r="IC45" s="147">
        <f t="shared" si="310"/>
        <v>2289.4574310148805</v>
      </c>
      <c r="ID45" s="147">
        <f t="shared" si="311"/>
        <v>686.83722930446413</v>
      </c>
      <c r="IE45" s="147">
        <f t="shared" si="312"/>
        <v>1831.5659448119045</v>
      </c>
      <c r="IF45" s="147">
        <f t="shared" si="313"/>
        <v>0</v>
      </c>
      <c r="IG45" s="147">
        <f t="shared" si="314"/>
        <v>0</v>
      </c>
      <c r="IH45" s="147">
        <f t="shared" si="315"/>
        <v>1373.6744586089283</v>
      </c>
      <c r="II45" s="147">
        <f t="shared" si="316"/>
        <v>0</v>
      </c>
      <c r="IJ45" s="147">
        <f t="shared" si="317"/>
        <v>10531.504182668454</v>
      </c>
      <c r="IK45" s="147">
        <f t="shared" si="318"/>
        <v>0</v>
      </c>
      <c r="IL45" s="147">
        <f t="shared" si="319"/>
        <v>0</v>
      </c>
      <c r="IM45" s="147">
        <f t="shared" si="320"/>
        <v>108889.22988353898</v>
      </c>
      <c r="IN45" s="26"/>
      <c r="IP45" s="61">
        <f t="shared" si="321"/>
        <v>0</v>
      </c>
      <c r="IQ45" s="61">
        <f t="shared" si="322"/>
        <v>764.35891330699758</v>
      </c>
      <c r="IR45" s="61">
        <f t="shared" si="323"/>
        <v>0</v>
      </c>
      <c r="IS45" s="61">
        <f t="shared" si="324"/>
        <v>0</v>
      </c>
      <c r="IT45" s="61">
        <f t="shared" si="325"/>
        <v>0</v>
      </c>
      <c r="IU45" s="61">
        <f t="shared" si="326"/>
        <v>5478.3974756735288</v>
      </c>
      <c r="IV45" s="61">
        <f t="shared" si="327"/>
        <v>0</v>
      </c>
      <c r="IW45" s="61">
        <f t="shared" si="328"/>
        <v>0</v>
      </c>
      <c r="IX45" s="61">
        <f t="shared" si="329"/>
        <v>0</v>
      </c>
      <c r="IY45" s="61">
        <f t="shared" si="330"/>
        <v>0</v>
      </c>
      <c r="IZ45" s="61">
        <f t="shared" si="331"/>
        <v>0</v>
      </c>
      <c r="JA45" s="61">
        <f t="shared" si="332"/>
        <v>0</v>
      </c>
      <c r="JB45" s="61">
        <f t="shared" si="333"/>
        <v>0</v>
      </c>
      <c r="JC45" s="61">
        <f t="shared" si="334"/>
        <v>13630.361047131737</v>
      </c>
      <c r="JD45" s="61">
        <f t="shared" si="335"/>
        <v>0</v>
      </c>
      <c r="JE45" s="61">
        <f t="shared" si="336"/>
        <v>3821.7945665349876</v>
      </c>
      <c r="JF45" s="61">
        <f t="shared" si="337"/>
        <v>1146.5383699604963</v>
      </c>
      <c r="JG45" s="61">
        <f t="shared" si="338"/>
        <v>3057.4356532279903</v>
      </c>
      <c r="JH45" s="61">
        <f t="shared" si="339"/>
        <v>0</v>
      </c>
      <c r="JI45" s="61">
        <f t="shared" si="340"/>
        <v>0</v>
      </c>
      <c r="JJ45" s="61">
        <f t="shared" si="341"/>
        <v>2293.0767399209926</v>
      </c>
      <c r="JK45" s="61">
        <f t="shared" si="342"/>
        <v>0</v>
      </c>
      <c r="JL45" s="61">
        <f t="shared" si="343"/>
        <v>17580.255006060946</v>
      </c>
      <c r="JM45" s="61">
        <f t="shared" si="344"/>
        <v>0</v>
      </c>
      <c r="JN45" s="61">
        <f t="shared" si="345"/>
        <v>0</v>
      </c>
      <c r="JO45" s="61">
        <f t="shared" si="346"/>
        <v>181768.94729971664</v>
      </c>
      <c r="JQ45" s="26">
        <f t="shared" si="209"/>
        <v>595444.00000000012</v>
      </c>
      <c r="JR45" s="156">
        <f t="shared" si="210"/>
        <v>1.0000000000000002</v>
      </c>
      <c r="JT45" s="157">
        <f t="shared" si="347"/>
        <v>0</v>
      </c>
      <c r="JU45" s="29">
        <f t="shared" si="348"/>
        <v>0</v>
      </c>
    </row>
    <row r="46" spans="1:281" ht="18.75" x14ac:dyDescent="0.3">
      <c r="A46" t="s">
        <v>69</v>
      </c>
      <c r="B46" t="s">
        <v>2</v>
      </c>
      <c r="C46" t="s">
        <v>19</v>
      </c>
      <c r="D46" t="s">
        <v>20</v>
      </c>
      <c r="E46" t="s">
        <v>21</v>
      </c>
      <c r="F46" s="113">
        <v>12</v>
      </c>
      <c r="G46" s="15">
        <v>600100</v>
      </c>
      <c r="H46" s="20">
        <v>405473</v>
      </c>
      <c r="I46" s="23">
        <v>1.4799999013497815</v>
      </c>
      <c r="J46" s="9">
        <v>0</v>
      </c>
      <c r="K46" s="9">
        <v>3.3299426404357251E-3</v>
      </c>
      <c r="L46" s="9">
        <v>0</v>
      </c>
      <c r="M46" s="9">
        <v>0</v>
      </c>
      <c r="N46" s="9">
        <v>0</v>
      </c>
      <c r="O46" s="9">
        <v>2.3866732025892779E-2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5.9380900340398494E-2</v>
      </c>
      <c r="X46" s="9">
        <v>0</v>
      </c>
      <c r="Y46" s="9">
        <v>1.6649713202178625E-2</v>
      </c>
      <c r="Z46" s="9">
        <v>4.9949139606535872E-3</v>
      </c>
      <c r="AA46" s="9">
        <v>1.33197705617429E-2</v>
      </c>
      <c r="AB46" s="9">
        <v>0</v>
      </c>
      <c r="AC46" s="9">
        <v>0</v>
      </c>
      <c r="AD46" s="9">
        <v>9.9898279213071744E-3</v>
      </c>
      <c r="AE46" s="9">
        <v>0</v>
      </c>
      <c r="AF46" s="9">
        <v>7.6588680730021688E-2</v>
      </c>
      <c r="AG46" s="9">
        <v>0</v>
      </c>
      <c r="AH46" s="9">
        <v>0</v>
      </c>
      <c r="AI46" s="9">
        <v>0.79187951861736916</v>
      </c>
      <c r="AJ46" s="8">
        <f t="shared" si="124"/>
        <v>1</v>
      </c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9"/>
      <c r="BM46" s="26">
        <f t="shared" si="150"/>
        <v>0</v>
      </c>
      <c r="BN46" s="26">
        <f t="shared" si="151"/>
        <v>1998.2985785254787</v>
      </c>
      <c r="BO46" s="26">
        <f t="shared" si="152"/>
        <v>0</v>
      </c>
      <c r="BP46" s="26">
        <f t="shared" si="153"/>
        <v>0</v>
      </c>
      <c r="BQ46" s="26">
        <f t="shared" si="154"/>
        <v>0</v>
      </c>
      <c r="BR46" s="26">
        <f t="shared" si="155"/>
        <v>14322.425888738257</v>
      </c>
      <c r="BS46" s="26">
        <f t="shared" si="156"/>
        <v>0</v>
      </c>
      <c r="BT46" s="26">
        <f t="shared" si="157"/>
        <v>0</v>
      </c>
      <c r="BU46" s="26">
        <f t="shared" si="158"/>
        <v>0</v>
      </c>
      <c r="BV46" s="26">
        <f t="shared" si="159"/>
        <v>0</v>
      </c>
      <c r="BW46" s="26">
        <f t="shared" si="160"/>
        <v>0</v>
      </c>
      <c r="BX46" s="26">
        <f t="shared" si="161"/>
        <v>0</v>
      </c>
      <c r="BY46" s="26">
        <f t="shared" si="162"/>
        <v>0</v>
      </c>
      <c r="BZ46" s="26">
        <f t="shared" si="163"/>
        <v>35634.47829427314</v>
      </c>
      <c r="CA46" s="26">
        <f t="shared" si="164"/>
        <v>0</v>
      </c>
      <c r="CB46" s="26">
        <f t="shared" si="165"/>
        <v>9991.4928926273933</v>
      </c>
      <c r="CC46" s="26">
        <f t="shared" si="166"/>
        <v>2997.4478677882175</v>
      </c>
      <c r="CD46" s="26">
        <f t="shared" si="167"/>
        <v>7993.1943141019146</v>
      </c>
      <c r="CE46" s="26">
        <f t="shared" si="168"/>
        <v>0</v>
      </c>
      <c r="CF46" s="26">
        <f t="shared" si="169"/>
        <v>0</v>
      </c>
      <c r="CG46" s="26">
        <f t="shared" si="170"/>
        <v>5994.8957355764351</v>
      </c>
      <c r="CH46" s="26">
        <f t="shared" si="171"/>
        <v>0</v>
      </c>
      <c r="CI46" s="26">
        <f t="shared" si="172"/>
        <v>45960.867306086016</v>
      </c>
      <c r="CJ46" s="26">
        <f t="shared" si="173"/>
        <v>0</v>
      </c>
      <c r="CK46" s="26">
        <f t="shared" si="174"/>
        <v>0</v>
      </c>
      <c r="CL46" s="26">
        <f t="shared" si="175"/>
        <v>475206.89912228321</v>
      </c>
      <c r="CM46" s="110">
        <f t="shared" si="176"/>
        <v>1</v>
      </c>
      <c r="CN46" s="27">
        <f t="shared" si="177"/>
        <v>0</v>
      </c>
      <c r="CO46" s="27">
        <f t="shared" si="178"/>
        <v>1350.2018322453948</v>
      </c>
      <c r="CP46" s="27">
        <f t="shared" si="179"/>
        <v>0</v>
      </c>
      <c r="CQ46" s="27">
        <f t="shared" si="180"/>
        <v>0</v>
      </c>
      <c r="CR46" s="27">
        <f t="shared" si="181"/>
        <v>0</v>
      </c>
      <c r="CS46" s="27">
        <f t="shared" si="182"/>
        <v>9677.3154347348227</v>
      </c>
      <c r="CT46" s="27">
        <f t="shared" si="183"/>
        <v>0</v>
      </c>
      <c r="CU46" s="27">
        <f t="shared" si="184"/>
        <v>0</v>
      </c>
      <c r="CV46" s="27">
        <f t="shared" si="185"/>
        <v>0</v>
      </c>
      <c r="CW46" s="27">
        <f t="shared" si="186"/>
        <v>0</v>
      </c>
      <c r="CX46" s="27">
        <f t="shared" si="187"/>
        <v>0</v>
      </c>
      <c r="CY46" s="27">
        <f t="shared" si="188"/>
        <v>0</v>
      </c>
      <c r="CZ46" s="27">
        <f t="shared" si="189"/>
        <v>0</v>
      </c>
      <c r="DA46" s="27">
        <f t="shared" si="190"/>
        <v>24077.351803722398</v>
      </c>
      <c r="DB46" s="27">
        <f t="shared" si="191"/>
        <v>0</v>
      </c>
      <c r="DC46" s="27">
        <f t="shared" si="192"/>
        <v>6751.0091612269734</v>
      </c>
      <c r="DD46" s="27">
        <f t="shared" si="193"/>
        <v>2025.3027483680919</v>
      </c>
      <c r="DE46" s="27">
        <f t="shared" si="194"/>
        <v>5400.8073289815793</v>
      </c>
      <c r="DF46" s="27">
        <f t="shared" si="195"/>
        <v>0</v>
      </c>
      <c r="DG46" s="27">
        <f t="shared" si="196"/>
        <v>0</v>
      </c>
      <c r="DH46" s="27">
        <f t="shared" si="197"/>
        <v>4050.6054967361838</v>
      </c>
      <c r="DI46" s="27">
        <f t="shared" si="198"/>
        <v>0</v>
      </c>
      <c r="DJ46" s="27">
        <f t="shared" si="199"/>
        <v>31054.642141644083</v>
      </c>
      <c r="DK46" s="27">
        <f t="shared" si="200"/>
        <v>0</v>
      </c>
      <c r="DL46" s="27">
        <f t="shared" si="201"/>
        <v>0</v>
      </c>
      <c r="DM46" s="27">
        <f t="shared" si="202"/>
        <v>321085.76405234053</v>
      </c>
      <c r="DN46" s="110">
        <f t="shared" si="203"/>
        <v>1.0000000000000002</v>
      </c>
      <c r="DO46" s="28">
        <f t="shared" si="211"/>
        <v>0</v>
      </c>
      <c r="DP46" s="28">
        <f t="shared" si="212"/>
        <v>648.09674628008383</v>
      </c>
      <c r="DQ46" s="28">
        <f t="shared" si="213"/>
        <v>0</v>
      </c>
      <c r="DR46" s="28">
        <f t="shared" si="214"/>
        <v>0</v>
      </c>
      <c r="DS46" s="28">
        <f t="shared" si="215"/>
        <v>0</v>
      </c>
      <c r="DT46" s="28">
        <f t="shared" si="216"/>
        <v>4645.1104540034339</v>
      </c>
      <c r="DU46" s="28">
        <f t="shared" si="217"/>
        <v>0</v>
      </c>
      <c r="DV46" s="28">
        <f t="shared" si="218"/>
        <v>0</v>
      </c>
      <c r="DW46" s="28">
        <f t="shared" si="219"/>
        <v>0</v>
      </c>
      <c r="DX46" s="28">
        <f t="shared" si="220"/>
        <v>0</v>
      </c>
      <c r="DY46" s="28">
        <f t="shared" si="221"/>
        <v>0</v>
      </c>
      <c r="DZ46" s="28">
        <f t="shared" si="222"/>
        <v>0</v>
      </c>
      <c r="EA46" s="28">
        <f t="shared" si="223"/>
        <v>0</v>
      </c>
      <c r="EB46" s="28">
        <f t="shared" si="224"/>
        <v>11557.126490550741</v>
      </c>
      <c r="EC46" s="28">
        <f t="shared" si="225"/>
        <v>0</v>
      </c>
      <c r="ED46" s="28">
        <f t="shared" si="226"/>
        <v>3240.4837314004199</v>
      </c>
      <c r="EE46" s="28">
        <f t="shared" si="227"/>
        <v>972.14511942012564</v>
      </c>
      <c r="EF46" s="28">
        <f t="shared" si="228"/>
        <v>2592.3869851203353</v>
      </c>
      <c r="EG46" s="28">
        <f t="shared" si="229"/>
        <v>0</v>
      </c>
      <c r="EH46" s="28">
        <f t="shared" si="230"/>
        <v>0</v>
      </c>
      <c r="EI46" s="28">
        <f t="shared" si="231"/>
        <v>1944.2902388402513</v>
      </c>
      <c r="EJ46" s="28">
        <f t="shared" si="232"/>
        <v>0</v>
      </c>
      <c r="EK46" s="28">
        <f t="shared" si="233"/>
        <v>14906.225164441934</v>
      </c>
      <c r="EL46" s="28">
        <f t="shared" si="234"/>
        <v>0</v>
      </c>
      <c r="EM46" s="28">
        <f t="shared" si="235"/>
        <v>0</v>
      </c>
      <c r="EN46" s="28">
        <f t="shared" si="236"/>
        <v>154121.13506994268</v>
      </c>
      <c r="EQ46" s="144">
        <v>4.019204955923468E-2</v>
      </c>
      <c r="ER46" s="144">
        <v>5.0205754662343755E-2</v>
      </c>
      <c r="ES46" s="144">
        <v>6.021947977845369E-2</v>
      </c>
      <c r="ET46" s="144">
        <v>8.230452666661317E-2</v>
      </c>
      <c r="EU46" s="144">
        <v>7.0233204894563625E-2</v>
      </c>
      <c r="EV46" s="144">
        <v>8.0384079105468506E-2</v>
      </c>
      <c r="EW46" s="144">
        <v>8.0384079105468506E-2</v>
      </c>
      <c r="EX46" s="144">
        <v>7.0233204894563625E-2</v>
      </c>
      <c r="EY46" s="144">
        <v>8.0384079105468506E-2</v>
      </c>
      <c r="EZ46" s="144">
        <v>0.10740741400428548</v>
      </c>
      <c r="FA46" s="144">
        <v>0.10740741400428548</v>
      </c>
      <c r="FB46" s="144">
        <v>0.17064471421925112</v>
      </c>
      <c r="FC46" s="145">
        <f t="shared" si="237"/>
        <v>1.0000000000000002</v>
      </c>
      <c r="FD46" s="146">
        <f t="shared" si="238"/>
        <v>0.15061728400003213</v>
      </c>
      <c r="FE46" s="146">
        <f t="shared" si="239"/>
        <v>0.2329218106666453</v>
      </c>
      <c r="FF46" s="146">
        <f t="shared" si="240"/>
        <v>0.23100136310550062</v>
      </c>
      <c r="FG46" s="146">
        <f t="shared" si="241"/>
        <v>0.38545954222782208</v>
      </c>
      <c r="FH46" s="145">
        <f t="shared" si="375"/>
        <v>1</v>
      </c>
      <c r="FJ46" s="52">
        <f t="shared" si="243"/>
        <v>0</v>
      </c>
      <c r="FK46" s="52">
        <f t="shared" si="244"/>
        <v>300.97830451863251</v>
      </c>
      <c r="FL46" s="52">
        <f t="shared" si="245"/>
        <v>0</v>
      </c>
      <c r="FM46" s="52">
        <f t="shared" si="246"/>
        <v>0</v>
      </c>
      <c r="FN46" s="52">
        <f t="shared" si="247"/>
        <v>0</v>
      </c>
      <c r="FO46" s="52">
        <f t="shared" si="248"/>
        <v>2157.2048876535027</v>
      </c>
      <c r="FP46" s="52">
        <f t="shared" si="249"/>
        <v>0</v>
      </c>
      <c r="FQ46" s="52">
        <f t="shared" si="250"/>
        <v>0</v>
      </c>
      <c r="FR46" s="52">
        <f t="shared" si="251"/>
        <v>0</v>
      </c>
      <c r="FS46" s="52">
        <f t="shared" si="252"/>
        <v>0</v>
      </c>
      <c r="FT46" s="52">
        <f t="shared" si="253"/>
        <v>0</v>
      </c>
      <c r="FU46" s="52">
        <f t="shared" si="254"/>
        <v>0</v>
      </c>
      <c r="FV46" s="52">
        <f t="shared" si="255"/>
        <v>0</v>
      </c>
      <c r="FW46" s="52">
        <f t="shared" si="256"/>
        <v>5367.1683374415179</v>
      </c>
      <c r="FX46" s="52">
        <f t="shared" si="257"/>
        <v>0</v>
      </c>
      <c r="FY46" s="52">
        <f t="shared" si="258"/>
        <v>1504.8915225931626</v>
      </c>
      <c r="FZ46" s="52">
        <f t="shared" si="259"/>
        <v>451.46745677794871</v>
      </c>
      <c r="GA46" s="52">
        <f t="shared" si="260"/>
        <v>1203.9132180745301</v>
      </c>
      <c r="GB46" s="52">
        <f t="shared" si="261"/>
        <v>0</v>
      </c>
      <c r="GC46" s="52">
        <f t="shared" si="262"/>
        <v>0</v>
      </c>
      <c r="GD46" s="52">
        <f t="shared" si="263"/>
        <v>902.93491355589742</v>
      </c>
      <c r="GE46" s="52">
        <f t="shared" si="264"/>
        <v>0</v>
      </c>
      <c r="GF46" s="52">
        <f t="shared" si="265"/>
        <v>6922.5010039285489</v>
      </c>
      <c r="GG46" s="52">
        <f t="shared" si="266"/>
        <v>0</v>
      </c>
      <c r="GH46" s="52">
        <f t="shared" si="267"/>
        <v>0</v>
      </c>
      <c r="GI46" s="52">
        <f t="shared" si="268"/>
        <v>71574.372483875544</v>
      </c>
      <c r="GJ46" s="26"/>
      <c r="GL46" s="150">
        <f t="shared" si="269"/>
        <v>0</v>
      </c>
      <c r="GM46" s="150">
        <f t="shared" si="270"/>
        <v>465.44732316273797</v>
      </c>
      <c r="GN46" s="150">
        <f t="shared" si="271"/>
        <v>0</v>
      </c>
      <c r="GO46" s="150">
        <f t="shared" si="272"/>
        <v>0</v>
      </c>
      <c r="GP46" s="150">
        <f t="shared" si="273"/>
        <v>0</v>
      </c>
      <c r="GQ46" s="150">
        <f t="shared" si="274"/>
        <v>3336.0053711437513</v>
      </c>
      <c r="GR46" s="150">
        <f t="shared" si="275"/>
        <v>0</v>
      </c>
      <c r="GS46" s="150">
        <f t="shared" si="276"/>
        <v>0</v>
      </c>
      <c r="GT46" s="150">
        <f t="shared" si="277"/>
        <v>0</v>
      </c>
      <c r="GU46" s="150">
        <f t="shared" si="278"/>
        <v>0</v>
      </c>
      <c r="GV46" s="150">
        <f t="shared" si="279"/>
        <v>0</v>
      </c>
      <c r="GW46" s="150">
        <f t="shared" si="280"/>
        <v>0</v>
      </c>
      <c r="GX46" s="150">
        <f t="shared" si="281"/>
        <v>0</v>
      </c>
      <c r="GY46" s="150">
        <f t="shared" si="282"/>
        <v>8300.0472064633705</v>
      </c>
      <c r="GZ46" s="150">
        <f t="shared" si="283"/>
        <v>0</v>
      </c>
      <c r="HA46" s="150">
        <f t="shared" si="284"/>
        <v>2327.2366158136897</v>
      </c>
      <c r="HB46" s="150">
        <f t="shared" si="285"/>
        <v>698.17098474410682</v>
      </c>
      <c r="HC46" s="150">
        <f t="shared" si="286"/>
        <v>1861.7892926509519</v>
      </c>
      <c r="HD46" s="150">
        <f t="shared" si="287"/>
        <v>0</v>
      </c>
      <c r="HE46" s="150">
        <f t="shared" si="288"/>
        <v>0</v>
      </c>
      <c r="HF46" s="150">
        <f t="shared" si="289"/>
        <v>1396.3419694882136</v>
      </c>
      <c r="HG46" s="150">
        <f t="shared" si="290"/>
        <v>0</v>
      </c>
      <c r="HH46" s="150">
        <f t="shared" si="291"/>
        <v>10705.288432742975</v>
      </c>
      <c r="HI46" s="150">
        <f t="shared" si="292"/>
        <v>0</v>
      </c>
      <c r="HJ46" s="150">
        <f t="shared" si="293"/>
        <v>0</v>
      </c>
      <c r="HK46" s="150">
        <f t="shared" si="294"/>
        <v>110686.05138484406</v>
      </c>
      <c r="HL46" s="26"/>
      <c r="HN46" s="147">
        <f t="shared" si="295"/>
        <v>0</v>
      </c>
      <c r="HO46" s="147">
        <f t="shared" si="296"/>
        <v>461.60969553116985</v>
      </c>
      <c r="HP46" s="147">
        <f t="shared" si="297"/>
        <v>0</v>
      </c>
      <c r="HQ46" s="147">
        <f t="shared" si="298"/>
        <v>0</v>
      </c>
      <c r="HR46" s="147">
        <f t="shared" si="299"/>
        <v>0</v>
      </c>
      <c r="HS46" s="147">
        <f t="shared" si="300"/>
        <v>3308.4999032760484</v>
      </c>
      <c r="HT46" s="147">
        <f t="shared" si="301"/>
        <v>0</v>
      </c>
      <c r="HU46" s="147">
        <f t="shared" si="302"/>
        <v>0</v>
      </c>
      <c r="HV46" s="147">
        <f t="shared" si="303"/>
        <v>0</v>
      </c>
      <c r="HW46" s="147">
        <f t="shared" si="304"/>
        <v>0</v>
      </c>
      <c r="HX46" s="147">
        <f t="shared" si="305"/>
        <v>0</v>
      </c>
      <c r="HY46" s="147">
        <f t="shared" si="306"/>
        <v>0</v>
      </c>
      <c r="HZ46" s="147">
        <f t="shared" si="307"/>
        <v>0</v>
      </c>
      <c r="IA46" s="147">
        <f t="shared" si="308"/>
        <v>8231.6130595304694</v>
      </c>
      <c r="IB46" s="147">
        <f t="shared" si="309"/>
        <v>0</v>
      </c>
      <c r="IC46" s="147">
        <f t="shared" si="310"/>
        <v>2308.0484776558492</v>
      </c>
      <c r="ID46" s="147">
        <f t="shared" si="311"/>
        <v>692.41454329675469</v>
      </c>
      <c r="IE46" s="147">
        <f t="shared" si="312"/>
        <v>1846.4387821246794</v>
      </c>
      <c r="IF46" s="147">
        <f t="shared" si="313"/>
        <v>0</v>
      </c>
      <c r="IG46" s="147">
        <f t="shared" si="314"/>
        <v>0</v>
      </c>
      <c r="IH46" s="147">
        <f t="shared" si="315"/>
        <v>1384.8290865935094</v>
      </c>
      <c r="II46" s="147">
        <f t="shared" si="316"/>
        <v>0</v>
      </c>
      <c r="IJ46" s="147">
        <f t="shared" si="317"/>
        <v>10617.022997216907</v>
      </c>
      <c r="IK46" s="147">
        <f t="shared" si="318"/>
        <v>0</v>
      </c>
      <c r="IL46" s="147">
        <f t="shared" si="319"/>
        <v>0</v>
      </c>
      <c r="IM46" s="147">
        <f t="shared" si="320"/>
        <v>109773.44145438555</v>
      </c>
      <c r="IN46" s="26"/>
      <c r="IP46" s="61">
        <f t="shared" si="321"/>
        <v>0</v>
      </c>
      <c r="IQ46" s="61">
        <f t="shared" si="322"/>
        <v>770.26325531293855</v>
      </c>
      <c r="IR46" s="61">
        <f t="shared" si="323"/>
        <v>0</v>
      </c>
      <c r="IS46" s="61">
        <f t="shared" si="324"/>
        <v>0</v>
      </c>
      <c r="IT46" s="61">
        <f t="shared" si="325"/>
        <v>0</v>
      </c>
      <c r="IU46" s="61">
        <f t="shared" si="326"/>
        <v>5520.7157266649565</v>
      </c>
      <c r="IV46" s="61">
        <f t="shared" si="327"/>
        <v>0</v>
      </c>
      <c r="IW46" s="61">
        <f t="shared" si="328"/>
        <v>0</v>
      </c>
      <c r="IX46" s="61">
        <f t="shared" si="329"/>
        <v>0</v>
      </c>
      <c r="IY46" s="61">
        <f t="shared" si="330"/>
        <v>0</v>
      </c>
      <c r="IZ46" s="61">
        <f t="shared" si="331"/>
        <v>0</v>
      </c>
      <c r="JA46" s="61">
        <f t="shared" si="332"/>
        <v>0</v>
      </c>
      <c r="JB46" s="61">
        <f t="shared" si="333"/>
        <v>0</v>
      </c>
      <c r="JC46" s="61">
        <f t="shared" si="334"/>
        <v>13735.649690837787</v>
      </c>
      <c r="JD46" s="61">
        <f t="shared" si="335"/>
        <v>0</v>
      </c>
      <c r="JE46" s="61">
        <f t="shared" si="336"/>
        <v>3851.316276564693</v>
      </c>
      <c r="JF46" s="61">
        <f t="shared" si="337"/>
        <v>1155.3948829694077</v>
      </c>
      <c r="JG46" s="61">
        <f t="shared" si="338"/>
        <v>3081.0530212517542</v>
      </c>
      <c r="JH46" s="61">
        <f t="shared" si="339"/>
        <v>0</v>
      </c>
      <c r="JI46" s="61">
        <f t="shared" si="340"/>
        <v>0</v>
      </c>
      <c r="JJ46" s="61">
        <f t="shared" si="341"/>
        <v>2310.7897659388154</v>
      </c>
      <c r="JK46" s="61">
        <f t="shared" si="342"/>
        <v>0</v>
      </c>
      <c r="JL46" s="61">
        <f t="shared" si="343"/>
        <v>17716.05487219759</v>
      </c>
      <c r="JM46" s="61">
        <f t="shared" si="344"/>
        <v>0</v>
      </c>
      <c r="JN46" s="61">
        <f t="shared" si="345"/>
        <v>0</v>
      </c>
      <c r="JO46" s="61">
        <f t="shared" si="346"/>
        <v>183173.03379917811</v>
      </c>
      <c r="JQ46" s="26">
        <f t="shared" si="209"/>
        <v>600100.00000000023</v>
      </c>
      <c r="JR46" s="156">
        <f t="shared" si="210"/>
        <v>1.0000000000000004</v>
      </c>
      <c r="JT46" s="157">
        <f t="shared" si="347"/>
        <v>0</v>
      </c>
      <c r="JU46" s="29">
        <f t="shared" si="348"/>
        <v>0</v>
      </c>
    </row>
    <row r="47" spans="1:281" ht="18.75" x14ac:dyDescent="0.3">
      <c r="A47" t="s">
        <v>69</v>
      </c>
      <c r="B47" t="s">
        <v>3</v>
      </c>
      <c r="C47" t="s">
        <v>19</v>
      </c>
      <c r="D47" t="s">
        <v>20</v>
      </c>
      <c r="E47" t="s">
        <v>22</v>
      </c>
      <c r="F47" s="113">
        <v>12</v>
      </c>
      <c r="G47" s="15">
        <v>323103</v>
      </c>
      <c r="H47" s="20">
        <v>230788</v>
      </c>
      <c r="I47" s="23">
        <v>1.3999991334038164</v>
      </c>
      <c r="J47" s="9">
        <v>0</v>
      </c>
      <c r="K47" s="9">
        <v>3.3299426404357251E-3</v>
      </c>
      <c r="L47" s="9">
        <v>0</v>
      </c>
      <c r="M47" s="9">
        <v>0</v>
      </c>
      <c r="N47" s="9">
        <v>0</v>
      </c>
      <c r="O47" s="9">
        <v>2.3866732025892779E-2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5.9380900340398494E-2</v>
      </c>
      <c r="X47" s="9">
        <v>0</v>
      </c>
      <c r="Y47" s="9">
        <v>1.6649713202178625E-2</v>
      </c>
      <c r="Z47" s="9">
        <v>4.9949139606535872E-3</v>
      </c>
      <c r="AA47" s="9">
        <v>1.33197705617429E-2</v>
      </c>
      <c r="AB47" s="9">
        <v>0</v>
      </c>
      <c r="AC47" s="9">
        <v>0</v>
      </c>
      <c r="AD47" s="9">
        <v>9.9898279213071744E-3</v>
      </c>
      <c r="AE47" s="9">
        <v>0</v>
      </c>
      <c r="AF47" s="9">
        <v>7.6588680730021688E-2</v>
      </c>
      <c r="AG47" s="9">
        <v>0</v>
      </c>
      <c r="AH47" s="9">
        <v>0</v>
      </c>
      <c r="AI47" s="9">
        <v>0.79187951861736916</v>
      </c>
      <c r="AJ47" s="8">
        <f t="shared" si="124"/>
        <v>1</v>
      </c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9"/>
      <c r="BM47" s="26">
        <f t="shared" si="150"/>
        <v>0</v>
      </c>
      <c r="BN47" s="26">
        <f t="shared" si="151"/>
        <v>1075.9144569527041</v>
      </c>
      <c r="BO47" s="26">
        <f t="shared" si="152"/>
        <v>0</v>
      </c>
      <c r="BP47" s="26">
        <f t="shared" si="153"/>
        <v>0</v>
      </c>
      <c r="BQ47" s="26">
        <f t="shared" si="154"/>
        <v>0</v>
      </c>
      <c r="BR47" s="26">
        <f t="shared" si="155"/>
        <v>7711.4127177620348</v>
      </c>
      <c r="BS47" s="26">
        <f t="shared" si="156"/>
        <v>0</v>
      </c>
      <c r="BT47" s="26">
        <f t="shared" si="157"/>
        <v>0</v>
      </c>
      <c r="BU47" s="26">
        <f t="shared" si="158"/>
        <v>0</v>
      </c>
      <c r="BV47" s="26">
        <f t="shared" si="159"/>
        <v>0</v>
      </c>
      <c r="BW47" s="26">
        <f t="shared" si="160"/>
        <v>0</v>
      </c>
      <c r="BX47" s="26">
        <f t="shared" si="161"/>
        <v>0</v>
      </c>
      <c r="BY47" s="26">
        <f t="shared" si="162"/>
        <v>0</v>
      </c>
      <c r="BZ47" s="26">
        <f t="shared" si="163"/>
        <v>19186.147042683773</v>
      </c>
      <c r="CA47" s="26">
        <f t="shared" si="164"/>
        <v>0</v>
      </c>
      <c r="CB47" s="26">
        <f t="shared" si="165"/>
        <v>5379.5722847635197</v>
      </c>
      <c r="CC47" s="26">
        <f t="shared" si="166"/>
        <v>1613.871685429056</v>
      </c>
      <c r="CD47" s="26">
        <f t="shared" si="167"/>
        <v>4303.6578278108163</v>
      </c>
      <c r="CE47" s="26">
        <f t="shared" si="168"/>
        <v>0</v>
      </c>
      <c r="CF47" s="26">
        <f t="shared" si="169"/>
        <v>0</v>
      </c>
      <c r="CG47" s="26">
        <f t="shared" si="170"/>
        <v>3227.743370858112</v>
      </c>
      <c r="CH47" s="26">
        <f t="shared" si="171"/>
        <v>0</v>
      </c>
      <c r="CI47" s="26">
        <f t="shared" si="172"/>
        <v>24746.032509912198</v>
      </c>
      <c r="CJ47" s="26">
        <f t="shared" si="173"/>
        <v>0</v>
      </c>
      <c r="CK47" s="26">
        <f t="shared" si="174"/>
        <v>0</v>
      </c>
      <c r="CL47" s="26">
        <f t="shared" si="175"/>
        <v>255858.64810382781</v>
      </c>
      <c r="CM47" s="110">
        <f t="shared" si="176"/>
        <v>1</v>
      </c>
      <c r="CN47" s="27">
        <f t="shared" si="177"/>
        <v>0</v>
      </c>
      <c r="CO47" s="27">
        <f t="shared" si="178"/>
        <v>768.51080210088014</v>
      </c>
      <c r="CP47" s="27">
        <f t="shared" si="179"/>
        <v>0</v>
      </c>
      <c r="CQ47" s="27">
        <f t="shared" si="180"/>
        <v>0</v>
      </c>
      <c r="CR47" s="27">
        <f t="shared" si="181"/>
        <v>0</v>
      </c>
      <c r="CS47" s="27">
        <f t="shared" si="182"/>
        <v>5508.1553507917424</v>
      </c>
      <c r="CT47" s="27">
        <f t="shared" si="183"/>
        <v>0</v>
      </c>
      <c r="CU47" s="27">
        <f t="shared" si="184"/>
        <v>0</v>
      </c>
      <c r="CV47" s="27">
        <f t="shared" si="185"/>
        <v>0</v>
      </c>
      <c r="CW47" s="27">
        <f t="shared" si="186"/>
        <v>0</v>
      </c>
      <c r="CX47" s="27">
        <f t="shared" si="187"/>
        <v>0</v>
      </c>
      <c r="CY47" s="27">
        <f t="shared" si="188"/>
        <v>0</v>
      </c>
      <c r="CZ47" s="27">
        <f t="shared" si="189"/>
        <v>0</v>
      </c>
      <c r="DA47" s="27">
        <f t="shared" si="190"/>
        <v>13704.399227759888</v>
      </c>
      <c r="DB47" s="27">
        <f t="shared" si="191"/>
        <v>0</v>
      </c>
      <c r="DC47" s="27">
        <f t="shared" si="192"/>
        <v>3842.5540105044006</v>
      </c>
      <c r="DD47" s="27">
        <f t="shared" si="193"/>
        <v>1152.76620315132</v>
      </c>
      <c r="DE47" s="27">
        <f t="shared" si="194"/>
        <v>3074.0432084035206</v>
      </c>
      <c r="DF47" s="27">
        <f t="shared" si="195"/>
        <v>0</v>
      </c>
      <c r="DG47" s="27">
        <f t="shared" si="196"/>
        <v>0</v>
      </c>
      <c r="DH47" s="27">
        <f t="shared" si="197"/>
        <v>2305.5324063026401</v>
      </c>
      <c r="DI47" s="27">
        <f t="shared" si="198"/>
        <v>0</v>
      </c>
      <c r="DJ47" s="27">
        <f t="shared" si="199"/>
        <v>17675.748448320246</v>
      </c>
      <c r="DK47" s="27">
        <f t="shared" si="200"/>
        <v>0</v>
      </c>
      <c r="DL47" s="27">
        <f t="shared" si="201"/>
        <v>0</v>
      </c>
      <c r="DM47" s="27">
        <f t="shared" si="202"/>
        <v>182756.29034266539</v>
      </c>
      <c r="DN47" s="110">
        <f t="shared" si="203"/>
        <v>1.0000000000000002</v>
      </c>
      <c r="DO47" s="28">
        <f t="shared" si="211"/>
        <v>0</v>
      </c>
      <c r="DP47" s="28">
        <f t="shared" si="212"/>
        <v>307.40365485182394</v>
      </c>
      <c r="DQ47" s="28">
        <f t="shared" si="213"/>
        <v>0</v>
      </c>
      <c r="DR47" s="28">
        <f t="shared" si="214"/>
        <v>0</v>
      </c>
      <c r="DS47" s="28">
        <f t="shared" si="215"/>
        <v>0</v>
      </c>
      <c r="DT47" s="28">
        <f t="shared" si="216"/>
        <v>2203.2573669702924</v>
      </c>
      <c r="DU47" s="28">
        <f t="shared" si="217"/>
        <v>0</v>
      </c>
      <c r="DV47" s="28">
        <f t="shared" si="218"/>
        <v>0</v>
      </c>
      <c r="DW47" s="28">
        <f t="shared" si="219"/>
        <v>0</v>
      </c>
      <c r="DX47" s="28">
        <f t="shared" si="220"/>
        <v>0</v>
      </c>
      <c r="DY47" s="28">
        <f t="shared" si="221"/>
        <v>0</v>
      </c>
      <c r="DZ47" s="28">
        <f t="shared" si="222"/>
        <v>0</v>
      </c>
      <c r="EA47" s="28">
        <f t="shared" si="223"/>
        <v>0</v>
      </c>
      <c r="EB47" s="28">
        <f t="shared" si="224"/>
        <v>5481.747814923885</v>
      </c>
      <c r="EC47" s="28">
        <f t="shared" si="225"/>
        <v>0</v>
      </c>
      <c r="ED47" s="28">
        <f t="shared" si="226"/>
        <v>1537.0182742591192</v>
      </c>
      <c r="EE47" s="28">
        <f t="shared" si="227"/>
        <v>461.10548227773597</v>
      </c>
      <c r="EF47" s="28">
        <f t="shared" si="228"/>
        <v>1229.6146194072958</v>
      </c>
      <c r="EG47" s="28">
        <f t="shared" si="229"/>
        <v>0</v>
      </c>
      <c r="EH47" s="28">
        <f t="shared" si="230"/>
        <v>0</v>
      </c>
      <c r="EI47" s="28">
        <f t="shared" si="231"/>
        <v>922.21096455547195</v>
      </c>
      <c r="EJ47" s="28">
        <f t="shared" si="232"/>
        <v>0</v>
      </c>
      <c r="EK47" s="28">
        <f t="shared" si="233"/>
        <v>7070.2840615919522</v>
      </c>
      <c r="EL47" s="28">
        <f t="shared" si="234"/>
        <v>0</v>
      </c>
      <c r="EM47" s="28">
        <f t="shared" si="235"/>
        <v>0</v>
      </c>
      <c r="EN47" s="28">
        <f t="shared" si="236"/>
        <v>73102.357761162421</v>
      </c>
      <c r="EQ47" s="144">
        <v>4.0195016251354278E-2</v>
      </c>
      <c r="ER47" s="144">
        <v>5.0162513542795231E-2</v>
      </c>
      <c r="ES47" s="144">
        <v>6.023835319609968E-2</v>
      </c>
      <c r="ET47" s="144">
        <v>8.2340195016251352E-2</v>
      </c>
      <c r="EU47" s="144">
        <v>7.0314192849404114E-2</v>
      </c>
      <c r="EV47" s="144">
        <v>8.0281690140845074E-2</v>
      </c>
      <c r="EW47" s="144">
        <v>8.0281690140845074E-2</v>
      </c>
      <c r="EX47" s="144">
        <v>7.0314192849404114E-2</v>
      </c>
      <c r="EY47" s="144">
        <v>8.0281690140845074E-2</v>
      </c>
      <c r="EZ47" s="144">
        <v>0.10747562296858071</v>
      </c>
      <c r="FA47" s="144">
        <v>0.10747562296858071</v>
      </c>
      <c r="FB47" s="144">
        <v>0.17063921993499459</v>
      </c>
      <c r="FC47" s="145">
        <f t="shared" si="237"/>
        <v>1</v>
      </c>
      <c r="FD47" s="146">
        <f t="shared" si="238"/>
        <v>0.1505958829902492</v>
      </c>
      <c r="FE47" s="146">
        <f t="shared" si="239"/>
        <v>0.23293607800650054</v>
      </c>
      <c r="FF47" s="146">
        <f t="shared" si="240"/>
        <v>0.23087757313109425</v>
      </c>
      <c r="FG47" s="146">
        <f t="shared" si="241"/>
        <v>0.38559046587215601</v>
      </c>
      <c r="FH47" s="145">
        <f t="shared" si="375"/>
        <v>1</v>
      </c>
      <c r="FJ47" s="52">
        <f t="shared" si="243"/>
        <v>0</v>
      </c>
      <c r="FK47" s="52">
        <f t="shared" si="244"/>
        <v>162.02828766676694</v>
      </c>
      <c r="FL47" s="52">
        <f t="shared" si="245"/>
        <v>0</v>
      </c>
      <c r="FM47" s="52">
        <f t="shared" si="246"/>
        <v>0</v>
      </c>
      <c r="FN47" s="52">
        <f t="shared" si="247"/>
        <v>0</v>
      </c>
      <c r="FO47" s="52">
        <f t="shared" si="248"/>
        <v>1161.307007333611</v>
      </c>
      <c r="FP47" s="52">
        <f t="shared" si="249"/>
        <v>0</v>
      </c>
      <c r="FQ47" s="52">
        <f t="shared" si="250"/>
        <v>0</v>
      </c>
      <c r="FR47" s="52">
        <f t="shared" si="251"/>
        <v>0</v>
      </c>
      <c r="FS47" s="52">
        <f t="shared" si="252"/>
        <v>0</v>
      </c>
      <c r="FT47" s="52">
        <f t="shared" si="253"/>
        <v>0</v>
      </c>
      <c r="FU47" s="52">
        <f t="shared" si="254"/>
        <v>0</v>
      </c>
      <c r="FV47" s="52">
        <f t="shared" si="255"/>
        <v>0</v>
      </c>
      <c r="FW47" s="52">
        <f t="shared" si="256"/>
        <v>2889.3547550737212</v>
      </c>
      <c r="FX47" s="52">
        <f t="shared" si="257"/>
        <v>0</v>
      </c>
      <c r="FY47" s="52">
        <f t="shared" si="258"/>
        <v>810.14143833383457</v>
      </c>
      <c r="FZ47" s="52">
        <f t="shared" si="259"/>
        <v>243.0424315001504</v>
      </c>
      <c r="GA47" s="52">
        <f t="shared" si="260"/>
        <v>648.11315066706777</v>
      </c>
      <c r="GB47" s="52">
        <f t="shared" si="261"/>
        <v>0</v>
      </c>
      <c r="GC47" s="52">
        <f t="shared" si="262"/>
        <v>0</v>
      </c>
      <c r="GD47" s="52">
        <f t="shared" si="263"/>
        <v>486.0848630003008</v>
      </c>
      <c r="GE47" s="52">
        <f t="shared" si="264"/>
        <v>0</v>
      </c>
      <c r="GF47" s="52">
        <f t="shared" si="265"/>
        <v>3726.6506163356403</v>
      </c>
      <c r="GG47" s="52">
        <f t="shared" si="266"/>
        <v>0</v>
      </c>
      <c r="GH47" s="52">
        <f t="shared" si="267"/>
        <v>0</v>
      </c>
      <c r="GI47" s="52">
        <f t="shared" si="268"/>
        <v>38531.259031887399</v>
      </c>
      <c r="GJ47" s="26"/>
      <c r="GL47" s="150">
        <f t="shared" si="269"/>
        <v>0</v>
      </c>
      <c r="GM47" s="150">
        <f t="shared" si="270"/>
        <v>250.61929387305673</v>
      </c>
      <c r="GN47" s="150">
        <f t="shared" si="271"/>
        <v>0</v>
      </c>
      <c r="GO47" s="150">
        <f t="shared" si="272"/>
        <v>0</v>
      </c>
      <c r="GP47" s="150">
        <f t="shared" si="273"/>
        <v>0</v>
      </c>
      <c r="GQ47" s="150">
        <f t="shared" si="274"/>
        <v>1796.2662343649376</v>
      </c>
      <c r="GR47" s="150">
        <f t="shared" si="275"/>
        <v>0</v>
      </c>
      <c r="GS47" s="150">
        <f t="shared" si="276"/>
        <v>0</v>
      </c>
      <c r="GT47" s="150">
        <f t="shared" si="277"/>
        <v>0</v>
      </c>
      <c r="GU47" s="150">
        <f t="shared" si="278"/>
        <v>0</v>
      </c>
      <c r="GV47" s="150">
        <f t="shared" si="279"/>
        <v>0</v>
      </c>
      <c r="GW47" s="150">
        <f t="shared" si="280"/>
        <v>0</v>
      </c>
      <c r="GX47" s="150">
        <f t="shared" si="281"/>
        <v>0</v>
      </c>
      <c r="GY47" s="150">
        <f t="shared" si="282"/>
        <v>4469.1458441787772</v>
      </c>
      <c r="GZ47" s="150">
        <f t="shared" si="283"/>
        <v>0</v>
      </c>
      <c r="HA47" s="150">
        <f t="shared" si="284"/>
        <v>1253.0964693652836</v>
      </c>
      <c r="HB47" s="150">
        <f t="shared" si="285"/>
        <v>375.92894080958507</v>
      </c>
      <c r="HC47" s="150">
        <f t="shared" si="286"/>
        <v>1002.4771754922269</v>
      </c>
      <c r="HD47" s="150">
        <f t="shared" si="287"/>
        <v>0</v>
      </c>
      <c r="HE47" s="150">
        <f t="shared" si="288"/>
        <v>0</v>
      </c>
      <c r="HF47" s="150">
        <f t="shared" si="289"/>
        <v>751.85788161917014</v>
      </c>
      <c r="HG47" s="150">
        <f t="shared" si="290"/>
        <v>0</v>
      </c>
      <c r="HH47" s="150">
        <f t="shared" si="291"/>
        <v>5764.2437590803065</v>
      </c>
      <c r="HI47" s="150">
        <f t="shared" si="292"/>
        <v>0</v>
      </c>
      <c r="HJ47" s="150">
        <f t="shared" si="293"/>
        <v>0</v>
      </c>
      <c r="HK47" s="150">
        <f t="shared" si="294"/>
        <v>59598.71001335101</v>
      </c>
      <c r="HL47" s="26"/>
      <c r="HN47" s="147">
        <f t="shared" si="295"/>
        <v>0</v>
      </c>
      <c r="HO47" s="147">
        <f t="shared" si="296"/>
        <v>248.40451871789949</v>
      </c>
      <c r="HP47" s="147">
        <f t="shared" si="297"/>
        <v>0</v>
      </c>
      <c r="HQ47" s="147">
        <f t="shared" si="298"/>
        <v>0</v>
      </c>
      <c r="HR47" s="147">
        <f t="shared" si="299"/>
        <v>0</v>
      </c>
      <c r="HS47" s="147">
        <f t="shared" si="300"/>
        <v>1780.3922536891544</v>
      </c>
      <c r="HT47" s="147">
        <f t="shared" si="301"/>
        <v>0</v>
      </c>
      <c r="HU47" s="147">
        <f t="shared" si="302"/>
        <v>0</v>
      </c>
      <c r="HV47" s="147">
        <f t="shared" si="303"/>
        <v>0</v>
      </c>
      <c r="HW47" s="147">
        <f t="shared" si="304"/>
        <v>0</v>
      </c>
      <c r="HX47" s="147">
        <f t="shared" si="305"/>
        <v>0</v>
      </c>
      <c r="HY47" s="147">
        <f t="shared" si="306"/>
        <v>0</v>
      </c>
      <c r="HZ47" s="147">
        <f t="shared" si="307"/>
        <v>0</v>
      </c>
      <c r="IA47" s="147">
        <f t="shared" si="308"/>
        <v>4429.6510669511508</v>
      </c>
      <c r="IB47" s="147">
        <f t="shared" si="309"/>
        <v>0</v>
      </c>
      <c r="IC47" s="147">
        <f t="shared" si="310"/>
        <v>1242.0225935894973</v>
      </c>
      <c r="ID47" s="147">
        <f t="shared" si="311"/>
        <v>372.6067780768492</v>
      </c>
      <c r="IE47" s="147">
        <f t="shared" si="312"/>
        <v>993.61807487159797</v>
      </c>
      <c r="IF47" s="147">
        <f t="shared" si="313"/>
        <v>0</v>
      </c>
      <c r="IG47" s="147">
        <f t="shared" si="314"/>
        <v>0</v>
      </c>
      <c r="IH47" s="147">
        <f t="shared" si="315"/>
        <v>745.21355615369839</v>
      </c>
      <c r="II47" s="147">
        <f t="shared" si="316"/>
        <v>0</v>
      </c>
      <c r="IJ47" s="147">
        <f t="shared" si="317"/>
        <v>5713.303930511689</v>
      </c>
      <c r="IK47" s="147">
        <f t="shared" si="318"/>
        <v>0</v>
      </c>
      <c r="IL47" s="147">
        <f t="shared" si="319"/>
        <v>0</v>
      </c>
      <c r="IM47" s="147">
        <f t="shared" si="320"/>
        <v>59072.023738814416</v>
      </c>
      <c r="IN47" s="26"/>
      <c r="IP47" s="61">
        <f t="shared" si="321"/>
        <v>0</v>
      </c>
      <c r="IQ47" s="61">
        <f t="shared" si="322"/>
        <v>414.86235669498092</v>
      </c>
      <c r="IR47" s="61">
        <f t="shared" si="323"/>
        <v>0</v>
      </c>
      <c r="IS47" s="61">
        <f t="shared" si="324"/>
        <v>0</v>
      </c>
      <c r="IT47" s="61">
        <f t="shared" si="325"/>
        <v>0</v>
      </c>
      <c r="IU47" s="61">
        <f t="shared" si="326"/>
        <v>2973.4472223743319</v>
      </c>
      <c r="IV47" s="61">
        <f t="shared" si="327"/>
        <v>0</v>
      </c>
      <c r="IW47" s="61">
        <f t="shared" si="328"/>
        <v>0</v>
      </c>
      <c r="IX47" s="61">
        <f t="shared" si="329"/>
        <v>0</v>
      </c>
      <c r="IY47" s="61">
        <f t="shared" si="330"/>
        <v>0</v>
      </c>
      <c r="IZ47" s="61">
        <f t="shared" si="331"/>
        <v>0</v>
      </c>
      <c r="JA47" s="61">
        <f t="shared" si="332"/>
        <v>0</v>
      </c>
      <c r="JB47" s="61">
        <f t="shared" si="333"/>
        <v>0</v>
      </c>
      <c r="JC47" s="61">
        <f t="shared" si="334"/>
        <v>7397.9953764801239</v>
      </c>
      <c r="JD47" s="61">
        <f t="shared" si="335"/>
        <v>0</v>
      </c>
      <c r="JE47" s="61">
        <f t="shared" si="336"/>
        <v>2074.3117834749041</v>
      </c>
      <c r="JF47" s="61">
        <f t="shared" si="337"/>
        <v>622.29353504247126</v>
      </c>
      <c r="JG47" s="61">
        <f t="shared" si="338"/>
        <v>1659.4494267799237</v>
      </c>
      <c r="JH47" s="61">
        <f t="shared" si="339"/>
        <v>0</v>
      </c>
      <c r="JI47" s="61">
        <f t="shared" si="340"/>
        <v>0</v>
      </c>
      <c r="JJ47" s="61">
        <f t="shared" si="341"/>
        <v>1244.5870700849425</v>
      </c>
      <c r="JK47" s="61">
        <f t="shared" si="342"/>
        <v>0</v>
      </c>
      <c r="JL47" s="61">
        <f t="shared" si="343"/>
        <v>9541.8342039845629</v>
      </c>
      <c r="JM47" s="61">
        <f t="shared" si="344"/>
        <v>0</v>
      </c>
      <c r="JN47" s="61">
        <f t="shared" si="345"/>
        <v>0</v>
      </c>
      <c r="JO47" s="61">
        <f t="shared" si="346"/>
        <v>98656.655319774989</v>
      </c>
      <c r="JQ47" s="26">
        <f t="shared" si="209"/>
        <v>323103.00000000006</v>
      </c>
      <c r="JR47" s="156">
        <f t="shared" si="210"/>
        <v>1.0000000000000002</v>
      </c>
      <c r="JT47" s="157">
        <f t="shared" si="347"/>
        <v>0</v>
      </c>
      <c r="JU47" s="29">
        <f t="shared" si="348"/>
        <v>0</v>
      </c>
    </row>
    <row r="48" spans="1:281" ht="18.75" x14ac:dyDescent="0.3">
      <c r="A48" t="s">
        <v>69</v>
      </c>
      <c r="B48" t="s">
        <v>4</v>
      </c>
      <c r="C48" t="s">
        <v>19</v>
      </c>
      <c r="D48" t="s">
        <v>20</v>
      </c>
      <c r="E48" t="s">
        <v>23</v>
      </c>
      <c r="F48" s="113">
        <v>91</v>
      </c>
      <c r="G48" s="15">
        <v>3770000</v>
      </c>
      <c r="H48" s="20">
        <v>2600000</v>
      </c>
      <c r="I48" s="23">
        <v>1.45</v>
      </c>
      <c r="J48" s="9">
        <v>0</v>
      </c>
      <c r="K48" s="9">
        <v>3.3299426404357251E-3</v>
      </c>
      <c r="L48" s="9">
        <v>0</v>
      </c>
      <c r="M48" s="9">
        <v>0</v>
      </c>
      <c r="N48" s="9">
        <v>0</v>
      </c>
      <c r="O48" s="9">
        <v>2.3866732025892779E-2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5.9380900340398494E-2</v>
      </c>
      <c r="X48" s="9">
        <v>0</v>
      </c>
      <c r="Y48" s="9">
        <v>1.6649713202178625E-2</v>
      </c>
      <c r="Z48" s="9">
        <v>4.9949139606535872E-3</v>
      </c>
      <c r="AA48" s="9">
        <v>1.33197705617429E-2</v>
      </c>
      <c r="AB48" s="9">
        <v>0</v>
      </c>
      <c r="AC48" s="9">
        <v>0</v>
      </c>
      <c r="AD48" s="9">
        <v>9.9898279213071744E-3</v>
      </c>
      <c r="AE48" s="9">
        <v>0</v>
      </c>
      <c r="AF48" s="9">
        <v>7.6588680730021688E-2</v>
      </c>
      <c r="AG48" s="9">
        <v>0</v>
      </c>
      <c r="AH48" s="9">
        <v>0</v>
      </c>
      <c r="AI48" s="9">
        <v>0.79187951861736916</v>
      </c>
      <c r="AJ48" s="8">
        <f t="shared" si="124"/>
        <v>1</v>
      </c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9"/>
      <c r="BM48" s="26">
        <f t="shared" si="150"/>
        <v>0</v>
      </c>
      <c r="BN48" s="26">
        <f t="shared" si="151"/>
        <v>12553.883754442684</v>
      </c>
      <c r="BO48" s="26">
        <f t="shared" si="152"/>
        <v>0</v>
      </c>
      <c r="BP48" s="26">
        <f t="shared" si="153"/>
        <v>0</v>
      </c>
      <c r="BQ48" s="26">
        <f t="shared" si="154"/>
        <v>0</v>
      </c>
      <c r="BR48" s="26">
        <f t="shared" si="155"/>
        <v>89977.579737615772</v>
      </c>
      <c r="BS48" s="26">
        <f t="shared" si="156"/>
        <v>0</v>
      </c>
      <c r="BT48" s="26">
        <f t="shared" si="157"/>
        <v>0</v>
      </c>
      <c r="BU48" s="26">
        <f t="shared" si="158"/>
        <v>0</v>
      </c>
      <c r="BV48" s="26">
        <f t="shared" si="159"/>
        <v>0</v>
      </c>
      <c r="BW48" s="26">
        <f t="shared" si="160"/>
        <v>0</v>
      </c>
      <c r="BX48" s="26">
        <f t="shared" si="161"/>
        <v>0</v>
      </c>
      <c r="BY48" s="26">
        <f t="shared" si="162"/>
        <v>0</v>
      </c>
      <c r="BZ48" s="26">
        <f t="shared" si="163"/>
        <v>223865.99428330234</v>
      </c>
      <c r="CA48" s="26">
        <f t="shared" si="164"/>
        <v>0</v>
      </c>
      <c r="CB48" s="26">
        <f t="shared" si="165"/>
        <v>62769.418772213416</v>
      </c>
      <c r="CC48" s="26">
        <f t="shared" si="166"/>
        <v>18830.825631664025</v>
      </c>
      <c r="CD48" s="26">
        <f t="shared" si="167"/>
        <v>50215.535017770737</v>
      </c>
      <c r="CE48" s="26">
        <f t="shared" si="168"/>
        <v>0</v>
      </c>
      <c r="CF48" s="26">
        <f t="shared" si="169"/>
        <v>0</v>
      </c>
      <c r="CG48" s="26">
        <f t="shared" si="170"/>
        <v>37661.651263328051</v>
      </c>
      <c r="CH48" s="26">
        <f t="shared" si="171"/>
        <v>0</v>
      </c>
      <c r="CI48" s="26">
        <f t="shared" si="172"/>
        <v>288739.32635218179</v>
      </c>
      <c r="CJ48" s="26">
        <f t="shared" si="173"/>
        <v>0</v>
      </c>
      <c r="CK48" s="26">
        <f t="shared" si="174"/>
        <v>0</v>
      </c>
      <c r="CL48" s="26">
        <f t="shared" si="175"/>
        <v>2985385.7851874819</v>
      </c>
      <c r="CM48" s="110">
        <f t="shared" si="176"/>
        <v>1.0000000000000002</v>
      </c>
      <c r="CN48" s="27">
        <f t="shared" si="177"/>
        <v>0</v>
      </c>
      <c r="CO48" s="27">
        <f t="shared" si="178"/>
        <v>8657.8508651328848</v>
      </c>
      <c r="CP48" s="27">
        <f t="shared" si="179"/>
        <v>0</v>
      </c>
      <c r="CQ48" s="27">
        <f t="shared" si="180"/>
        <v>0</v>
      </c>
      <c r="CR48" s="27">
        <f t="shared" si="181"/>
        <v>0</v>
      </c>
      <c r="CS48" s="27">
        <f t="shared" si="182"/>
        <v>62053.503267321226</v>
      </c>
      <c r="CT48" s="27">
        <f t="shared" si="183"/>
        <v>0</v>
      </c>
      <c r="CU48" s="27">
        <f t="shared" si="184"/>
        <v>0</v>
      </c>
      <c r="CV48" s="27">
        <f t="shared" si="185"/>
        <v>0</v>
      </c>
      <c r="CW48" s="27">
        <f t="shared" si="186"/>
        <v>0</v>
      </c>
      <c r="CX48" s="27">
        <f t="shared" si="187"/>
        <v>0</v>
      </c>
      <c r="CY48" s="27">
        <f t="shared" si="188"/>
        <v>0</v>
      </c>
      <c r="CZ48" s="27">
        <f t="shared" si="189"/>
        <v>0</v>
      </c>
      <c r="DA48" s="27">
        <f t="shared" si="190"/>
        <v>154390.34088503607</v>
      </c>
      <c r="DB48" s="27">
        <f t="shared" si="191"/>
        <v>0</v>
      </c>
      <c r="DC48" s="27">
        <f t="shared" si="192"/>
        <v>43289.25432566442</v>
      </c>
      <c r="DD48" s="27">
        <f t="shared" si="193"/>
        <v>12986.776297699327</v>
      </c>
      <c r="DE48" s="27">
        <f t="shared" si="194"/>
        <v>34631.403460531539</v>
      </c>
      <c r="DF48" s="27">
        <f t="shared" si="195"/>
        <v>0</v>
      </c>
      <c r="DG48" s="27">
        <f t="shared" si="196"/>
        <v>0</v>
      </c>
      <c r="DH48" s="27">
        <f t="shared" si="197"/>
        <v>25973.552595398654</v>
      </c>
      <c r="DI48" s="27">
        <f t="shared" si="198"/>
        <v>0</v>
      </c>
      <c r="DJ48" s="27">
        <f t="shared" si="199"/>
        <v>199130.56989805639</v>
      </c>
      <c r="DK48" s="27">
        <f t="shared" si="200"/>
        <v>0</v>
      </c>
      <c r="DL48" s="27">
        <f t="shared" si="201"/>
        <v>0</v>
      </c>
      <c r="DM48" s="27">
        <f t="shared" si="202"/>
        <v>2058886.7484051599</v>
      </c>
      <c r="DN48" s="110">
        <f t="shared" si="203"/>
        <v>1.0000000000000002</v>
      </c>
      <c r="DO48" s="28">
        <f t="shared" si="211"/>
        <v>0</v>
      </c>
      <c r="DP48" s="28">
        <f t="shared" si="212"/>
        <v>3896.0328893097994</v>
      </c>
      <c r="DQ48" s="28">
        <f t="shared" si="213"/>
        <v>0</v>
      </c>
      <c r="DR48" s="28">
        <f t="shared" si="214"/>
        <v>0</v>
      </c>
      <c r="DS48" s="28">
        <f t="shared" si="215"/>
        <v>0</v>
      </c>
      <c r="DT48" s="28">
        <f t="shared" si="216"/>
        <v>27924.076470294545</v>
      </c>
      <c r="DU48" s="28">
        <f t="shared" si="217"/>
        <v>0</v>
      </c>
      <c r="DV48" s="28">
        <f t="shared" si="218"/>
        <v>0</v>
      </c>
      <c r="DW48" s="28">
        <f t="shared" si="219"/>
        <v>0</v>
      </c>
      <c r="DX48" s="28">
        <f t="shared" si="220"/>
        <v>0</v>
      </c>
      <c r="DY48" s="28">
        <f t="shared" si="221"/>
        <v>0</v>
      </c>
      <c r="DZ48" s="28">
        <f t="shared" si="222"/>
        <v>0</v>
      </c>
      <c r="EA48" s="28">
        <f t="shared" si="223"/>
        <v>0</v>
      </c>
      <c r="EB48" s="28">
        <f t="shared" si="224"/>
        <v>69475.653398266266</v>
      </c>
      <c r="EC48" s="28">
        <f t="shared" si="225"/>
        <v>0</v>
      </c>
      <c r="ED48" s="28">
        <f t="shared" si="226"/>
        <v>19480.164446548995</v>
      </c>
      <c r="EE48" s="28">
        <f t="shared" si="227"/>
        <v>5844.0493339646982</v>
      </c>
      <c r="EF48" s="28">
        <f t="shared" si="228"/>
        <v>15584.131557239198</v>
      </c>
      <c r="EG48" s="28">
        <f t="shared" si="229"/>
        <v>0</v>
      </c>
      <c r="EH48" s="28">
        <f t="shared" si="230"/>
        <v>0</v>
      </c>
      <c r="EI48" s="28">
        <f t="shared" si="231"/>
        <v>11688.098667929396</v>
      </c>
      <c r="EJ48" s="28">
        <f t="shared" si="232"/>
        <v>0</v>
      </c>
      <c r="EK48" s="28">
        <f t="shared" si="233"/>
        <v>89608.756454125396</v>
      </c>
      <c r="EL48" s="28">
        <f t="shared" si="234"/>
        <v>0</v>
      </c>
      <c r="EM48" s="28">
        <f t="shared" si="235"/>
        <v>0</v>
      </c>
      <c r="EN48" s="28">
        <f t="shared" si="236"/>
        <v>926499.03678232199</v>
      </c>
      <c r="EQ48" s="144">
        <v>0.02</v>
      </c>
      <c r="ER48" s="144">
        <v>0.02</v>
      </c>
      <c r="ES48" s="144">
        <v>0.02</v>
      </c>
      <c r="ET48" s="144">
        <v>0.05</v>
      </c>
      <c r="EU48" s="144">
        <v>0.05</v>
      </c>
      <c r="EV48" s="144">
        <v>0.05</v>
      </c>
      <c r="EW48" s="144">
        <v>0.12</v>
      </c>
      <c r="EX48" s="144">
        <v>0.12</v>
      </c>
      <c r="EY48" s="144">
        <v>0.12</v>
      </c>
      <c r="EZ48" s="144">
        <v>0.14000000000000001</v>
      </c>
      <c r="FA48" s="144">
        <v>0.15</v>
      </c>
      <c r="FB48" s="144">
        <v>0.14000000000000001</v>
      </c>
      <c r="FC48" s="145">
        <f t="shared" si="237"/>
        <v>1</v>
      </c>
      <c r="FD48" s="146">
        <f t="shared" si="238"/>
        <v>0.06</v>
      </c>
      <c r="FE48" s="146">
        <f t="shared" si="239"/>
        <v>0.15000000000000002</v>
      </c>
      <c r="FF48" s="146">
        <f t="shared" si="240"/>
        <v>0.36</v>
      </c>
      <c r="FG48" s="146">
        <f t="shared" si="241"/>
        <v>0.43000000000000005</v>
      </c>
      <c r="FH48" s="145">
        <f t="shared" si="375"/>
        <v>1</v>
      </c>
      <c r="FJ48" s="52">
        <f t="shared" si="243"/>
        <v>0</v>
      </c>
      <c r="FK48" s="52">
        <f t="shared" si="244"/>
        <v>753.23302526656107</v>
      </c>
      <c r="FL48" s="52">
        <f t="shared" si="245"/>
        <v>0</v>
      </c>
      <c r="FM48" s="52">
        <f t="shared" si="246"/>
        <v>0</v>
      </c>
      <c r="FN48" s="52">
        <f t="shared" si="247"/>
        <v>0</v>
      </c>
      <c r="FO48" s="52">
        <f t="shared" si="248"/>
        <v>5398.6547842569462</v>
      </c>
      <c r="FP48" s="52">
        <f t="shared" si="249"/>
        <v>0</v>
      </c>
      <c r="FQ48" s="52">
        <f t="shared" si="250"/>
        <v>0</v>
      </c>
      <c r="FR48" s="52">
        <f t="shared" si="251"/>
        <v>0</v>
      </c>
      <c r="FS48" s="52">
        <f t="shared" si="252"/>
        <v>0</v>
      </c>
      <c r="FT48" s="52">
        <f t="shared" si="253"/>
        <v>0</v>
      </c>
      <c r="FU48" s="52">
        <f t="shared" si="254"/>
        <v>0</v>
      </c>
      <c r="FV48" s="52">
        <f t="shared" si="255"/>
        <v>0</v>
      </c>
      <c r="FW48" s="52">
        <f t="shared" si="256"/>
        <v>13431.95965699814</v>
      </c>
      <c r="FX48" s="52">
        <f t="shared" si="257"/>
        <v>0</v>
      </c>
      <c r="FY48" s="52">
        <f t="shared" si="258"/>
        <v>3766.1651263328049</v>
      </c>
      <c r="FZ48" s="52">
        <f t="shared" si="259"/>
        <v>1129.8495378998414</v>
      </c>
      <c r="GA48" s="52">
        <f t="shared" si="260"/>
        <v>3012.9321010662443</v>
      </c>
      <c r="GB48" s="52">
        <f t="shared" si="261"/>
        <v>0</v>
      </c>
      <c r="GC48" s="52">
        <f t="shared" si="262"/>
        <v>0</v>
      </c>
      <c r="GD48" s="52">
        <f t="shared" si="263"/>
        <v>2259.6990757996828</v>
      </c>
      <c r="GE48" s="52">
        <f t="shared" si="264"/>
        <v>0</v>
      </c>
      <c r="GF48" s="52">
        <f t="shared" si="265"/>
        <v>17324.359581130906</v>
      </c>
      <c r="GG48" s="52">
        <f t="shared" si="266"/>
        <v>0</v>
      </c>
      <c r="GH48" s="52">
        <f t="shared" si="267"/>
        <v>0</v>
      </c>
      <c r="GI48" s="52">
        <f t="shared" si="268"/>
        <v>179123.14711124889</v>
      </c>
      <c r="GJ48" s="26"/>
      <c r="GL48" s="150">
        <f t="shared" si="269"/>
        <v>0</v>
      </c>
      <c r="GM48" s="150">
        <f t="shared" si="270"/>
        <v>1883.0825631664029</v>
      </c>
      <c r="GN48" s="150">
        <f t="shared" si="271"/>
        <v>0</v>
      </c>
      <c r="GO48" s="150">
        <f t="shared" si="272"/>
        <v>0</v>
      </c>
      <c r="GP48" s="150">
        <f t="shared" si="273"/>
        <v>0</v>
      </c>
      <c r="GQ48" s="150">
        <f t="shared" si="274"/>
        <v>13496.636960642367</v>
      </c>
      <c r="GR48" s="150">
        <f t="shared" si="275"/>
        <v>0</v>
      </c>
      <c r="GS48" s="150">
        <f t="shared" si="276"/>
        <v>0</v>
      </c>
      <c r="GT48" s="150">
        <f t="shared" si="277"/>
        <v>0</v>
      </c>
      <c r="GU48" s="150">
        <f t="shared" si="278"/>
        <v>0</v>
      </c>
      <c r="GV48" s="150">
        <f t="shared" si="279"/>
        <v>0</v>
      </c>
      <c r="GW48" s="150">
        <f t="shared" si="280"/>
        <v>0</v>
      </c>
      <c r="GX48" s="150">
        <f t="shared" si="281"/>
        <v>0</v>
      </c>
      <c r="GY48" s="150">
        <f t="shared" si="282"/>
        <v>33579.899142495357</v>
      </c>
      <c r="GZ48" s="150">
        <f t="shared" si="283"/>
        <v>0</v>
      </c>
      <c r="HA48" s="150">
        <f t="shared" si="284"/>
        <v>9415.4128158320145</v>
      </c>
      <c r="HB48" s="150">
        <f t="shared" si="285"/>
        <v>2824.6238447496044</v>
      </c>
      <c r="HC48" s="150">
        <f t="shared" si="286"/>
        <v>7532.3302526656116</v>
      </c>
      <c r="HD48" s="150">
        <f t="shared" si="287"/>
        <v>0</v>
      </c>
      <c r="HE48" s="150">
        <f t="shared" si="288"/>
        <v>0</v>
      </c>
      <c r="HF48" s="150">
        <f t="shared" si="289"/>
        <v>5649.2476894992087</v>
      </c>
      <c r="HG48" s="150">
        <f t="shared" si="290"/>
        <v>0</v>
      </c>
      <c r="HH48" s="150">
        <f t="shared" si="291"/>
        <v>43310.898952827272</v>
      </c>
      <c r="HI48" s="150">
        <f t="shared" si="292"/>
        <v>0</v>
      </c>
      <c r="HJ48" s="150">
        <f t="shared" si="293"/>
        <v>0</v>
      </c>
      <c r="HK48" s="150">
        <f t="shared" si="294"/>
        <v>447807.86777812237</v>
      </c>
      <c r="HL48" s="26"/>
      <c r="HN48" s="147">
        <f t="shared" si="295"/>
        <v>0</v>
      </c>
      <c r="HO48" s="147">
        <f t="shared" si="296"/>
        <v>4519.3981515993664</v>
      </c>
      <c r="HP48" s="147">
        <f t="shared" si="297"/>
        <v>0</v>
      </c>
      <c r="HQ48" s="147">
        <f t="shared" si="298"/>
        <v>0</v>
      </c>
      <c r="HR48" s="147">
        <f t="shared" si="299"/>
        <v>0</v>
      </c>
      <c r="HS48" s="147">
        <f t="shared" si="300"/>
        <v>32391.928705541675</v>
      </c>
      <c r="HT48" s="147">
        <f t="shared" si="301"/>
        <v>0</v>
      </c>
      <c r="HU48" s="147">
        <f t="shared" si="302"/>
        <v>0</v>
      </c>
      <c r="HV48" s="147">
        <f t="shared" si="303"/>
        <v>0</v>
      </c>
      <c r="HW48" s="147">
        <f t="shared" si="304"/>
        <v>0</v>
      </c>
      <c r="HX48" s="147">
        <f t="shared" si="305"/>
        <v>0</v>
      </c>
      <c r="HY48" s="147">
        <f t="shared" si="306"/>
        <v>0</v>
      </c>
      <c r="HZ48" s="147">
        <f t="shared" si="307"/>
        <v>0</v>
      </c>
      <c r="IA48" s="147">
        <f t="shared" si="308"/>
        <v>80591.757941988835</v>
      </c>
      <c r="IB48" s="147">
        <f t="shared" si="309"/>
        <v>0</v>
      </c>
      <c r="IC48" s="147">
        <f t="shared" si="310"/>
        <v>22596.990757996828</v>
      </c>
      <c r="ID48" s="147">
        <f t="shared" si="311"/>
        <v>6779.0972273990492</v>
      </c>
      <c r="IE48" s="147">
        <f t="shared" si="312"/>
        <v>18077.592606397466</v>
      </c>
      <c r="IF48" s="147">
        <f t="shared" si="313"/>
        <v>0</v>
      </c>
      <c r="IG48" s="147">
        <f t="shared" si="314"/>
        <v>0</v>
      </c>
      <c r="IH48" s="147">
        <f t="shared" si="315"/>
        <v>13558.194454798098</v>
      </c>
      <c r="II48" s="147">
        <f t="shared" si="316"/>
        <v>0</v>
      </c>
      <c r="IJ48" s="147">
        <f t="shared" si="317"/>
        <v>103946.15748678544</v>
      </c>
      <c r="IK48" s="147">
        <f t="shared" si="318"/>
        <v>0</v>
      </c>
      <c r="IL48" s="147">
        <f t="shared" si="319"/>
        <v>0</v>
      </c>
      <c r="IM48" s="147">
        <f t="shared" si="320"/>
        <v>1074738.8826674935</v>
      </c>
      <c r="IN48" s="26"/>
      <c r="IP48" s="61">
        <f t="shared" si="321"/>
        <v>0</v>
      </c>
      <c r="IQ48" s="61">
        <f t="shared" si="322"/>
        <v>5398.1700144103552</v>
      </c>
      <c r="IR48" s="61">
        <f t="shared" si="323"/>
        <v>0</v>
      </c>
      <c r="IS48" s="61">
        <f t="shared" si="324"/>
        <v>0</v>
      </c>
      <c r="IT48" s="61">
        <f t="shared" si="325"/>
        <v>0</v>
      </c>
      <c r="IU48" s="61">
        <f t="shared" si="326"/>
        <v>38690.35928717479</v>
      </c>
      <c r="IV48" s="61">
        <f t="shared" si="327"/>
        <v>0</v>
      </c>
      <c r="IW48" s="61">
        <f t="shared" si="328"/>
        <v>0</v>
      </c>
      <c r="IX48" s="61">
        <f t="shared" si="329"/>
        <v>0</v>
      </c>
      <c r="IY48" s="61">
        <f t="shared" si="330"/>
        <v>0</v>
      </c>
      <c r="IZ48" s="61">
        <f t="shared" si="331"/>
        <v>0</v>
      </c>
      <c r="JA48" s="61">
        <f t="shared" si="332"/>
        <v>0</v>
      </c>
      <c r="JB48" s="61">
        <f t="shared" si="333"/>
        <v>0</v>
      </c>
      <c r="JC48" s="61">
        <f t="shared" si="334"/>
        <v>96262.377541820009</v>
      </c>
      <c r="JD48" s="61">
        <f t="shared" si="335"/>
        <v>0</v>
      </c>
      <c r="JE48" s="61">
        <f t="shared" si="336"/>
        <v>26990.850072051773</v>
      </c>
      <c r="JF48" s="61">
        <f t="shared" si="337"/>
        <v>8097.2550216155314</v>
      </c>
      <c r="JG48" s="61">
        <f t="shared" si="338"/>
        <v>21592.680057641421</v>
      </c>
      <c r="JH48" s="61">
        <f t="shared" si="339"/>
        <v>0</v>
      </c>
      <c r="JI48" s="61">
        <f t="shared" si="340"/>
        <v>0</v>
      </c>
      <c r="JJ48" s="61">
        <f t="shared" si="341"/>
        <v>16194.510043231063</v>
      </c>
      <c r="JK48" s="61">
        <f t="shared" si="342"/>
        <v>0</v>
      </c>
      <c r="JL48" s="61">
        <f t="shared" si="343"/>
        <v>124157.91033143818</v>
      </c>
      <c r="JM48" s="61">
        <f t="shared" si="344"/>
        <v>0</v>
      </c>
      <c r="JN48" s="61">
        <f t="shared" si="345"/>
        <v>0</v>
      </c>
      <c r="JO48" s="61">
        <f t="shared" si="346"/>
        <v>1283715.8876306175</v>
      </c>
      <c r="JQ48" s="26">
        <f t="shared" si="209"/>
        <v>3770000.0000000019</v>
      </c>
      <c r="JR48" s="156">
        <f t="shared" si="210"/>
        <v>1.0000000000000004</v>
      </c>
      <c r="JT48" s="157">
        <f t="shared" si="347"/>
        <v>0</v>
      </c>
      <c r="JU48" s="29">
        <f t="shared" si="348"/>
        <v>0</v>
      </c>
    </row>
    <row r="49" spans="1:281" ht="18.75" x14ac:dyDescent="0.3">
      <c r="A49" t="s">
        <v>69</v>
      </c>
      <c r="B49" t="s">
        <v>95</v>
      </c>
      <c r="C49" t="s">
        <v>80</v>
      </c>
      <c r="D49" t="s">
        <v>20</v>
      </c>
      <c r="E49" t="s">
        <v>122</v>
      </c>
      <c r="F49" s="113">
        <v>12</v>
      </c>
      <c r="G49" s="15">
        <v>185712</v>
      </c>
      <c r="H49" s="20">
        <v>127200</v>
      </c>
      <c r="I49" s="23">
        <v>1.46</v>
      </c>
      <c r="J49" s="9">
        <v>0</v>
      </c>
      <c r="K49" s="9">
        <v>3.3299426404357251E-3</v>
      </c>
      <c r="L49" s="9">
        <v>0</v>
      </c>
      <c r="M49" s="9">
        <v>0</v>
      </c>
      <c r="N49" s="9">
        <v>0</v>
      </c>
      <c r="O49" s="9">
        <v>2.3866732025892779E-2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5.9380900340398494E-2</v>
      </c>
      <c r="X49" s="9">
        <v>0</v>
      </c>
      <c r="Y49" s="9">
        <v>1.6649713202178625E-2</v>
      </c>
      <c r="Z49" s="9">
        <v>4.9949139606535872E-3</v>
      </c>
      <c r="AA49" s="9">
        <v>1.33197705617429E-2</v>
      </c>
      <c r="AB49" s="9">
        <v>0</v>
      </c>
      <c r="AC49" s="9">
        <v>0</v>
      </c>
      <c r="AD49" s="9">
        <v>9.9898279213071744E-3</v>
      </c>
      <c r="AE49" s="9">
        <v>0</v>
      </c>
      <c r="AF49" s="9">
        <v>7.6588680730021688E-2</v>
      </c>
      <c r="AG49" s="9">
        <v>0</v>
      </c>
      <c r="AH49" s="9">
        <v>0</v>
      </c>
      <c r="AI49" s="9">
        <v>0.79187951861736916</v>
      </c>
      <c r="AJ49" s="8">
        <f t="shared" si="124"/>
        <v>1</v>
      </c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9"/>
      <c r="BM49" s="26">
        <f t="shared" si="150"/>
        <v>0</v>
      </c>
      <c r="BN49" s="26">
        <f t="shared" si="151"/>
        <v>618.4103076405994</v>
      </c>
      <c r="BO49" s="26">
        <f t="shared" si="152"/>
        <v>0</v>
      </c>
      <c r="BP49" s="26">
        <f t="shared" si="153"/>
        <v>0</v>
      </c>
      <c r="BQ49" s="26">
        <f t="shared" si="154"/>
        <v>0</v>
      </c>
      <c r="BR49" s="26">
        <f t="shared" si="155"/>
        <v>4432.3385379925994</v>
      </c>
      <c r="BS49" s="26">
        <f t="shared" si="156"/>
        <v>0</v>
      </c>
      <c r="BT49" s="26">
        <f t="shared" si="157"/>
        <v>0</v>
      </c>
      <c r="BU49" s="26">
        <f t="shared" si="158"/>
        <v>0</v>
      </c>
      <c r="BV49" s="26">
        <f t="shared" si="159"/>
        <v>0</v>
      </c>
      <c r="BW49" s="26">
        <f t="shared" si="160"/>
        <v>0</v>
      </c>
      <c r="BX49" s="26">
        <f t="shared" si="161"/>
        <v>0</v>
      </c>
      <c r="BY49" s="26">
        <f t="shared" si="162"/>
        <v>0</v>
      </c>
      <c r="BZ49" s="26">
        <f t="shared" si="163"/>
        <v>11027.745764016085</v>
      </c>
      <c r="CA49" s="26">
        <f t="shared" si="164"/>
        <v>0</v>
      </c>
      <c r="CB49" s="26">
        <f t="shared" si="165"/>
        <v>3092.0515382029967</v>
      </c>
      <c r="CC49" s="26">
        <f t="shared" si="166"/>
        <v>927.61546146089893</v>
      </c>
      <c r="CD49" s="26">
        <f t="shared" si="167"/>
        <v>2473.6412305623976</v>
      </c>
      <c r="CE49" s="26">
        <f t="shared" si="168"/>
        <v>0</v>
      </c>
      <c r="CF49" s="26">
        <f t="shared" si="169"/>
        <v>0</v>
      </c>
      <c r="CG49" s="26">
        <f t="shared" si="170"/>
        <v>1855.2309229217979</v>
      </c>
      <c r="CH49" s="26">
        <f t="shared" si="171"/>
        <v>0</v>
      </c>
      <c r="CI49" s="26">
        <f t="shared" si="172"/>
        <v>14223.437075733787</v>
      </c>
      <c r="CJ49" s="26">
        <f t="shared" si="173"/>
        <v>0</v>
      </c>
      <c r="CK49" s="26">
        <f t="shared" si="174"/>
        <v>0</v>
      </c>
      <c r="CL49" s="26">
        <f t="shared" si="175"/>
        <v>147061.52916146888</v>
      </c>
      <c r="CM49" s="110">
        <f t="shared" si="176"/>
        <v>1.0000000000000002</v>
      </c>
      <c r="CN49" s="27">
        <f t="shared" si="177"/>
        <v>0</v>
      </c>
      <c r="CO49" s="27">
        <f t="shared" si="178"/>
        <v>423.56870386342422</v>
      </c>
      <c r="CP49" s="27">
        <f t="shared" si="179"/>
        <v>0</v>
      </c>
      <c r="CQ49" s="27">
        <f t="shared" si="180"/>
        <v>0</v>
      </c>
      <c r="CR49" s="27">
        <f t="shared" si="181"/>
        <v>0</v>
      </c>
      <c r="CS49" s="27">
        <f t="shared" si="182"/>
        <v>3035.8483136935615</v>
      </c>
      <c r="CT49" s="27">
        <f t="shared" si="183"/>
        <v>0</v>
      </c>
      <c r="CU49" s="27">
        <f t="shared" si="184"/>
        <v>0</v>
      </c>
      <c r="CV49" s="27">
        <f t="shared" si="185"/>
        <v>0</v>
      </c>
      <c r="CW49" s="27">
        <f t="shared" si="186"/>
        <v>0</v>
      </c>
      <c r="CX49" s="27">
        <f t="shared" si="187"/>
        <v>0</v>
      </c>
      <c r="CY49" s="27">
        <f t="shared" si="188"/>
        <v>0</v>
      </c>
      <c r="CZ49" s="27">
        <f t="shared" si="189"/>
        <v>0</v>
      </c>
      <c r="DA49" s="27">
        <f t="shared" si="190"/>
        <v>7553.2505232986887</v>
      </c>
      <c r="DB49" s="27">
        <f t="shared" si="191"/>
        <v>0</v>
      </c>
      <c r="DC49" s="27">
        <f t="shared" si="192"/>
        <v>2117.8435193171213</v>
      </c>
      <c r="DD49" s="27">
        <f t="shared" si="193"/>
        <v>635.35305579513624</v>
      </c>
      <c r="DE49" s="27">
        <f t="shared" si="194"/>
        <v>1694.2748154536969</v>
      </c>
      <c r="DF49" s="27">
        <f t="shared" si="195"/>
        <v>0</v>
      </c>
      <c r="DG49" s="27">
        <f t="shared" si="196"/>
        <v>0</v>
      </c>
      <c r="DH49" s="27">
        <f t="shared" si="197"/>
        <v>1270.7061115902725</v>
      </c>
      <c r="DI49" s="27">
        <f t="shared" si="198"/>
        <v>0</v>
      </c>
      <c r="DJ49" s="27">
        <f t="shared" si="199"/>
        <v>9742.0801888587594</v>
      </c>
      <c r="DK49" s="27">
        <f t="shared" si="200"/>
        <v>0</v>
      </c>
      <c r="DL49" s="27">
        <f t="shared" si="201"/>
        <v>0</v>
      </c>
      <c r="DM49" s="27">
        <f t="shared" si="202"/>
        <v>100727.07476812936</v>
      </c>
      <c r="DN49" s="110">
        <f t="shared" si="203"/>
        <v>1.0000000000000002</v>
      </c>
      <c r="DO49" s="28">
        <f t="shared" si="211"/>
        <v>0</v>
      </c>
      <c r="DP49" s="28">
        <f t="shared" si="212"/>
        <v>194.84160377717518</v>
      </c>
      <c r="DQ49" s="28">
        <f t="shared" si="213"/>
        <v>0</v>
      </c>
      <c r="DR49" s="28">
        <f t="shared" si="214"/>
        <v>0</v>
      </c>
      <c r="DS49" s="28">
        <f t="shared" si="215"/>
        <v>0</v>
      </c>
      <c r="DT49" s="28">
        <f t="shared" si="216"/>
        <v>1396.4902242990379</v>
      </c>
      <c r="DU49" s="28">
        <f t="shared" si="217"/>
        <v>0</v>
      </c>
      <c r="DV49" s="28">
        <f t="shared" si="218"/>
        <v>0</v>
      </c>
      <c r="DW49" s="28">
        <f t="shared" si="219"/>
        <v>0</v>
      </c>
      <c r="DX49" s="28">
        <f t="shared" si="220"/>
        <v>0</v>
      </c>
      <c r="DY49" s="28">
        <f t="shared" si="221"/>
        <v>0</v>
      </c>
      <c r="DZ49" s="28">
        <f t="shared" si="222"/>
        <v>0</v>
      </c>
      <c r="EA49" s="28">
        <f t="shared" si="223"/>
        <v>0</v>
      </c>
      <c r="EB49" s="28">
        <f t="shared" si="224"/>
        <v>3474.495240717396</v>
      </c>
      <c r="EC49" s="28">
        <f t="shared" si="225"/>
        <v>0</v>
      </c>
      <c r="ED49" s="28">
        <f t="shared" si="226"/>
        <v>974.20801888587539</v>
      </c>
      <c r="EE49" s="28">
        <f t="shared" si="227"/>
        <v>292.26240566576269</v>
      </c>
      <c r="EF49" s="28">
        <f t="shared" si="228"/>
        <v>779.36641510870072</v>
      </c>
      <c r="EG49" s="28">
        <f t="shared" si="229"/>
        <v>0</v>
      </c>
      <c r="EH49" s="28">
        <f t="shared" si="230"/>
        <v>0</v>
      </c>
      <c r="EI49" s="28">
        <f t="shared" si="231"/>
        <v>584.52481133152537</v>
      </c>
      <c r="EJ49" s="28">
        <f t="shared" si="232"/>
        <v>0</v>
      </c>
      <c r="EK49" s="28">
        <f t="shared" si="233"/>
        <v>4481.3568868750281</v>
      </c>
      <c r="EL49" s="28">
        <f t="shared" si="234"/>
        <v>0</v>
      </c>
      <c r="EM49" s="28">
        <f t="shared" si="235"/>
        <v>0</v>
      </c>
      <c r="EN49" s="28">
        <f t="shared" si="236"/>
        <v>46334.454393339518</v>
      </c>
      <c r="EQ49" s="144">
        <v>4.0198325025638838E-2</v>
      </c>
      <c r="ER49" s="144">
        <v>5.0190700600407236E-2</v>
      </c>
      <c r="ES49" s="144">
        <v>6.0259350417364056E-2</v>
      </c>
      <c r="ET49" s="144">
        <v>8.2303556089108706E-2</v>
      </c>
      <c r="EU49" s="144">
        <v>7.025172599213246E-2</v>
      </c>
      <c r="EV49" s="144">
        <v>8.0320375809089267E-2</v>
      </c>
      <c r="EW49" s="144">
        <v>8.0320375809089267E-2</v>
      </c>
      <c r="EX49" s="144">
        <v>7.025172599213246E-2</v>
      </c>
      <c r="EY49" s="144">
        <v>8.0320375809089267E-2</v>
      </c>
      <c r="EZ49" s="144">
        <v>0.10739893138087268</v>
      </c>
      <c r="FA49" s="144">
        <v>0.10739893138087268</v>
      </c>
      <c r="FB49" s="144">
        <v>0.17078562569420311</v>
      </c>
      <c r="FC49" s="145">
        <f t="shared" si="237"/>
        <v>0.99999999999999989</v>
      </c>
      <c r="FD49" s="146">
        <f t="shared" si="238"/>
        <v>0.15064837604341014</v>
      </c>
      <c r="FE49" s="146">
        <f t="shared" si="239"/>
        <v>0.23287565789033043</v>
      </c>
      <c r="FF49" s="146">
        <f t="shared" si="240"/>
        <v>0.23089247761031098</v>
      </c>
      <c r="FG49" s="146">
        <f t="shared" si="241"/>
        <v>0.38558348845594848</v>
      </c>
      <c r="FH49" s="145">
        <f t="shared" si="375"/>
        <v>1</v>
      </c>
      <c r="FJ49" s="52">
        <f t="shared" si="243"/>
        <v>0</v>
      </c>
      <c r="FK49" s="52">
        <f t="shared" si="244"/>
        <v>93.162508574561969</v>
      </c>
      <c r="FL49" s="52">
        <f t="shared" si="245"/>
        <v>0</v>
      </c>
      <c r="FM49" s="52">
        <f t="shared" si="246"/>
        <v>0</v>
      </c>
      <c r="FN49" s="52">
        <f t="shared" si="247"/>
        <v>0</v>
      </c>
      <c r="FO49" s="52">
        <f t="shared" si="248"/>
        <v>667.72460282320787</v>
      </c>
      <c r="FP49" s="52">
        <f t="shared" si="249"/>
        <v>0</v>
      </c>
      <c r="FQ49" s="52">
        <f t="shared" si="250"/>
        <v>0</v>
      </c>
      <c r="FR49" s="52">
        <f t="shared" si="251"/>
        <v>0</v>
      </c>
      <c r="FS49" s="52">
        <f t="shared" si="252"/>
        <v>0</v>
      </c>
      <c r="FT49" s="52">
        <f t="shared" si="253"/>
        <v>0</v>
      </c>
      <c r="FU49" s="52">
        <f t="shared" si="254"/>
        <v>0</v>
      </c>
      <c r="FV49" s="52">
        <f t="shared" si="255"/>
        <v>0</v>
      </c>
      <c r="FW49" s="52">
        <f t="shared" si="256"/>
        <v>1661.3119907686184</v>
      </c>
      <c r="FX49" s="52">
        <f t="shared" si="257"/>
        <v>0</v>
      </c>
      <c r="FY49" s="52">
        <f t="shared" si="258"/>
        <v>465.81254287280979</v>
      </c>
      <c r="FZ49" s="52">
        <f t="shared" si="259"/>
        <v>139.74376286184292</v>
      </c>
      <c r="GA49" s="52">
        <f t="shared" si="260"/>
        <v>372.65003429824787</v>
      </c>
      <c r="GB49" s="52">
        <f t="shared" si="261"/>
        <v>0</v>
      </c>
      <c r="GC49" s="52">
        <f t="shared" si="262"/>
        <v>0</v>
      </c>
      <c r="GD49" s="52">
        <f t="shared" si="263"/>
        <v>279.48752572368585</v>
      </c>
      <c r="GE49" s="52">
        <f t="shared" si="264"/>
        <v>0</v>
      </c>
      <c r="GF49" s="52">
        <f t="shared" si="265"/>
        <v>2142.7376972149254</v>
      </c>
      <c r="GG49" s="52">
        <f t="shared" si="266"/>
        <v>0</v>
      </c>
      <c r="GH49" s="52">
        <f t="shared" si="267"/>
        <v>0</v>
      </c>
      <c r="GI49" s="52">
        <f t="shared" si="268"/>
        <v>22154.580546635891</v>
      </c>
      <c r="GJ49" s="26"/>
      <c r="GL49" s="150">
        <f t="shared" si="269"/>
        <v>0</v>
      </c>
      <c r="GM49" s="150">
        <f t="shared" si="270"/>
        <v>144.01270723796623</v>
      </c>
      <c r="GN49" s="150">
        <f t="shared" si="271"/>
        <v>0</v>
      </c>
      <c r="GO49" s="150">
        <f t="shared" si="272"/>
        <v>0</v>
      </c>
      <c r="GP49" s="150">
        <f t="shared" si="273"/>
        <v>0</v>
      </c>
      <c r="GQ49" s="150">
        <f t="shared" si="274"/>
        <v>1032.1837530276919</v>
      </c>
      <c r="GR49" s="150">
        <f t="shared" si="275"/>
        <v>0</v>
      </c>
      <c r="GS49" s="150">
        <f t="shared" si="276"/>
        <v>0</v>
      </c>
      <c r="GT49" s="150">
        <f t="shared" si="277"/>
        <v>0</v>
      </c>
      <c r="GU49" s="150">
        <f t="shared" si="278"/>
        <v>0</v>
      </c>
      <c r="GV49" s="150">
        <f t="shared" si="279"/>
        <v>0</v>
      </c>
      <c r="GW49" s="150">
        <f t="shared" si="280"/>
        <v>0</v>
      </c>
      <c r="GX49" s="150">
        <f t="shared" si="281"/>
        <v>0</v>
      </c>
      <c r="GY49" s="150">
        <f t="shared" si="282"/>
        <v>2568.0935498425501</v>
      </c>
      <c r="GZ49" s="150">
        <f t="shared" si="283"/>
        <v>0</v>
      </c>
      <c r="HA49" s="150">
        <f t="shared" si="284"/>
        <v>720.06353618983098</v>
      </c>
      <c r="HB49" s="150">
        <f t="shared" si="285"/>
        <v>216.0190608569493</v>
      </c>
      <c r="HC49" s="150">
        <f t="shared" si="286"/>
        <v>576.0508289518649</v>
      </c>
      <c r="HD49" s="150">
        <f t="shared" si="287"/>
        <v>0</v>
      </c>
      <c r="HE49" s="150">
        <f t="shared" si="288"/>
        <v>0</v>
      </c>
      <c r="HF49" s="150">
        <f t="shared" si="289"/>
        <v>432.03812171389859</v>
      </c>
      <c r="HG49" s="150">
        <f t="shared" si="290"/>
        <v>0</v>
      </c>
      <c r="HH49" s="150">
        <f t="shared" si="291"/>
        <v>3312.2922664732232</v>
      </c>
      <c r="HI49" s="150">
        <f t="shared" si="292"/>
        <v>0</v>
      </c>
      <c r="HJ49" s="150">
        <f t="shared" si="293"/>
        <v>0</v>
      </c>
      <c r="HK49" s="150">
        <f t="shared" si="294"/>
        <v>34247.050353835082</v>
      </c>
      <c r="HL49" s="26"/>
      <c r="HN49" s="147">
        <f t="shared" si="295"/>
        <v>0</v>
      </c>
      <c r="HO49" s="147">
        <f t="shared" si="296"/>
        <v>142.78628811089263</v>
      </c>
      <c r="HP49" s="147">
        <f t="shared" si="297"/>
        <v>0</v>
      </c>
      <c r="HQ49" s="147">
        <f t="shared" si="298"/>
        <v>0</v>
      </c>
      <c r="HR49" s="147">
        <f t="shared" si="299"/>
        <v>0</v>
      </c>
      <c r="HS49" s="147">
        <f t="shared" si="300"/>
        <v>1023.3936266447747</v>
      </c>
      <c r="HT49" s="147">
        <f t="shared" si="301"/>
        <v>0</v>
      </c>
      <c r="HU49" s="147">
        <f t="shared" si="302"/>
        <v>0</v>
      </c>
      <c r="HV49" s="147">
        <f t="shared" si="303"/>
        <v>0</v>
      </c>
      <c r="HW49" s="147">
        <f t="shared" si="304"/>
        <v>0</v>
      </c>
      <c r="HX49" s="147">
        <f t="shared" si="305"/>
        <v>0</v>
      </c>
      <c r="HY49" s="147">
        <f t="shared" si="306"/>
        <v>0</v>
      </c>
      <c r="HZ49" s="147">
        <f t="shared" si="307"/>
        <v>0</v>
      </c>
      <c r="IA49" s="147">
        <f t="shared" si="308"/>
        <v>2546.2235419102858</v>
      </c>
      <c r="IB49" s="147">
        <f t="shared" si="309"/>
        <v>0</v>
      </c>
      <c r="IC49" s="147">
        <f t="shared" si="310"/>
        <v>713.93144055446305</v>
      </c>
      <c r="ID49" s="147">
        <f t="shared" si="311"/>
        <v>214.1794321663389</v>
      </c>
      <c r="IE49" s="147">
        <f t="shared" si="312"/>
        <v>571.14515244357051</v>
      </c>
      <c r="IF49" s="147">
        <f t="shared" si="313"/>
        <v>0</v>
      </c>
      <c r="IG49" s="147">
        <f t="shared" si="314"/>
        <v>0</v>
      </c>
      <c r="IH49" s="147">
        <f t="shared" si="315"/>
        <v>428.3588643326778</v>
      </c>
      <c r="II49" s="147">
        <f t="shared" si="316"/>
        <v>0</v>
      </c>
      <c r="IJ49" s="147">
        <f t="shared" si="317"/>
        <v>3284.0846265505306</v>
      </c>
      <c r="IK49" s="147">
        <f t="shared" si="318"/>
        <v>0</v>
      </c>
      <c r="IL49" s="147">
        <f t="shared" si="319"/>
        <v>0</v>
      </c>
      <c r="IM49" s="147">
        <f t="shared" si="320"/>
        <v>33955.400829252547</v>
      </c>
      <c r="IN49" s="26"/>
      <c r="IP49" s="61">
        <f t="shared" si="321"/>
        <v>0</v>
      </c>
      <c r="IQ49" s="61">
        <f t="shared" si="322"/>
        <v>238.44880371717861</v>
      </c>
      <c r="IR49" s="61">
        <f t="shared" si="323"/>
        <v>0</v>
      </c>
      <c r="IS49" s="61">
        <f t="shared" si="324"/>
        <v>0</v>
      </c>
      <c r="IT49" s="61">
        <f t="shared" si="325"/>
        <v>0</v>
      </c>
      <c r="IU49" s="61">
        <f t="shared" si="326"/>
        <v>1709.0365554969251</v>
      </c>
      <c r="IV49" s="61">
        <f t="shared" si="327"/>
        <v>0</v>
      </c>
      <c r="IW49" s="61">
        <f t="shared" si="328"/>
        <v>0</v>
      </c>
      <c r="IX49" s="61">
        <f t="shared" si="329"/>
        <v>0</v>
      </c>
      <c r="IY49" s="61">
        <f t="shared" si="330"/>
        <v>0</v>
      </c>
      <c r="IZ49" s="61">
        <f t="shared" si="331"/>
        <v>0</v>
      </c>
      <c r="JA49" s="61">
        <f t="shared" si="332"/>
        <v>0</v>
      </c>
      <c r="JB49" s="61">
        <f t="shared" si="333"/>
        <v>0</v>
      </c>
      <c r="JC49" s="61">
        <f t="shared" si="334"/>
        <v>4252.1166814946309</v>
      </c>
      <c r="JD49" s="61">
        <f t="shared" si="335"/>
        <v>0</v>
      </c>
      <c r="JE49" s="61">
        <f t="shared" si="336"/>
        <v>1192.2440185858929</v>
      </c>
      <c r="JF49" s="61">
        <f t="shared" si="337"/>
        <v>357.67320557576784</v>
      </c>
      <c r="JG49" s="61">
        <f t="shared" si="338"/>
        <v>953.79521486871442</v>
      </c>
      <c r="JH49" s="61">
        <f t="shared" si="339"/>
        <v>0</v>
      </c>
      <c r="JI49" s="61">
        <f t="shared" si="340"/>
        <v>0</v>
      </c>
      <c r="JJ49" s="61">
        <f t="shared" si="341"/>
        <v>715.34641115153568</v>
      </c>
      <c r="JK49" s="61">
        <f t="shared" si="342"/>
        <v>0</v>
      </c>
      <c r="JL49" s="61">
        <f t="shared" si="343"/>
        <v>5484.3224854951086</v>
      </c>
      <c r="JM49" s="61">
        <f t="shared" si="344"/>
        <v>0</v>
      </c>
      <c r="JN49" s="61">
        <f t="shared" si="345"/>
        <v>0</v>
      </c>
      <c r="JO49" s="61">
        <f t="shared" si="346"/>
        <v>56704.497431745367</v>
      </c>
      <c r="JQ49" s="26">
        <f t="shared" si="209"/>
        <v>185712.00000000009</v>
      </c>
      <c r="JR49" s="156">
        <f t="shared" si="210"/>
        <v>1.0000000000000004</v>
      </c>
      <c r="JT49" s="157">
        <f t="shared" si="347"/>
        <v>0</v>
      </c>
      <c r="JU49" s="29">
        <f t="shared" si="348"/>
        <v>0</v>
      </c>
    </row>
    <row r="50" spans="1:281" ht="18.75" x14ac:dyDescent="0.3">
      <c r="A50" t="s">
        <v>69</v>
      </c>
      <c r="B50" t="s">
        <v>96</v>
      </c>
      <c r="C50" t="s">
        <v>80</v>
      </c>
      <c r="D50" t="s">
        <v>20</v>
      </c>
      <c r="E50" t="s">
        <v>123</v>
      </c>
      <c r="F50" s="113">
        <v>20.999999999999996</v>
      </c>
      <c r="G50" s="15">
        <v>272680</v>
      </c>
      <c r="H50" s="20">
        <v>180583</v>
      </c>
      <c r="I50" s="23">
        <v>1.5099981725854592</v>
      </c>
      <c r="J50" s="9">
        <v>0</v>
      </c>
      <c r="K50" s="9">
        <v>3.3299426404357251E-3</v>
      </c>
      <c r="L50" s="9">
        <v>0</v>
      </c>
      <c r="M50" s="9">
        <v>0</v>
      </c>
      <c r="N50" s="9">
        <v>0</v>
      </c>
      <c r="O50" s="9">
        <v>2.3866732025892779E-2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5.9380900340398494E-2</v>
      </c>
      <c r="X50" s="9">
        <v>0</v>
      </c>
      <c r="Y50" s="9">
        <v>1.6649713202178625E-2</v>
      </c>
      <c r="Z50" s="9">
        <v>4.9949139606535872E-3</v>
      </c>
      <c r="AA50" s="9">
        <v>1.33197705617429E-2</v>
      </c>
      <c r="AB50" s="9">
        <v>0</v>
      </c>
      <c r="AC50" s="9">
        <v>0</v>
      </c>
      <c r="AD50" s="9">
        <v>9.9898279213071744E-3</v>
      </c>
      <c r="AE50" s="9">
        <v>0</v>
      </c>
      <c r="AF50" s="9">
        <v>7.6588680730021688E-2</v>
      </c>
      <c r="AG50" s="9">
        <v>0</v>
      </c>
      <c r="AH50" s="9">
        <v>0</v>
      </c>
      <c r="AI50" s="9">
        <v>0.79187951861736916</v>
      </c>
      <c r="AJ50" s="8">
        <f t="shared" si="124"/>
        <v>1</v>
      </c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9"/>
      <c r="BM50" s="26">
        <f t="shared" si="150"/>
        <v>0</v>
      </c>
      <c r="BN50" s="26">
        <f t="shared" si="151"/>
        <v>908.00875919401346</v>
      </c>
      <c r="BO50" s="26">
        <f t="shared" si="152"/>
        <v>0</v>
      </c>
      <c r="BP50" s="26">
        <f t="shared" si="153"/>
        <v>0</v>
      </c>
      <c r="BQ50" s="26">
        <f t="shared" si="154"/>
        <v>0</v>
      </c>
      <c r="BR50" s="26">
        <f t="shared" si="155"/>
        <v>6507.9804888204426</v>
      </c>
      <c r="BS50" s="26">
        <f t="shared" si="156"/>
        <v>0</v>
      </c>
      <c r="BT50" s="26">
        <f t="shared" si="157"/>
        <v>0</v>
      </c>
      <c r="BU50" s="26">
        <f t="shared" si="158"/>
        <v>0</v>
      </c>
      <c r="BV50" s="26">
        <f t="shared" si="159"/>
        <v>0</v>
      </c>
      <c r="BW50" s="26">
        <f t="shared" si="160"/>
        <v>0</v>
      </c>
      <c r="BX50" s="26">
        <f t="shared" si="161"/>
        <v>0</v>
      </c>
      <c r="BY50" s="26">
        <f t="shared" si="162"/>
        <v>0</v>
      </c>
      <c r="BZ50" s="26">
        <f t="shared" si="163"/>
        <v>16191.983904819861</v>
      </c>
      <c r="CA50" s="26">
        <f t="shared" si="164"/>
        <v>0</v>
      </c>
      <c r="CB50" s="26">
        <f t="shared" si="165"/>
        <v>4540.0437959700675</v>
      </c>
      <c r="CC50" s="26">
        <f t="shared" si="166"/>
        <v>1362.0131387910201</v>
      </c>
      <c r="CD50" s="26">
        <f t="shared" si="167"/>
        <v>3632.0350367760539</v>
      </c>
      <c r="CE50" s="26">
        <f t="shared" si="168"/>
        <v>0</v>
      </c>
      <c r="CF50" s="26">
        <f t="shared" si="169"/>
        <v>0</v>
      </c>
      <c r="CG50" s="26">
        <f t="shared" si="170"/>
        <v>2724.0262775820402</v>
      </c>
      <c r="CH50" s="26">
        <f t="shared" si="171"/>
        <v>0</v>
      </c>
      <c r="CI50" s="26">
        <f t="shared" si="172"/>
        <v>20884.201461462315</v>
      </c>
      <c r="CJ50" s="26">
        <f t="shared" si="173"/>
        <v>0</v>
      </c>
      <c r="CK50" s="26">
        <f t="shared" si="174"/>
        <v>0</v>
      </c>
      <c r="CL50" s="26">
        <f t="shared" si="175"/>
        <v>215929.70713658421</v>
      </c>
      <c r="CM50" s="110">
        <f t="shared" si="176"/>
        <v>1</v>
      </c>
      <c r="CN50" s="27">
        <f t="shared" si="177"/>
        <v>0</v>
      </c>
      <c r="CO50" s="27">
        <f t="shared" si="178"/>
        <v>601.33103183780452</v>
      </c>
      <c r="CP50" s="27">
        <f t="shared" si="179"/>
        <v>0</v>
      </c>
      <c r="CQ50" s="27">
        <f t="shared" si="180"/>
        <v>0</v>
      </c>
      <c r="CR50" s="27">
        <f t="shared" si="181"/>
        <v>0</v>
      </c>
      <c r="CS50" s="27">
        <f t="shared" si="182"/>
        <v>4309.9260694317954</v>
      </c>
      <c r="CT50" s="27">
        <f t="shared" si="183"/>
        <v>0</v>
      </c>
      <c r="CU50" s="27">
        <f t="shared" si="184"/>
        <v>0</v>
      </c>
      <c r="CV50" s="27">
        <f t="shared" si="185"/>
        <v>0</v>
      </c>
      <c r="CW50" s="27">
        <f t="shared" si="186"/>
        <v>0</v>
      </c>
      <c r="CX50" s="27">
        <f t="shared" si="187"/>
        <v>0</v>
      </c>
      <c r="CY50" s="27">
        <f t="shared" si="188"/>
        <v>0</v>
      </c>
      <c r="CZ50" s="27">
        <f t="shared" si="189"/>
        <v>0</v>
      </c>
      <c r="DA50" s="27">
        <f t="shared" si="190"/>
        <v>10723.181126170181</v>
      </c>
      <c r="DB50" s="27">
        <f t="shared" si="191"/>
        <v>0</v>
      </c>
      <c r="DC50" s="27">
        <f t="shared" si="192"/>
        <v>3006.6551591890225</v>
      </c>
      <c r="DD50" s="27">
        <f t="shared" si="193"/>
        <v>901.99654775670672</v>
      </c>
      <c r="DE50" s="27">
        <f t="shared" si="194"/>
        <v>2405.3241273512181</v>
      </c>
      <c r="DF50" s="27">
        <f t="shared" si="195"/>
        <v>0</v>
      </c>
      <c r="DG50" s="27">
        <f t="shared" si="196"/>
        <v>0</v>
      </c>
      <c r="DH50" s="27">
        <f t="shared" si="197"/>
        <v>1803.9930955134134</v>
      </c>
      <c r="DI50" s="27">
        <f t="shared" si="198"/>
        <v>0</v>
      </c>
      <c r="DJ50" s="27">
        <f t="shared" si="199"/>
        <v>13830.613732269507</v>
      </c>
      <c r="DK50" s="27">
        <f t="shared" si="200"/>
        <v>0</v>
      </c>
      <c r="DL50" s="27">
        <f t="shared" si="201"/>
        <v>0</v>
      </c>
      <c r="DM50" s="27">
        <f t="shared" si="202"/>
        <v>142999.97911048037</v>
      </c>
      <c r="DN50" s="110">
        <f t="shared" si="203"/>
        <v>1.0000000000000002</v>
      </c>
      <c r="DO50" s="28">
        <f t="shared" si="211"/>
        <v>0</v>
      </c>
      <c r="DP50" s="28">
        <f t="shared" si="212"/>
        <v>306.67772735620895</v>
      </c>
      <c r="DQ50" s="28">
        <f t="shared" si="213"/>
        <v>0</v>
      </c>
      <c r="DR50" s="28">
        <f t="shared" si="214"/>
        <v>0</v>
      </c>
      <c r="DS50" s="28">
        <f t="shared" si="215"/>
        <v>0</v>
      </c>
      <c r="DT50" s="28">
        <f t="shared" si="216"/>
        <v>2198.0544193886471</v>
      </c>
      <c r="DU50" s="28">
        <f t="shared" si="217"/>
        <v>0</v>
      </c>
      <c r="DV50" s="28">
        <f t="shared" si="218"/>
        <v>0</v>
      </c>
      <c r="DW50" s="28">
        <f t="shared" si="219"/>
        <v>0</v>
      </c>
      <c r="DX50" s="28">
        <f t="shared" si="220"/>
        <v>0</v>
      </c>
      <c r="DY50" s="28">
        <f t="shared" si="221"/>
        <v>0</v>
      </c>
      <c r="DZ50" s="28">
        <f t="shared" si="222"/>
        <v>0</v>
      </c>
      <c r="EA50" s="28">
        <f t="shared" si="223"/>
        <v>0</v>
      </c>
      <c r="EB50" s="28">
        <f t="shared" si="224"/>
        <v>5468.8027786496805</v>
      </c>
      <c r="EC50" s="28">
        <f t="shared" si="225"/>
        <v>0</v>
      </c>
      <c r="ED50" s="28">
        <f t="shared" si="226"/>
        <v>1533.3886367810451</v>
      </c>
      <c r="EE50" s="28">
        <f t="shared" si="227"/>
        <v>460.01659103431336</v>
      </c>
      <c r="EF50" s="28">
        <f t="shared" si="228"/>
        <v>1226.7109094248358</v>
      </c>
      <c r="EG50" s="28">
        <f t="shared" si="229"/>
        <v>0</v>
      </c>
      <c r="EH50" s="28">
        <f t="shared" si="230"/>
        <v>0</v>
      </c>
      <c r="EI50" s="28">
        <f t="shared" si="231"/>
        <v>920.03318206862673</v>
      </c>
      <c r="EJ50" s="28">
        <f t="shared" si="232"/>
        <v>0</v>
      </c>
      <c r="EK50" s="28">
        <f t="shared" si="233"/>
        <v>7053.5877291928082</v>
      </c>
      <c r="EL50" s="28">
        <f t="shared" si="234"/>
        <v>0</v>
      </c>
      <c r="EM50" s="28">
        <f t="shared" si="235"/>
        <v>0</v>
      </c>
      <c r="EN50" s="28">
        <f t="shared" si="236"/>
        <v>72929.72802610384</v>
      </c>
      <c r="EQ50" s="144">
        <v>4.0198325025638838E-2</v>
      </c>
      <c r="ER50" s="144">
        <v>5.0190700600407236E-2</v>
      </c>
      <c r="ES50" s="144">
        <v>6.0259350417364056E-2</v>
      </c>
      <c r="ET50" s="144">
        <v>8.2303556089108706E-2</v>
      </c>
      <c r="EU50" s="144">
        <v>7.025172599213246E-2</v>
      </c>
      <c r="EV50" s="144">
        <v>8.0320375809089267E-2</v>
      </c>
      <c r="EW50" s="144">
        <v>8.0320375809089267E-2</v>
      </c>
      <c r="EX50" s="144">
        <v>7.025172599213246E-2</v>
      </c>
      <c r="EY50" s="144">
        <v>8.0320375809089267E-2</v>
      </c>
      <c r="EZ50" s="144">
        <v>0.10739893138087268</v>
      </c>
      <c r="FA50" s="144">
        <v>0.10739893138087268</v>
      </c>
      <c r="FB50" s="144">
        <v>0.17078562569420311</v>
      </c>
      <c r="FC50" s="145">
        <f t="shared" si="237"/>
        <v>0.99999999999999989</v>
      </c>
      <c r="FD50" s="146">
        <f t="shared" si="238"/>
        <v>0.15064837604341014</v>
      </c>
      <c r="FE50" s="146">
        <f t="shared" si="239"/>
        <v>0.23287565789033043</v>
      </c>
      <c r="FF50" s="146">
        <f t="shared" si="240"/>
        <v>0.23089247761031098</v>
      </c>
      <c r="FG50" s="146">
        <f t="shared" si="241"/>
        <v>0.38558348845594848</v>
      </c>
      <c r="FH50" s="145">
        <f t="shared" si="375"/>
        <v>1</v>
      </c>
      <c r="FJ50" s="52">
        <f t="shared" si="243"/>
        <v>0</v>
      </c>
      <c r="FK50" s="52">
        <f t="shared" si="244"/>
        <v>136.79004500576997</v>
      </c>
      <c r="FL50" s="52">
        <f t="shared" si="245"/>
        <v>0</v>
      </c>
      <c r="FM50" s="52">
        <f t="shared" si="246"/>
        <v>0</v>
      </c>
      <c r="FN50" s="52">
        <f t="shared" si="247"/>
        <v>0</v>
      </c>
      <c r="FO50" s="52">
        <f t="shared" si="248"/>
        <v>980.41669196299813</v>
      </c>
      <c r="FP50" s="52">
        <f t="shared" si="249"/>
        <v>0</v>
      </c>
      <c r="FQ50" s="52">
        <f t="shared" si="250"/>
        <v>0</v>
      </c>
      <c r="FR50" s="52">
        <f t="shared" si="251"/>
        <v>0</v>
      </c>
      <c r="FS50" s="52">
        <f t="shared" si="252"/>
        <v>0</v>
      </c>
      <c r="FT50" s="52">
        <f t="shared" si="253"/>
        <v>0</v>
      </c>
      <c r="FU50" s="52">
        <f t="shared" si="254"/>
        <v>0</v>
      </c>
      <c r="FV50" s="52">
        <f t="shared" si="255"/>
        <v>0</v>
      </c>
      <c r="FW50" s="52">
        <f t="shared" si="256"/>
        <v>2439.2960801821469</v>
      </c>
      <c r="FX50" s="52">
        <f t="shared" si="257"/>
        <v>0</v>
      </c>
      <c r="FY50" s="52">
        <f t="shared" si="258"/>
        <v>683.9502250288499</v>
      </c>
      <c r="FZ50" s="52">
        <f t="shared" si="259"/>
        <v>205.18506750865495</v>
      </c>
      <c r="GA50" s="52">
        <f t="shared" si="260"/>
        <v>547.16018002307987</v>
      </c>
      <c r="GB50" s="52">
        <f t="shared" si="261"/>
        <v>0</v>
      </c>
      <c r="GC50" s="52">
        <f t="shared" si="262"/>
        <v>0</v>
      </c>
      <c r="GD50" s="52">
        <f t="shared" si="263"/>
        <v>410.37013501730991</v>
      </c>
      <c r="GE50" s="52">
        <f t="shared" si="264"/>
        <v>0</v>
      </c>
      <c r="GF50" s="52">
        <f t="shared" si="265"/>
        <v>3146.1710351327106</v>
      </c>
      <c r="GG50" s="52">
        <f t="shared" si="266"/>
        <v>0</v>
      </c>
      <c r="GH50" s="52">
        <f t="shared" si="267"/>
        <v>0</v>
      </c>
      <c r="GI50" s="52">
        <f t="shared" si="268"/>
        <v>32529.459719655559</v>
      </c>
      <c r="GJ50" s="26"/>
      <c r="GL50" s="150">
        <f t="shared" si="269"/>
        <v>0</v>
      </c>
      <c r="GM50" s="150">
        <f t="shared" si="270"/>
        <v>211.45313716748851</v>
      </c>
      <c r="GN50" s="150">
        <f t="shared" si="271"/>
        <v>0</v>
      </c>
      <c r="GO50" s="150">
        <f t="shared" si="272"/>
        <v>0</v>
      </c>
      <c r="GP50" s="150">
        <f t="shared" si="273"/>
        <v>0</v>
      </c>
      <c r="GQ50" s="150">
        <f t="shared" si="274"/>
        <v>1515.5502378714948</v>
      </c>
      <c r="GR50" s="150">
        <f t="shared" si="275"/>
        <v>0</v>
      </c>
      <c r="GS50" s="150">
        <f t="shared" si="276"/>
        <v>0</v>
      </c>
      <c r="GT50" s="150">
        <f t="shared" si="277"/>
        <v>0</v>
      </c>
      <c r="GU50" s="150">
        <f t="shared" si="278"/>
        <v>0</v>
      </c>
      <c r="GV50" s="150">
        <f t="shared" si="279"/>
        <v>0</v>
      </c>
      <c r="GW50" s="150">
        <f t="shared" si="280"/>
        <v>0</v>
      </c>
      <c r="GX50" s="150">
        <f t="shared" si="281"/>
        <v>0</v>
      </c>
      <c r="GY50" s="150">
        <f t="shared" si="282"/>
        <v>3770.7189043845665</v>
      </c>
      <c r="GZ50" s="150">
        <f t="shared" si="283"/>
        <v>0</v>
      </c>
      <c r="HA50" s="150">
        <f t="shared" si="284"/>
        <v>1057.2656858374426</v>
      </c>
      <c r="HB50" s="150">
        <f t="shared" si="285"/>
        <v>317.17970575123275</v>
      </c>
      <c r="HC50" s="150">
        <f t="shared" si="286"/>
        <v>845.81254866995403</v>
      </c>
      <c r="HD50" s="150">
        <f t="shared" si="287"/>
        <v>0</v>
      </c>
      <c r="HE50" s="150">
        <f t="shared" si="288"/>
        <v>0</v>
      </c>
      <c r="HF50" s="150">
        <f t="shared" si="289"/>
        <v>634.35941150246549</v>
      </c>
      <c r="HG50" s="150">
        <f t="shared" si="290"/>
        <v>0</v>
      </c>
      <c r="HH50" s="150">
        <f t="shared" si="291"/>
        <v>4863.4221548522373</v>
      </c>
      <c r="HI50" s="150">
        <f t="shared" si="292"/>
        <v>0</v>
      </c>
      <c r="HJ50" s="150">
        <f t="shared" si="293"/>
        <v>0</v>
      </c>
      <c r="HK50" s="150">
        <f t="shared" si="294"/>
        <v>50284.772607498424</v>
      </c>
      <c r="HL50" s="26"/>
      <c r="HN50" s="147">
        <f t="shared" si="295"/>
        <v>0</v>
      </c>
      <c r="HO50" s="147">
        <f t="shared" si="296"/>
        <v>209.65239210217001</v>
      </c>
      <c r="HP50" s="147">
        <f t="shared" si="297"/>
        <v>0</v>
      </c>
      <c r="HQ50" s="147">
        <f t="shared" si="298"/>
        <v>0</v>
      </c>
      <c r="HR50" s="147">
        <f t="shared" si="299"/>
        <v>0</v>
      </c>
      <c r="HS50" s="147">
        <f t="shared" si="300"/>
        <v>1502.6437393033148</v>
      </c>
      <c r="HT50" s="147">
        <f t="shared" si="301"/>
        <v>0</v>
      </c>
      <c r="HU50" s="147">
        <f t="shared" si="302"/>
        <v>0</v>
      </c>
      <c r="HV50" s="147">
        <f t="shared" si="303"/>
        <v>0</v>
      </c>
      <c r="HW50" s="147">
        <f t="shared" si="304"/>
        <v>0</v>
      </c>
      <c r="HX50" s="147">
        <f t="shared" si="305"/>
        <v>0</v>
      </c>
      <c r="HY50" s="147">
        <f t="shared" si="306"/>
        <v>0</v>
      </c>
      <c r="HZ50" s="147">
        <f t="shared" si="307"/>
        <v>0</v>
      </c>
      <c r="IA50" s="147">
        <f t="shared" si="308"/>
        <v>3738.6072812101356</v>
      </c>
      <c r="IB50" s="147">
        <f t="shared" si="309"/>
        <v>0</v>
      </c>
      <c r="IC50" s="147">
        <f t="shared" si="310"/>
        <v>1048.26196051085</v>
      </c>
      <c r="ID50" s="147">
        <f t="shared" si="311"/>
        <v>314.47858815325498</v>
      </c>
      <c r="IE50" s="147">
        <f t="shared" si="312"/>
        <v>838.60956840868005</v>
      </c>
      <c r="IF50" s="147">
        <f t="shared" si="313"/>
        <v>0</v>
      </c>
      <c r="IG50" s="147">
        <f t="shared" si="314"/>
        <v>0</v>
      </c>
      <c r="IH50" s="147">
        <f t="shared" si="315"/>
        <v>628.95717630650995</v>
      </c>
      <c r="II50" s="147">
        <f t="shared" si="316"/>
        <v>0</v>
      </c>
      <c r="IJ50" s="147">
        <f t="shared" si="317"/>
        <v>4822.0050183499116</v>
      </c>
      <c r="IK50" s="147">
        <f t="shared" si="318"/>
        <v>0</v>
      </c>
      <c r="IL50" s="147">
        <f t="shared" si="319"/>
        <v>0</v>
      </c>
      <c r="IM50" s="147">
        <f t="shared" si="320"/>
        <v>49856.545070434775</v>
      </c>
      <c r="IN50" s="26"/>
      <c r="IP50" s="61">
        <f t="shared" si="321"/>
        <v>0</v>
      </c>
      <c r="IQ50" s="61">
        <f t="shared" si="322"/>
        <v>350.11318491858498</v>
      </c>
      <c r="IR50" s="61">
        <f t="shared" si="323"/>
        <v>0</v>
      </c>
      <c r="IS50" s="61">
        <f t="shared" si="324"/>
        <v>0</v>
      </c>
      <c r="IT50" s="61">
        <f t="shared" si="325"/>
        <v>0</v>
      </c>
      <c r="IU50" s="61">
        <f t="shared" si="326"/>
        <v>2509.3698196826349</v>
      </c>
      <c r="IV50" s="61">
        <f t="shared" si="327"/>
        <v>0</v>
      </c>
      <c r="IW50" s="61">
        <f t="shared" si="328"/>
        <v>0</v>
      </c>
      <c r="IX50" s="61">
        <f t="shared" si="329"/>
        <v>0</v>
      </c>
      <c r="IY50" s="61">
        <f t="shared" si="330"/>
        <v>0</v>
      </c>
      <c r="IZ50" s="61">
        <f t="shared" si="331"/>
        <v>0</v>
      </c>
      <c r="JA50" s="61">
        <f t="shared" si="332"/>
        <v>0</v>
      </c>
      <c r="JB50" s="61">
        <f t="shared" si="333"/>
        <v>0</v>
      </c>
      <c r="JC50" s="61">
        <f t="shared" si="334"/>
        <v>6243.3616390430125</v>
      </c>
      <c r="JD50" s="61">
        <f t="shared" si="335"/>
        <v>0</v>
      </c>
      <c r="JE50" s="61">
        <f t="shared" si="336"/>
        <v>1750.5659245929251</v>
      </c>
      <c r="JF50" s="61">
        <f t="shared" si="337"/>
        <v>525.16977737787749</v>
      </c>
      <c r="JG50" s="61">
        <f t="shared" si="338"/>
        <v>1400.4527396743399</v>
      </c>
      <c r="JH50" s="61">
        <f t="shared" si="339"/>
        <v>0</v>
      </c>
      <c r="JI50" s="61">
        <f t="shared" si="340"/>
        <v>0</v>
      </c>
      <c r="JJ50" s="61">
        <f t="shared" si="341"/>
        <v>1050.339554755755</v>
      </c>
      <c r="JK50" s="61">
        <f t="shared" si="342"/>
        <v>0</v>
      </c>
      <c r="JL50" s="61">
        <f t="shared" si="343"/>
        <v>8052.6032531274568</v>
      </c>
      <c r="JM50" s="61">
        <f t="shared" si="344"/>
        <v>0</v>
      </c>
      <c r="JN50" s="61">
        <f t="shared" si="345"/>
        <v>0</v>
      </c>
      <c r="JO50" s="61">
        <f t="shared" si="346"/>
        <v>83258.929738995459</v>
      </c>
      <c r="JQ50" s="26">
        <f t="shared" si="209"/>
        <v>272680.00000000012</v>
      </c>
      <c r="JR50" s="156">
        <f t="shared" si="210"/>
        <v>1.0000000000000004</v>
      </c>
      <c r="JT50" s="157">
        <f t="shared" si="347"/>
        <v>0</v>
      </c>
      <c r="JU50" s="29">
        <f t="shared" si="348"/>
        <v>0</v>
      </c>
    </row>
    <row r="51" spans="1:281" ht="18.75" x14ac:dyDescent="0.3">
      <c r="A51" t="s">
        <v>69</v>
      </c>
      <c r="B51" t="s">
        <v>98</v>
      </c>
      <c r="C51" t="s">
        <v>26</v>
      </c>
      <c r="D51" t="s">
        <v>20</v>
      </c>
      <c r="E51" t="s">
        <v>125</v>
      </c>
      <c r="F51" s="113">
        <v>44</v>
      </c>
      <c r="G51" s="15">
        <v>50779</v>
      </c>
      <c r="H51" s="20">
        <v>27154</v>
      </c>
      <c r="I51" s="23">
        <v>1.8700375635265523</v>
      </c>
      <c r="J51" s="9">
        <v>0</v>
      </c>
      <c r="K51" s="9">
        <v>3.3299426404357251E-3</v>
      </c>
      <c r="L51" s="9">
        <v>0</v>
      </c>
      <c r="M51" s="9">
        <v>0</v>
      </c>
      <c r="N51" s="9">
        <v>0</v>
      </c>
      <c r="O51" s="9">
        <v>2.3866732025892779E-2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5.9380900340398494E-2</v>
      </c>
      <c r="X51" s="9">
        <v>0</v>
      </c>
      <c r="Y51" s="9">
        <v>1.6649713202178625E-2</v>
      </c>
      <c r="Z51" s="9">
        <v>4.9949139606535872E-3</v>
      </c>
      <c r="AA51" s="9">
        <v>1.33197705617429E-2</v>
      </c>
      <c r="AB51" s="9">
        <v>0</v>
      </c>
      <c r="AC51" s="9">
        <v>0</v>
      </c>
      <c r="AD51" s="9">
        <v>9.9898279213071744E-3</v>
      </c>
      <c r="AE51" s="9">
        <v>0</v>
      </c>
      <c r="AF51" s="9">
        <v>7.6588680730021688E-2</v>
      </c>
      <c r="AG51" s="9">
        <v>0</v>
      </c>
      <c r="AH51" s="9">
        <v>0</v>
      </c>
      <c r="AI51" s="9">
        <v>0.79187951861736916</v>
      </c>
      <c r="AJ51" s="8">
        <f t="shared" ref="AJ51:AJ82" si="376">SUM(J51:AI51)</f>
        <v>1</v>
      </c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9"/>
      <c r="BM51" s="26">
        <f t="shared" si="150"/>
        <v>0</v>
      </c>
      <c r="BN51" s="26">
        <f t="shared" si="151"/>
        <v>169.09115733868569</v>
      </c>
      <c r="BO51" s="26">
        <f t="shared" si="152"/>
        <v>0</v>
      </c>
      <c r="BP51" s="26">
        <f t="shared" si="153"/>
        <v>0</v>
      </c>
      <c r="BQ51" s="26">
        <f t="shared" si="154"/>
        <v>0</v>
      </c>
      <c r="BR51" s="26">
        <f t="shared" si="155"/>
        <v>1211.9287855428095</v>
      </c>
      <c r="BS51" s="26">
        <f t="shared" si="156"/>
        <v>0</v>
      </c>
      <c r="BT51" s="26">
        <f t="shared" si="157"/>
        <v>0</v>
      </c>
      <c r="BU51" s="26">
        <f t="shared" si="158"/>
        <v>0</v>
      </c>
      <c r="BV51" s="26">
        <f t="shared" si="159"/>
        <v>0</v>
      </c>
      <c r="BW51" s="26">
        <f t="shared" si="160"/>
        <v>0</v>
      </c>
      <c r="BX51" s="26">
        <f t="shared" si="161"/>
        <v>0</v>
      </c>
      <c r="BY51" s="26">
        <f t="shared" si="162"/>
        <v>0</v>
      </c>
      <c r="BZ51" s="26">
        <f t="shared" si="163"/>
        <v>3015.3027383850949</v>
      </c>
      <c r="CA51" s="26">
        <f t="shared" si="164"/>
        <v>0</v>
      </c>
      <c r="CB51" s="26">
        <f t="shared" si="165"/>
        <v>845.45578669342842</v>
      </c>
      <c r="CC51" s="26">
        <f t="shared" si="166"/>
        <v>253.63673600802849</v>
      </c>
      <c r="CD51" s="26">
        <f t="shared" si="167"/>
        <v>676.36462935474276</v>
      </c>
      <c r="CE51" s="26">
        <f t="shared" si="168"/>
        <v>0</v>
      </c>
      <c r="CF51" s="26">
        <f t="shared" si="169"/>
        <v>0</v>
      </c>
      <c r="CG51" s="26">
        <f t="shared" si="170"/>
        <v>507.27347201605699</v>
      </c>
      <c r="CH51" s="26">
        <f t="shared" si="171"/>
        <v>0</v>
      </c>
      <c r="CI51" s="26">
        <f t="shared" si="172"/>
        <v>3889.0966187897711</v>
      </c>
      <c r="CJ51" s="26">
        <f t="shared" si="173"/>
        <v>0</v>
      </c>
      <c r="CK51" s="26">
        <f t="shared" si="174"/>
        <v>0</v>
      </c>
      <c r="CL51" s="26">
        <f t="shared" si="175"/>
        <v>40210.850075871385</v>
      </c>
      <c r="CM51" s="110">
        <f t="shared" si="176"/>
        <v>1</v>
      </c>
      <c r="CN51" s="27">
        <f t="shared" si="177"/>
        <v>0</v>
      </c>
      <c r="CO51" s="27">
        <f t="shared" si="178"/>
        <v>90.421262458391681</v>
      </c>
      <c r="CP51" s="27">
        <f t="shared" si="179"/>
        <v>0</v>
      </c>
      <c r="CQ51" s="27">
        <f t="shared" si="180"/>
        <v>0</v>
      </c>
      <c r="CR51" s="27">
        <f t="shared" si="181"/>
        <v>0</v>
      </c>
      <c r="CS51" s="27">
        <f t="shared" si="182"/>
        <v>648.07724143109249</v>
      </c>
      <c r="CT51" s="27">
        <f t="shared" si="183"/>
        <v>0</v>
      </c>
      <c r="CU51" s="27">
        <f t="shared" si="184"/>
        <v>0</v>
      </c>
      <c r="CV51" s="27">
        <f t="shared" si="185"/>
        <v>0</v>
      </c>
      <c r="CW51" s="27">
        <f t="shared" si="186"/>
        <v>0</v>
      </c>
      <c r="CX51" s="27">
        <f t="shared" si="187"/>
        <v>0</v>
      </c>
      <c r="CY51" s="27">
        <f t="shared" si="188"/>
        <v>0</v>
      </c>
      <c r="CZ51" s="27">
        <f t="shared" si="189"/>
        <v>0</v>
      </c>
      <c r="DA51" s="27">
        <f t="shared" si="190"/>
        <v>1612.4289678431808</v>
      </c>
      <c r="DB51" s="27">
        <f t="shared" si="191"/>
        <v>0</v>
      </c>
      <c r="DC51" s="27">
        <f t="shared" si="192"/>
        <v>452.10631229195837</v>
      </c>
      <c r="DD51" s="27">
        <f t="shared" si="193"/>
        <v>135.63189368758751</v>
      </c>
      <c r="DE51" s="27">
        <f t="shared" si="194"/>
        <v>361.68504983356672</v>
      </c>
      <c r="DF51" s="27">
        <f t="shared" si="195"/>
        <v>0</v>
      </c>
      <c r="DG51" s="27">
        <f t="shared" si="196"/>
        <v>0</v>
      </c>
      <c r="DH51" s="27">
        <f t="shared" si="197"/>
        <v>271.26378737517501</v>
      </c>
      <c r="DI51" s="27">
        <f t="shared" si="198"/>
        <v>0</v>
      </c>
      <c r="DJ51" s="27">
        <f t="shared" si="199"/>
        <v>2079.689036543009</v>
      </c>
      <c r="DK51" s="27">
        <f t="shared" si="200"/>
        <v>0</v>
      </c>
      <c r="DL51" s="27">
        <f t="shared" si="201"/>
        <v>0</v>
      </c>
      <c r="DM51" s="27">
        <f t="shared" si="202"/>
        <v>21502.69644853604</v>
      </c>
      <c r="DN51" s="110">
        <f t="shared" si="203"/>
        <v>1</v>
      </c>
      <c r="DO51" s="28">
        <f t="shared" si="211"/>
        <v>0</v>
      </c>
      <c r="DP51" s="28">
        <f t="shared" si="212"/>
        <v>78.669894880294009</v>
      </c>
      <c r="DQ51" s="28">
        <f t="shared" si="213"/>
        <v>0</v>
      </c>
      <c r="DR51" s="28">
        <f t="shared" si="214"/>
        <v>0</v>
      </c>
      <c r="DS51" s="28">
        <f t="shared" si="215"/>
        <v>0</v>
      </c>
      <c r="DT51" s="28">
        <f t="shared" si="216"/>
        <v>563.85154411171698</v>
      </c>
      <c r="DU51" s="28">
        <f t="shared" si="217"/>
        <v>0</v>
      </c>
      <c r="DV51" s="28">
        <f t="shared" si="218"/>
        <v>0</v>
      </c>
      <c r="DW51" s="28">
        <f t="shared" si="219"/>
        <v>0</v>
      </c>
      <c r="DX51" s="28">
        <f t="shared" si="220"/>
        <v>0</v>
      </c>
      <c r="DY51" s="28">
        <f t="shared" si="221"/>
        <v>0</v>
      </c>
      <c r="DZ51" s="28">
        <f t="shared" si="222"/>
        <v>0</v>
      </c>
      <c r="EA51" s="28">
        <f t="shared" si="223"/>
        <v>0</v>
      </c>
      <c r="EB51" s="28">
        <f t="shared" si="224"/>
        <v>1402.8737705419142</v>
      </c>
      <c r="EC51" s="28">
        <f t="shared" si="225"/>
        <v>0</v>
      </c>
      <c r="ED51" s="28">
        <f t="shared" si="226"/>
        <v>393.34947440147005</v>
      </c>
      <c r="EE51" s="28">
        <f t="shared" si="227"/>
        <v>118.00484232044099</v>
      </c>
      <c r="EF51" s="28">
        <f t="shared" si="228"/>
        <v>314.67957952117604</v>
      </c>
      <c r="EG51" s="28">
        <f t="shared" si="229"/>
        <v>0</v>
      </c>
      <c r="EH51" s="28">
        <f t="shared" si="230"/>
        <v>0</v>
      </c>
      <c r="EI51" s="28">
        <f t="shared" si="231"/>
        <v>236.00968464088197</v>
      </c>
      <c r="EJ51" s="28">
        <f t="shared" si="232"/>
        <v>0</v>
      </c>
      <c r="EK51" s="28">
        <f t="shared" si="233"/>
        <v>1809.4075822467621</v>
      </c>
      <c r="EL51" s="28">
        <f t="shared" si="234"/>
        <v>0</v>
      </c>
      <c r="EM51" s="28">
        <f t="shared" si="235"/>
        <v>0</v>
      </c>
      <c r="EN51" s="28">
        <f t="shared" si="236"/>
        <v>18708.153627335345</v>
      </c>
      <c r="EQ51" s="144">
        <v>4.0162681037251603E-2</v>
      </c>
      <c r="ER51" s="144">
        <v>5.01974515490737E-2</v>
      </c>
      <c r="ES51" s="144">
        <v>6.023222206089579E-2</v>
      </c>
      <c r="ET51" s="144">
        <v>8.2322876580882332E-2</v>
      </c>
      <c r="EU51" s="144">
        <v>7.0290391571240757E-2</v>
      </c>
      <c r="EV51" s="144">
        <v>8.032516208306284E-2</v>
      </c>
      <c r="EW51" s="144">
        <v>8.032516208306284E-2</v>
      </c>
      <c r="EX51" s="144">
        <v>7.0290391571240757E-2</v>
      </c>
      <c r="EY51" s="144">
        <v>8.032516208306284E-2</v>
      </c>
      <c r="EZ51" s="144">
        <v>0.10743320185896045</v>
      </c>
      <c r="FA51" s="144">
        <v>0.10743320185896045</v>
      </c>
      <c r="FB51" s="144">
        <v>0.17066209566230564</v>
      </c>
      <c r="FC51" s="145">
        <f t="shared" si="237"/>
        <v>0.99999999999999989</v>
      </c>
      <c r="FD51" s="146">
        <f t="shared" si="238"/>
        <v>0.15059235464722109</v>
      </c>
      <c r="FE51" s="146">
        <f t="shared" si="239"/>
        <v>0.23293843023518593</v>
      </c>
      <c r="FF51" s="146">
        <f t="shared" si="240"/>
        <v>0.23094071573736644</v>
      </c>
      <c r="FG51" s="146">
        <f t="shared" si="241"/>
        <v>0.38552849938022654</v>
      </c>
      <c r="FH51" s="145">
        <f t="shared" si="375"/>
        <v>1</v>
      </c>
      <c r="FJ51" s="52">
        <f t="shared" si="243"/>
        <v>0</v>
      </c>
      <c r="FK51" s="52">
        <f t="shared" si="244"/>
        <v>25.463835533656418</v>
      </c>
      <c r="FL51" s="52">
        <f t="shared" si="245"/>
        <v>0</v>
      </c>
      <c r="FM51" s="52">
        <f t="shared" si="246"/>
        <v>0</v>
      </c>
      <c r="FN51" s="52">
        <f t="shared" si="247"/>
        <v>0</v>
      </c>
      <c r="FO51" s="52">
        <f t="shared" si="248"/>
        <v>182.50720947963873</v>
      </c>
      <c r="FP51" s="52">
        <f t="shared" si="249"/>
        <v>0</v>
      </c>
      <c r="FQ51" s="52">
        <f t="shared" si="250"/>
        <v>0</v>
      </c>
      <c r="FR51" s="52">
        <f t="shared" si="251"/>
        <v>0</v>
      </c>
      <c r="FS51" s="52">
        <f t="shared" si="252"/>
        <v>0</v>
      </c>
      <c r="FT51" s="52">
        <f t="shared" si="253"/>
        <v>0</v>
      </c>
      <c r="FU51" s="52">
        <f t="shared" si="254"/>
        <v>0</v>
      </c>
      <c r="FV51" s="52">
        <f t="shared" si="255"/>
        <v>0</v>
      </c>
      <c r="FW51" s="52">
        <f t="shared" si="256"/>
        <v>454.08153934762515</v>
      </c>
      <c r="FX51" s="52">
        <f t="shared" si="257"/>
        <v>0</v>
      </c>
      <c r="FY51" s="52">
        <f t="shared" si="258"/>
        <v>127.31917766828208</v>
      </c>
      <c r="FZ51" s="52">
        <f t="shared" si="259"/>
        <v>38.195753300484618</v>
      </c>
      <c r="GA51" s="52">
        <f t="shared" si="260"/>
        <v>101.85534213462567</v>
      </c>
      <c r="GB51" s="52">
        <f t="shared" si="261"/>
        <v>0</v>
      </c>
      <c r="GC51" s="52">
        <f t="shared" si="262"/>
        <v>0</v>
      </c>
      <c r="GD51" s="52">
        <f t="shared" si="263"/>
        <v>76.391506600969237</v>
      </c>
      <c r="GE51" s="52">
        <f t="shared" si="264"/>
        <v>0</v>
      </c>
      <c r="GF51" s="52">
        <f t="shared" si="265"/>
        <v>585.66821727409763</v>
      </c>
      <c r="GG51" s="52">
        <f t="shared" si="266"/>
        <v>0</v>
      </c>
      <c r="GH51" s="52">
        <f t="shared" si="267"/>
        <v>0</v>
      </c>
      <c r="GI51" s="52">
        <f t="shared" si="268"/>
        <v>6055.4465952918608</v>
      </c>
      <c r="GJ51" s="26"/>
      <c r="GL51" s="150">
        <f t="shared" si="269"/>
        <v>0</v>
      </c>
      <c r="GM51" s="150">
        <f t="shared" si="270"/>
        <v>39.387828757124282</v>
      </c>
      <c r="GN51" s="150">
        <f t="shared" si="271"/>
        <v>0</v>
      </c>
      <c r="GO51" s="150">
        <f t="shared" si="272"/>
        <v>0</v>
      </c>
      <c r="GP51" s="150">
        <f t="shared" si="273"/>
        <v>0</v>
      </c>
      <c r="GQ51" s="150">
        <f t="shared" si="274"/>
        <v>282.30478886117731</v>
      </c>
      <c r="GR51" s="150">
        <f t="shared" si="275"/>
        <v>0</v>
      </c>
      <c r="GS51" s="150">
        <f t="shared" si="276"/>
        <v>0</v>
      </c>
      <c r="GT51" s="150">
        <f t="shared" si="277"/>
        <v>0</v>
      </c>
      <c r="GU51" s="150">
        <f t="shared" si="278"/>
        <v>0</v>
      </c>
      <c r="GV51" s="150">
        <f t="shared" si="279"/>
        <v>0</v>
      </c>
      <c r="GW51" s="150">
        <f t="shared" si="280"/>
        <v>0</v>
      </c>
      <c r="GX51" s="150">
        <f t="shared" si="281"/>
        <v>0</v>
      </c>
      <c r="GY51" s="150">
        <f t="shared" si="282"/>
        <v>702.3798865632815</v>
      </c>
      <c r="GZ51" s="150">
        <f t="shared" si="283"/>
        <v>0</v>
      </c>
      <c r="HA51" s="150">
        <f t="shared" si="284"/>
        <v>196.93914378562141</v>
      </c>
      <c r="HB51" s="150">
        <f t="shared" si="285"/>
        <v>59.081743135686416</v>
      </c>
      <c r="HC51" s="150">
        <f t="shared" si="286"/>
        <v>157.55131502849713</v>
      </c>
      <c r="HD51" s="150">
        <f t="shared" si="287"/>
        <v>0</v>
      </c>
      <c r="HE51" s="150">
        <f t="shared" si="288"/>
        <v>0</v>
      </c>
      <c r="HF51" s="150">
        <f t="shared" si="289"/>
        <v>118.16348627137283</v>
      </c>
      <c r="HG51" s="150">
        <f t="shared" si="290"/>
        <v>0</v>
      </c>
      <c r="HH51" s="150">
        <f t="shared" si="291"/>
        <v>905.92006141385855</v>
      </c>
      <c r="HI51" s="150">
        <f t="shared" si="292"/>
        <v>0</v>
      </c>
      <c r="HJ51" s="150">
        <f t="shared" si="293"/>
        <v>0</v>
      </c>
      <c r="HK51" s="150">
        <f t="shared" si="294"/>
        <v>9366.6522950958879</v>
      </c>
      <c r="HL51" s="26"/>
      <c r="HN51" s="147">
        <f t="shared" si="295"/>
        <v>0</v>
      </c>
      <c r="HO51" s="147">
        <f t="shared" si="296"/>
        <v>39.050032900655715</v>
      </c>
      <c r="HP51" s="147">
        <f t="shared" si="297"/>
        <v>0</v>
      </c>
      <c r="HQ51" s="147">
        <f t="shared" si="298"/>
        <v>0</v>
      </c>
      <c r="HR51" s="147">
        <f t="shared" si="299"/>
        <v>0</v>
      </c>
      <c r="HS51" s="147">
        <f t="shared" si="300"/>
        <v>279.88370115597371</v>
      </c>
      <c r="HT51" s="147">
        <f t="shared" si="301"/>
        <v>0</v>
      </c>
      <c r="HU51" s="147">
        <f t="shared" si="302"/>
        <v>0</v>
      </c>
      <c r="HV51" s="147">
        <f t="shared" si="303"/>
        <v>0</v>
      </c>
      <c r="HW51" s="147">
        <f t="shared" si="304"/>
        <v>0</v>
      </c>
      <c r="HX51" s="147">
        <f t="shared" si="305"/>
        <v>0</v>
      </c>
      <c r="HY51" s="147">
        <f t="shared" si="306"/>
        <v>0</v>
      </c>
      <c r="HZ51" s="147">
        <f t="shared" si="307"/>
        <v>0</v>
      </c>
      <c r="IA51" s="147">
        <f t="shared" si="308"/>
        <v>696.35617256749481</v>
      </c>
      <c r="IB51" s="147">
        <f t="shared" si="309"/>
        <v>0</v>
      </c>
      <c r="IC51" s="147">
        <f t="shared" si="310"/>
        <v>195.25016450327857</v>
      </c>
      <c r="ID51" s="147">
        <f t="shared" si="311"/>
        <v>58.575049350983562</v>
      </c>
      <c r="IE51" s="147">
        <f t="shared" si="312"/>
        <v>156.20013160262286</v>
      </c>
      <c r="IF51" s="147">
        <f t="shared" si="313"/>
        <v>0</v>
      </c>
      <c r="IG51" s="147">
        <f t="shared" si="314"/>
        <v>0</v>
      </c>
      <c r="IH51" s="147">
        <f t="shared" si="315"/>
        <v>117.15009870196712</v>
      </c>
      <c r="II51" s="147">
        <f t="shared" si="316"/>
        <v>0</v>
      </c>
      <c r="IJ51" s="147">
        <f t="shared" si="317"/>
        <v>898.15075671508146</v>
      </c>
      <c r="IK51" s="147">
        <f t="shared" si="318"/>
        <v>0</v>
      </c>
      <c r="IL51" s="147">
        <f t="shared" si="319"/>
        <v>0</v>
      </c>
      <c r="IM51" s="147">
        <f t="shared" si="320"/>
        <v>9286.3224969296734</v>
      </c>
      <c r="IN51" s="26"/>
      <c r="IP51" s="61">
        <f t="shared" si="321"/>
        <v>0</v>
      </c>
      <c r="IQ51" s="61">
        <f t="shared" si="322"/>
        <v>65.189460147249278</v>
      </c>
      <c r="IR51" s="61">
        <f t="shared" si="323"/>
        <v>0</v>
      </c>
      <c r="IS51" s="61">
        <f t="shared" si="324"/>
        <v>0</v>
      </c>
      <c r="IT51" s="61">
        <f t="shared" si="325"/>
        <v>0</v>
      </c>
      <c r="IU51" s="61">
        <f t="shared" si="326"/>
        <v>467.23308604601971</v>
      </c>
      <c r="IV51" s="61">
        <f t="shared" si="327"/>
        <v>0</v>
      </c>
      <c r="IW51" s="61">
        <f t="shared" si="328"/>
        <v>0</v>
      </c>
      <c r="IX51" s="61">
        <f t="shared" si="329"/>
        <v>0</v>
      </c>
      <c r="IY51" s="61">
        <f t="shared" si="330"/>
        <v>0</v>
      </c>
      <c r="IZ51" s="61">
        <f t="shared" si="331"/>
        <v>0</v>
      </c>
      <c r="JA51" s="61">
        <f t="shared" si="332"/>
        <v>0</v>
      </c>
      <c r="JB51" s="61">
        <f t="shared" si="333"/>
        <v>0</v>
      </c>
      <c r="JC51" s="61">
        <f t="shared" si="334"/>
        <v>1162.4851399066936</v>
      </c>
      <c r="JD51" s="61">
        <f t="shared" si="335"/>
        <v>0</v>
      </c>
      <c r="JE51" s="61">
        <f t="shared" si="336"/>
        <v>325.94730073624635</v>
      </c>
      <c r="JF51" s="61">
        <f t="shared" si="337"/>
        <v>97.784190220873896</v>
      </c>
      <c r="JG51" s="61">
        <f t="shared" si="338"/>
        <v>260.75784058899711</v>
      </c>
      <c r="JH51" s="61">
        <f t="shared" si="339"/>
        <v>0</v>
      </c>
      <c r="JI51" s="61">
        <f t="shared" si="340"/>
        <v>0</v>
      </c>
      <c r="JJ51" s="61">
        <f t="shared" si="341"/>
        <v>195.56838044174779</v>
      </c>
      <c r="JK51" s="61">
        <f t="shared" si="342"/>
        <v>0</v>
      </c>
      <c r="JL51" s="61">
        <f t="shared" si="343"/>
        <v>1499.3575833867335</v>
      </c>
      <c r="JM51" s="61">
        <f t="shared" si="344"/>
        <v>0</v>
      </c>
      <c r="JN51" s="61">
        <f t="shared" si="345"/>
        <v>0</v>
      </c>
      <c r="JO51" s="61">
        <f t="shared" si="346"/>
        <v>15502.428688553964</v>
      </c>
      <c r="JQ51" s="26">
        <f t="shared" si="209"/>
        <v>50779.000000000015</v>
      </c>
      <c r="JR51" s="156">
        <f t="shared" si="210"/>
        <v>1.0000000000000002</v>
      </c>
      <c r="JT51" s="157">
        <f t="shared" si="347"/>
        <v>0</v>
      </c>
      <c r="JU51" s="29">
        <f t="shared" si="348"/>
        <v>0</v>
      </c>
    </row>
    <row r="52" spans="1:281" ht="18.75" x14ac:dyDescent="0.3">
      <c r="A52" t="s">
        <v>69</v>
      </c>
      <c r="B52" t="s">
        <v>6</v>
      </c>
      <c r="C52" t="s">
        <v>26</v>
      </c>
      <c r="D52" t="s">
        <v>20</v>
      </c>
      <c r="E52" t="s">
        <v>27</v>
      </c>
      <c r="F52" s="113">
        <v>1400</v>
      </c>
      <c r="G52" s="15">
        <v>380926</v>
      </c>
      <c r="H52" s="20">
        <v>238084</v>
      </c>
      <c r="I52" s="23">
        <v>1.5999647183347054</v>
      </c>
      <c r="J52" s="9">
        <v>0</v>
      </c>
      <c r="K52" s="9">
        <v>3.3299426404357251E-3</v>
      </c>
      <c r="L52" s="9">
        <v>0</v>
      </c>
      <c r="M52" s="9">
        <v>0</v>
      </c>
      <c r="N52" s="9">
        <v>0</v>
      </c>
      <c r="O52" s="9">
        <v>2.3866732025892779E-2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5.9380900340398494E-2</v>
      </c>
      <c r="X52" s="9">
        <v>0</v>
      </c>
      <c r="Y52" s="9">
        <v>1.6649713202178625E-2</v>
      </c>
      <c r="Z52" s="9">
        <v>4.9949139606535872E-3</v>
      </c>
      <c r="AA52" s="9">
        <v>1.33197705617429E-2</v>
      </c>
      <c r="AB52" s="9">
        <v>0</v>
      </c>
      <c r="AC52" s="9">
        <v>0</v>
      </c>
      <c r="AD52" s="9">
        <v>9.9898279213071744E-3</v>
      </c>
      <c r="AE52" s="9">
        <v>0</v>
      </c>
      <c r="AF52" s="9">
        <v>7.6588680730021688E-2</v>
      </c>
      <c r="AG52" s="9">
        <v>0</v>
      </c>
      <c r="AH52" s="9">
        <v>0</v>
      </c>
      <c r="AI52" s="9">
        <v>0.79187951861736916</v>
      </c>
      <c r="AJ52" s="8">
        <f t="shared" si="376"/>
        <v>1</v>
      </c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9"/>
      <c r="BM52" s="26">
        <f t="shared" ref="BM52:BM83" si="377">$G52*J52</f>
        <v>0</v>
      </c>
      <c r="BN52" s="26">
        <f t="shared" ref="BN52:BN83" si="378">$G52*K52</f>
        <v>1268.461730250619</v>
      </c>
      <c r="BO52" s="26">
        <f t="shared" ref="BO52:BO83" si="379">$G52*L52</f>
        <v>0</v>
      </c>
      <c r="BP52" s="26">
        <f t="shared" ref="BP52:BP83" si="380">$G52*M52</f>
        <v>0</v>
      </c>
      <c r="BQ52" s="26">
        <f t="shared" ref="BQ52:BQ83" si="381">$G52*N52</f>
        <v>0</v>
      </c>
      <c r="BR52" s="26">
        <f t="shared" ref="BR52:BR83" si="382">$G52*O52</f>
        <v>9091.4587636952328</v>
      </c>
      <c r="BS52" s="26">
        <f t="shared" ref="BS52:BS83" si="383">$G52*P52</f>
        <v>0</v>
      </c>
      <c r="BT52" s="26">
        <f t="shared" ref="BT52:BT83" si="384">$G52*Q52</f>
        <v>0</v>
      </c>
      <c r="BU52" s="26">
        <f t="shared" ref="BU52:BU83" si="385">$G52*R52</f>
        <v>0</v>
      </c>
      <c r="BV52" s="26">
        <f t="shared" ref="BV52:BV83" si="386">$G52*S52</f>
        <v>0</v>
      </c>
      <c r="BW52" s="26">
        <f t="shared" ref="BW52:BW83" si="387">$G52*T52</f>
        <v>0</v>
      </c>
      <c r="BX52" s="26">
        <f t="shared" ref="BX52:BX83" si="388">$G52*U52</f>
        <v>0</v>
      </c>
      <c r="BY52" s="26">
        <f t="shared" ref="BY52:BY83" si="389">$G52*V52</f>
        <v>0</v>
      </c>
      <c r="BZ52" s="26">
        <f t="shared" ref="BZ52:BZ83" si="390">$G52*W52</f>
        <v>22619.728843066638</v>
      </c>
      <c r="CA52" s="26">
        <f t="shared" ref="CA52:CA83" si="391">$G52*X52</f>
        <v>0</v>
      </c>
      <c r="CB52" s="26">
        <f t="shared" ref="CB52:CB83" si="392">$G52*Y52</f>
        <v>6342.3086512530945</v>
      </c>
      <c r="CC52" s="26">
        <f t="shared" ref="CC52:CC83" si="393">$G52*Z52</f>
        <v>1902.6925953759282</v>
      </c>
      <c r="CD52" s="26">
        <f t="shared" ref="CD52:CD83" si="394">$G52*AA52</f>
        <v>5073.8469210024759</v>
      </c>
      <c r="CE52" s="26">
        <f t="shared" ref="CE52:CE83" si="395">$G52*AB52</f>
        <v>0</v>
      </c>
      <c r="CF52" s="26">
        <f t="shared" ref="CF52:CF83" si="396">$G52*AC52</f>
        <v>0</v>
      </c>
      <c r="CG52" s="26">
        <f t="shared" ref="CG52:CG83" si="397">$G52*AD52</f>
        <v>3805.3851907518565</v>
      </c>
      <c r="CH52" s="26">
        <f t="shared" ref="CH52:CH83" si="398">$G52*AE52</f>
        <v>0</v>
      </c>
      <c r="CI52" s="26">
        <f t="shared" ref="CI52:CI83" si="399">$G52*AF52</f>
        <v>29174.61979576424</v>
      </c>
      <c r="CJ52" s="26">
        <f t="shared" ref="CJ52:CJ83" si="400">$G52*AG52</f>
        <v>0</v>
      </c>
      <c r="CK52" s="26">
        <f t="shared" ref="CK52:CK83" si="401">$G52*AH52</f>
        <v>0</v>
      </c>
      <c r="CL52" s="26">
        <f t="shared" ref="CL52:CL83" si="402">$G52*AI52</f>
        <v>301647.49750883994</v>
      </c>
      <c r="CM52" s="110">
        <f t="shared" ref="CM52:CM83" si="403">SUM(BM52:CL52)/G52</f>
        <v>1</v>
      </c>
      <c r="CN52" s="27">
        <f t="shared" ref="CN52:CN83" si="404">$H52*J52</f>
        <v>0</v>
      </c>
      <c r="CO52" s="27">
        <f t="shared" ref="CO52:CO83" si="405">$H52*K52</f>
        <v>792.80606360549916</v>
      </c>
      <c r="CP52" s="27">
        <f t="shared" ref="CP52:CP83" si="406">$H52*L52</f>
        <v>0</v>
      </c>
      <c r="CQ52" s="27">
        <f t="shared" ref="CQ52:CQ83" si="407">$H52*M52</f>
        <v>0</v>
      </c>
      <c r="CR52" s="27">
        <f t="shared" ref="CR52:CR83" si="408">$H52*N52</f>
        <v>0</v>
      </c>
      <c r="CS52" s="27">
        <f t="shared" ref="CS52:CS83" si="409">$H52*O52</f>
        <v>5682.2870276526564</v>
      </c>
      <c r="CT52" s="27">
        <f t="shared" ref="CT52:CT83" si="410">$H52*P52</f>
        <v>0</v>
      </c>
      <c r="CU52" s="27">
        <f t="shared" ref="CU52:CU83" si="411">$H52*Q52</f>
        <v>0</v>
      </c>
      <c r="CV52" s="27">
        <f t="shared" ref="CV52:CV83" si="412">$H52*R52</f>
        <v>0</v>
      </c>
      <c r="CW52" s="27">
        <f t="shared" ref="CW52:CW83" si="413">$H52*S52</f>
        <v>0</v>
      </c>
      <c r="CX52" s="27">
        <f t="shared" ref="CX52:CX83" si="414">$H52*T52</f>
        <v>0</v>
      </c>
      <c r="CY52" s="27">
        <f t="shared" ref="CY52:CY83" si="415">$H52*U52</f>
        <v>0</v>
      </c>
      <c r="CZ52" s="27">
        <f t="shared" ref="CZ52:CZ83" si="416">$H52*V52</f>
        <v>0</v>
      </c>
      <c r="DA52" s="27">
        <f t="shared" ref="DA52:DA83" si="417">$H52*W52</f>
        <v>14137.642276643435</v>
      </c>
      <c r="DB52" s="27">
        <f t="shared" ref="DB52:DB83" si="418">$H52*X52</f>
        <v>0</v>
      </c>
      <c r="DC52" s="27">
        <f t="shared" ref="DC52:DC83" si="419">$H52*Y52</f>
        <v>3964.0303180274955</v>
      </c>
      <c r="DD52" s="27">
        <f t="shared" ref="DD52:DD83" si="420">$H52*Z52</f>
        <v>1189.2090954082487</v>
      </c>
      <c r="DE52" s="27">
        <f t="shared" ref="DE52:DE83" si="421">$H52*AA52</f>
        <v>3171.2242544219966</v>
      </c>
      <c r="DF52" s="27">
        <f t="shared" ref="DF52:DF83" si="422">$H52*AB52</f>
        <v>0</v>
      </c>
      <c r="DG52" s="27">
        <f t="shared" ref="DG52:DG83" si="423">$H52*AC52</f>
        <v>0</v>
      </c>
      <c r="DH52" s="27">
        <f t="shared" ref="DH52:DH83" si="424">$H52*AD52</f>
        <v>2378.4181908164974</v>
      </c>
      <c r="DI52" s="27">
        <f t="shared" ref="DI52:DI83" si="425">$H52*AE52</f>
        <v>0</v>
      </c>
      <c r="DJ52" s="27">
        <f t="shared" ref="DJ52:DJ83" si="426">$H52*AF52</f>
        <v>18234.539462926485</v>
      </c>
      <c r="DK52" s="27">
        <f t="shared" ref="DK52:DK83" si="427">$H52*AG52</f>
        <v>0</v>
      </c>
      <c r="DL52" s="27">
        <f t="shared" ref="DL52:DL83" si="428">$H52*AH52</f>
        <v>0</v>
      </c>
      <c r="DM52" s="27">
        <f t="shared" ref="DM52:DM83" si="429">$H52*AI52</f>
        <v>188533.84331049773</v>
      </c>
      <c r="DN52" s="110">
        <f t="shared" ref="DN52:DN83" si="430">SUM(CN52:DM52)/H52</f>
        <v>1.0000000000000002</v>
      </c>
      <c r="DO52" s="28">
        <f t="shared" si="211"/>
        <v>0</v>
      </c>
      <c r="DP52" s="28">
        <f t="shared" si="212"/>
        <v>475.65566664511982</v>
      </c>
      <c r="DQ52" s="28">
        <f t="shared" si="213"/>
        <v>0</v>
      </c>
      <c r="DR52" s="28">
        <f t="shared" si="214"/>
        <v>0</v>
      </c>
      <c r="DS52" s="28">
        <f t="shared" si="215"/>
        <v>0</v>
      </c>
      <c r="DT52" s="28">
        <f t="shared" si="216"/>
        <v>3409.1717360425764</v>
      </c>
      <c r="DU52" s="28">
        <f t="shared" si="217"/>
        <v>0</v>
      </c>
      <c r="DV52" s="28">
        <f t="shared" si="218"/>
        <v>0</v>
      </c>
      <c r="DW52" s="28">
        <f t="shared" si="219"/>
        <v>0</v>
      </c>
      <c r="DX52" s="28">
        <f t="shared" si="220"/>
        <v>0</v>
      </c>
      <c r="DY52" s="28">
        <f t="shared" si="221"/>
        <v>0</v>
      </c>
      <c r="DZ52" s="28">
        <f t="shared" si="222"/>
        <v>0</v>
      </c>
      <c r="EA52" s="28">
        <f t="shared" si="223"/>
        <v>0</v>
      </c>
      <c r="EB52" s="28">
        <f t="shared" si="224"/>
        <v>8482.0865664232024</v>
      </c>
      <c r="EC52" s="28">
        <f t="shared" si="225"/>
        <v>0</v>
      </c>
      <c r="ED52" s="28">
        <f t="shared" si="226"/>
        <v>2378.278333225599</v>
      </c>
      <c r="EE52" s="28">
        <f t="shared" si="227"/>
        <v>713.48349996767956</v>
      </c>
      <c r="EF52" s="28">
        <f t="shared" si="228"/>
        <v>1902.6226665804793</v>
      </c>
      <c r="EG52" s="28">
        <f t="shared" si="229"/>
        <v>0</v>
      </c>
      <c r="EH52" s="28">
        <f t="shared" si="230"/>
        <v>0</v>
      </c>
      <c r="EI52" s="28">
        <f t="shared" si="231"/>
        <v>1426.9669999353591</v>
      </c>
      <c r="EJ52" s="28">
        <f t="shared" si="232"/>
        <v>0</v>
      </c>
      <c r="EK52" s="28">
        <f t="shared" si="233"/>
        <v>10940.080332837755</v>
      </c>
      <c r="EL52" s="28">
        <f t="shared" si="234"/>
        <v>0</v>
      </c>
      <c r="EM52" s="28">
        <f t="shared" si="235"/>
        <v>0</v>
      </c>
      <c r="EN52" s="28">
        <f t="shared" si="236"/>
        <v>113113.65419834221</v>
      </c>
      <c r="EQ52" s="144">
        <v>4.0160352705951918E-2</v>
      </c>
      <c r="ER52" s="144">
        <v>5.0201122143936183E-2</v>
      </c>
      <c r="ES52" s="144">
        <v>6.0241191570107745E-2</v>
      </c>
      <c r="ET52" s="144">
        <v>8.2329114303803866E-2</v>
      </c>
      <c r="EU52" s="144">
        <v>7.0281285996701193E-2</v>
      </c>
      <c r="EV52" s="144">
        <v>8.0321380423294633E-2</v>
      </c>
      <c r="EW52" s="144">
        <v>8.0321380423294633E-2</v>
      </c>
      <c r="EX52" s="144">
        <v>7.0281285996701193E-2</v>
      </c>
      <c r="EY52" s="144">
        <v>8.0321380423294633E-2</v>
      </c>
      <c r="EZ52" s="144">
        <v>0.10742933787007657</v>
      </c>
      <c r="FA52" s="144">
        <v>0.10743001288146736</v>
      </c>
      <c r="FB52" s="144">
        <v>0.17068215526137004</v>
      </c>
      <c r="FC52" s="145">
        <f t="shared" si="237"/>
        <v>1</v>
      </c>
      <c r="FD52" s="146">
        <f t="shared" si="238"/>
        <v>0.15060266641999584</v>
      </c>
      <c r="FE52" s="146">
        <f t="shared" si="239"/>
        <v>0.23293178072379966</v>
      </c>
      <c r="FF52" s="146">
        <f t="shared" si="240"/>
        <v>0.23092404684329043</v>
      </c>
      <c r="FG52" s="146">
        <f t="shared" si="241"/>
        <v>0.38554150601291398</v>
      </c>
      <c r="FH52" s="145">
        <f t="shared" si="375"/>
        <v>0.99999999999999978</v>
      </c>
      <c r="FJ52" s="52">
        <f t="shared" si="243"/>
        <v>0</v>
      </c>
      <c r="FK52" s="52">
        <f t="shared" si="244"/>
        <v>191.03371882746472</v>
      </c>
      <c r="FL52" s="52">
        <f t="shared" si="245"/>
        <v>0</v>
      </c>
      <c r="FM52" s="52">
        <f t="shared" si="246"/>
        <v>0</v>
      </c>
      <c r="FN52" s="52">
        <f t="shared" si="247"/>
        <v>0</v>
      </c>
      <c r="FO52" s="52">
        <f t="shared" si="248"/>
        <v>1369.1979314599409</v>
      </c>
      <c r="FP52" s="52">
        <f t="shared" si="249"/>
        <v>0</v>
      </c>
      <c r="FQ52" s="52">
        <f t="shared" si="250"/>
        <v>0</v>
      </c>
      <c r="FR52" s="52">
        <f t="shared" si="251"/>
        <v>0</v>
      </c>
      <c r="FS52" s="52">
        <f t="shared" si="252"/>
        <v>0</v>
      </c>
      <c r="FT52" s="52">
        <f t="shared" si="253"/>
        <v>0</v>
      </c>
      <c r="FU52" s="52">
        <f t="shared" si="254"/>
        <v>0</v>
      </c>
      <c r="FV52" s="52">
        <f t="shared" si="255"/>
        <v>0</v>
      </c>
      <c r="FW52" s="52">
        <f t="shared" si="256"/>
        <v>3406.5914774631233</v>
      </c>
      <c r="FX52" s="52">
        <f t="shared" si="257"/>
        <v>0</v>
      </c>
      <c r="FY52" s="52">
        <f t="shared" si="258"/>
        <v>955.16859413732357</v>
      </c>
      <c r="FZ52" s="52">
        <f t="shared" si="259"/>
        <v>286.55057824119706</v>
      </c>
      <c r="GA52" s="52">
        <f t="shared" si="260"/>
        <v>764.1348753098589</v>
      </c>
      <c r="GB52" s="52">
        <f t="shared" si="261"/>
        <v>0</v>
      </c>
      <c r="GC52" s="52">
        <f t="shared" si="262"/>
        <v>0</v>
      </c>
      <c r="GD52" s="52">
        <f t="shared" si="263"/>
        <v>573.10115648239412</v>
      </c>
      <c r="GE52" s="52">
        <f t="shared" si="264"/>
        <v>0</v>
      </c>
      <c r="GF52" s="52">
        <f t="shared" si="265"/>
        <v>4393.7755330316886</v>
      </c>
      <c r="GG52" s="52">
        <f t="shared" si="266"/>
        <v>0</v>
      </c>
      <c r="GH52" s="52">
        <f t="shared" si="267"/>
        <v>0</v>
      </c>
      <c r="GI52" s="52">
        <f t="shared" si="268"/>
        <v>45428.917443750346</v>
      </c>
      <c r="GJ52" s="26"/>
      <c r="GL52" s="150">
        <f t="shared" si="269"/>
        <v>0</v>
      </c>
      <c r="GM52" s="150">
        <f t="shared" si="270"/>
        <v>295.46504960726872</v>
      </c>
      <c r="GN52" s="150">
        <f t="shared" si="271"/>
        <v>0</v>
      </c>
      <c r="GO52" s="150">
        <f t="shared" si="272"/>
        <v>0</v>
      </c>
      <c r="GP52" s="150">
        <f t="shared" si="273"/>
        <v>0</v>
      </c>
      <c r="GQ52" s="150">
        <f t="shared" si="274"/>
        <v>2117.689679204525</v>
      </c>
      <c r="GR52" s="150">
        <f t="shared" si="275"/>
        <v>0</v>
      </c>
      <c r="GS52" s="150">
        <f t="shared" si="276"/>
        <v>0</v>
      </c>
      <c r="GT52" s="150">
        <f t="shared" si="277"/>
        <v>0</v>
      </c>
      <c r="GU52" s="150">
        <f t="shared" si="278"/>
        <v>0</v>
      </c>
      <c r="GV52" s="150">
        <f t="shared" si="279"/>
        <v>0</v>
      </c>
      <c r="GW52" s="150">
        <f t="shared" si="280"/>
        <v>0</v>
      </c>
      <c r="GX52" s="150">
        <f t="shared" si="281"/>
        <v>0</v>
      </c>
      <c r="GY52" s="150">
        <f t="shared" si="282"/>
        <v>5268.8537189050048</v>
      </c>
      <c r="GZ52" s="150">
        <f t="shared" si="283"/>
        <v>0</v>
      </c>
      <c r="HA52" s="150">
        <f t="shared" si="284"/>
        <v>1477.3252480363433</v>
      </c>
      <c r="HB52" s="150">
        <f t="shared" si="285"/>
        <v>443.19757441090297</v>
      </c>
      <c r="HC52" s="150">
        <f t="shared" si="286"/>
        <v>1181.8601984290749</v>
      </c>
      <c r="HD52" s="150">
        <f t="shared" si="287"/>
        <v>0</v>
      </c>
      <c r="HE52" s="150">
        <f t="shared" si="288"/>
        <v>0</v>
      </c>
      <c r="HF52" s="150">
        <f t="shared" si="289"/>
        <v>886.39514882180595</v>
      </c>
      <c r="HG52" s="150">
        <f t="shared" si="290"/>
        <v>0</v>
      </c>
      <c r="HH52" s="150">
        <f t="shared" si="291"/>
        <v>6795.6961409671812</v>
      </c>
      <c r="HI52" s="150">
        <f t="shared" si="292"/>
        <v>0</v>
      </c>
      <c r="HJ52" s="150">
        <f t="shared" si="293"/>
        <v>0</v>
      </c>
      <c r="HK52" s="150">
        <f t="shared" si="294"/>
        <v>70263.288745612008</v>
      </c>
      <c r="HL52" s="26"/>
      <c r="HN52" s="147">
        <f t="shared" si="295"/>
        <v>0</v>
      </c>
      <c r="HO52" s="147">
        <f t="shared" si="296"/>
        <v>292.91831601531516</v>
      </c>
      <c r="HP52" s="147">
        <f t="shared" si="297"/>
        <v>0</v>
      </c>
      <c r="HQ52" s="147">
        <f t="shared" si="298"/>
        <v>0</v>
      </c>
      <c r="HR52" s="147">
        <f t="shared" si="299"/>
        <v>0</v>
      </c>
      <c r="HS52" s="147">
        <f t="shared" si="300"/>
        <v>2099.4364494214014</v>
      </c>
      <c r="HT52" s="147">
        <f t="shared" si="301"/>
        <v>0</v>
      </c>
      <c r="HU52" s="147">
        <f t="shared" si="302"/>
        <v>0</v>
      </c>
      <c r="HV52" s="147">
        <f t="shared" si="303"/>
        <v>0</v>
      </c>
      <c r="HW52" s="147">
        <f t="shared" si="304"/>
        <v>0</v>
      </c>
      <c r="HX52" s="147">
        <f t="shared" si="305"/>
        <v>0</v>
      </c>
      <c r="HY52" s="147">
        <f t="shared" si="306"/>
        <v>0</v>
      </c>
      <c r="HZ52" s="147">
        <f t="shared" si="307"/>
        <v>0</v>
      </c>
      <c r="IA52" s="147">
        <f t="shared" si="308"/>
        <v>5223.4393229388479</v>
      </c>
      <c r="IB52" s="147">
        <f t="shared" si="309"/>
        <v>0</v>
      </c>
      <c r="IC52" s="147">
        <f t="shared" si="310"/>
        <v>1464.5915800765758</v>
      </c>
      <c r="ID52" s="147">
        <f t="shared" si="311"/>
        <v>439.37747402297271</v>
      </c>
      <c r="IE52" s="147">
        <f t="shared" si="312"/>
        <v>1171.6732640612606</v>
      </c>
      <c r="IF52" s="147">
        <f t="shared" si="313"/>
        <v>0</v>
      </c>
      <c r="IG52" s="147">
        <f t="shared" si="314"/>
        <v>0</v>
      </c>
      <c r="IH52" s="147">
        <f t="shared" si="315"/>
        <v>878.75494804594541</v>
      </c>
      <c r="II52" s="147">
        <f t="shared" si="316"/>
        <v>0</v>
      </c>
      <c r="IJ52" s="147">
        <f t="shared" si="317"/>
        <v>6737.1212683522499</v>
      </c>
      <c r="IK52" s="147">
        <f t="shared" si="318"/>
        <v>0</v>
      </c>
      <c r="IL52" s="147">
        <f t="shared" si="319"/>
        <v>0</v>
      </c>
      <c r="IM52" s="147">
        <f t="shared" si="320"/>
        <v>69657.660844892685</v>
      </c>
      <c r="IN52" s="26"/>
      <c r="IP52" s="61">
        <f t="shared" si="321"/>
        <v>0</v>
      </c>
      <c r="IQ52" s="61">
        <f t="shared" si="322"/>
        <v>489.04464580057027</v>
      </c>
      <c r="IR52" s="61">
        <f t="shared" si="323"/>
        <v>0</v>
      </c>
      <c r="IS52" s="61">
        <f t="shared" si="324"/>
        <v>0</v>
      </c>
      <c r="IT52" s="61">
        <f t="shared" si="325"/>
        <v>0</v>
      </c>
      <c r="IU52" s="61">
        <f t="shared" si="326"/>
        <v>3505.1347036093653</v>
      </c>
      <c r="IV52" s="61">
        <f t="shared" si="327"/>
        <v>0</v>
      </c>
      <c r="IW52" s="61">
        <f t="shared" si="328"/>
        <v>0</v>
      </c>
      <c r="IX52" s="61">
        <f t="shared" si="329"/>
        <v>0</v>
      </c>
      <c r="IY52" s="61">
        <f t="shared" si="330"/>
        <v>0</v>
      </c>
      <c r="IZ52" s="61">
        <f t="shared" si="331"/>
        <v>0</v>
      </c>
      <c r="JA52" s="61">
        <f t="shared" si="332"/>
        <v>0</v>
      </c>
      <c r="JB52" s="61">
        <f t="shared" si="333"/>
        <v>0</v>
      </c>
      <c r="JC52" s="61">
        <f t="shared" si="334"/>
        <v>8720.8443237596603</v>
      </c>
      <c r="JD52" s="61">
        <f t="shared" si="335"/>
        <v>0</v>
      </c>
      <c r="JE52" s="61">
        <f t="shared" si="336"/>
        <v>2445.2232290028514</v>
      </c>
      <c r="JF52" s="61">
        <f t="shared" si="337"/>
        <v>733.56696870085534</v>
      </c>
      <c r="JG52" s="61">
        <f t="shared" si="338"/>
        <v>1956.1785832022811</v>
      </c>
      <c r="JH52" s="61">
        <f t="shared" si="339"/>
        <v>0</v>
      </c>
      <c r="JI52" s="61">
        <f t="shared" si="340"/>
        <v>0</v>
      </c>
      <c r="JJ52" s="61">
        <f t="shared" si="341"/>
        <v>1467.1339374017107</v>
      </c>
      <c r="JK52" s="61">
        <f t="shared" si="342"/>
        <v>0</v>
      </c>
      <c r="JL52" s="61">
        <f t="shared" si="343"/>
        <v>11248.026853413117</v>
      </c>
      <c r="JM52" s="61">
        <f t="shared" si="344"/>
        <v>0</v>
      </c>
      <c r="JN52" s="61">
        <f t="shared" si="345"/>
        <v>0</v>
      </c>
      <c r="JO52" s="61">
        <f t="shared" si="346"/>
        <v>116297.63047458486</v>
      </c>
      <c r="JQ52" s="26">
        <f t="shared" ref="JQ52:JQ83" si="431">SUM(IP52:JO52,HN52:IM52,GL52:HK52,FJ52:GI52)</f>
        <v>380926</v>
      </c>
      <c r="JR52" s="156">
        <f t="shared" ref="JR52:JR83" si="432">JQ52/G52</f>
        <v>1</v>
      </c>
      <c r="JT52" s="157">
        <f t="shared" si="347"/>
        <v>0</v>
      </c>
      <c r="JU52" s="29">
        <f t="shared" si="348"/>
        <v>0</v>
      </c>
    </row>
    <row r="53" spans="1:281" ht="18.75" x14ac:dyDescent="0.3">
      <c r="A53" t="s">
        <v>69</v>
      </c>
      <c r="B53" t="s">
        <v>99</v>
      </c>
      <c r="C53" t="s">
        <v>26</v>
      </c>
      <c r="D53" t="s">
        <v>20</v>
      </c>
      <c r="E53" t="s">
        <v>126</v>
      </c>
      <c r="F53" s="113">
        <v>2500</v>
      </c>
      <c r="G53" s="15">
        <v>499075</v>
      </c>
      <c r="H53" s="20">
        <v>334950</v>
      </c>
      <c r="I53" s="23">
        <v>1.4899985072398865</v>
      </c>
      <c r="J53" s="9">
        <v>0</v>
      </c>
      <c r="K53" s="9">
        <v>3.3299426404357299E-3</v>
      </c>
      <c r="L53" s="9">
        <v>0</v>
      </c>
      <c r="M53" s="9">
        <v>0</v>
      </c>
      <c r="N53" s="9">
        <v>0</v>
      </c>
      <c r="O53" s="9">
        <v>2.38667320258928E-2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5.9380900340398501E-2</v>
      </c>
      <c r="X53" s="9">
        <v>0</v>
      </c>
      <c r="Y53" s="9">
        <v>1.66497132021786E-2</v>
      </c>
      <c r="Z53" s="9">
        <v>4.9949139606535898E-3</v>
      </c>
      <c r="AA53" s="9">
        <v>1.33197705617429E-2</v>
      </c>
      <c r="AB53" s="9">
        <v>0</v>
      </c>
      <c r="AC53" s="9">
        <v>0</v>
      </c>
      <c r="AD53" s="9">
        <v>9.9898279213071692E-3</v>
      </c>
      <c r="AE53" s="9">
        <v>0</v>
      </c>
      <c r="AF53" s="9">
        <v>7.6588680730021702E-2</v>
      </c>
      <c r="AG53" s="9">
        <v>0</v>
      </c>
      <c r="AH53" s="9">
        <v>0</v>
      </c>
      <c r="AI53" s="9">
        <v>0.79187951861736905</v>
      </c>
      <c r="AJ53" s="8">
        <f t="shared" si="376"/>
        <v>1</v>
      </c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9"/>
      <c r="BM53" s="26">
        <f t="shared" si="377"/>
        <v>0</v>
      </c>
      <c r="BN53" s="26">
        <f t="shared" si="378"/>
        <v>1661.891123275462</v>
      </c>
      <c r="BO53" s="26">
        <f t="shared" si="379"/>
        <v>0</v>
      </c>
      <c r="BP53" s="26">
        <f t="shared" si="380"/>
        <v>0</v>
      </c>
      <c r="BQ53" s="26">
        <f t="shared" si="381"/>
        <v>0</v>
      </c>
      <c r="BR53" s="26">
        <f t="shared" si="382"/>
        <v>11911.28928582245</v>
      </c>
      <c r="BS53" s="26">
        <f t="shared" si="383"/>
        <v>0</v>
      </c>
      <c r="BT53" s="26">
        <f t="shared" si="384"/>
        <v>0</v>
      </c>
      <c r="BU53" s="26">
        <f t="shared" si="385"/>
        <v>0</v>
      </c>
      <c r="BV53" s="26">
        <f t="shared" si="386"/>
        <v>0</v>
      </c>
      <c r="BW53" s="26">
        <f t="shared" si="387"/>
        <v>0</v>
      </c>
      <c r="BX53" s="26">
        <f t="shared" si="388"/>
        <v>0</v>
      </c>
      <c r="BY53" s="26">
        <f t="shared" si="389"/>
        <v>0</v>
      </c>
      <c r="BZ53" s="26">
        <f t="shared" si="390"/>
        <v>29635.522837384382</v>
      </c>
      <c r="CA53" s="26">
        <f t="shared" si="391"/>
        <v>0</v>
      </c>
      <c r="CB53" s="26">
        <f t="shared" si="392"/>
        <v>8309.455616377285</v>
      </c>
      <c r="CC53" s="26">
        <f t="shared" si="393"/>
        <v>2492.8366849131903</v>
      </c>
      <c r="CD53" s="26">
        <f t="shared" si="394"/>
        <v>6647.5644931018378</v>
      </c>
      <c r="CE53" s="26">
        <f t="shared" si="395"/>
        <v>0</v>
      </c>
      <c r="CF53" s="26">
        <f t="shared" si="396"/>
        <v>0</v>
      </c>
      <c r="CG53" s="26">
        <f t="shared" si="397"/>
        <v>4985.6733698263752</v>
      </c>
      <c r="CH53" s="26">
        <f t="shared" si="398"/>
        <v>0</v>
      </c>
      <c r="CI53" s="26">
        <f t="shared" si="399"/>
        <v>38223.495835335583</v>
      </c>
      <c r="CJ53" s="26">
        <f t="shared" si="400"/>
        <v>0</v>
      </c>
      <c r="CK53" s="26">
        <f t="shared" si="401"/>
        <v>0</v>
      </c>
      <c r="CL53" s="26">
        <f t="shared" si="402"/>
        <v>395207.27075396344</v>
      </c>
      <c r="CM53" s="110">
        <f t="shared" si="403"/>
        <v>1</v>
      </c>
      <c r="CN53" s="27">
        <f t="shared" si="404"/>
        <v>0</v>
      </c>
      <c r="CO53" s="27">
        <f t="shared" si="405"/>
        <v>1115.3642874139477</v>
      </c>
      <c r="CP53" s="27">
        <f t="shared" si="406"/>
        <v>0</v>
      </c>
      <c r="CQ53" s="27">
        <f t="shared" si="407"/>
        <v>0</v>
      </c>
      <c r="CR53" s="27">
        <f t="shared" si="408"/>
        <v>0</v>
      </c>
      <c r="CS53" s="27">
        <f t="shared" si="409"/>
        <v>7994.1618920727933</v>
      </c>
      <c r="CT53" s="27">
        <f t="shared" si="410"/>
        <v>0</v>
      </c>
      <c r="CU53" s="27">
        <f t="shared" si="411"/>
        <v>0</v>
      </c>
      <c r="CV53" s="27">
        <f t="shared" si="412"/>
        <v>0</v>
      </c>
      <c r="CW53" s="27">
        <f t="shared" si="413"/>
        <v>0</v>
      </c>
      <c r="CX53" s="27">
        <f t="shared" si="414"/>
        <v>0</v>
      </c>
      <c r="CY53" s="27">
        <f t="shared" si="415"/>
        <v>0</v>
      </c>
      <c r="CZ53" s="27">
        <f t="shared" si="416"/>
        <v>0</v>
      </c>
      <c r="DA53" s="27">
        <f t="shared" si="417"/>
        <v>19889.632569016478</v>
      </c>
      <c r="DB53" s="27">
        <f t="shared" si="418"/>
        <v>0</v>
      </c>
      <c r="DC53" s="27">
        <f t="shared" si="419"/>
        <v>5576.8214370697224</v>
      </c>
      <c r="DD53" s="27">
        <f t="shared" si="420"/>
        <v>1673.0464311209198</v>
      </c>
      <c r="DE53" s="27">
        <f t="shared" si="421"/>
        <v>4461.4571496557846</v>
      </c>
      <c r="DF53" s="27">
        <f t="shared" si="422"/>
        <v>0</v>
      </c>
      <c r="DG53" s="27">
        <f t="shared" si="423"/>
        <v>0</v>
      </c>
      <c r="DH53" s="27">
        <f t="shared" si="424"/>
        <v>3346.0928622418364</v>
      </c>
      <c r="DI53" s="27">
        <f t="shared" si="425"/>
        <v>0</v>
      </c>
      <c r="DJ53" s="27">
        <f t="shared" si="426"/>
        <v>25653.378610520769</v>
      </c>
      <c r="DK53" s="27">
        <f t="shared" si="427"/>
        <v>0</v>
      </c>
      <c r="DL53" s="27">
        <f t="shared" si="428"/>
        <v>0</v>
      </c>
      <c r="DM53" s="27">
        <f t="shared" si="429"/>
        <v>265240.04476088774</v>
      </c>
      <c r="DN53" s="110">
        <f t="shared" si="430"/>
        <v>1</v>
      </c>
      <c r="DO53" s="28">
        <f t="shared" si="211"/>
        <v>0</v>
      </c>
      <c r="DP53" s="28">
        <f t="shared" si="212"/>
        <v>546.5268358615142</v>
      </c>
      <c r="DQ53" s="28">
        <f t="shared" si="213"/>
        <v>0</v>
      </c>
      <c r="DR53" s="28">
        <f t="shared" si="214"/>
        <v>0</v>
      </c>
      <c r="DS53" s="28">
        <f t="shared" si="215"/>
        <v>0</v>
      </c>
      <c r="DT53" s="28">
        <f t="shared" si="216"/>
        <v>3917.1273937496562</v>
      </c>
      <c r="DU53" s="28">
        <f t="shared" si="217"/>
        <v>0</v>
      </c>
      <c r="DV53" s="28">
        <f t="shared" si="218"/>
        <v>0</v>
      </c>
      <c r="DW53" s="28">
        <f t="shared" si="219"/>
        <v>0</v>
      </c>
      <c r="DX53" s="28">
        <f t="shared" si="220"/>
        <v>0</v>
      </c>
      <c r="DY53" s="28">
        <f t="shared" si="221"/>
        <v>0</v>
      </c>
      <c r="DZ53" s="28">
        <f t="shared" si="222"/>
        <v>0</v>
      </c>
      <c r="EA53" s="28">
        <f t="shared" si="223"/>
        <v>0</v>
      </c>
      <c r="EB53" s="28">
        <f t="shared" si="224"/>
        <v>9745.8902683679044</v>
      </c>
      <c r="EC53" s="28">
        <f t="shared" si="225"/>
        <v>0</v>
      </c>
      <c r="ED53" s="28">
        <f t="shared" si="226"/>
        <v>2732.6341793075626</v>
      </c>
      <c r="EE53" s="28">
        <f t="shared" si="227"/>
        <v>819.79025379227051</v>
      </c>
      <c r="EF53" s="28">
        <f t="shared" si="228"/>
        <v>2186.1073434460532</v>
      </c>
      <c r="EG53" s="28">
        <f t="shared" si="229"/>
        <v>0</v>
      </c>
      <c r="EH53" s="28">
        <f t="shared" si="230"/>
        <v>0</v>
      </c>
      <c r="EI53" s="28">
        <f t="shared" si="231"/>
        <v>1639.5805075845387</v>
      </c>
      <c r="EJ53" s="28">
        <f t="shared" si="232"/>
        <v>0</v>
      </c>
      <c r="EK53" s="28">
        <f t="shared" si="233"/>
        <v>12570.117224814814</v>
      </c>
      <c r="EL53" s="28">
        <f t="shared" si="234"/>
        <v>0</v>
      </c>
      <c r="EM53" s="28">
        <f t="shared" si="235"/>
        <v>0</v>
      </c>
      <c r="EN53" s="28">
        <f t="shared" si="236"/>
        <v>129967.2259930757</v>
      </c>
      <c r="EQ53" s="144">
        <v>4.0160670347427437E-2</v>
      </c>
      <c r="ER53" s="144">
        <v>5.0200825434568455E-2</v>
      </c>
      <c r="ES53" s="144">
        <v>6.0240997187997254E-2</v>
      </c>
      <c r="ET53" s="144">
        <v>8.2329295047359252E-2</v>
      </c>
      <c r="EU53" s="144">
        <v>7.0281168941426067E-2</v>
      </c>
      <c r="EV53" s="144">
        <v>8.0321324028567079E-2</v>
      </c>
      <c r="EW53" s="144">
        <v>8.0321324028567079E-2</v>
      </c>
      <c r="EX53" s="144">
        <v>7.0281168941426067E-2</v>
      </c>
      <c r="EY53" s="144">
        <v>8.0321324028567079E-2</v>
      </c>
      <c r="EZ53" s="144">
        <v>0.10742970776464349</v>
      </c>
      <c r="FA53" s="144">
        <v>0.10742970776464349</v>
      </c>
      <c r="FB53" s="144">
        <v>0.17068248648480724</v>
      </c>
      <c r="FC53" s="145">
        <f t="shared" si="237"/>
        <v>0.99999999999999989</v>
      </c>
      <c r="FD53" s="146">
        <f t="shared" si="238"/>
        <v>0.15060249296999315</v>
      </c>
      <c r="FE53" s="146">
        <f t="shared" si="239"/>
        <v>0.23293178801735237</v>
      </c>
      <c r="FF53" s="146">
        <f t="shared" si="240"/>
        <v>0.23092381699856024</v>
      </c>
      <c r="FG53" s="146">
        <f t="shared" si="241"/>
        <v>0.38554190201409422</v>
      </c>
      <c r="FH53" s="145">
        <f t="shared" si="375"/>
        <v>1</v>
      </c>
      <c r="FJ53" s="52">
        <f t="shared" si="243"/>
        <v>0</v>
      </c>
      <c r="FK53" s="52">
        <f t="shared" si="244"/>
        <v>250.28494620998677</v>
      </c>
      <c r="FL53" s="52">
        <f t="shared" si="245"/>
        <v>0</v>
      </c>
      <c r="FM53" s="52">
        <f t="shared" si="246"/>
        <v>0</v>
      </c>
      <c r="FN53" s="52">
        <f t="shared" si="247"/>
        <v>0</v>
      </c>
      <c r="FO53" s="52">
        <f t="shared" si="248"/>
        <v>1793.8698609316302</v>
      </c>
      <c r="FP53" s="52">
        <f t="shared" si="249"/>
        <v>0</v>
      </c>
      <c r="FQ53" s="52">
        <f t="shared" si="250"/>
        <v>0</v>
      </c>
      <c r="FR53" s="52">
        <f t="shared" si="251"/>
        <v>0</v>
      </c>
      <c r="FS53" s="52">
        <f t="shared" si="252"/>
        <v>0</v>
      </c>
      <c r="FT53" s="52">
        <f t="shared" si="253"/>
        <v>0</v>
      </c>
      <c r="FU53" s="52">
        <f t="shared" si="254"/>
        <v>0</v>
      </c>
      <c r="FV53" s="52">
        <f t="shared" si="255"/>
        <v>0</v>
      </c>
      <c r="FW53" s="52">
        <f t="shared" si="256"/>
        <v>4463.1836197792527</v>
      </c>
      <c r="FX53" s="52">
        <f t="shared" si="257"/>
        <v>0</v>
      </c>
      <c r="FY53" s="52">
        <f t="shared" si="258"/>
        <v>1251.4247310499302</v>
      </c>
      <c r="FZ53" s="52">
        <f t="shared" si="259"/>
        <v>375.42741931497977</v>
      </c>
      <c r="GA53" s="52">
        <f t="shared" si="260"/>
        <v>1001.1397848399456</v>
      </c>
      <c r="GB53" s="52">
        <f t="shared" si="261"/>
        <v>0</v>
      </c>
      <c r="GC53" s="52">
        <f t="shared" si="262"/>
        <v>0</v>
      </c>
      <c r="GD53" s="52">
        <f t="shared" si="263"/>
        <v>750.85483862995875</v>
      </c>
      <c r="GE53" s="52">
        <f t="shared" si="264"/>
        <v>0</v>
      </c>
      <c r="GF53" s="52">
        <f t="shared" si="265"/>
        <v>5756.5537628296897</v>
      </c>
      <c r="GG53" s="52">
        <f t="shared" si="266"/>
        <v>0</v>
      </c>
      <c r="GH53" s="52">
        <f t="shared" si="267"/>
        <v>0</v>
      </c>
      <c r="GI53" s="52">
        <f t="shared" si="268"/>
        <v>59519.200215413955</v>
      </c>
      <c r="GJ53" s="26"/>
      <c r="GL53" s="150">
        <f t="shared" si="269"/>
        <v>0</v>
      </c>
      <c r="GM53" s="150">
        <f t="shared" si="270"/>
        <v>387.10727083471954</v>
      </c>
      <c r="GN53" s="150">
        <f t="shared" si="271"/>
        <v>0</v>
      </c>
      <c r="GO53" s="150">
        <f t="shared" si="272"/>
        <v>0</v>
      </c>
      <c r="GP53" s="150">
        <f t="shared" si="273"/>
        <v>0</v>
      </c>
      <c r="GQ53" s="150">
        <f t="shared" si="274"/>
        <v>2774.5179109385554</v>
      </c>
      <c r="GR53" s="150">
        <f t="shared" si="275"/>
        <v>0</v>
      </c>
      <c r="GS53" s="150">
        <f t="shared" si="276"/>
        <v>0</v>
      </c>
      <c r="GT53" s="150">
        <f t="shared" si="277"/>
        <v>0</v>
      </c>
      <c r="GU53" s="150">
        <f t="shared" si="278"/>
        <v>0</v>
      </c>
      <c r="GV53" s="150">
        <f t="shared" si="279"/>
        <v>0</v>
      </c>
      <c r="GW53" s="150">
        <f t="shared" si="280"/>
        <v>0</v>
      </c>
      <c r="GX53" s="150">
        <f t="shared" si="281"/>
        <v>0</v>
      </c>
      <c r="GY53" s="150">
        <f t="shared" si="282"/>
        <v>6903.0553233410237</v>
      </c>
      <c r="GZ53" s="150">
        <f t="shared" si="283"/>
        <v>0</v>
      </c>
      <c r="HA53" s="150">
        <f t="shared" si="284"/>
        <v>1935.5363541735919</v>
      </c>
      <c r="HB53" s="150">
        <f t="shared" si="285"/>
        <v>580.66090625207869</v>
      </c>
      <c r="HC53" s="150">
        <f t="shared" si="286"/>
        <v>1548.4290833388757</v>
      </c>
      <c r="HD53" s="150">
        <f t="shared" si="287"/>
        <v>0</v>
      </c>
      <c r="HE53" s="150">
        <f t="shared" si="288"/>
        <v>0</v>
      </c>
      <c r="HF53" s="150">
        <f t="shared" si="289"/>
        <v>1161.321812504156</v>
      </c>
      <c r="HG53" s="150">
        <f t="shared" si="290"/>
        <v>0</v>
      </c>
      <c r="HH53" s="150">
        <f t="shared" si="291"/>
        <v>8903.4672291985389</v>
      </c>
      <c r="HI53" s="150">
        <f t="shared" si="292"/>
        <v>0</v>
      </c>
      <c r="HJ53" s="150">
        <f t="shared" si="293"/>
        <v>0</v>
      </c>
      <c r="HK53" s="150">
        <f t="shared" si="294"/>
        <v>92056.336214178591</v>
      </c>
      <c r="HL53" s="26"/>
      <c r="HN53" s="147">
        <f t="shared" si="295"/>
        <v>0</v>
      </c>
      <c r="HO53" s="147">
        <f t="shared" si="296"/>
        <v>383.77024162279452</v>
      </c>
      <c r="HP53" s="147">
        <f t="shared" si="297"/>
        <v>0</v>
      </c>
      <c r="HQ53" s="147">
        <f t="shared" si="298"/>
        <v>0</v>
      </c>
      <c r="HR53" s="147">
        <f t="shared" si="299"/>
        <v>0</v>
      </c>
      <c r="HS53" s="147">
        <f t="shared" si="300"/>
        <v>2750.6003872561746</v>
      </c>
      <c r="HT53" s="147">
        <f t="shared" si="301"/>
        <v>0</v>
      </c>
      <c r="HU53" s="147">
        <f t="shared" si="302"/>
        <v>0</v>
      </c>
      <c r="HV53" s="147">
        <f t="shared" si="303"/>
        <v>0</v>
      </c>
      <c r="HW53" s="147">
        <f t="shared" si="304"/>
        <v>0</v>
      </c>
      <c r="HX53" s="147">
        <f t="shared" si="305"/>
        <v>0</v>
      </c>
      <c r="HY53" s="147">
        <f t="shared" si="306"/>
        <v>0</v>
      </c>
      <c r="HZ53" s="147">
        <f t="shared" si="307"/>
        <v>0</v>
      </c>
      <c r="IA53" s="147">
        <f t="shared" si="308"/>
        <v>6843.548052356804</v>
      </c>
      <c r="IB53" s="147">
        <f t="shared" si="309"/>
        <v>0</v>
      </c>
      <c r="IC53" s="147">
        <f t="shared" si="310"/>
        <v>1918.8512081139668</v>
      </c>
      <c r="ID53" s="147">
        <f t="shared" si="311"/>
        <v>575.65536243419115</v>
      </c>
      <c r="IE53" s="147">
        <f t="shared" si="312"/>
        <v>1535.0809664911756</v>
      </c>
      <c r="IF53" s="147">
        <f t="shared" si="313"/>
        <v>0</v>
      </c>
      <c r="IG53" s="147">
        <f t="shared" si="314"/>
        <v>0</v>
      </c>
      <c r="IH53" s="147">
        <f t="shared" si="315"/>
        <v>1151.3107248683809</v>
      </c>
      <c r="II53" s="147">
        <f t="shared" si="316"/>
        <v>0</v>
      </c>
      <c r="IJ53" s="147">
        <f t="shared" si="317"/>
        <v>8826.7155573242635</v>
      </c>
      <c r="IK53" s="147">
        <f t="shared" si="318"/>
        <v>0</v>
      </c>
      <c r="IL53" s="147">
        <f t="shared" si="319"/>
        <v>0</v>
      </c>
      <c r="IM53" s="147">
        <f t="shared" si="320"/>
        <v>91262.7714680887</v>
      </c>
      <c r="IN53" s="26"/>
      <c r="IP53" s="61">
        <f t="shared" si="321"/>
        <v>0</v>
      </c>
      <c r="IQ53" s="61">
        <f t="shared" si="322"/>
        <v>640.72866460796115</v>
      </c>
      <c r="IR53" s="61">
        <f t="shared" si="323"/>
        <v>0</v>
      </c>
      <c r="IS53" s="61">
        <f t="shared" si="324"/>
        <v>0</v>
      </c>
      <c r="IT53" s="61">
        <f t="shared" si="325"/>
        <v>0</v>
      </c>
      <c r="IU53" s="61">
        <f t="shared" si="326"/>
        <v>4592.3011266960893</v>
      </c>
      <c r="IV53" s="61">
        <f t="shared" si="327"/>
        <v>0</v>
      </c>
      <c r="IW53" s="61">
        <f t="shared" si="328"/>
        <v>0</v>
      </c>
      <c r="IX53" s="61">
        <f t="shared" si="329"/>
        <v>0</v>
      </c>
      <c r="IY53" s="61">
        <f t="shared" si="330"/>
        <v>0</v>
      </c>
      <c r="IZ53" s="61">
        <f t="shared" si="331"/>
        <v>0</v>
      </c>
      <c r="JA53" s="61">
        <f t="shared" si="332"/>
        <v>0</v>
      </c>
      <c r="JB53" s="61">
        <f t="shared" si="333"/>
        <v>0</v>
      </c>
      <c r="JC53" s="61">
        <f t="shared" si="334"/>
        <v>11425.735841907301</v>
      </c>
      <c r="JD53" s="61">
        <f t="shared" si="335"/>
        <v>0</v>
      </c>
      <c r="JE53" s="61">
        <f t="shared" si="336"/>
        <v>3203.6433230397961</v>
      </c>
      <c r="JF53" s="61">
        <f t="shared" si="337"/>
        <v>961.09299691194065</v>
      </c>
      <c r="JG53" s="61">
        <f t="shared" si="338"/>
        <v>2562.9146584318405</v>
      </c>
      <c r="JH53" s="61">
        <f t="shared" si="339"/>
        <v>0</v>
      </c>
      <c r="JI53" s="61">
        <f t="shared" si="340"/>
        <v>0</v>
      </c>
      <c r="JJ53" s="61">
        <f t="shared" si="341"/>
        <v>1922.1859938238792</v>
      </c>
      <c r="JK53" s="61">
        <f t="shared" si="342"/>
        <v>0</v>
      </c>
      <c r="JL53" s="61">
        <f t="shared" si="343"/>
        <v>14736.759285983089</v>
      </c>
      <c r="JM53" s="61">
        <f t="shared" si="344"/>
        <v>0</v>
      </c>
      <c r="JN53" s="61">
        <f t="shared" si="345"/>
        <v>0</v>
      </c>
      <c r="JO53" s="61">
        <f t="shared" si="346"/>
        <v>152368.96285628219</v>
      </c>
      <c r="JQ53" s="26">
        <f t="shared" si="431"/>
        <v>499075</v>
      </c>
      <c r="JR53" s="156">
        <f t="shared" si="432"/>
        <v>1</v>
      </c>
      <c r="JT53" s="157">
        <f t="shared" si="347"/>
        <v>0</v>
      </c>
      <c r="JU53" s="29">
        <f t="shared" si="348"/>
        <v>0</v>
      </c>
    </row>
    <row r="54" spans="1:281" ht="18.75" x14ac:dyDescent="0.3">
      <c r="A54" t="s">
        <v>69</v>
      </c>
      <c r="B54" t="s">
        <v>100</v>
      </c>
      <c r="C54" t="s">
        <v>75</v>
      </c>
      <c r="D54" t="s">
        <v>20</v>
      </c>
      <c r="E54" t="s">
        <v>75</v>
      </c>
      <c r="F54" s="113">
        <v>14.000000000000002</v>
      </c>
      <c r="G54" s="15">
        <v>397054</v>
      </c>
      <c r="H54" s="20">
        <v>283610</v>
      </c>
      <c r="I54" s="23">
        <v>1.4</v>
      </c>
      <c r="J54" s="9">
        <v>0</v>
      </c>
      <c r="K54" s="9">
        <v>3.3299426404357299E-3</v>
      </c>
      <c r="L54" s="9">
        <v>0</v>
      </c>
      <c r="M54" s="9">
        <v>0</v>
      </c>
      <c r="N54" s="9">
        <v>0</v>
      </c>
      <c r="O54" s="9">
        <v>2.38667320258928E-2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5.9380900340398501E-2</v>
      </c>
      <c r="X54" s="9">
        <v>0</v>
      </c>
      <c r="Y54" s="9">
        <v>1.66497132021786E-2</v>
      </c>
      <c r="Z54" s="9">
        <v>4.9949139606535898E-3</v>
      </c>
      <c r="AA54" s="9">
        <v>1.33197705617429E-2</v>
      </c>
      <c r="AB54" s="9">
        <v>0</v>
      </c>
      <c r="AC54" s="9">
        <v>0</v>
      </c>
      <c r="AD54" s="9">
        <v>9.9898279213071692E-3</v>
      </c>
      <c r="AE54" s="9">
        <v>0</v>
      </c>
      <c r="AF54" s="9">
        <v>7.6588680730021702E-2</v>
      </c>
      <c r="AG54" s="9">
        <v>0</v>
      </c>
      <c r="AH54" s="9">
        <v>0</v>
      </c>
      <c r="AI54" s="9">
        <v>0.79187951861736905</v>
      </c>
      <c r="AJ54" s="8">
        <f t="shared" si="376"/>
        <v>1</v>
      </c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9"/>
      <c r="BM54" s="26">
        <f t="shared" si="377"/>
        <v>0</v>
      </c>
      <c r="BN54" s="26">
        <f t="shared" si="378"/>
        <v>1322.1670451555683</v>
      </c>
      <c r="BO54" s="26">
        <f t="shared" si="379"/>
        <v>0</v>
      </c>
      <c r="BP54" s="26">
        <f t="shared" si="380"/>
        <v>0</v>
      </c>
      <c r="BQ54" s="26">
        <f t="shared" si="381"/>
        <v>0</v>
      </c>
      <c r="BR54" s="26">
        <f t="shared" si="382"/>
        <v>9476.3814178088396</v>
      </c>
      <c r="BS54" s="26">
        <f t="shared" si="383"/>
        <v>0</v>
      </c>
      <c r="BT54" s="26">
        <f t="shared" si="384"/>
        <v>0</v>
      </c>
      <c r="BU54" s="26">
        <f t="shared" si="385"/>
        <v>0</v>
      </c>
      <c r="BV54" s="26">
        <f t="shared" si="386"/>
        <v>0</v>
      </c>
      <c r="BW54" s="26">
        <f t="shared" si="387"/>
        <v>0</v>
      </c>
      <c r="BX54" s="26">
        <f t="shared" si="388"/>
        <v>0</v>
      </c>
      <c r="BY54" s="26">
        <f t="shared" si="389"/>
        <v>0</v>
      </c>
      <c r="BZ54" s="26">
        <f t="shared" si="390"/>
        <v>23577.424003756587</v>
      </c>
      <c r="CA54" s="26">
        <f t="shared" si="391"/>
        <v>0</v>
      </c>
      <c r="CB54" s="26">
        <f t="shared" si="392"/>
        <v>6610.8352257778215</v>
      </c>
      <c r="CC54" s="26">
        <f t="shared" si="393"/>
        <v>1983.2505677333504</v>
      </c>
      <c r="CD54" s="26">
        <f t="shared" si="394"/>
        <v>5288.6681806222659</v>
      </c>
      <c r="CE54" s="26">
        <f t="shared" si="395"/>
        <v>0</v>
      </c>
      <c r="CF54" s="26">
        <f t="shared" si="396"/>
        <v>0</v>
      </c>
      <c r="CG54" s="26">
        <f t="shared" si="397"/>
        <v>3966.5011354666967</v>
      </c>
      <c r="CH54" s="26">
        <f t="shared" si="398"/>
        <v>0</v>
      </c>
      <c r="CI54" s="26">
        <f t="shared" si="399"/>
        <v>30409.842038578037</v>
      </c>
      <c r="CJ54" s="26">
        <f t="shared" si="400"/>
        <v>0</v>
      </c>
      <c r="CK54" s="26">
        <f t="shared" si="401"/>
        <v>0</v>
      </c>
      <c r="CL54" s="26">
        <f t="shared" si="402"/>
        <v>314418.93038510083</v>
      </c>
      <c r="CM54" s="110">
        <f t="shared" si="403"/>
        <v>1</v>
      </c>
      <c r="CN54" s="27">
        <f t="shared" si="404"/>
        <v>0</v>
      </c>
      <c r="CO54" s="27">
        <f t="shared" si="405"/>
        <v>944.40503225397731</v>
      </c>
      <c r="CP54" s="27">
        <f t="shared" si="406"/>
        <v>0</v>
      </c>
      <c r="CQ54" s="27">
        <f t="shared" si="407"/>
        <v>0</v>
      </c>
      <c r="CR54" s="27">
        <f t="shared" si="408"/>
        <v>0</v>
      </c>
      <c r="CS54" s="27">
        <f t="shared" si="409"/>
        <v>6768.8438698634573</v>
      </c>
      <c r="CT54" s="27">
        <f t="shared" si="410"/>
        <v>0</v>
      </c>
      <c r="CU54" s="27">
        <f t="shared" si="411"/>
        <v>0</v>
      </c>
      <c r="CV54" s="27">
        <f t="shared" si="412"/>
        <v>0</v>
      </c>
      <c r="CW54" s="27">
        <f t="shared" si="413"/>
        <v>0</v>
      </c>
      <c r="CX54" s="27">
        <f t="shared" si="414"/>
        <v>0</v>
      </c>
      <c r="CY54" s="27">
        <f t="shared" si="415"/>
        <v>0</v>
      </c>
      <c r="CZ54" s="27">
        <f t="shared" si="416"/>
        <v>0</v>
      </c>
      <c r="DA54" s="27">
        <f t="shared" si="417"/>
        <v>16841.01714554042</v>
      </c>
      <c r="DB54" s="27">
        <f t="shared" si="418"/>
        <v>0</v>
      </c>
      <c r="DC54" s="27">
        <f t="shared" si="419"/>
        <v>4722.025161269873</v>
      </c>
      <c r="DD54" s="27">
        <f t="shared" si="420"/>
        <v>1416.6075483809645</v>
      </c>
      <c r="DE54" s="27">
        <f t="shared" si="421"/>
        <v>3777.6201290159038</v>
      </c>
      <c r="DF54" s="27">
        <f t="shared" si="422"/>
        <v>0</v>
      </c>
      <c r="DG54" s="27">
        <f t="shared" si="423"/>
        <v>0</v>
      </c>
      <c r="DH54" s="27">
        <f t="shared" si="424"/>
        <v>2833.2150967619264</v>
      </c>
      <c r="DI54" s="27">
        <f t="shared" si="425"/>
        <v>0</v>
      </c>
      <c r="DJ54" s="27">
        <f t="shared" si="426"/>
        <v>21721.315741841456</v>
      </c>
      <c r="DK54" s="27">
        <f t="shared" si="427"/>
        <v>0</v>
      </c>
      <c r="DL54" s="27">
        <f t="shared" si="428"/>
        <v>0</v>
      </c>
      <c r="DM54" s="27">
        <f t="shared" si="429"/>
        <v>224584.95027507204</v>
      </c>
      <c r="DN54" s="110">
        <f t="shared" si="430"/>
        <v>1</v>
      </c>
      <c r="DO54" s="28">
        <f t="shared" si="211"/>
        <v>0</v>
      </c>
      <c r="DP54" s="28">
        <f t="shared" si="212"/>
        <v>377.76201290159099</v>
      </c>
      <c r="DQ54" s="28">
        <f t="shared" si="213"/>
        <v>0</v>
      </c>
      <c r="DR54" s="28">
        <f t="shared" si="214"/>
        <v>0</v>
      </c>
      <c r="DS54" s="28">
        <f t="shared" si="215"/>
        <v>0</v>
      </c>
      <c r="DT54" s="28">
        <f t="shared" si="216"/>
        <v>2707.5375479453824</v>
      </c>
      <c r="DU54" s="28">
        <f t="shared" si="217"/>
        <v>0</v>
      </c>
      <c r="DV54" s="28">
        <f t="shared" si="218"/>
        <v>0</v>
      </c>
      <c r="DW54" s="28">
        <f t="shared" si="219"/>
        <v>0</v>
      </c>
      <c r="DX54" s="28">
        <f t="shared" si="220"/>
        <v>0</v>
      </c>
      <c r="DY54" s="28">
        <f t="shared" si="221"/>
        <v>0</v>
      </c>
      <c r="DZ54" s="28">
        <f t="shared" si="222"/>
        <v>0</v>
      </c>
      <c r="EA54" s="28">
        <f t="shared" si="223"/>
        <v>0</v>
      </c>
      <c r="EB54" s="28">
        <f t="shared" si="224"/>
        <v>6736.4068582161672</v>
      </c>
      <c r="EC54" s="28">
        <f t="shared" si="225"/>
        <v>0</v>
      </c>
      <c r="ED54" s="28">
        <f t="shared" si="226"/>
        <v>1888.8100645079485</v>
      </c>
      <c r="EE54" s="28">
        <f t="shared" si="227"/>
        <v>566.64301935238586</v>
      </c>
      <c r="EF54" s="28">
        <f t="shared" si="228"/>
        <v>1511.0480516063622</v>
      </c>
      <c r="EG54" s="28">
        <f t="shared" si="229"/>
        <v>0</v>
      </c>
      <c r="EH54" s="28">
        <f t="shared" si="230"/>
        <v>0</v>
      </c>
      <c r="EI54" s="28">
        <f t="shared" si="231"/>
        <v>1133.2860387047704</v>
      </c>
      <c r="EJ54" s="28">
        <f t="shared" si="232"/>
        <v>0</v>
      </c>
      <c r="EK54" s="28">
        <f t="shared" si="233"/>
        <v>8688.5262967365816</v>
      </c>
      <c r="EL54" s="28">
        <f t="shared" si="234"/>
        <v>0</v>
      </c>
      <c r="EM54" s="28">
        <f t="shared" si="235"/>
        <v>0</v>
      </c>
      <c r="EN54" s="28">
        <f t="shared" si="236"/>
        <v>89833.980110028788</v>
      </c>
      <c r="EQ54" s="144">
        <v>4.016621793503658E-2</v>
      </c>
      <c r="ER54" s="144">
        <v>5.0207747421211736E-2</v>
      </c>
      <c r="ES54" s="144">
        <v>6.0249301904970881E-2</v>
      </c>
      <c r="ET54" s="144">
        <v>8.2340716769724209E-2</v>
      </c>
      <c r="EU54" s="144">
        <v>7.0290856388730019E-2</v>
      </c>
      <c r="EV54" s="144">
        <v>8.0332410872489171E-2</v>
      </c>
      <c r="EW54" s="144">
        <v>8.0332410872489171E-2</v>
      </c>
      <c r="EX54" s="144">
        <v>7.0290856388730019E-2</v>
      </c>
      <c r="EY54" s="144">
        <v>8.0332410872489171E-2</v>
      </c>
      <c r="EZ54" s="144">
        <v>0.10740996882651291</v>
      </c>
      <c r="FA54" s="144">
        <v>0.10740996882651291</v>
      </c>
      <c r="FB54" s="144">
        <v>0.17063713292110319</v>
      </c>
      <c r="FC54" s="145">
        <f t="shared" si="237"/>
        <v>0.99999999999999989</v>
      </c>
      <c r="FD54" s="146">
        <f t="shared" si="238"/>
        <v>0.15062326726121919</v>
      </c>
      <c r="FE54" s="146">
        <f t="shared" si="239"/>
        <v>0.23296398403094337</v>
      </c>
      <c r="FF54" s="146">
        <f t="shared" si="240"/>
        <v>0.23095567813370838</v>
      </c>
      <c r="FG54" s="146">
        <f t="shared" si="241"/>
        <v>0.38545707057412903</v>
      </c>
      <c r="FH54" s="145">
        <f t="shared" si="375"/>
        <v>0.99999999999999989</v>
      </c>
      <c r="FJ54" s="52">
        <f t="shared" si="243"/>
        <v>0</v>
      </c>
      <c r="FK54" s="52">
        <f t="shared" si="244"/>
        <v>199.14912020644363</v>
      </c>
      <c r="FL54" s="52">
        <f t="shared" si="245"/>
        <v>0</v>
      </c>
      <c r="FM54" s="52">
        <f t="shared" si="246"/>
        <v>0</v>
      </c>
      <c r="FN54" s="52">
        <f t="shared" si="247"/>
        <v>0</v>
      </c>
      <c r="FO54" s="52">
        <f t="shared" si="248"/>
        <v>1427.3635309638721</v>
      </c>
      <c r="FP54" s="52">
        <f t="shared" si="249"/>
        <v>0</v>
      </c>
      <c r="FQ54" s="52">
        <f t="shared" si="250"/>
        <v>0</v>
      </c>
      <c r="FR54" s="52">
        <f t="shared" si="251"/>
        <v>0</v>
      </c>
      <c r="FS54" s="52">
        <f t="shared" si="252"/>
        <v>0</v>
      </c>
      <c r="FT54" s="52">
        <f t="shared" si="253"/>
        <v>0</v>
      </c>
      <c r="FU54" s="52">
        <f t="shared" si="254"/>
        <v>0</v>
      </c>
      <c r="FV54" s="52">
        <f t="shared" si="255"/>
        <v>0</v>
      </c>
      <c r="FW54" s="52">
        <f t="shared" si="256"/>
        <v>3551.3086370489132</v>
      </c>
      <c r="FX54" s="52">
        <f t="shared" si="257"/>
        <v>0</v>
      </c>
      <c r="FY54" s="52">
        <f t="shared" si="258"/>
        <v>995.74560103221506</v>
      </c>
      <c r="FZ54" s="52">
        <f t="shared" si="259"/>
        <v>298.72368030966516</v>
      </c>
      <c r="GA54" s="52">
        <f t="shared" si="260"/>
        <v>796.59648082577337</v>
      </c>
      <c r="GB54" s="52">
        <f t="shared" si="261"/>
        <v>0</v>
      </c>
      <c r="GC54" s="52">
        <f t="shared" si="262"/>
        <v>0</v>
      </c>
      <c r="GD54" s="52">
        <f t="shared" si="263"/>
        <v>597.44736061932963</v>
      </c>
      <c r="GE54" s="52">
        <f t="shared" si="264"/>
        <v>0</v>
      </c>
      <c r="GF54" s="52">
        <f t="shared" si="265"/>
        <v>4580.4297647481981</v>
      </c>
      <c r="GG54" s="52">
        <f t="shared" si="266"/>
        <v>0</v>
      </c>
      <c r="GH54" s="52">
        <f t="shared" si="267"/>
        <v>0</v>
      </c>
      <c r="GI54" s="52">
        <f t="shared" si="268"/>
        <v>47358.806583381716</v>
      </c>
      <c r="GJ54" s="26"/>
      <c r="GL54" s="150">
        <f t="shared" si="269"/>
        <v>0</v>
      </c>
      <c r="GM54" s="150">
        <f t="shared" si="270"/>
        <v>308.01730239386137</v>
      </c>
      <c r="GN54" s="150">
        <f t="shared" si="271"/>
        <v>0</v>
      </c>
      <c r="GO54" s="150">
        <f t="shared" si="272"/>
        <v>0</v>
      </c>
      <c r="GP54" s="150">
        <f t="shared" si="273"/>
        <v>0</v>
      </c>
      <c r="GQ54" s="150">
        <f t="shared" si="274"/>
        <v>2207.6555692895472</v>
      </c>
      <c r="GR54" s="150">
        <f t="shared" si="275"/>
        <v>0</v>
      </c>
      <c r="GS54" s="150">
        <f t="shared" si="276"/>
        <v>0</v>
      </c>
      <c r="GT54" s="150">
        <f t="shared" si="277"/>
        <v>0</v>
      </c>
      <c r="GU54" s="150">
        <f t="shared" si="278"/>
        <v>0</v>
      </c>
      <c r="GV54" s="150">
        <f t="shared" si="279"/>
        <v>0</v>
      </c>
      <c r="GW54" s="150">
        <f t="shared" si="280"/>
        <v>0</v>
      </c>
      <c r="GX54" s="150">
        <f t="shared" si="281"/>
        <v>0</v>
      </c>
      <c r="GY54" s="150">
        <f t="shared" si="282"/>
        <v>5492.6906291019304</v>
      </c>
      <c r="GZ54" s="150">
        <f t="shared" si="283"/>
        <v>0</v>
      </c>
      <c r="HA54" s="150">
        <f t="shared" si="284"/>
        <v>1540.0865119693024</v>
      </c>
      <c r="HB54" s="150">
        <f t="shared" si="285"/>
        <v>462.02595359079163</v>
      </c>
      <c r="HC54" s="150">
        <f t="shared" si="286"/>
        <v>1232.0692095754439</v>
      </c>
      <c r="HD54" s="150">
        <f t="shared" si="287"/>
        <v>0</v>
      </c>
      <c r="HE54" s="150">
        <f t="shared" si="288"/>
        <v>0</v>
      </c>
      <c r="HF54" s="150">
        <f t="shared" si="289"/>
        <v>924.05190718158224</v>
      </c>
      <c r="HG54" s="150">
        <f t="shared" si="290"/>
        <v>0</v>
      </c>
      <c r="HH54" s="150">
        <f t="shared" si="291"/>
        <v>7084.3979550588047</v>
      </c>
      <c r="HI54" s="150">
        <f t="shared" si="292"/>
        <v>0</v>
      </c>
      <c r="HJ54" s="150">
        <f t="shared" si="293"/>
        <v>0</v>
      </c>
      <c r="HK54" s="150">
        <f t="shared" si="294"/>
        <v>73248.286677260927</v>
      </c>
      <c r="HL54" s="26"/>
      <c r="HN54" s="147">
        <f t="shared" si="295"/>
        <v>0</v>
      </c>
      <c r="HO54" s="147">
        <f t="shared" si="296"/>
        <v>305.36198651994567</v>
      </c>
      <c r="HP54" s="147">
        <f t="shared" si="297"/>
        <v>0</v>
      </c>
      <c r="HQ54" s="147">
        <f t="shared" si="298"/>
        <v>0</v>
      </c>
      <c r="HR54" s="147">
        <f t="shared" si="299"/>
        <v>0</v>
      </c>
      <c r="HS54" s="147">
        <f t="shared" si="300"/>
        <v>2188.6240966037135</v>
      </c>
      <c r="HT54" s="147">
        <f t="shared" si="301"/>
        <v>0</v>
      </c>
      <c r="HU54" s="147">
        <f t="shared" si="302"/>
        <v>0</v>
      </c>
      <c r="HV54" s="147">
        <f t="shared" si="303"/>
        <v>0</v>
      </c>
      <c r="HW54" s="147">
        <f t="shared" si="304"/>
        <v>0</v>
      </c>
      <c r="HX54" s="147">
        <f t="shared" si="305"/>
        <v>0</v>
      </c>
      <c r="HY54" s="147">
        <f t="shared" si="306"/>
        <v>0</v>
      </c>
      <c r="HZ54" s="147">
        <f t="shared" si="307"/>
        <v>0</v>
      </c>
      <c r="IA54" s="147">
        <f t="shared" si="308"/>
        <v>5445.3399494335763</v>
      </c>
      <c r="IB54" s="147">
        <f t="shared" si="309"/>
        <v>0</v>
      </c>
      <c r="IC54" s="147">
        <f t="shared" si="310"/>
        <v>1526.8099325997239</v>
      </c>
      <c r="ID54" s="147">
        <f t="shared" si="311"/>
        <v>458.04297977991808</v>
      </c>
      <c r="IE54" s="147">
        <f t="shared" si="312"/>
        <v>1221.4479460797811</v>
      </c>
      <c r="IF54" s="147">
        <f t="shared" si="313"/>
        <v>0</v>
      </c>
      <c r="IG54" s="147">
        <f t="shared" si="314"/>
        <v>0</v>
      </c>
      <c r="IH54" s="147">
        <f t="shared" si="315"/>
        <v>916.08595955983526</v>
      </c>
      <c r="II54" s="147">
        <f t="shared" si="316"/>
        <v>0</v>
      </c>
      <c r="IJ54" s="147">
        <f t="shared" si="317"/>
        <v>7023.3256899587432</v>
      </c>
      <c r="IK54" s="147">
        <f t="shared" si="318"/>
        <v>0</v>
      </c>
      <c r="IL54" s="147">
        <f t="shared" si="319"/>
        <v>0</v>
      </c>
      <c r="IM54" s="147">
        <f t="shared" si="320"/>
        <v>72616.837285166213</v>
      </c>
      <c r="IN54" s="26"/>
      <c r="IP54" s="61">
        <f t="shared" si="321"/>
        <v>0</v>
      </c>
      <c r="IQ54" s="61">
        <f t="shared" si="322"/>
        <v>509.63863603531752</v>
      </c>
      <c r="IR54" s="61">
        <f t="shared" si="323"/>
        <v>0</v>
      </c>
      <c r="IS54" s="61">
        <f t="shared" si="324"/>
        <v>0</v>
      </c>
      <c r="IT54" s="61">
        <f t="shared" si="325"/>
        <v>0</v>
      </c>
      <c r="IU54" s="61">
        <f t="shared" si="326"/>
        <v>3652.7382209517068</v>
      </c>
      <c r="IV54" s="61">
        <f t="shared" si="327"/>
        <v>0</v>
      </c>
      <c r="IW54" s="61">
        <f t="shared" si="328"/>
        <v>0</v>
      </c>
      <c r="IX54" s="61">
        <f t="shared" si="329"/>
        <v>0</v>
      </c>
      <c r="IY54" s="61">
        <f t="shared" si="330"/>
        <v>0</v>
      </c>
      <c r="IZ54" s="61">
        <f t="shared" si="331"/>
        <v>0</v>
      </c>
      <c r="JA54" s="61">
        <f t="shared" si="332"/>
        <v>0</v>
      </c>
      <c r="JB54" s="61">
        <f t="shared" si="333"/>
        <v>0</v>
      </c>
      <c r="JC54" s="61">
        <f t="shared" si="334"/>
        <v>9088.0847881721675</v>
      </c>
      <c r="JD54" s="61">
        <f t="shared" si="335"/>
        <v>0</v>
      </c>
      <c r="JE54" s="61">
        <f t="shared" si="336"/>
        <v>2548.19318017658</v>
      </c>
      <c r="JF54" s="61">
        <f t="shared" si="337"/>
        <v>764.45795405297554</v>
      </c>
      <c r="JG54" s="61">
        <f t="shared" si="338"/>
        <v>2038.5545441412673</v>
      </c>
      <c r="JH54" s="61">
        <f t="shared" si="339"/>
        <v>0</v>
      </c>
      <c r="JI54" s="61">
        <f t="shared" si="340"/>
        <v>0</v>
      </c>
      <c r="JJ54" s="61">
        <f t="shared" si="341"/>
        <v>1528.9159081059495</v>
      </c>
      <c r="JK54" s="61">
        <f t="shared" si="342"/>
        <v>0</v>
      </c>
      <c r="JL54" s="61">
        <f t="shared" si="343"/>
        <v>11721.68862881229</v>
      </c>
      <c r="JM54" s="61">
        <f t="shared" si="344"/>
        <v>0</v>
      </c>
      <c r="JN54" s="61">
        <f t="shared" si="345"/>
        <v>0</v>
      </c>
      <c r="JO54" s="61">
        <f t="shared" si="346"/>
        <v>121194.99983929198</v>
      </c>
      <c r="JQ54" s="26">
        <f t="shared" si="431"/>
        <v>397054.00000000006</v>
      </c>
      <c r="JR54" s="156">
        <f t="shared" si="432"/>
        <v>1.0000000000000002</v>
      </c>
      <c r="JT54" s="157">
        <f t="shared" si="347"/>
        <v>0</v>
      </c>
      <c r="JU54" s="29">
        <f t="shared" si="348"/>
        <v>0</v>
      </c>
    </row>
    <row r="55" spans="1:281" ht="18.75" x14ac:dyDescent="0.3">
      <c r="A55" t="s">
        <v>69</v>
      </c>
      <c r="B55" t="s">
        <v>104</v>
      </c>
      <c r="C55" t="s">
        <v>31</v>
      </c>
      <c r="D55" t="s">
        <v>20</v>
      </c>
      <c r="E55" t="s">
        <v>130</v>
      </c>
      <c r="F55" s="113">
        <v>5</v>
      </c>
      <c r="G55" s="15">
        <v>28050</v>
      </c>
      <c r="H55" s="20">
        <v>16500</v>
      </c>
      <c r="I55" s="23">
        <v>1.7</v>
      </c>
      <c r="J55" s="9">
        <v>0</v>
      </c>
      <c r="K55" s="9">
        <v>3.3299426404357299E-3</v>
      </c>
      <c r="L55" s="9">
        <v>0</v>
      </c>
      <c r="M55" s="9">
        <v>0</v>
      </c>
      <c r="N55" s="9">
        <v>0</v>
      </c>
      <c r="O55" s="9">
        <v>2.38667320258928E-2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5.9380900340398501E-2</v>
      </c>
      <c r="X55" s="9">
        <v>0</v>
      </c>
      <c r="Y55" s="9">
        <v>1.66497132021786E-2</v>
      </c>
      <c r="Z55" s="9">
        <v>4.9949139606535898E-3</v>
      </c>
      <c r="AA55" s="9">
        <v>1.33197705617429E-2</v>
      </c>
      <c r="AB55" s="9">
        <v>0</v>
      </c>
      <c r="AC55" s="9">
        <v>0</v>
      </c>
      <c r="AD55" s="9">
        <v>9.9898279213071692E-3</v>
      </c>
      <c r="AE55" s="9">
        <v>0</v>
      </c>
      <c r="AF55" s="9">
        <v>7.6588680730021702E-2</v>
      </c>
      <c r="AG55" s="9">
        <v>0</v>
      </c>
      <c r="AH55" s="9">
        <v>0</v>
      </c>
      <c r="AI55" s="9">
        <v>0.79187951861736905</v>
      </c>
      <c r="AJ55" s="8">
        <f t="shared" si="376"/>
        <v>1</v>
      </c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9"/>
      <c r="BM55" s="26">
        <f t="shared" si="377"/>
        <v>0</v>
      </c>
      <c r="BN55" s="26">
        <f t="shared" si="378"/>
        <v>93.404891064222227</v>
      </c>
      <c r="BO55" s="26">
        <f t="shared" si="379"/>
        <v>0</v>
      </c>
      <c r="BP55" s="26">
        <f t="shared" si="380"/>
        <v>0</v>
      </c>
      <c r="BQ55" s="26">
        <f t="shared" si="381"/>
        <v>0</v>
      </c>
      <c r="BR55" s="26">
        <f t="shared" si="382"/>
        <v>669.461833326293</v>
      </c>
      <c r="BS55" s="26">
        <f t="shared" si="383"/>
        <v>0</v>
      </c>
      <c r="BT55" s="26">
        <f t="shared" si="384"/>
        <v>0</v>
      </c>
      <c r="BU55" s="26">
        <f t="shared" si="385"/>
        <v>0</v>
      </c>
      <c r="BV55" s="26">
        <f t="shared" si="386"/>
        <v>0</v>
      </c>
      <c r="BW55" s="26">
        <f t="shared" si="387"/>
        <v>0</v>
      </c>
      <c r="BX55" s="26">
        <f t="shared" si="388"/>
        <v>0</v>
      </c>
      <c r="BY55" s="26">
        <f t="shared" si="389"/>
        <v>0</v>
      </c>
      <c r="BZ55" s="26">
        <f t="shared" si="390"/>
        <v>1665.634254548178</v>
      </c>
      <c r="CA55" s="26">
        <f t="shared" si="391"/>
        <v>0</v>
      </c>
      <c r="CB55" s="26">
        <f t="shared" si="392"/>
        <v>467.02445532110971</v>
      </c>
      <c r="CC55" s="26">
        <f t="shared" si="393"/>
        <v>140.1073365963332</v>
      </c>
      <c r="CD55" s="26">
        <f t="shared" si="394"/>
        <v>373.61956425688834</v>
      </c>
      <c r="CE55" s="26">
        <f t="shared" si="395"/>
        <v>0</v>
      </c>
      <c r="CF55" s="26">
        <f t="shared" si="396"/>
        <v>0</v>
      </c>
      <c r="CG55" s="26">
        <f t="shared" si="397"/>
        <v>280.21467319266611</v>
      </c>
      <c r="CH55" s="26">
        <f t="shared" si="398"/>
        <v>0</v>
      </c>
      <c r="CI55" s="26">
        <f t="shared" si="399"/>
        <v>2148.3124944771089</v>
      </c>
      <c r="CJ55" s="26">
        <f t="shared" si="400"/>
        <v>0</v>
      </c>
      <c r="CK55" s="26">
        <f t="shared" si="401"/>
        <v>0</v>
      </c>
      <c r="CL55" s="26">
        <f t="shared" si="402"/>
        <v>22212.2204972172</v>
      </c>
      <c r="CM55" s="110">
        <f t="shared" si="403"/>
        <v>1</v>
      </c>
      <c r="CN55" s="27">
        <f t="shared" si="404"/>
        <v>0</v>
      </c>
      <c r="CO55" s="27">
        <f t="shared" si="405"/>
        <v>54.944053567189542</v>
      </c>
      <c r="CP55" s="27">
        <f t="shared" si="406"/>
        <v>0</v>
      </c>
      <c r="CQ55" s="27">
        <f t="shared" si="407"/>
        <v>0</v>
      </c>
      <c r="CR55" s="27">
        <f t="shared" si="408"/>
        <v>0</v>
      </c>
      <c r="CS55" s="27">
        <f t="shared" si="409"/>
        <v>393.80107842723118</v>
      </c>
      <c r="CT55" s="27">
        <f t="shared" si="410"/>
        <v>0</v>
      </c>
      <c r="CU55" s="27">
        <f t="shared" si="411"/>
        <v>0</v>
      </c>
      <c r="CV55" s="27">
        <f t="shared" si="412"/>
        <v>0</v>
      </c>
      <c r="CW55" s="27">
        <f t="shared" si="413"/>
        <v>0</v>
      </c>
      <c r="CX55" s="27">
        <f t="shared" si="414"/>
        <v>0</v>
      </c>
      <c r="CY55" s="27">
        <f t="shared" si="415"/>
        <v>0</v>
      </c>
      <c r="CZ55" s="27">
        <f t="shared" si="416"/>
        <v>0</v>
      </c>
      <c r="DA55" s="27">
        <f t="shared" si="417"/>
        <v>979.78485561657533</v>
      </c>
      <c r="DB55" s="27">
        <f t="shared" si="418"/>
        <v>0</v>
      </c>
      <c r="DC55" s="27">
        <f t="shared" si="419"/>
        <v>274.72026783594691</v>
      </c>
      <c r="DD55" s="27">
        <f t="shared" si="420"/>
        <v>82.416080350784227</v>
      </c>
      <c r="DE55" s="27">
        <f t="shared" si="421"/>
        <v>219.77621426875785</v>
      </c>
      <c r="DF55" s="27">
        <f t="shared" si="422"/>
        <v>0</v>
      </c>
      <c r="DG55" s="27">
        <f t="shared" si="423"/>
        <v>0</v>
      </c>
      <c r="DH55" s="27">
        <f t="shared" si="424"/>
        <v>164.83216070156828</v>
      </c>
      <c r="DI55" s="27">
        <f t="shared" si="425"/>
        <v>0</v>
      </c>
      <c r="DJ55" s="27">
        <f t="shared" si="426"/>
        <v>1263.7132320453582</v>
      </c>
      <c r="DK55" s="27">
        <f t="shared" si="427"/>
        <v>0</v>
      </c>
      <c r="DL55" s="27">
        <f t="shared" si="428"/>
        <v>0</v>
      </c>
      <c r="DM55" s="27">
        <f t="shared" si="429"/>
        <v>13066.01205718659</v>
      </c>
      <c r="DN55" s="110">
        <f t="shared" si="430"/>
        <v>1</v>
      </c>
      <c r="DO55" s="28">
        <f t="shared" si="211"/>
        <v>0</v>
      </c>
      <c r="DP55" s="28">
        <f t="shared" si="212"/>
        <v>38.460837497032685</v>
      </c>
      <c r="DQ55" s="28">
        <f t="shared" si="213"/>
        <v>0</v>
      </c>
      <c r="DR55" s="28">
        <f t="shared" si="214"/>
        <v>0</v>
      </c>
      <c r="DS55" s="28">
        <f t="shared" si="215"/>
        <v>0</v>
      </c>
      <c r="DT55" s="28">
        <f t="shared" si="216"/>
        <v>275.66075489906183</v>
      </c>
      <c r="DU55" s="28">
        <f t="shared" si="217"/>
        <v>0</v>
      </c>
      <c r="DV55" s="28">
        <f t="shared" si="218"/>
        <v>0</v>
      </c>
      <c r="DW55" s="28">
        <f t="shared" si="219"/>
        <v>0</v>
      </c>
      <c r="DX55" s="28">
        <f t="shared" si="220"/>
        <v>0</v>
      </c>
      <c r="DY55" s="28">
        <f t="shared" si="221"/>
        <v>0</v>
      </c>
      <c r="DZ55" s="28">
        <f t="shared" si="222"/>
        <v>0</v>
      </c>
      <c r="EA55" s="28">
        <f t="shared" si="223"/>
        <v>0</v>
      </c>
      <c r="EB55" s="28">
        <f t="shared" si="224"/>
        <v>685.84939893160265</v>
      </c>
      <c r="EC55" s="28">
        <f t="shared" si="225"/>
        <v>0</v>
      </c>
      <c r="ED55" s="28">
        <f t="shared" si="226"/>
        <v>192.3041874851628</v>
      </c>
      <c r="EE55" s="28">
        <f t="shared" si="227"/>
        <v>57.691256245548971</v>
      </c>
      <c r="EF55" s="28">
        <f t="shared" si="228"/>
        <v>153.84334998813048</v>
      </c>
      <c r="EG55" s="28">
        <f t="shared" si="229"/>
        <v>0</v>
      </c>
      <c r="EH55" s="28">
        <f t="shared" si="230"/>
        <v>0</v>
      </c>
      <c r="EI55" s="28">
        <f t="shared" si="231"/>
        <v>115.38251249109783</v>
      </c>
      <c r="EJ55" s="28">
        <f t="shared" si="232"/>
        <v>0</v>
      </c>
      <c r="EK55" s="28">
        <f t="shared" si="233"/>
        <v>884.59926243175073</v>
      </c>
      <c r="EL55" s="28">
        <f t="shared" si="234"/>
        <v>0</v>
      </c>
      <c r="EM55" s="28">
        <f t="shared" si="235"/>
        <v>0</v>
      </c>
      <c r="EN55" s="28">
        <f t="shared" si="236"/>
        <v>9146.2084400306103</v>
      </c>
      <c r="EQ55" s="144">
        <v>4.0239008996203592E-2</v>
      </c>
      <c r="ER55" s="144">
        <v>5.0199163041425514E-2</v>
      </c>
      <c r="ES55" s="144">
        <v>6.0159317086647436E-2</v>
      </c>
      <c r="ET55" s="144">
        <v>8.2271119323653122E-2</v>
      </c>
      <c r="EU55" s="144">
        <v>7.0318667539527313E-2</v>
      </c>
      <c r="EV55" s="144">
        <v>8.0278821584749221E-2</v>
      </c>
      <c r="EW55" s="144">
        <v>8.0278821584749221E-2</v>
      </c>
      <c r="EX55" s="144">
        <v>7.0318667539527313E-2</v>
      </c>
      <c r="EY55" s="144">
        <v>8.0278821584749221E-2</v>
      </c>
      <c r="EZ55" s="144">
        <v>0.10737053401320369</v>
      </c>
      <c r="FA55" s="144">
        <v>0.10737053401320369</v>
      </c>
      <c r="FB55" s="144">
        <v>0.17091652369236066</v>
      </c>
      <c r="FC55" s="145">
        <f t="shared" si="237"/>
        <v>1</v>
      </c>
      <c r="FD55" s="146">
        <f t="shared" si="238"/>
        <v>0.15059748912427653</v>
      </c>
      <c r="FE55" s="146">
        <f t="shared" si="239"/>
        <v>0.23286860844792964</v>
      </c>
      <c r="FF55" s="146">
        <f t="shared" si="240"/>
        <v>0.23087631070902576</v>
      </c>
      <c r="FG55" s="146">
        <f t="shared" si="241"/>
        <v>0.38565759171876801</v>
      </c>
      <c r="FH55" s="145">
        <f t="shared" si="375"/>
        <v>0.99999999999999989</v>
      </c>
      <c r="FJ55" s="52">
        <f t="shared" si="243"/>
        <v>0</v>
      </c>
      <c r="FK55" s="52">
        <f t="shared" si="244"/>
        <v>14.066542066198441</v>
      </c>
      <c r="FL55" s="52">
        <f t="shared" si="245"/>
        <v>0</v>
      </c>
      <c r="FM55" s="52">
        <f t="shared" si="246"/>
        <v>0</v>
      </c>
      <c r="FN55" s="52">
        <f t="shared" si="247"/>
        <v>0</v>
      </c>
      <c r="FO55" s="52">
        <f t="shared" si="248"/>
        <v>100.81927116347464</v>
      </c>
      <c r="FP55" s="52">
        <f t="shared" si="249"/>
        <v>0</v>
      </c>
      <c r="FQ55" s="52">
        <f t="shared" si="250"/>
        <v>0</v>
      </c>
      <c r="FR55" s="52">
        <f t="shared" si="251"/>
        <v>0</v>
      </c>
      <c r="FS55" s="52">
        <f t="shared" si="252"/>
        <v>0</v>
      </c>
      <c r="FT55" s="52">
        <f t="shared" si="253"/>
        <v>0</v>
      </c>
      <c r="FU55" s="52">
        <f t="shared" si="254"/>
        <v>0</v>
      </c>
      <c r="FV55" s="52">
        <f t="shared" si="255"/>
        <v>0</v>
      </c>
      <c r="FW55" s="52">
        <f t="shared" si="256"/>
        <v>250.84033653434167</v>
      </c>
      <c r="FX55" s="52">
        <f t="shared" si="257"/>
        <v>0</v>
      </c>
      <c r="FY55" s="52">
        <f t="shared" si="258"/>
        <v>70.332710330991986</v>
      </c>
      <c r="FZ55" s="52">
        <f t="shared" si="259"/>
        <v>21.099813099297641</v>
      </c>
      <c r="GA55" s="52">
        <f t="shared" si="260"/>
        <v>56.266168264793677</v>
      </c>
      <c r="GB55" s="52">
        <f t="shared" si="261"/>
        <v>0</v>
      </c>
      <c r="GC55" s="52">
        <f t="shared" si="262"/>
        <v>0</v>
      </c>
      <c r="GD55" s="52">
        <f t="shared" si="263"/>
        <v>42.19962619859524</v>
      </c>
      <c r="GE55" s="52">
        <f t="shared" si="264"/>
        <v>0</v>
      </c>
      <c r="GF55" s="52">
        <f t="shared" si="265"/>
        <v>323.53046752256381</v>
      </c>
      <c r="GG55" s="52">
        <f t="shared" si="266"/>
        <v>0</v>
      </c>
      <c r="GH55" s="52">
        <f t="shared" si="267"/>
        <v>0</v>
      </c>
      <c r="GI55" s="52">
        <f t="shared" si="268"/>
        <v>3345.1046347556999</v>
      </c>
      <c r="GJ55" s="26"/>
      <c r="GL55" s="150">
        <f t="shared" si="269"/>
        <v>0</v>
      </c>
      <c r="GM55" s="150">
        <f t="shared" si="270"/>
        <v>21.751067004355889</v>
      </c>
      <c r="GN55" s="150">
        <f t="shared" si="271"/>
        <v>0</v>
      </c>
      <c r="GO55" s="150">
        <f t="shared" si="272"/>
        <v>0</v>
      </c>
      <c r="GP55" s="150">
        <f t="shared" si="273"/>
        <v>0</v>
      </c>
      <c r="GQ55" s="150">
        <f t="shared" si="274"/>
        <v>155.89664553569366</v>
      </c>
      <c r="GR55" s="150">
        <f t="shared" si="275"/>
        <v>0</v>
      </c>
      <c r="GS55" s="150">
        <f t="shared" si="276"/>
        <v>0</v>
      </c>
      <c r="GT55" s="150">
        <f t="shared" si="277"/>
        <v>0</v>
      </c>
      <c r="GU55" s="150">
        <f t="shared" si="278"/>
        <v>0</v>
      </c>
      <c r="GV55" s="150">
        <f t="shared" si="279"/>
        <v>0</v>
      </c>
      <c r="GW55" s="150">
        <f t="shared" si="280"/>
        <v>0</v>
      </c>
      <c r="GX55" s="150">
        <f t="shared" si="281"/>
        <v>0</v>
      </c>
      <c r="GY55" s="150">
        <f t="shared" si="282"/>
        <v>387.87393103983885</v>
      </c>
      <c r="GZ55" s="150">
        <f t="shared" si="283"/>
        <v>0</v>
      </c>
      <c r="HA55" s="150">
        <f t="shared" si="284"/>
        <v>108.7553350217791</v>
      </c>
      <c r="HB55" s="150">
        <f t="shared" si="285"/>
        <v>32.626600506533798</v>
      </c>
      <c r="HC55" s="150">
        <f t="shared" si="286"/>
        <v>87.004268017423414</v>
      </c>
      <c r="HD55" s="150">
        <f t="shared" si="287"/>
        <v>0</v>
      </c>
      <c r="HE55" s="150">
        <f t="shared" si="288"/>
        <v>0</v>
      </c>
      <c r="HF55" s="150">
        <f t="shared" si="289"/>
        <v>65.253201013067525</v>
      </c>
      <c r="HG55" s="150">
        <f t="shared" si="290"/>
        <v>0</v>
      </c>
      <c r="HH55" s="150">
        <f t="shared" si="291"/>
        <v>500.27454110018488</v>
      </c>
      <c r="HI55" s="150">
        <f t="shared" si="292"/>
        <v>0</v>
      </c>
      <c r="HJ55" s="150">
        <f t="shared" si="293"/>
        <v>0</v>
      </c>
      <c r="HK55" s="150">
        <f t="shared" si="294"/>
        <v>5172.5288777255491</v>
      </c>
      <c r="HL55" s="26"/>
      <c r="HN55" s="147">
        <f t="shared" si="295"/>
        <v>0</v>
      </c>
      <c r="HO55" s="147">
        <f t="shared" si="296"/>
        <v>21.564976651086074</v>
      </c>
      <c r="HP55" s="147">
        <f t="shared" si="297"/>
        <v>0</v>
      </c>
      <c r="HQ55" s="147">
        <f t="shared" si="298"/>
        <v>0</v>
      </c>
      <c r="HR55" s="147">
        <f t="shared" si="299"/>
        <v>0</v>
      </c>
      <c r="HS55" s="147">
        <f t="shared" si="300"/>
        <v>154.56287823887524</v>
      </c>
      <c r="HT55" s="147">
        <f t="shared" si="301"/>
        <v>0</v>
      </c>
      <c r="HU55" s="147">
        <f t="shared" si="302"/>
        <v>0</v>
      </c>
      <c r="HV55" s="147">
        <f t="shared" si="303"/>
        <v>0</v>
      </c>
      <c r="HW55" s="147">
        <f t="shared" si="304"/>
        <v>0</v>
      </c>
      <c r="HX55" s="147">
        <f t="shared" si="305"/>
        <v>0</v>
      </c>
      <c r="HY55" s="147">
        <f t="shared" si="306"/>
        <v>0</v>
      </c>
      <c r="HZ55" s="147">
        <f t="shared" si="307"/>
        <v>0</v>
      </c>
      <c r="IA55" s="147">
        <f t="shared" si="308"/>
        <v>384.55549168066165</v>
      </c>
      <c r="IB55" s="147">
        <f t="shared" si="309"/>
        <v>0</v>
      </c>
      <c r="IC55" s="147">
        <f t="shared" si="310"/>
        <v>107.82488325543004</v>
      </c>
      <c r="ID55" s="147">
        <f t="shared" si="311"/>
        <v>32.347464976629077</v>
      </c>
      <c r="IE55" s="147">
        <f t="shared" si="312"/>
        <v>86.259906604344167</v>
      </c>
      <c r="IF55" s="147">
        <f t="shared" si="313"/>
        <v>0</v>
      </c>
      <c r="IG55" s="147">
        <f t="shared" si="314"/>
        <v>0</v>
      </c>
      <c r="IH55" s="147">
        <f t="shared" si="315"/>
        <v>64.694929953258097</v>
      </c>
      <c r="II55" s="147">
        <f t="shared" si="316"/>
        <v>0</v>
      </c>
      <c r="IJ55" s="147">
        <f t="shared" si="317"/>
        <v>495.99446297497917</v>
      </c>
      <c r="IK55" s="147">
        <f t="shared" si="318"/>
        <v>0</v>
      </c>
      <c r="IL55" s="147">
        <f t="shared" si="319"/>
        <v>0</v>
      </c>
      <c r="IM55" s="147">
        <f t="shared" si="320"/>
        <v>5128.2755210529085</v>
      </c>
      <c r="IN55" s="26"/>
      <c r="IP55" s="61">
        <f t="shared" si="321"/>
        <v>0</v>
      </c>
      <c r="IQ55" s="61">
        <f t="shared" si="322"/>
        <v>36.022305342581816</v>
      </c>
      <c r="IR55" s="61">
        <f t="shared" si="323"/>
        <v>0</v>
      </c>
      <c r="IS55" s="61">
        <f t="shared" si="324"/>
        <v>0</v>
      </c>
      <c r="IT55" s="61">
        <f t="shared" si="325"/>
        <v>0</v>
      </c>
      <c r="IU55" s="61">
        <f t="shared" si="326"/>
        <v>258.18303838824943</v>
      </c>
      <c r="IV55" s="61">
        <f t="shared" si="327"/>
        <v>0</v>
      </c>
      <c r="IW55" s="61">
        <f t="shared" si="328"/>
        <v>0</v>
      </c>
      <c r="IX55" s="61">
        <f t="shared" si="329"/>
        <v>0</v>
      </c>
      <c r="IY55" s="61">
        <f t="shared" si="330"/>
        <v>0</v>
      </c>
      <c r="IZ55" s="61">
        <f t="shared" si="331"/>
        <v>0</v>
      </c>
      <c r="JA55" s="61">
        <f t="shared" si="332"/>
        <v>0</v>
      </c>
      <c r="JB55" s="61">
        <f t="shared" si="333"/>
        <v>0</v>
      </c>
      <c r="JC55" s="61">
        <f t="shared" si="334"/>
        <v>642.36449529333572</v>
      </c>
      <c r="JD55" s="61">
        <f t="shared" si="335"/>
        <v>0</v>
      </c>
      <c r="JE55" s="61">
        <f t="shared" si="336"/>
        <v>180.11152671290853</v>
      </c>
      <c r="JF55" s="61">
        <f t="shared" si="337"/>
        <v>54.033458013872675</v>
      </c>
      <c r="JG55" s="61">
        <f t="shared" si="338"/>
        <v>144.08922137032707</v>
      </c>
      <c r="JH55" s="61">
        <f t="shared" si="339"/>
        <v>0</v>
      </c>
      <c r="JI55" s="61">
        <f t="shared" si="340"/>
        <v>0</v>
      </c>
      <c r="JJ55" s="61">
        <f t="shared" si="341"/>
        <v>108.06691602774524</v>
      </c>
      <c r="JK55" s="61">
        <f t="shared" si="342"/>
        <v>0</v>
      </c>
      <c r="JL55" s="61">
        <f t="shared" si="343"/>
        <v>828.51302287938097</v>
      </c>
      <c r="JM55" s="61">
        <f t="shared" si="344"/>
        <v>0</v>
      </c>
      <c r="JN55" s="61">
        <f t="shared" si="345"/>
        <v>0</v>
      </c>
      <c r="JO55" s="61">
        <f t="shared" si="346"/>
        <v>8566.3114636830414</v>
      </c>
      <c r="JQ55" s="26">
        <f t="shared" si="431"/>
        <v>28049.999999999989</v>
      </c>
      <c r="JR55" s="156">
        <f t="shared" si="432"/>
        <v>0.99999999999999956</v>
      </c>
      <c r="JT55" s="157">
        <f t="shared" si="347"/>
        <v>0</v>
      </c>
      <c r="JU55" s="29">
        <f t="shared" si="348"/>
        <v>0</v>
      </c>
    </row>
    <row r="56" spans="1:281" ht="18.75" x14ac:dyDescent="0.3">
      <c r="A56" t="s">
        <v>69</v>
      </c>
      <c r="B56" t="s">
        <v>105</v>
      </c>
      <c r="C56" t="s">
        <v>31</v>
      </c>
      <c r="D56" t="s">
        <v>20</v>
      </c>
      <c r="E56" t="s">
        <v>131</v>
      </c>
      <c r="F56" s="113">
        <v>40</v>
      </c>
      <c r="G56" s="15">
        <v>96784</v>
      </c>
      <c r="H56" s="20">
        <v>62441</v>
      </c>
      <c r="I56" s="23">
        <v>1.5500072068032222</v>
      </c>
      <c r="J56" s="9">
        <v>0</v>
      </c>
      <c r="K56" s="9">
        <v>3.3299426404357299E-3</v>
      </c>
      <c r="L56" s="9">
        <v>0</v>
      </c>
      <c r="M56" s="9">
        <v>0</v>
      </c>
      <c r="N56" s="9">
        <v>0</v>
      </c>
      <c r="O56" s="9">
        <v>2.38667320258928E-2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5.9380900340398501E-2</v>
      </c>
      <c r="X56" s="9">
        <v>0</v>
      </c>
      <c r="Y56" s="9">
        <v>1.66497132021786E-2</v>
      </c>
      <c r="Z56" s="9">
        <v>4.9949139606535898E-3</v>
      </c>
      <c r="AA56" s="9">
        <v>1.33197705617429E-2</v>
      </c>
      <c r="AB56" s="9">
        <v>0</v>
      </c>
      <c r="AC56" s="9">
        <v>0</v>
      </c>
      <c r="AD56" s="9">
        <v>9.9898279213071692E-3</v>
      </c>
      <c r="AE56" s="9">
        <v>0</v>
      </c>
      <c r="AF56" s="9">
        <v>7.6588680730021702E-2</v>
      </c>
      <c r="AG56" s="9">
        <v>0</v>
      </c>
      <c r="AH56" s="9">
        <v>0</v>
      </c>
      <c r="AI56" s="9">
        <v>0.79187951861736905</v>
      </c>
      <c r="AJ56" s="8">
        <f t="shared" si="376"/>
        <v>1</v>
      </c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9"/>
      <c r="BM56" s="26">
        <f t="shared" si="377"/>
        <v>0</v>
      </c>
      <c r="BN56" s="26">
        <f t="shared" si="378"/>
        <v>322.28516851193166</v>
      </c>
      <c r="BO56" s="26">
        <f t="shared" si="379"/>
        <v>0</v>
      </c>
      <c r="BP56" s="26">
        <f t="shared" si="380"/>
        <v>0</v>
      </c>
      <c r="BQ56" s="26">
        <f t="shared" si="381"/>
        <v>0</v>
      </c>
      <c r="BR56" s="26">
        <f t="shared" si="382"/>
        <v>2309.9177923940088</v>
      </c>
      <c r="BS56" s="26">
        <f t="shared" si="383"/>
        <v>0</v>
      </c>
      <c r="BT56" s="26">
        <f t="shared" si="384"/>
        <v>0</v>
      </c>
      <c r="BU56" s="26">
        <f t="shared" si="385"/>
        <v>0</v>
      </c>
      <c r="BV56" s="26">
        <f t="shared" si="386"/>
        <v>0</v>
      </c>
      <c r="BW56" s="26">
        <f t="shared" si="387"/>
        <v>0</v>
      </c>
      <c r="BX56" s="26">
        <f t="shared" si="388"/>
        <v>0</v>
      </c>
      <c r="BY56" s="26">
        <f t="shared" si="389"/>
        <v>0</v>
      </c>
      <c r="BZ56" s="26">
        <f t="shared" si="390"/>
        <v>5747.1210585451281</v>
      </c>
      <c r="CA56" s="26">
        <f t="shared" si="391"/>
        <v>0</v>
      </c>
      <c r="CB56" s="26">
        <f t="shared" si="392"/>
        <v>1611.4258425596536</v>
      </c>
      <c r="CC56" s="26">
        <f t="shared" si="393"/>
        <v>483.42775276789706</v>
      </c>
      <c r="CD56" s="26">
        <f t="shared" si="394"/>
        <v>1289.1406740477248</v>
      </c>
      <c r="CE56" s="26">
        <f t="shared" si="395"/>
        <v>0</v>
      </c>
      <c r="CF56" s="26">
        <f t="shared" si="396"/>
        <v>0</v>
      </c>
      <c r="CG56" s="26">
        <f t="shared" si="397"/>
        <v>966.8555055357931</v>
      </c>
      <c r="CH56" s="26">
        <f t="shared" si="398"/>
        <v>0</v>
      </c>
      <c r="CI56" s="26">
        <f t="shared" si="399"/>
        <v>7412.5588757744208</v>
      </c>
      <c r="CJ56" s="26">
        <f t="shared" si="400"/>
        <v>0</v>
      </c>
      <c r="CK56" s="26">
        <f t="shared" si="401"/>
        <v>0</v>
      </c>
      <c r="CL56" s="26">
        <f t="shared" si="402"/>
        <v>76641.267329863447</v>
      </c>
      <c r="CM56" s="110">
        <f t="shared" si="403"/>
        <v>1</v>
      </c>
      <c r="CN56" s="27">
        <f t="shared" si="404"/>
        <v>0</v>
      </c>
      <c r="CO56" s="27">
        <f t="shared" si="405"/>
        <v>207.92494841144742</v>
      </c>
      <c r="CP56" s="27">
        <f t="shared" si="406"/>
        <v>0</v>
      </c>
      <c r="CQ56" s="27">
        <f t="shared" si="407"/>
        <v>0</v>
      </c>
      <c r="CR56" s="27">
        <f t="shared" si="408"/>
        <v>0</v>
      </c>
      <c r="CS56" s="27">
        <f t="shared" si="409"/>
        <v>1490.2626144287724</v>
      </c>
      <c r="CT56" s="27">
        <f t="shared" si="410"/>
        <v>0</v>
      </c>
      <c r="CU56" s="27">
        <f t="shared" si="411"/>
        <v>0</v>
      </c>
      <c r="CV56" s="27">
        <f t="shared" si="412"/>
        <v>0</v>
      </c>
      <c r="CW56" s="27">
        <f t="shared" si="413"/>
        <v>0</v>
      </c>
      <c r="CX56" s="27">
        <f t="shared" si="414"/>
        <v>0</v>
      </c>
      <c r="CY56" s="27">
        <f t="shared" si="415"/>
        <v>0</v>
      </c>
      <c r="CZ56" s="27">
        <f t="shared" si="416"/>
        <v>0</v>
      </c>
      <c r="DA56" s="27">
        <f t="shared" si="417"/>
        <v>3707.802798154823</v>
      </c>
      <c r="DB56" s="27">
        <f t="shared" si="418"/>
        <v>0</v>
      </c>
      <c r="DC56" s="27">
        <f t="shared" si="419"/>
        <v>1039.624742057234</v>
      </c>
      <c r="DD56" s="27">
        <f t="shared" si="420"/>
        <v>311.88742261717078</v>
      </c>
      <c r="DE56" s="27">
        <f t="shared" si="421"/>
        <v>831.69979364578842</v>
      </c>
      <c r="DF56" s="27">
        <f t="shared" si="422"/>
        <v>0</v>
      </c>
      <c r="DG56" s="27">
        <f t="shared" si="423"/>
        <v>0</v>
      </c>
      <c r="DH56" s="27">
        <f t="shared" si="424"/>
        <v>623.774845234341</v>
      </c>
      <c r="DI56" s="27">
        <f t="shared" si="425"/>
        <v>0</v>
      </c>
      <c r="DJ56" s="27">
        <f t="shared" si="426"/>
        <v>4782.2738134632855</v>
      </c>
      <c r="DK56" s="27">
        <f t="shared" si="427"/>
        <v>0</v>
      </c>
      <c r="DL56" s="27">
        <f t="shared" si="428"/>
        <v>0</v>
      </c>
      <c r="DM56" s="27">
        <f t="shared" si="429"/>
        <v>49445.74902198714</v>
      </c>
      <c r="DN56" s="110">
        <f t="shared" si="430"/>
        <v>1</v>
      </c>
      <c r="DO56" s="28">
        <f t="shared" si="211"/>
        <v>0</v>
      </c>
      <c r="DP56" s="28">
        <f t="shared" si="212"/>
        <v>114.36022010048424</v>
      </c>
      <c r="DQ56" s="28">
        <f t="shared" si="213"/>
        <v>0</v>
      </c>
      <c r="DR56" s="28">
        <f t="shared" si="214"/>
        <v>0</v>
      </c>
      <c r="DS56" s="28">
        <f t="shared" si="215"/>
        <v>0</v>
      </c>
      <c r="DT56" s="28">
        <f t="shared" si="216"/>
        <v>819.65517796523636</v>
      </c>
      <c r="DU56" s="28">
        <f t="shared" si="217"/>
        <v>0</v>
      </c>
      <c r="DV56" s="28">
        <f t="shared" si="218"/>
        <v>0</v>
      </c>
      <c r="DW56" s="28">
        <f t="shared" si="219"/>
        <v>0</v>
      </c>
      <c r="DX56" s="28">
        <f t="shared" si="220"/>
        <v>0</v>
      </c>
      <c r="DY56" s="28">
        <f t="shared" si="221"/>
        <v>0</v>
      </c>
      <c r="DZ56" s="28">
        <f t="shared" si="222"/>
        <v>0</v>
      </c>
      <c r="EA56" s="28">
        <f t="shared" si="223"/>
        <v>0</v>
      </c>
      <c r="EB56" s="28">
        <f t="shared" si="224"/>
        <v>2039.3182603903051</v>
      </c>
      <c r="EC56" s="28">
        <f t="shared" si="225"/>
        <v>0</v>
      </c>
      <c r="ED56" s="28">
        <f t="shared" si="226"/>
        <v>571.80110050241956</v>
      </c>
      <c r="EE56" s="28">
        <f t="shared" si="227"/>
        <v>171.54033015072628</v>
      </c>
      <c r="EF56" s="28">
        <f t="shared" si="228"/>
        <v>457.4408804019364</v>
      </c>
      <c r="EG56" s="28">
        <f t="shared" si="229"/>
        <v>0</v>
      </c>
      <c r="EH56" s="28">
        <f t="shared" si="230"/>
        <v>0</v>
      </c>
      <c r="EI56" s="28">
        <f t="shared" si="231"/>
        <v>343.0806603014521</v>
      </c>
      <c r="EJ56" s="28">
        <f t="shared" si="232"/>
        <v>0</v>
      </c>
      <c r="EK56" s="28">
        <f t="shared" si="233"/>
        <v>2630.2850623111353</v>
      </c>
      <c r="EL56" s="28">
        <f t="shared" si="234"/>
        <v>0</v>
      </c>
      <c r="EM56" s="28">
        <f t="shared" si="235"/>
        <v>0</v>
      </c>
      <c r="EN56" s="28">
        <f t="shared" si="236"/>
        <v>27195.518307876308</v>
      </c>
      <c r="EQ56" s="144">
        <v>4.0158934865986214E-2</v>
      </c>
      <c r="ER56" s="144">
        <v>5.0194768413995491E-2</v>
      </c>
      <c r="ES56" s="144">
        <v>6.0246202635953885E-2</v>
      </c>
      <c r="ET56" s="144">
        <v>8.2328223245910895E-2</v>
      </c>
      <c r="EU56" s="144">
        <v>7.0282036183963156E-2</v>
      </c>
      <c r="EV56" s="144">
        <v>8.0317936401519213E-2</v>
      </c>
      <c r="EW56" s="144">
        <v>8.0317936401519213E-2</v>
      </c>
      <c r="EX56" s="144">
        <v>7.0282036183963156E-2</v>
      </c>
      <c r="EY56" s="144">
        <v>8.0317936401519213E-2</v>
      </c>
      <c r="EZ56" s="144">
        <v>0.1074333744551098</v>
      </c>
      <c r="FA56" s="144">
        <v>0.1074333744551098</v>
      </c>
      <c r="FB56" s="144">
        <v>0.17068724035545002</v>
      </c>
      <c r="FC56" s="145">
        <f t="shared" si="237"/>
        <v>1</v>
      </c>
      <c r="FD56" s="146">
        <f t="shared" si="238"/>
        <v>0.15059990591593558</v>
      </c>
      <c r="FE56" s="146">
        <f t="shared" si="239"/>
        <v>0.23292819583139326</v>
      </c>
      <c r="FF56" s="146">
        <f t="shared" si="240"/>
        <v>0.23091790898700157</v>
      </c>
      <c r="FG56" s="146">
        <f t="shared" si="241"/>
        <v>0.38555398926566964</v>
      </c>
      <c r="FH56" s="145">
        <f t="shared" si="375"/>
        <v>1</v>
      </c>
      <c r="FJ56" s="52">
        <f t="shared" si="243"/>
        <v>0</v>
      </c>
      <c r="FK56" s="52">
        <f t="shared" si="244"/>
        <v>48.536116055998356</v>
      </c>
      <c r="FL56" s="52">
        <f t="shared" si="245"/>
        <v>0</v>
      </c>
      <c r="FM56" s="52">
        <f t="shared" si="246"/>
        <v>0</v>
      </c>
      <c r="FN56" s="52">
        <f t="shared" si="247"/>
        <v>0</v>
      </c>
      <c r="FO56" s="52">
        <f t="shared" si="248"/>
        <v>347.87340220808335</v>
      </c>
      <c r="FP56" s="52">
        <f t="shared" si="249"/>
        <v>0</v>
      </c>
      <c r="FQ56" s="52">
        <f t="shared" si="250"/>
        <v>0</v>
      </c>
      <c r="FR56" s="52">
        <f t="shared" si="251"/>
        <v>0</v>
      </c>
      <c r="FS56" s="52">
        <f t="shared" si="252"/>
        <v>0</v>
      </c>
      <c r="FT56" s="52">
        <f t="shared" si="253"/>
        <v>0</v>
      </c>
      <c r="FU56" s="52">
        <f t="shared" si="254"/>
        <v>0</v>
      </c>
      <c r="FV56" s="52">
        <f t="shared" si="255"/>
        <v>0</v>
      </c>
      <c r="FW56" s="52">
        <f t="shared" si="256"/>
        <v>865.51589070438843</v>
      </c>
      <c r="FX56" s="52">
        <f t="shared" si="257"/>
        <v>0</v>
      </c>
      <c r="FY56" s="52">
        <f t="shared" si="258"/>
        <v>242.68058027999106</v>
      </c>
      <c r="FZ56" s="52">
        <f t="shared" si="259"/>
        <v>72.804174083997466</v>
      </c>
      <c r="GA56" s="52">
        <f t="shared" si="260"/>
        <v>194.14446422399314</v>
      </c>
      <c r="GB56" s="52">
        <f t="shared" si="261"/>
        <v>0</v>
      </c>
      <c r="GC56" s="52">
        <f t="shared" si="262"/>
        <v>0</v>
      </c>
      <c r="GD56" s="52">
        <f t="shared" si="263"/>
        <v>145.60834816799476</v>
      </c>
      <c r="GE56" s="52">
        <f t="shared" si="264"/>
        <v>0</v>
      </c>
      <c r="GF56" s="52">
        <f t="shared" si="265"/>
        <v>1116.330669287961</v>
      </c>
      <c r="GG56" s="52">
        <f t="shared" si="266"/>
        <v>0</v>
      </c>
      <c r="GH56" s="52">
        <f t="shared" si="267"/>
        <v>0</v>
      </c>
      <c r="GI56" s="52">
        <f t="shared" si="268"/>
        <v>11542.167649155503</v>
      </c>
      <c r="GJ56" s="26"/>
      <c r="GL56" s="150">
        <f t="shared" si="269"/>
        <v>0</v>
      </c>
      <c r="GM56" s="150">
        <f t="shared" si="270"/>
        <v>75.0693028447008</v>
      </c>
      <c r="GN56" s="150">
        <f t="shared" si="271"/>
        <v>0</v>
      </c>
      <c r="GO56" s="150">
        <f t="shared" si="272"/>
        <v>0</v>
      </c>
      <c r="GP56" s="150">
        <f t="shared" si="273"/>
        <v>0</v>
      </c>
      <c r="GQ56" s="150">
        <f t="shared" si="274"/>
        <v>538.04498390117124</v>
      </c>
      <c r="GR56" s="150">
        <f t="shared" si="275"/>
        <v>0</v>
      </c>
      <c r="GS56" s="150">
        <f t="shared" si="276"/>
        <v>0</v>
      </c>
      <c r="GT56" s="150">
        <f t="shared" si="277"/>
        <v>0</v>
      </c>
      <c r="GU56" s="150">
        <f t="shared" si="278"/>
        <v>0</v>
      </c>
      <c r="GV56" s="150">
        <f t="shared" si="279"/>
        <v>0</v>
      </c>
      <c r="GW56" s="150">
        <f t="shared" si="280"/>
        <v>0</v>
      </c>
      <c r="GX56" s="150">
        <f t="shared" si="281"/>
        <v>0</v>
      </c>
      <c r="GY56" s="150">
        <f t="shared" si="282"/>
        <v>1338.6665393915237</v>
      </c>
      <c r="GZ56" s="150">
        <f t="shared" si="283"/>
        <v>0</v>
      </c>
      <c r="HA56" s="150">
        <f t="shared" si="284"/>
        <v>375.34651422350288</v>
      </c>
      <c r="HB56" s="150">
        <f t="shared" si="285"/>
        <v>112.60395426705109</v>
      </c>
      <c r="HC56" s="150">
        <f t="shared" si="286"/>
        <v>300.27721137880275</v>
      </c>
      <c r="HD56" s="150">
        <f t="shared" si="287"/>
        <v>0</v>
      </c>
      <c r="HE56" s="150">
        <f t="shared" si="288"/>
        <v>0</v>
      </c>
      <c r="HF56" s="150">
        <f t="shared" si="289"/>
        <v>225.20790853410196</v>
      </c>
      <c r="HG56" s="150">
        <f t="shared" si="290"/>
        <v>0</v>
      </c>
      <c r="HH56" s="150">
        <f t="shared" si="291"/>
        <v>1726.5939654281167</v>
      </c>
      <c r="HI56" s="150">
        <f t="shared" si="292"/>
        <v>0</v>
      </c>
      <c r="HJ56" s="150">
        <f t="shared" si="293"/>
        <v>0</v>
      </c>
      <c r="HK56" s="150">
        <f t="shared" si="294"/>
        <v>17851.912125376595</v>
      </c>
      <c r="HL56" s="26"/>
      <c r="HN56" s="147">
        <f t="shared" si="295"/>
        <v>0</v>
      </c>
      <c r="HO56" s="147">
        <f t="shared" si="296"/>
        <v>74.421417210298699</v>
      </c>
      <c r="HP56" s="147">
        <f t="shared" si="297"/>
        <v>0</v>
      </c>
      <c r="HQ56" s="147">
        <f t="shared" si="298"/>
        <v>0</v>
      </c>
      <c r="HR56" s="147">
        <f t="shared" si="299"/>
        <v>0</v>
      </c>
      <c r="HS56" s="147">
        <f t="shared" si="300"/>
        <v>533.40138655149531</v>
      </c>
      <c r="HT56" s="147">
        <f t="shared" si="301"/>
        <v>0</v>
      </c>
      <c r="HU56" s="147">
        <f t="shared" si="302"/>
        <v>0</v>
      </c>
      <c r="HV56" s="147">
        <f t="shared" si="303"/>
        <v>0</v>
      </c>
      <c r="HW56" s="147">
        <f t="shared" si="304"/>
        <v>0</v>
      </c>
      <c r="HX56" s="147">
        <f t="shared" si="305"/>
        <v>0</v>
      </c>
      <c r="HY56" s="147">
        <f t="shared" si="306"/>
        <v>0</v>
      </c>
      <c r="HZ56" s="147">
        <f t="shared" si="307"/>
        <v>0</v>
      </c>
      <c r="IA56" s="147">
        <f t="shared" si="308"/>
        <v>1327.113177534404</v>
      </c>
      <c r="IB56" s="147">
        <f t="shared" si="309"/>
        <v>0</v>
      </c>
      <c r="IC56" s="147">
        <f t="shared" si="310"/>
        <v>372.10708605149239</v>
      </c>
      <c r="ID56" s="147">
        <f t="shared" si="311"/>
        <v>111.63212581544795</v>
      </c>
      <c r="IE56" s="147">
        <f t="shared" si="312"/>
        <v>297.6856688411944</v>
      </c>
      <c r="IF56" s="147">
        <f t="shared" si="313"/>
        <v>0</v>
      </c>
      <c r="IG56" s="147">
        <f t="shared" si="314"/>
        <v>0</v>
      </c>
      <c r="IH56" s="147">
        <f t="shared" si="315"/>
        <v>223.26425163089567</v>
      </c>
      <c r="II56" s="147">
        <f t="shared" si="316"/>
        <v>0</v>
      </c>
      <c r="IJ56" s="147">
        <f t="shared" si="317"/>
        <v>1711.6925958368683</v>
      </c>
      <c r="IK56" s="147">
        <f t="shared" si="318"/>
        <v>0</v>
      </c>
      <c r="IL56" s="147">
        <f t="shared" si="319"/>
        <v>0</v>
      </c>
      <c r="IM56" s="147">
        <f t="shared" si="320"/>
        <v>17697.841193925866</v>
      </c>
      <c r="IN56" s="26"/>
      <c r="IP56" s="61">
        <f t="shared" si="321"/>
        <v>0</v>
      </c>
      <c r="IQ56" s="61">
        <f t="shared" si="322"/>
        <v>124.25833240093382</v>
      </c>
      <c r="IR56" s="61">
        <f t="shared" si="323"/>
        <v>0</v>
      </c>
      <c r="IS56" s="61">
        <f t="shared" si="324"/>
        <v>0</v>
      </c>
      <c r="IT56" s="61">
        <f t="shared" si="325"/>
        <v>0</v>
      </c>
      <c r="IU56" s="61">
        <f t="shared" si="326"/>
        <v>890.59801973325898</v>
      </c>
      <c r="IV56" s="61">
        <f t="shared" si="327"/>
        <v>0</v>
      </c>
      <c r="IW56" s="61">
        <f t="shared" si="328"/>
        <v>0</v>
      </c>
      <c r="IX56" s="61">
        <f t="shared" si="329"/>
        <v>0</v>
      </c>
      <c r="IY56" s="61">
        <f t="shared" si="330"/>
        <v>0</v>
      </c>
      <c r="IZ56" s="61">
        <f t="shared" si="331"/>
        <v>0</v>
      </c>
      <c r="JA56" s="61">
        <f t="shared" si="332"/>
        <v>0</v>
      </c>
      <c r="JB56" s="61">
        <f t="shared" si="333"/>
        <v>0</v>
      </c>
      <c r="JC56" s="61">
        <f t="shared" si="334"/>
        <v>2215.8254509148123</v>
      </c>
      <c r="JD56" s="61">
        <f t="shared" si="335"/>
        <v>0</v>
      </c>
      <c r="JE56" s="61">
        <f t="shared" si="336"/>
        <v>621.29166200466727</v>
      </c>
      <c r="JF56" s="61">
        <f t="shared" si="337"/>
        <v>186.38749860140058</v>
      </c>
      <c r="JG56" s="61">
        <f t="shared" si="338"/>
        <v>497.03332960373461</v>
      </c>
      <c r="JH56" s="61">
        <f t="shared" si="339"/>
        <v>0</v>
      </c>
      <c r="JI56" s="61">
        <f t="shared" si="340"/>
        <v>0</v>
      </c>
      <c r="JJ56" s="61">
        <f t="shared" si="341"/>
        <v>372.77499720280076</v>
      </c>
      <c r="JK56" s="61">
        <f t="shared" si="342"/>
        <v>0</v>
      </c>
      <c r="JL56" s="61">
        <f t="shared" si="343"/>
        <v>2857.941645221475</v>
      </c>
      <c r="JM56" s="61">
        <f t="shared" si="344"/>
        <v>0</v>
      </c>
      <c r="JN56" s="61">
        <f t="shared" si="345"/>
        <v>0</v>
      </c>
      <c r="JO56" s="61">
        <f t="shared" si="346"/>
        <v>29549.346361405489</v>
      </c>
      <c r="JQ56" s="26">
        <f t="shared" si="431"/>
        <v>96784.000000000015</v>
      </c>
      <c r="JR56" s="156">
        <f t="shared" si="432"/>
        <v>1.0000000000000002</v>
      </c>
      <c r="JT56" s="157">
        <f t="shared" si="347"/>
        <v>0</v>
      </c>
      <c r="JU56" s="29">
        <f t="shared" si="348"/>
        <v>0</v>
      </c>
    </row>
    <row r="57" spans="1:281" ht="18.75" x14ac:dyDescent="0.3">
      <c r="A57" t="s">
        <v>69</v>
      </c>
      <c r="B57" t="s">
        <v>8</v>
      </c>
      <c r="C57" t="s">
        <v>31</v>
      </c>
      <c r="D57" t="s">
        <v>20</v>
      </c>
      <c r="E57" t="s">
        <v>32</v>
      </c>
      <c r="F57" s="113">
        <v>77</v>
      </c>
      <c r="G57" s="15">
        <v>226860</v>
      </c>
      <c r="H57" s="20">
        <v>141787</v>
      </c>
      <c r="I57" s="23">
        <v>1.6000056422662163</v>
      </c>
      <c r="J57" s="9">
        <v>0</v>
      </c>
      <c r="K57" s="9">
        <v>3.3299426404357299E-3</v>
      </c>
      <c r="L57" s="9">
        <v>0</v>
      </c>
      <c r="M57" s="9">
        <v>0</v>
      </c>
      <c r="N57" s="9">
        <v>0</v>
      </c>
      <c r="O57" s="9">
        <v>2.38667320258928E-2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5.9380900340398501E-2</v>
      </c>
      <c r="X57" s="9">
        <v>0</v>
      </c>
      <c r="Y57" s="9">
        <v>1.66497132021786E-2</v>
      </c>
      <c r="Z57" s="9">
        <v>4.9949139606535898E-3</v>
      </c>
      <c r="AA57" s="9">
        <v>1.33197705617429E-2</v>
      </c>
      <c r="AB57" s="9">
        <v>0</v>
      </c>
      <c r="AC57" s="9">
        <v>0</v>
      </c>
      <c r="AD57" s="9">
        <v>9.9898279213071692E-3</v>
      </c>
      <c r="AE57" s="9">
        <v>0</v>
      </c>
      <c r="AF57" s="9">
        <v>7.6588680730021702E-2</v>
      </c>
      <c r="AG57" s="9">
        <v>0</v>
      </c>
      <c r="AH57" s="9">
        <v>0</v>
      </c>
      <c r="AI57" s="9">
        <v>0.79187951861736905</v>
      </c>
      <c r="AJ57" s="8">
        <f t="shared" si="376"/>
        <v>1</v>
      </c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9"/>
      <c r="BM57" s="26">
        <f t="shared" si="377"/>
        <v>0</v>
      </c>
      <c r="BN57" s="26">
        <f t="shared" si="378"/>
        <v>755.43078740924966</v>
      </c>
      <c r="BO57" s="26">
        <f t="shared" si="379"/>
        <v>0</v>
      </c>
      <c r="BP57" s="26">
        <f t="shared" si="380"/>
        <v>0</v>
      </c>
      <c r="BQ57" s="26">
        <f t="shared" si="381"/>
        <v>0</v>
      </c>
      <c r="BR57" s="26">
        <f t="shared" si="382"/>
        <v>5414.4068273940402</v>
      </c>
      <c r="BS57" s="26">
        <f t="shared" si="383"/>
        <v>0</v>
      </c>
      <c r="BT57" s="26">
        <f t="shared" si="384"/>
        <v>0</v>
      </c>
      <c r="BU57" s="26">
        <f t="shared" si="385"/>
        <v>0</v>
      </c>
      <c r="BV57" s="26">
        <f t="shared" si="386"/>
        <v>0</v>
      </c>
      <c r="BW57" s="26">
        <f t="shared" si="387"/>
        <v>0</v>
      </c>
      <c r="BX57" s="26">
        <f t="shared" si="388"/>
        <v>0</v>
      </c>
      <c r="BY57" s="26">
        <f t="shared" si="389"/>
        <v>0</v>
      </c>
      <c r="BZ57" s="26">
        <f t="shared" si="390"/>
        <v>13471.151051222803</v>
      </c>
      <c r="CA57" s="26">
        <f t="shared" si="391"/>
        <v>0</v>
      </c>
      <c r="CB57" s="26">
        <f t="shared" si="392"/>
        <v>3777.1539370462374</v>
      </c>
      <c r="CC57" s="26">
        <f t="shared" si="393"/>
        <v>1133.1461811138734</v>
      </c>
      <c r="CD57" s="26">
        <f t="shared" si="394"/>
        <v>3021.7231496369945</v>
      </c>
      <c r="CE57" s="26">
        <f t="shared" si="395"/>
        <v>0</v>
      </c>
      <c r="CF57" s="26">
        <f t="shared" si="396"/>
        <v>0</v>
      </c>
      <c r="CG57" s="26">
        <f t="shared" si="397"/>
        <v>2266.2923622277444</v>
      </c>
      <c r="CH57" s="26">
        <f t="shared" si="398"/>
        <v>0</v>
      </c>
      <c r="CI57" s="26">
        <f t="shared" si="399"/>
        <v>17374.908110412722</v>
      </c>
      <c r="CJ57" s="26">
        <f t="shared" si="400"/>
        <v>0</v>
      </c>
      <c r="CK57" s="26">
        <f t="shared" si="401"/>
        <v>0</v>
      </c>
      <c r="CL57" s="26">
        <f t="shared" si="402"/>
        <v>179645.78759353634</v>
      </c>
      <c r="CM57" s="110">
        <f t="shared" si="403"/>
        <v>1</v>
      </c>
      <c r="CN57" s="27">
        <f t="shared" si="404"/>
        <v>0</v>
      </c>
      <c r="CO57" s="27">
        <f t="shared" si="405"/>
        <v>472.14257715946081</v>
      </c>
      <c r="CP57" s="27">
        <f t="shared" si="406"/>
        <v>0</v>
      </c>
      <c r="CQ57" s="27">
        <f t="shared" si="407"/>
        <v>0</v>
      </c>
      <c r="CR57" s="27">
        <f t="shared" si="408"/>
        <v>0</v>
      </c>
      <c r="CS57" s="27">
        <f t="shared" si="409"/>
        <v>3383.9923337552623</v>
      </c>
      <c r="CT57" s="27">
        <f t="shared" si="410"/>
        <v>0</v>
      </c>
      <c r="CU57" s="27">
        <f t="shared" si="411"/>
        <v>0</v>
      </c>
      <c r="CV57" s="27">
        <f t="shared" si="412"/>
        <v>0</v>
      </c>
      <c r="CW57" s="27">
        <f t="shared" si="413"/>
        <v>0</v>
      </c>
      <c r="CX57" s="27">
        <f t="shared" si="414"/>
        <v>0</v>
      </c>
      <c r="CY57" s="27">
        <f t="shared" si="415"/>
        <v>0</v>
      </c>
      <c r="CZ57" s="27">
        <f t="shared" si="416"/>
        <v>0</v>
      </c>
      <c r="DA57" s="27">
        <f t="shared" si="417"/>
        <v>8419.4397165640821</v>
      </c>
      <c r="DB57" s="27">
        <f t="shared" si="418"/>
        <v>0</v>
      </c>
      <c r="DC57" s="27">
        <f t="shared" si="419"/>
        <v>2360.7128857972971</v>
      </c>
      <c r="DD57" s="27">
        <f t="shared" si="420"/>
        <v>708.21386573919051</v>
      </c>
      <c r="DE57" s="27">
        <f t="shared" si="421"/>
        <v>1888.5703086378405</v>
      </c>
      <c r="DF57" s="27">
        <f t="shared" si="422"/>
        <v>0</v>
      </c>
      <c r="DG57" s="27">
        <f t="shared" si="423"/>
        <v>0</v>
      </c>
      <c r="DH57" s="27">
        <f t="shared" si="424"/>
        <v>1416.4277314783797</v>
      </c>
      <c r="DI57" s="27">
        <f t="shared" si="425"/>
        <v>0</v>
      </c>
      <c r="DJ57" s="27">
        <f t="shared" si="426"/>
        <v>10859.279274667588</v>
      </c>
      <c r="DK57" s="27">
        <f t="shared" si="427"/>
        <v>0</v>
      </c>
      <c r="DL57" s="27">
        <f t="shared" si="428"/>
        <v>0</v>
      </c>
      <c r="DM57" s="27">
        <f t="shared" si="429"/>
        <v>112278.22130620091</v>
      </c>
      <c r="DN57" s="110">
        <f t="shared" si="430"/>
        <v>1</v>
      </c>
      <c r="DO57" s="28">
        <f t="shared" si="211"/>
        <v>0</v>
      </c>
      <c r="DP57" s="28">
        <f t="shared" si="212"/>
        <v>283.28821024978885</v>
      </c>
      <c r="DQ57" s="28">
        <f t="shared" si="213"/>
        <v>0</v>
      </c>
      <c r="DR57" s="28">
        <f t="shared" si="214"/>
        <v>0</v>
      </c>
      <c r="DS57" s="28">
        <f t="shared" si="215"/>
        <v>0</v>
      </c>
      <c r="DT57" s="28">
        <f t="shared" si="216"/>
        <v>2030.4144936387779</v>
      </c>
      <c r="DU57" s="28">
        <f t="shared" si="217"/>
        <v>0</v>
      </c>
      <c r="DV57" s="28">
        <f t="shared" si="218"/>
        <v>0</v>
      </c>
      <c r="DW57" s="28">
        <f t="shared" si="219"/>
        <v>0</v>
      </c>
      <c r="DX57" s="28">
        <f t="shared" si="220"/>
        <v>0</v>
      </c>
      <c r="DY57" s="28">
        <f t="shared" si="221"/>
        <v>0</v>
      </c>
      <c r="DZ57" s="28">
        <f t="shared" si="222"/>
        <v>0</v>
      </c>
      <c r="EA57" s="28">
        <f t="shared" si="223"/>
        <v>0</v>
      </c>
      <c r="EB57" s="28">
        <f t="shared" si="224"/>
        <v>5051.7113346587212</v>
      </c>
      <c r="EC57" s="28">
        <f t="shared" si="225"/>
        <v>0</v>
      </c>
      <c r="ED57" s="28">
        <f t="shared" si="226"/>
        <v>1416.4410512489403</v>
      </c>
      <c r="EE57" s="28">
        <f t="shared" si="227"/>
        <v>424.93231537468284</v>
      </c>
      <c r="EF57" s="28">
        <f t="shared" si="228"/>
        <v>1133.152840999154</v>
      </c>
      <c r="EG57" s="28">
        <f t="shared" si="229"/>
        <v>0</v>
      </c>
      <c r="EH57" s="28">
        <f t="shared" si="230"/>
        <v>0</v>
      </c>
      <c r="EI57" s="28">
        <f t="shared" si="231"/>
        <v>849.86463074936478</v>
      </c>
      <c r="EJ57" s="28">
        <f t="shared" si="232"/>
        <v>0</v>
      </c>
      <c r="EK57" s="28">
        <f t="shared" si="233"/>
        <v>6515.628835745134</v>
      </c>
      <c r="EL57" s="28">
        <f t="shared" si="234"/>
        <v>0</v>
      </c>
      <c r="EM57" s="28">
        <f t="shared" si="235"/>
        <v>0</v>
      </c>
      <c r="EN57" s="28">
        <f t="shared" si="236"/>
        <v>67367.56628733543</v>
      </c>
      <c r="EQ57" s="144">
        <v>4.0159673922743215E-2</v>
      </c>
      <c r="ER57" s="144">
        <v>5.0202452323236869E-2</v>
      </c>
      <c r="ES57" s="144">
        <v>6.0239530883554028E-2</v>
      </c>
      <c r="ET57" s="144">
        <v>8.232677155732554E-2</v>
      </c>
      <c r="EU57" s="144">
        <v>7.028228928460846E-2</v>
      </c>
      <c r="EV57" s="144">
        <v>8.0319367844925632E-2</v>
      </c>
      <c r="EW57" s="144">
        <v>8.0319367844925632E-2</v>
      </c>
      <c r="EX57" s="144">
        <v>7.028228928460846E-2</v>
      </c>
      <c r="EY57" s="144">
        <v>8.0319367844925632E-2</v>
      </c>
      <c r="EZ57" s="144">
        <v>0.10743084763903221</v>
      </c>
      <c r="FA57" s="144">
        <v>0.10743084763903221</v>
      </c>
      <c r="FB57" s="144">
        <v>0.1706871939310822</v>
      </c>
      <c r="FC57" s="145">
        <f t="shared" si="237"/>
        <v>1</v>
      </c>
      <c r="FD57" s="146">
        <f t="shared" si="238"/>
        <v>0.15060165712953411</v>
      </c>
      <c r="FE57" s="146">
        <f t="shared" si="239"/>
        <v>0.23292842868685962</v>
      </c>
      <c r="FF57" s="146">
        <f t="shared" si="240"/>
        <v>0.23092102497445974</v>
      </c>
      <c r="FG57" s="146">
        <f t="shared" si="241"/>
        <v>0.38554888920914665</v>
      </c>
      <c r="FH57" s="145">
        <f t="shared" si="375"/>
        <v>1</v>
      </c>
      <c r="FJ57" s="52">
        <f t="shared" si="243"/>
        <v>0</v>
      </c>
      <c r="FK57" s="52">
        <f t="shared" si="244"/>
        <v>113.76912843050178</v>
      </c>
      <c r="FL57" s="52">
        <f t="shared" si="245"/>
        <v>0</v>
      </c>
      <c r="FM57" s="52">
        <f t="shared" si="246"/>
        <v>0</v>
      </c>
      <c r="FN57" s="52">
        <f t="shared" si="247"/>
        <v>0</v>
      </c>
      <c r="FO57" s="52">
        <f t="shared" si="248"/>
        <v>815.4186405790058</v>
      </c>
      <c r="FP57" s="52">
        <f t="shared" si="249"/>
        <v>0</v>
      </c>
      <c r="FQ57" s="52">
        <f t="shared" si="250"/>
        <v>0</v>
      </c>
      <c r="FR57" s="52">
        <f t="shared" si="251"/>
        <v>0</v>
      </c>
      <c r="FS57" s="52">
        <f t="shared" si="252"/>
        <v>0</v>
      </c>
      <c r="FT57" s="52">
        <f t="shared" si="253"/>
        <v>0</v>
      </c>
      <c r="FU57" s="52">
        <f t="shared" si="254"/>
        <v>0</v>
      </c>
      <c r="FV57" s="52">
        <f t="shared" si="255"/>
        <v>0</v>
      </c>
      <c r="FW57" s="52">
        <f t="shared" si="256"/>
        <v>2028.7776717564195</v>
      </c>
      <c r="FX57" s="52">
        <f t="shared" si="257"/>
        <v>0</v>
      </c>
      <c r="FY57" s="52">
        <f t="shared" si="258"/>
        <v>568.84564215250725</v>
      </c>
      <c r="FZ57" s="52">
        <f t="shared" si="259"/>
        <v>170.6536926457525</v>
      </c>
      <c r="GA57" s="52">
        <f t="shared" si="260"/>
        <v>455.07651372200655</v>
      </c>
      <c r="GB57" s="52">
        <f t="shared" si="261"/>
        <v>0</v>
      </c>
      <c r="GC57" s="52">
        <f t="shared" si="262"/>
        <v>0</v>
      </c>
      <c r="GD57" s="52">
        <f t="shared" si="263"/>
        <v>341.30738529150466</v>
      </c>
      <c r="GE57" s="52">
        <f t="shared" si="264"/>
        <v>0</v>
      </c>
      <c r="GF57" s="52">
        <f t="shared" si="265"/>
        <v>2616.689953901538</v>
      </c>
      <c r="GG57" s="52">
        <f t="shared" si="266"/>
        <v>0</v>
      </c>
      <c r="GH57" s="52">
        <f t="shared" si="267"/>
        <v>0</v>
      </c>
      <c r="GI57" s="52">
        <f t="shared" si="268"/>
        <v>27054.953307926873</v>
      </c>
      <c r="GJ57" s="26"/>
      <c r="GL57" s="150">
        <f t="shared" si="269"/>
        <v>0</v>
      </c>
      <c r="GM57" s="150">
        <f t="shared" si="270"/>
        <v>175.9613062929136</v>
      </c>
      <c r="GN57" s="150">
        <f t="shared" si="271"/>
        <v>0</v>
      </c>
      <c r="GO57" s="150">
        <f t="shared" si="272"/>
        <v>0</v>
      </c>
      <c r="GP57" s="150">
        <f t="shared" si="273"/>
        <v>0</v>
      </c>
      <c r="GQ57" s="150">
        <f t="shared" si="274"/>
        <v>1261.1692745762984</v>
      </c>
      <c r="GR57" s="150">
        <f t="shared" si="275"/>
        <v>0</v>
      </c>
      <c r="GS57" s="150">
        <f t="shared" si="276"/>
        <v>0</v>
      </c>
      <c r="GT57" s="150">
        <f t="shared" si="277"/>
        <v>0</v>
      </c>
      <c r="GU57" s="150">
        <f t="shared" si="278"/>
        <v>0</v>
      </c>
      <c r="GV57" s="150">
        <f t="shared" si="279"/>
        <v>0</v>
      </c>
      <c r="GW57" s="150">
        <f t="shared" si="280"/>
        <v>0</v>
      </c>
      <c r="GX57" s="150">
        <f t="shared" si="281"/>
        <v>0</v>
      </c>
      <c r="GY57" s="150">
        <f t="shared" si="282"/>
        <v>3137.8140469646646</v>
      </c>
      <c r="GZ57" s="150">
        <f t="shared" si="283"/>
        <v>0</v>
      </c>
      <c r="HA57" s="150">
        <f t="shared" si="284"/>
        <v>879.80653146456552</v>
      </c>
      <c r="HB57" s="150">
        <f t="shared" si="285"/>
        <v>263.94195943937018</v>
      </c>
      <c r="HC57" s="150">
        <f t="shared" si="286"/>
        <v>703.84522517165351</v>
      </c>
      <c r="HD57" s="150">
        <f t="shared" si="287"/>
        <v>0</v>
      </c>
      <c r="HE57" s="150">
        <f t="shared" si="288"/>
        <v>0</v>
      </c>
      <c r="HF57" s="150">
        <f t="shared" si="289"/>
        <v>527.88391887873979</v>
      </c>
      <c r="HG57" s="150">
        <f t="shared" si="290"/>
        <v>0</v>
      </c>
      <c r="HH57" s="150">
        <f t="shared" si="291"/>
        <v>4047.1100447370086</v>
      </c>
      <c r="HI57" s="150">
        <f t="shared" si="292"/>
        <v>0</v>
      </c>
      <c r="HJ57" s="150">
        <f t="shared" si="293"/>
        <v>0</v>
      </c>
      <c r="HK57" s="150">
        <f t="shared" si="294"/>
        <v>41844.611024375758</v>
      </c>
      <c r="HL57" s="26"/>
      <c r="HN57" s="147">
        <f t="shared" si="295"/>
        <v>0</v>
      </c>
      <c r="HO57" s="147">
        <f t="shared" si="296"/>
        <v>174.44485172580713</v>
      </c>
      <c r="HP57" s="147">
        <f t="shared" si="297"/>
        <v>0</v>
      </c>
      <c r="HQ57" s="147">
        <f t="shared" si="298"/>
        <v>0</v>
      </c>
      <c r="HR57" s="147">
        <f t="shared" si="299"/>
        <v>0</v>
      </c>
      <c r="HS57" s="147">
        <f t="shared" si="300"/>
        <v>1250.3003742105445</v>
      </c>
      <c r="HT57" s="147">
        <f t="shared" si="301"/>
        <v>0</v>
      </c>
      <c r="HU57" s="147">
        <f t="shared" si="302"/>
        <v>0</v>
      </c>
      <c r="HV57" s="147">
        <f t="shared" si="303"/>
        <v>0</v>
      </c>
      <c r="HW57" s="147">
        <f t="shared" si="304"/>
        <v>0</v>
      </c>
      <c r="HX57" s="147">
        <f t="shared" si="305"/>
        <v>0</v>
      </c>
      <c r="HY57" s="147">
        <f t="shared" si="306"/>
        <v>0</v>
      </c>
      <c r="HZ57" s="147">
        <f t="shared" si="307"/>
        <v>0</v>
      </c>
      <c r="IA57" s="147">
        <f t="shared" si="308"/>
        <v>3110.7720083341405</v>
      </c>
      <c r="IB57" s="147">
        <f t="shared" si="309"/>
        <v>0</v>
      </c>
      <c r="IC57" s="147">
        <f t="shared" si="310"/>
        <v>872.2242586290331</v>
      </c>
      <c r="ID57" s="147">
        <f t="shared" si="311"/>
        <v>261.66727758871042</v>
      </c>
      <c r="IE57" s="147">
        <f t="shared" si="312"/>
        <v>697.7794069032276</v>
      </c>
      <c r="IF57" s="147">
        <f t="shared" si="313"/>
        <v>0</v>
      </c>
      <c r="IG57" s="147">
        <f t="shared" si="314"/>
        <v>0</v>
      </c>
      <c r="IH57" s="147">
        <f t="shared" si="315"/>
        <v>523.33455517742027</v>
      </c>
      <c r="II57" s="147">
        <f t="shared" si="316"/>
        <v>0</v>
      </c>
      <c r="IJ57" s="147">
        <f t="shared" si="317"/>
        <v>4012.2315896935593</v>
      </c>
      <c r="IK57" s="147">
        <f t="shared" si="318"/>
        <v>0</v>
      </c>
      <c r="IL57" s="147">
        <f t="shared" si="319"/>
        <v>0</v>
      </c>
      <c r="IM57" s="147">
        <f t="shared" si="320"/>
        <v>41483.989403443491</v>
      </c>
      <c r="IN57" s="26"/>
      <c r="IP57" s="61">
        <f t="shared" si="321"/>
        <v>0</v>
      </c>
      <c r="IQ57" s="61">
        <f t="shared" si="322"/>
        <v>291.25550096002723</v>
      </c>
      <c r="IR57" s="61">
        <f t="shared" si="323"/>
        <v>0</v>
      </c>
      <c r="IS57" s="61">
        <f t="shared" si="324"/>
        <v>0</v>
      </c>
      <c r="IT57" s="61">
        <f t="shared" si="325"/>
        <v>0</v>
      </c>
      <c r="IU57" s="61">
        <f t="shared" si="326"/>
        <v>2087.5185380281919</v>
      </c>
      <c r="IV57" s="61">
        <f t="shared" si="327"/>
        <v>0</v>
      </c>
      <c r="IW57" s="61">
        <f t="shared" si="328"/>
        <v>0</v>
      </c>
      <c r="IX57" s="61">
        <f t="shared" si="329"/>
        <v>0</v>
      </c>
      <c r="IY57" s="61">
        <f t="shared" si="330"/>
        <v>0</v>
      </c>
      <c r="IZ57" s="61">
        <f t="shared" si="331"/>
        <v>0</v>
      </c>
      <c r="JA57" s="61">
        <f t="shared" si="332"/>
        <v>0</v>
      </c>
      <c r="JB57" s="61">
        <f t="shared" si="333"/>
        <v>0</v>
      </c>
      <c r="JC57" s="61">
        <f t="shared" si="334"/>
        <v>5193.7873241675798</v>
      </c>
      <c r="JD57" s="61">
        <f t="shared" si="335"/>
        <v>0</v>
      </c>
      <c r="JE57" s="61">
        <f t="shared" si="336"/>
        <v>1456.277504800132</v>
      </c>
      <c r="JF57" s="61">
        <f t="shared" si="337"/>
        <v>436.8832514400404</v>
      </c>
      <c r="JG57" s="61">
        <f t="shared" si="338"/>
        <v>1165.0220038401073</v>
      </c>
      <c r="JH57" s="61">
        <f t="shared" si="339"/>
        <v>0</v>
      </c>
      <c r="JI57" s="61">
        <f t="shared" si="340"/>
        <v>0</v>
      </c>
      <c r="JJ57" s="61">
        <f t="shared" si="341"/>
        <v>873.76650288007988</v>
      </c>
      <c r="JK57" s="61">
        <f t="shared" si="342"/>
        <v>0</v>
      </c>
      <c r="JL57" s="61">
        <f t="shared" si="343"/>
        <v>6698.8765220806181</v>
      </c>
      <c r="JM57" s="61">
        <f t="shared" si="344"/>
        <v>0</v>
      </c>
      <c r="JN57" s="61">
        <f t="shared" si="345"/>
        <v>0</v>
      </c>
      <c r="JO57" s="61">
        <f t="shared" si="346"/>
        <v>69262.233857790241</v>
      </c>
      <c r="JQ57" s="26">
        <f t="shared" si="431"/>
        <v>226860.00000000006</v>
      </c>
      <c r="JR57" s="156">
        <f t="shared" si="432"/>
        <v>1.0000000000000002</v>
      </c>
      <c r="JT57" s="157">
        <f t="shared" si="347"/>
        <v>0</v>
      </c>
      <c r="JU57" s="29">
        <f t="shared" si="348"/>
        <v>0</v>
      </c>
    </row>
    <row r="58" spans="1:281" ht="18.75" x14ac:dyDescent="0.3">
      <c r="A58" t="s">
        <v>69</v>
      </c>
      <c r="B58" t="s">
        <v>106</v>
      </c>
      <c r="C58" t="s">
        <v>31</v>
      </c>
      <c r="D58" t="s">
        <v>20</v>
      </c>
      <c r="E58" t="s">
        <v>132</v>
      </c>
      <c r="F58" s="113">
        <v>218.99999999999997</v>
      </c>
      <c r="G58" s="15">
        <v>297734</v>
      </c>
      <c r="H58" s="20">
        <v>225555</v>
      </c>
      <c r="I58" s="23">
        <v>1.3200062069118397</v>
      </c>
      <c r="J58" s="9">
        <v>0</v>
      </c>
      <c r="K58" s="9">
        <v>3.3299426404357299E-3</v>
      </c>
      <c r="L58" s="9">
        <v>0</v>
      </c>
      <c r="M58" s="9">
        <v>0</v>
      </c>
      <c r="N58" s="9">
        <v>0</v>
      </c>
      <c r="O58" s="9">
        <v>2.38667320258928E-2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5.9380900340398501E-2</v>
      </c>
      <c r="X58" s="9">
        <v>0</v>
      </c>
      <c r="Y58" s="9">
        <v>1.66497132021786E-2</v>
      </c>
      <c r="Z58" s="9">
        <v>4.9949139606535898E-3</v>
      </c>
      <c r="AA58" s="9">
        <v>1.33197705617429E-2</v>
      </c>
      <c r="AB58" s="9">
        <v>0</v>
      </c>
      <c r="AC58" s="9">
        <v>0</v>
      </c>
      <c r="AD58" s="9">
        <v>9.9898279213071692E-3</v>
      </c>
      <c r="AE58" s="9">
        <v>0</v>
      </c>
      <c r="AF58" s="9">
        <v>7.6588680730021702E-2</v>
      </c>
      <c r="AG58" s="9">
        <v>0</v>
      </c>
      <c r="AH58" s="9">
        <v>0</v>
      </c>
      <c r="AI58" s="9">
        <v>0.79187951861736905</v>
      </c>
      <c r="AJ58" s="8">
        <f t="shared" si="376"/>
        <v>1</v>
      </c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9"/>
      <c r="BM58" s="26">
        <f t="shared" si="377"/>
        <v>0</v>
      </c>
      <c r="BN58" s="26">
        <f t="shared" si="378"/>
        <v>991.43714210749158</v>
      </c>
      <c r="BO58" s="26">
        <f t="shared" si="379"/>
        <v>0</v>
      </c>
      <c r="BP58" s="26">
        <f t="shared" si="380"/>
        <v>0</v>
      </c>
      <c r="BQ58" s="26">
        <f t="shared" si="381"/>
        <v>0</v>
      </c>
      <c r="BR58" s="26">
        <f t="shared" si="382"/>
        <v>7105.9375929971666</v>
      </c>
      <c r="BS58" s="26">
        <f t="shared" si="383"/>
        <v>0</v>
      </c>
      <c r="BT58" s="26">
        <f t="shared" si="384"/>
        <v>0</v>
      </c>
      <c r="BU58" s="26">
        <f t="shared" si="385"/>
        <v>0</v>
      </c>
      <c r="BV58" s="26">
        <f t="shared" si="386"/>
        <v>0</v>
      </c>
      <c r="BW58" s="26">
        <f t="shared" si="387"/>
        <v>0</v>
      </c>
      <c r="BX58" s="26">
        <f t="shared" si="388"/>
        <v>0</v>
      </c>
      <c r="BY58" s="26">
        <f t="shared" si="389"/>
        <v>0</v>
      </c>
      <c r="BZ58" s="26">
        <f t="shared" si="390"/>
        <v>17679.712981948207</v>
      </c>
      <c r="CA58" s="26">
        <f t="shared" si="391"/>
        <v>0</v>
      </c>
      <c r="CB58" s="26">
        <f t="shared" si="392"/>
        <v>4957.1857105374438</v>
      </c>
      <c r="CC58" s="26">
        <f t="shared" si="393"/>
        <v>1487.155713161236</v>
      </c>
      <c r="CD58" s="26">
        <f t="shared" si="394"/>
        <v>3965.7485684299609</v>
      </c>
      <c r="CE58" s="26">
        <f t="shared" si="395"/>
        <v>0</v>
      </c>
      <c r="CF58" s="26">
        <f t="shared" si="396"/>
        <v>0</v>
      </c>
      <c r="CG58" s="26">
        <f t="shared" si="397"/>
        <v>2974.3114263224688</v>
      </c>
      <c r="CH58" s="26">
        <f t="shared" si="398"/>
        <v>0</v>
      </c>
      <c r="CI58" s="26">
        <f t="shared" si="399"/>
        <v>22803.054268472282</v>
      </c>
      <c r="CJ58" s="26">
        <f t="shared" si="400"/>
        <v>0</v>
      </c>
      <c r="CK58" s="26">
        <f t="shared" si="401"/>
        <v>0</v>
      </c>
      <c r="CL58" s="26">
        <f t="shared" si="402"/>
        <v>235769.45659602375</v>
      </c>
      <c r="CM58" s="110">
        <f t="shared" si="403"/>
        <v>1</v>
      </c>
      <c r="CN58" s="27">
        <f t="shared" si="404"/>
        <v>0</v>
      </c>
      <c r="CO58" s="27">
        <f t="shared" si="405"/>
        <v>751.08521226348103</v>
      </c>
      <c r="CP58" s="27">
        <f t="shared" si="406"/>
        <v>0</v>
      </c>
      <c r="CQ58" s="27">
        <f t="shared" si="407"/>
        <v>0</v>
      </c>
      <c r="CR58" s="27">
        <f t="shared" si="408"/>
        <v>0</v>
      </c>
      <c r="CS58" s="27">
        <f t="shared" si="409"/>
        <v>5383.2607421002504</v>
      </c>
      <c r="CT58" s="27">
        <f t="shared" si="410"/>
        <v>0</v>
      </c>
      <c r="CU58" s="27">
        <f t="shared" si="411"/>
        <v>0</v>
      </c>
      <c r="CV58" s="27">
        <f t="shared" si="412"/>
        <v>0</v>
      </c>
      <c r="CW58" s="27">
        <f t="shared" si="413"/>
        <v>0</v>
      </c>
      <c r="CX58" s="27">
        <f t="shared" si="414"/>
        <v>0</v>
      </c>
      <c r="CY58" s="27">
        <f t="shared" si="415"/>
        <v>0</v>
      </c>
      <c r="CZ58" s="27">
        <f t="shared" si="416"/>
        <v>0</v>
      </c>
      <c r="DA58" s="27">
        <f t="shared" si="417"/>
        <v>13393.658976278584</v>
      </c>
      <c r="DB58" s="27">
        <f t="shared" si="418"/>
        <v>0</v>
      </c>
      <c r="DC58" s="27">
        <f t="shared" si="419"/>
        <v>3755.4260613173942</v>
      </c>
      <c r="DD58" s="27">
        <f t="shared" si="420"/>
        <v>1126.6278183952204</v>
      </c>
      <c r="DE58" s="27">
        <f t="shared" si="421"/>
        <v>3004.34084905392</v>
      </c>
      <c r="DF58" s="27">
        <f t="shared" si="422"/>
        <v>0</v>
      </c>
      <c r="DG58" s="27">
        <f t="shared" si="423"/>
        <v>0</v>
      </c>
      <c r="DH58" s="27">
        <f t="shared" si="424"/>
        <v>2253.2556367904385</v>
      </c>
      <c r="DI58" s="27">
        <f t="shared" si="425"/>
        <v>0</v>
      </c>
      <c r="DJ58" s="27">
        <f t="shared" si="426"/>
        <v>17274.959882060044</v>
      </c>
      <c r="DK58" s="27">
        <f t="shared" si="427"/>
        <v>0</v>
      </c>
      <c r="DL58" s="27">
        <f t="shared" si="428"/>
        <v>0</v>
      </c>
      <c r="DM58" s="27">
        <f t="shared" si="429"/>
        <v>178612.38482174068</v>
      </c>
      <c r="DN58" s="110">
        <f t="shared" si="430"/>
        <v>1</v>
      </c>
      <c r="DO58" s="28">
        <f t="shared" si="211"/>
        <v>0</v>
      </c>
      <c r="DP58" s="28">
        <f t="shared" si="212"/>
        <v>240.35192984401056</v>
      </c>
      <c r="DQ58" s="28">
        <f t="shared" si="213"/>
        <v>0</v>
      </c>
      <c r="DR58" s="28">
        <f t="shared" si="214"/>
        <v>0</v>
      </c>
      <c r="DS58" s="28">
        <f t="shared" si="215"/>
        <v>0</v>
      </c>
      <c r="DT58" s="28">
        <f t="shared" si="216"/>
        <v>1722.6768508969162</v>
      </c>
      <c r="DU58" s="28">
        <f t="shared" si="217"/>
        <v>0</v>
      </c>
      <c r="DV58" s="28">
        <f t="shared" si="218"/>
        <v>0</v>
      </c>
      <c r="DW58" s="28">
        <f t="shared" si="219"/>
        <v>0</v>
      </c>
      <c r="DX58" s="28">
        <f t="shared" si="220"/>
        <v>0</v>
      </c>
      <c r="DY58" s="28">
        <f t="shared" si="221"/>
        <v>0</v>
      </c>
      <c r="DZ58" s="28">
        <f t="shared" si="222"/>
        <v>0</v>
      </c>
      <c r="EA58" s="28">
        <f t="shared" si="223"/>
        <v>0</v>
      </c>
      <c r="EB58" s="28">
        <f t="shared" si="224"/>
        <v>4286.0540056696227</v>
      </c>
      <c r="EC58" s="28">
        <f t="shared" si="225"/>
        <v>0</v>
      </c>
      <c r="ED58" s="28">
        <f t="shared" si="226"/>
        <v>1201.7596492200496</v>
      </c>
      <c r="EE58" s="28">
        <f t="shared" si="227"/>
        <v>360.52789476601561</v>
      </c>
      <c r="EF58" s="28">
        <f t="shared" si="228"/>
        <v>961.40771937604086</v>
      </c>
      <c r="EG58" s="28">
        <f t="shared" si="229"/>
        <v>0</v>
      </c>
      <c r="EH58" s="28">
        <f t="shared" si="230"/>
        <v>0</v>
      </c>
      <c r="EI58" s="28">
        <f t="shared" si="231"/>
        <v>721.0557895320303</v>
      </c>
      <c r="EJ58" s="28">
        <f t="shared" si="232"/>
        <v>0</v>
      </c>
      <c r="EK58" s="28">
        <f t="shared" si="233"/>
        <v>5528.0943864122382</v>
      </c>
      <c r="EL58" s="28">
        <f t="shared" si="234"/>
        <v>0</v>
      </c>
      <c r="EM58" s="28">
        <f t="shared" si="235"/>
        <v>0</v>
      </c>
      <c r="EN58" s="28">
        <f t="shared" si="236"/>
        <v>57157.071774283075</v>
      </c>
      <c r="EQ58" s="144">
        <v>4.0159969599442659E-2</v>
      </c>
      <c r="ER58" s="144">
        <v>5.0201087019928696E-2</v>
      </c>
      <c r="ES58" s="144">
        <v>6.0242237774359199E-2</v>
      </c>
      <c r="ET58" s="144">
        <v>8.2330909400005661E-2</v>
      </c>
      <c r="EU58" s="144">
        <v>7.0283355194845229E-2</v>
      </c>
      <c r="EV58" s="144">
        <v>8.0319939198885318E-2</v>
      </c>
      <c r="EW58" s="144">
        <v>8.0319939198885318E-2</v>
      </c>
      <c r="EX58" s="144">
        <v>7.0283355194845229E-2</v>
      </c>
      <c r="EY58" s="144">
        <v>8.0319939198885318E-2</v>
      </c>
      <c r="EZ58" s="144">
        <v>0.10743143624299781</v>
      </c>
      <c r="FA58" s="144">
        <v>0.10743143624299781</v>
      </c>
      <c r="FB58" s="144">
        <v>0.17067639573392177</v>
      </c>
      <c r="FC58" s="145">
        <f t="shared" si="237"/>
        <v>1</v>
      </c>
      <c r="FD58" s="146">
        <f t="shared" si="238"/>
        <v>0.15060329439373055</v>
      </c>
      <c r="FE58" s="146">
        <f t="shared" si="239"/>
        <v>0.23293420379373619</v>
      </c>
      <c r="FF58" s="146">
        <f t="shared" si="240"/>
        <v>0.23092323359261585</v>
      </c>
      <c r="FG58" s="146">
        <f t="shared" si="241"/>
        <v>0.38553926821991735</v>
      </c>
      <c r="FH58" s="145">
        <f t="shared" si="375"/>
        <v>0.99999999999999989</v>
      </c>
      <c r="FJ58" s="52">
        <f t="shared" si="243"/>
        <v>0</v>
      </c>
      <c r="FK58" s="52">
        <f t="shared" si="244"/>
        <v>149.31369978569342</v>
      </c>
      <c r="FL58" s="52">
        <f t="shared" si="245"/>
        <v>0</v>
      </c>
      <c r="FM58" s="52">
        <f t="shared" si="246"/>
        <v>0</v>
      </c>
      <c r="FN58" s="52">
        <f t="shared" si="247"/>
        <v>0</v>
      </c>
      <c r="FO58" s="52">
        <f t="shared" si="248"/>
        <v>1070.1776112616294</v>
      </c>
      <c r="FP58" s="52">
        <f t="shared" si="249"/>
        <v>0</v>
      </c>
      <c r="FQ58" s="52">
        <f t="shared" si="250"/>
        <v>0</v>
      </c>
      <c r="FR58" s="52">
        <f t="shared" si="251"/>
        <v>0</v>
      </c>
      <c r="FS58" s="52">
        <f t="shared" si="252"/>
        <v>0</v>
      </c>
      <c r="FT58" s="52">
        <f t="shared" si="253"/>
        <v>0</v>
      </c>
      <c r="FU58" s="52">
        <f t="shared" si="254"/>
        <v>0</v>
      </c>
      <c r="FV58" s="52">
        <f t="shared" si="255"/>
        <v>0</v>
      </c>
      <c r="FW58" s="52">
        <f t="shared" si="256"/>
        <v>2662.6230190170054</v>
      </c>
      <c r="FX58" s="52">
        <f t="shared" si="257"/>
        <v>0</v>
      </c>
      <c r="FY58" s="52">
        <f t="shared" si="258"/>
        <v>746.56849892846503</v>
      </c>
      <c r="FZ58" s="52">
        <f t="shared" si="259"/>
        <v>223.97054967853992</v>
      </c>
      <c r="GA58" s="52">
        <f t="shared" si="260"/>
        <v>597.25479914277287</v>
      </c>
      <c r="GB58" s="52">
        <f t="shared" si="261"/>
        <v>0</v>
      </c>
      <c r="GC58" s="52">
        <f t="shared" si="262"/>
        <v>0</v>
      </c>
      <c r="GD58" s="52">
        <f t="shared" si="263"/>
        <v>447.94109935707939</v>
      </c>
      <c r="GE58" s="52">
        <f t="shared" si="264"/>
        <v>0</v>
      </c>
      <c r="GF58" s="52">
        <f t="shared" si="265"/>
        <v>3434.2150950709452</v>
      </c>
      <c r="GG58" s="52">
        <f t="shared" si="266"/>
        <v>0</v>
      </c>
      <c r="GH58" s="52">
        <f t="shared" si="267"/>
        <v>0</v>
      </c>
      <c r="GI58" s="52">
        <f t="shared" si="268"/>
        <v>35507.656880780843</v>
      </c>
      <c r="GJ58" s="26"/>
      <c r="GL58" s="150">
        <f t="shared" si="269"/>
        <v>0</v>
      </c>
      <c r="GM58" s="150">
        <f t="shared" si="270"/>
        <v>230.93962130834583</v>
      </c>
      <c r="GN58" s="150">
        <f t="shared" si="271"/>
        <v>0</v>
      </c>
      <c r="GO58" s="150">
        <f t="shared" si="272"/>
        <v>0</v>
      </c>
      <c r="GP58" s="150">
        <f t="shared" si="273"/>
        <v>0</v>
      </c>
      <c r="GQ58" s="150">
        <f t="shared" si="274"/>
        <v>1655.2159154327733</v>
      </c>
      <c r="GR58" s="150">
        <f t="shared" si="275"/>
        <v>0</v>
      </c>
      <c r="GS58" s="150">
        <f t="shared" si="276"/>
        <v>0</v>
      </c>
      <c r="GT58" s="150">
        <f t="shared" si="277"/>
        <v>0</v>
      </c>
      <c r="GU58" s="150">
        <f t="shared" si="278"/>
        <v>0</v>
      </c>
      <c r="GV58" s="150">
        <f t="shared" si="279"/>
        <v>0</v>
      </c>
      <c r="GW58" s="150">
        <f t="shared" si="280"/>
        <v>0</v>
      </c>
      <c r="GX58" s="150">
        <f t="shared" si="281"/>
        <v>0</v>
      </c>
      <c r="GY58" s="150">
        <f t="shared" si="282"/>
        <v>4118.2098667518867</v>
      </c>
      <c r="GZ58" s="150">
        <f t="shared" si="283"/>
        <v>0</v>
      </c>
      <c r="HA58" s="150">
        <f t="shared" si="284"/>
        <v>1154.6981065417258</v>
      </c>
      <c r="HB58" s="150">
        <f t="shared" si="285"/>
        <v>346.40943196251845</v>
      </c>
      <c r="HC58" s="150">
        <f t="shared" si="286"/>
        <v>923.75848523338209</v>
      </c>
      <c r="HD58" s="150">
        <f t="shared" si="287"/>
        <v>0</v>
      </c>
      <c r="HE58" s="150">
        <f t="shared" si="288"/>
        <v>0</v>
      </c>
      <c r="HF58" s="150">
        <f t="shared" si="289"/>
        <v>692.81886392503611</v>
      </c>
      <c r="HG58" s="150">
        <f t="shared" si="290"/>
        <v>0</v>
      </c>
      <c r="HH58" s="150">
        <f t="shared" si="291"/>
        <v>5311.6112900919488</v>
      </c>
      <c r="HI58" s="150">
        <f t="shared" si="292"/>
        <v>0</v>
      </c>
      <c r="HJ58" s="150">
        <f t="shared" si="293"/>
        <v>0</v>
      </c>
      <c r="HK58" s="150">
        <f t="shared" si="294"/>
        <v>54918.770651076637</v>
      </c>
      <c r="HL58" s="26"/>
      <c r="HN58" s="147">
        <f t="shared" si="295"/>
        <v>0</v>
      </c>
      <c r="HO58" s="147">
        <f t="shared" si="296"/>
        <v>228.94587075928376</v>
      </c>
      <c r="HP58" s="147">
        <f t="shared" si="297"/>
        <v>0</v>
      </c>
      <c r="HQ58" s="147">
        <f t="shared" si="298"/>
        <v>0</v>
      </c>
      <c r="HR58" s="147">
        <f t="shared" si="299"/>
        <v>0</v>
      </c>
      <c r="HS58" s="147">
        <f t="shared" si="300"/>
        <v>1640.9260866822351</v>
      </c>
      <c r="HT58" s="147">
        <f t="shared" si="301"/>
        <v>0</v>
      </c>
      <c r="HU58" s="147">
        <f t="shared" si="302"/>
        <v>0</v>
      </c>
      <c r="HV58" s="147">
        <f t="shared" si="303"/>
        <v>0</v>
      </c>
      <c r="HW58" s="147">
        <f t="shared" si="304"/>
        <v>0</v>
      </c>
      <c r="HX58" s="147">
        <f t="shared" si="305"/>
        <v>0</v>
      </c>
      <c r="HY58" s="147">
        <f t="shared" si="306"/>
        <v>0</v>
      </c>
      <c r="HZ58" s="147">
        <f t="shared" si="307"/>
        <v>0</v>
      </c>
      <c r="IA58" s="147">
        <f t="shared" si="308"/>
        <v>4082.6564907808288</v>
      </c>
      <c r="IB58" s="147">
        <f t="shared" si="309"/>
        <v>0</v>
      </c>
      <c r="IC58" s="147">
        <f t="shared" si="310"/>
        <v>1144.7293537964156</v>
      </c>
      <c r="ID58" s="147">
        <f t="shared" si="311"/>
        <v>343.41880613892533</v>
      </c>
      <c r="IE58" s="147">
        <f t="shared" si="312"/>
        <v>915.78348303713381</v>
      </c>
      <c r="IF58" s="147">
        <f t="shared" si="313"/>
        <v>0</v>
      </c>
      <c r="IG58" s="147">
        <f t="shared" si="314"/>
        <v>0</v>
      </c>
      <c r="IH58" s="147">
        <f t="shared" si="315"/>
        <v>686.83761227784987</v>
      </c>
      <c r="II58" s="147">
        <f t="shared" si="316"/>
        <v>0</v>
      </c>
      <c r="IJ58" s="147">
        <f t="shared" si="317"/>
        <v>5265.7550274635205</v>
      </c>
      <c r="IK58" s="147">
        <f t="shared" si="318"/>
        <v>0</v>
      </c>
      <c r="IL58" s="147">
        <f t="shared" si="319"/>
        <v>0</v>
      </c>
      <c r="IM58" s="147">
        <f t="shared" si="320"/>
        <v>54444.6452995277</v>
      </c>
      <c r="IN58" s="26"/>
      <c r="IP58" s="61">
        <f t="shared" si="321"/>
        <v>0</v>
      </c>
      <c r="IQ58" s="61">
        <f t="shared" si="322"/>
        <v>382.23795025416854</v>
      </c>
      <c r="IR58" s="61">
        <f t="shared" si="323"/>
        <v>0</v>
      </c>
      <c r="IS58" s="61">
        <f t="shared" si="324"/>
        <v>0</v>
      </c>
      <c r="IT58" s="61">
        <f t="shared" si="325"/>
        <v>0</v>
      </c>
      <c r="IU58" s="61">
        <f t="shared" si="326"/>
        <v>2739.6179796205283</v>
      </c>
      <c r="IV58" s="61">
        <f t="shared" si="327"/>
        <v>0</v>
      </c>
      <c r="IW58" s="61">
        <f t="shared" si="328"/>
        <v>0</v>
      </c>
      <c r="IX58" s="61">
        <f t="shared" si="329"/>
        <v>0</v>
      </c>
      <c r="IY58" s="61">
        <f t="shared" si="330"/>
        <v>0</v>
      </c>
      <c r="IZ58" s="61">
        <f t="shared" si="331"/>
        <v>0</v>
      </c>
      <c r="JA58" s="61">
        <f t="shared" si="332"/>
        <v>0</v>
      </c>
      <c r="JB58" s="61">
        <f t="shared" si="333"/>
        <v>0</v>
      </c>
      <c r="JC58" s="61">
        <f t="shared" si="334"/>
        <v>6816.2236053984843</v>
      </c>
      <c r="JD58" s="61">
        <f t="shared" si="335"/>
        <v>0</v>
      </c>
      <c r="JE58" s="61">
        <f t="shared" si="336"/>
        <v>1911.1897512708372</v>
      </c>
      <c r="JF58" s="61">
        <f t="shared" si="337"/>
        <v>573.35692538125227</v>
      </c>
      <c r="JG58" s="61">
        <f t="shared" si="338"/>
        <v>1528.9518010166719</v>
      </c>
      <c r="JH58" s="61">
        <f t="shared" si="339"/>
        <v>0</v>
      </c>
      <c r="JI58" s="61">
        <f t="shared" si="340"/>
        <v>0</v>
      </c>
      <c r="JJ58" s="61">
        <f t="shared" si="341"/>
        <v>1146.7138507625032</v>
      </c>
      <c r="JK58" s="61">
        <f t="shared" si="342"/>
        <v>0</v>
      </c>
      <c r="JL58" s="61">
        <f t="shared" si="343"/>
        <v>8791.4728558458664</v>
      </c>
      <c r="JM58" s="61">
        <f t="shared" si="344"/>
        <v>0</v>
      </c>
      <c r="JN58" s="61">
        <f t="shared" si="345"/>
        <v>0</v>
      </c>
      <c r="JO58" s="61">
        <f t="shared" si="346"/>
        <v>90898.383764638565</v>
      </c>
      <c r="JQ58" s="26">
        <f t="shared" si="431"/>
        <v>297734</v>
      </c>
      <c r="JR58" s="156">
        <f t="shared" si="432"/>
        <v>1</v>
      </c>
      <c r="JT58" s="157">
        <f t="shared" si="347"/>
        <v>0</v>
      </c>
      <c r="JU58" s="29">
        <f t="shared" si="348"/>
        <v>0</v>
      </c>
    </row>
    <row r="59" spans="1:281" ht="18.75" x14ac:dyDescent="0.3">
      <c r="A59" t="s">
        <v>69</v>
      </c>
      <c r="B59" t="s">
        <v>107</v>
      </c>
      <c r="C59" t="s">
        <v>86</v>
      </c>
      <c r="D59" t="s">
        <v>20</v>
      </c>
      <c r="E59" t="s">
        <v>133</v>
      </c>
      <c r="F59" s="113">
        <v>9</v>
      </c>
      <c r="G59" s="15">
        <v>170119</v>
      </c>
      <c r="H59" s="20">
        <v>126014</v>
      </c>
      <c r="I59" s="23">
        <v>1.3500007935626199</v>
      </c>
      <c r="J59" s="9">
        <v>0</v>
      </c>
      <c r="K59" s="9">
        <v>3.3299426404357299E-3</v>
      </c>
      <c r="L59" s="9">
        <v>0</v>
      </c>
      <c r="M59" s="9">
        <v>0</v>
      </c>
      <c r="N59" s="9">
        <v>0</v>
      </c>
      <c r="O59" s="9">
        <v>2.38667320258928E-2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5.9380900340398501E-2</v>
      </c>
      <c r="X59" s="9">
        <v>0</v>
      </c>
      <c r="Y59" s="9">
        <v>1.66497132021786E-2</v>
      </c>
      <c r="Z59" s="9">
        <v>4.9949139606535898E-3</v>
      </c>
      <c r="AA59" s="9">
        <v>1.33197705617429E-2</v>
      </c>
      <c r="AB59" s="9">
        <v>0</v>
      </c>
      <c r="AC59" s="9">
        <v>0</v>
      </c>
      <c r="AD59" s="9">
        <v>9.9898279213071692E-3</v>
      </c>
      <c r="AE59" s="9">
        <v>0</v>
      </c>
      <c r="AF59" s="9">
        <v>7.6588680730021702E-2</v>
      </c>
      <c r="AG59" s="9">
        <v>0</v>
      </c>
      <c r="AH59" s="9">
        <v>0</v>
      </c>
      <c r="AI59" s="9">
        <v>0.79187951861736905</v>
      </c>
      <c r="AJ59" s="8">
        <f t="shared" si="376"/>
        <v>1</v>
      </c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9"/>
      <c r="BM59" s="26">
        <f t="shared" si="377"/>
        <v>0</v>
      </c>
      <c r="BN59" s="26">
        <f t="shared" si="378"/>
        <v>566.48651204828593</v>
      </c>
      <c r="BO59" s="26">
        <f t="shared" si="379"/>
        <v>0</v>
      </c>
      <c r="BP59" s="26">
        <f t="shared" si="380"/>
        <v>0</v>
      </c>
      <c r="BQ59" s="26">
        <f t="shared" si="381"/>
        <v>0</v>
      </c>
      <c r="BR59" s="26">
        <f t="shared" si="382"/>
        <v>4060.1845855128572</v>
      </c>
      <c r="BS59" s="26">
        <f t="shared" si="383"/>
        <v>0</v>
      </c>
      <c r="BT59" s="26">
        <f t="shared" si="384"/>
        <v>0</v>
      </c>
      <c r="BU59" s="26">
        <f t="shared" si="385"/>
        <v>0</v>
      </c>
      <c r="BV59" s="26">
        <f t="shared" si="386"/>
        <v>0</v>
      </c>
      <c r="BW59" s="26">
        <f t="shared" si="387"/>
        <v>0</v>
      </c>
      <c r="BX59" s="26">
        <f t="shared" si="388"/>
        <v>0</v>
      </c>
      <c r="BY59" s="26">
        <f t="shared" si="389"/>
        <v>0</v>
      </c>
      <c r="BZ59" s="26">
        <f t="shared" si="390"/>
        <v>10101.819385008253</v>
      </c>
      <c r="CA59" s="26">
        <f t="shared" si="391"/>
        <v>0</v>
      </c>
      <c r="CB59" s="26">
        <f t="shared" si="392"/>
        <v>2832.4325602414215</v>
      </c>
      <c r="CC59" s="26">
        <f t="shared" si="393"/>
        <v>849.72976807242799</v>
      </c>
      <c r="CD59" s="26">
        <f t="shared" si="394"/>
        <v>2265.9460481931405</v>
      </c>
      <c r="CE59" s="26">
        <f t="shared" si="395"/>
        <v>0</v>
      </c>
      <c r="CF59" s="26">
        <f t="shared" si="396"/>
        <v>0</v>
      </c>
      <c r="CG59" s="26">
        <f t="shared" si="397"/>
        <v>1699.4595361448544</v>
      </c>
      <c r="CH59" s="26">
        <f t="shared" si="398"/>
        <v>0</v>
      </c>
      <c r="CI59" s="26">
        <f t="shared" si="399"/>
        <v>13029.189777110561</v>
      </c>
      <c r="CJ59" s="26">
        <f t="shared" si="400"/>
        <v>0</v>
      </c>
      <c r="CK59" s="26">
        <f t="shared" si="401"/>
        <v>0</v>
      </c>
      <c r="CL59" s="26">
        <f t="shared" si="402"/>
        <v>134713.75182766819</v>
      </c>
      <c r="CM59" s="110">
        <f t="shared" si="403"/>
        <v>1</v>
      </c>
      <c r="CN59" s="27">
        <f t="shared" si="404"/>
        <v>0</v>
      </c>
      <c r="CO59" s="27">
        <f t="shared" si="405"/>
        <v>419.61939189186808</v>
      </c>
      <c r="CP59" s="27">
        <f t="shared" si="406"/>
        <v>0</v>
      </c>
      <c r="CQ59" s="27">
        <f t="shared" si="407"/>
        <v>0</v>
      </c>
      <c r="CR59" s="27">
        <f t="shared" si="408"/>
        <v>0</v>
      </c>
      <c r="CS59" s="27">
        <f t="shared" si="409"/>
        <v>3007.5423695108552</v>
      </c>
      <c r="CT59" s="27">
        <f t="shared" si="410"/>
        <v>0</v>
      </c>
      <c r="CU59" s="27">
        <f t="shared" si="411"/>
        <v>0</v>
      </c>
      <c r="CV59" s="27">
        <f t="shared" si="412"/>
        <v>0</v>
      </c>
      <c r="CW59" s="27">
        <f t="shared" si="413"/>
        <v>0</v>
      </c>
      <c r="CX59" s="27">
        <f t="shared" si="414"/>
        <v>0</v>
      </c>
      <c r="CY59" s="27">
        <f t="shared" si="415"/>
        <v>0</v>
      </c>
      <c r="CZ59" s="27">
        <f t="shared" si="416"/>
        <v>0</v>
      </c>
      <c r="DA59" s="27">
        <f t="shared" si="417"/>
        <v>7482.8247754949771</v>
      </c>
      <c r="DB59" s="27">
        <f t="shared" si="418"/>
        <v>0</v>
      </c>
      <c r="DC59" s="27">
        <f t="shared" si="419"/>
        <v>2098.0969594593344</v>
      </c>
      <c r="DD59" s="27">
        <f t="shared" si="420"/>
        <v>629.42908783780149</v>
      </c>
      <c r="DE59" s="27">
        <f t="shared" si="421"/>
        <v>1678.4775675674698</v>
      </c>
      <c r="DF59" s="27">
        <f t="shared" si="422"/>
        <v>0</v>
      </c>
      <c r="DG59" s="27">
        <f t="shared" si="423"/>
        <v>0</v>
      </c>
      <c r="DH59" s="27">
        <f t="shared" si="424"/>
        <v>1258.8581756756016</v>
      </c>
      <c r="DI59" s="27">
        <f t="shared" si="425"/>
        <v>0</v>
      </c>
      <c r="DJ59" s="27">
        <f t="shared" si="426"/>
        <v>9651.246013512955</v>
      </c>
      <c r="DK59" s="27">
        <f t="shared" si="427"/>
        <v>0</v>
      </c>
      <c r="DL59" s="27">
        <f t="shared" si="428"/>
        <v>0</v>
      </c>
      <c r="DM59" s="27">
        <f t="shared" si="429"/>
        <v>99787.905659049138</v>
      </c>
      <c r="DN59" s="110">
        <f t="shared" si="430"/>
        <v>1</v>
      </c>
      <c r="DO59" s="28">
        <f t="shared" si="211"/>
        <v>0</v>
      </c>
      <c r="DP59" s="28">
        <f t="shared" si="212"/>
        <v>146.86712015641785</v>
      </c>
      <c r="DQ59" s="28">
        <f t="shared" si="213"/>
        <v>0</v>
      </c>
      <c r="DR59" s="28">
        <f t="shared" si="214"/>
        <v>0</v>
      </c>
      <c r="DS59" s="28">
        <f t="shared" si="215"/>
        <v>0</v>
      </c>
      <c r="DT59" s="28">
        <f t="shared" si="216"/>
        <v>1052.642216002002</v>
      </c>
      <c r="DU59" s="28">
        <f t="shared" si="217"/>
        <v>0</v>
      </c>
      <c r="DV59" s="28">
        <f t="shared" si="218"/>
        <v>0</v>
      </c>
      <c r="DW59" s="28">
        <f t="shared" si="219"/>
        <v>0</v>
      </c>
      <c r="DX59" s="28">
        <f t="shared" si="220"/>
        <v>0</v>
      </c>
      <c r="DY59" s="28">
        <f t="shared" si="221"/>
        <v>0</v>
      </c>
      <c r="DZ59" s="28">
        <f t="shared" si="222"/>
        <v>0</v>
      </c>
      <c r="EA59" s="28">
        <f t="shared" si="223"/>
        <v>0</v>
      </c>
      <c r="EB59" s="28">
        <f t="shared" si="224"/>
        <v>2618.9946095132764</v>
      </c>
      <c r="EC59" s="28">
        <f t="shared" si="225"/>
        <v>0</v>
      </c>
      <c r="ED59" s="28">
        <f t="shared" si="226"/>
        <v>734.33560078208711</v>
      </c>
      <c r="EE59" s="28">
        <f t="shared" si="227"/>
        <v>220.3006802346265</v>
      </c>
      <c r="EF59" s="28">
        <f t="shared" si="228"/>
        <v>587.46848062567074</v>
      </c>
      <c r="EG59" s="28">
        <f t="shared" si="229"/>
        <v>0</v>
      </c>
      <c r="EH59" s="28">
        <f t="shared" si="230"/>
        <v>0</v>
      </c>
      <c r="EI59" s="28">
        <f t="shared" si="231"/>
        <v>440.60136046925277</v>
      </c>
      <c r="EJ59" s="28">
        <f t="shared" si="232"/>
        <v>0</v>
      </c>
      <c r="EK59" s="28">
        <f t="shared" si="233"/>
        <v>3377.9437635976064</v>
      </c>
      <c r="EL59" s="28">
        <f t="shared" si="234"/>
        <v>0</v>
      </c>
      <c r="EM59" s="28">
        <f t="shared" si="235"/>
        <v>0</v>
      </c>
      <c r="EN59" s="28">
        <f t="shared" si="236"/>
        <v>34925.846168619057</v>
      </c>
      <c r="EQ59" s="144">
        <v>4.0157189190750217E-2</v>
      </c>
      <c r="ER59" s="144">
        <v>5.0201276329702442E-2</v>
      </c>
      <c r="ES59" s="144">
        <v>6.0245343469317432E-2</v>
      </c>
      <c r="ET59" s="144">
        <v>8.2327011682832837E-2</v>
      </c>
      <c r="EU59" s="144">
        <v>7.0289430608269643E-2</v>
      </c>
      <c r="EV59" s="144">
        <v>8.031435838216322E-2</v>
      </c>
      <c r="EW59" s="144">
        <v>8.031435838216322E-2</v>
      </c>
      <c r="EX59" s="144">
        <v>7.0289430608269643E-2</v>
      </c>
      <c r="EY59" s="144">
        <v>8.031435838216322E-2</v>
      </c>
      <c r="EZ59" s="144">
        <v>0.10743721953054479</v>
      </c>
      <c r="FA59" s="144">
        <v>0.10743721953054479</v>
      </c>
      <c r="FB59" s="144">
        <v>0.17067280390327866</v>
      </c>
      <c r="FC59" s="145">
        <f t="shared" si="237"/>
        <v>1</v>
      </c>
      <c r="FD59" s="146">
        <f t="shared" si="238"/>
        <v>0.15060380898977008</v>
      </c>
      <c r="FE59" s="146">
        <f t="shared" si="239"/>
        <v>0.23293080067326571</v>
      </c>
      <c r="FF59" s="146">
        <f t="shared" si="240"/>
        <v>0.23091814737259608</v>
      </c>
      <c r="FG59" s="146">
        <f t="shared" si="241"/>
        <v>0.38554724296436826</v>
      </c>
      <c r="FH59" s="145">
        <f t="shared" si="375"/>
        <v>1</v>
      </c>
      <c r="FJ59" s="52">
        <f t="shared" si="243"/>
        <v>0</v>
      </c>
      <c r="FK59" s="52">
        <f t="shared" si="244"/>
        <v>85.315026455801146</v>
      </c>
      <c r="FL59" s="52">
        <f t="shared" si="245"/>
        <v>0</v>
      </c>
      <c r="FM59" s="52">
        <f t="shared" si="246"/>
        <v>0</v>
      </c>
      <c r="FN59" s="52">
        <f t="shared" si="247"/>
        <v>0</v>
      </c>
      <c r="FO59" s="52">
        <f t="shared" si="248"/>
        <v>611.47926377978717</v>
      </c>
      <c r="FP59" s="52">
        <f t="shared" si="249"/>
        <v>0</v>
      </c>
      <c r="FQ59" s="52">
        <f t="shared" si="250"/>
        <v>0</v>
      </c>
      <c r="FR59" s="52">
        <f t="shared" si="251"/>
        <v>0</v>
      </c>
      <c r="FS59" s="52">
        <f t="shared" si="252"/>
        <v>0</v>
      </c>
      <c r="FT59" s="52">
        <f t="shared" si="253"/>
        <v>0</v>
      </c>
      <c r="FU59" s="52">
        <f t="shared" si="254"/>
        <v>0</v>
      </c>
      <c r="FV59" s="52">
        <f t="shared" si="255"/>
        <v>0</v>
      </c>
      <c r="FW59" s="52">
        <f t="shared" si="256"/>
        <v>1521.3724771089396</v>
      </c>
      <c r="FX59" s="52">
        <f t="shared" si="257"/>
        <v>0</v>
      </c>
      <c r="FY59" s="52">
        <f t="shared" si="258"/>
        <v>426.57513227900449</v>
      </c>
      <c r="FZ59" s="52">
        <f t="shared" si="259"/>
        <v>127.97253968370157</v>
      </c>
      <c r="GA59" s="52">
        <f t="shared" si="260"/>
        <v>341.26010582320407</v>
      </c>
      <c r="GB59" s="52">
        <f t="shared" si="261"/>
        <v>0</v>
      </c>
      <c r="GC59" s="52">
        <f t="shared" si="262"/>
        <v>0</v>
      </c>
      <c r="GD59" s="52">
        <f t="shared" si="263"/>
        <v>255.94507936740291</v>
      </c>
      <c r="GE59" s="52">
        <f t="shared" si="264"/>
        <v>0</v>
      </c>
      <c r="GF59" s="52">
        <f t="shared" si="265"/>
        <v>1962.2456084834239</v>
      </c>
      <c r="GG59" s="52">
        <f t="shared" si="266"/>
        <v>0</v>
      </c>
      <c r="GH59" s="52">
        <f t="shared" si="267"/>
        <v>0</v>
      </c>
      <c r="GI59" s="52">
        <f t="shared" si="268"/>
        <v>20288.404148549431</v>
      </c>
      <c r="GJ59" s="26"/>
      <c r="GL59" s="150">
        <f t="shared" si="269"/>
        <v>0</v>
      </c>
      <c r="GM59" s="150">
        <f t="shared" si="270"/>
        <v>131.95215682201282</v>
      </c>
      <c r="GN59" s="150">
        <f t="shared" si="271"/>
        <v>0</v>
      </c>
      <c r="GO59" s="150">
        <f t="shared" si="272"/>
        <v>0</v>
      </c>
      <c r="GP59" s="150">
        <f t="shared" si="273"/>
        <v>0</v>
      </c>
      <c r="GQ59" s="150">
        <f t="shared" si="274"/>
        <v>945.74204638476135</v>
      </c>
      <c r="GR59" s="150">
        <f t="shared" si="275"/>
        <v>0</v>
      </c>
      <c r="GS59" s="150">
        <f t="shared" si="276"/>
        <v>0</v>
      </c>
      <c r="GT59" s="150">
        <f t="shared" si="277"/>
        <v>0</v>
      </c>
      <c r="GU59" s="150">
        <f t="shared" si="278"/>
        <v>0</v>
      </c>
      <c r="GV59" s="150">
        <f t="shared" si="279"/>
        <v>0</v>
      </c>
      <c r="GW59" s="150">
        <f t="shared" si="280"/>
        <v>0</v>
      </c>
      <c r="GX59" s="150">
        <f t="shared" si="281"/>
        <v>0</v>
      </c>
      <c r="GY59" s="150">
        <f t="shared" si="282"/>
        <v>2353.0248776066892</v>
      </c>
      <c r="GZ59" s="150">
        <f t="shared" si="283"/>
        <v>0</v>
      </c>
      <c r="HA59" s="150">
        <f t="shared" si="284"/>
        <v>659.76078411006222</v>
      </c>
      <c r="HB59" s="150">
        <f t="shared" si="285"/>
        <v>197.92823523301902</v>
      </c>
      <c r="HC59" s="150">
        <f t="shared" si="286"/>
        <v>527.80862728805062</v>
      </c>
      <c r="HD59" s="150">
        <f t="shared" si="287"/>
        <v>0</v>
      </c>
      <c r="HE59" s="150">
        <f t="shared" si="288"/>
        <v>0</v>
      </c>
      <c r="HF59" s="150">
        <f t="shared" si="289"/>
        <v>395.85647046603771</v>
      </c>
      <c r="HG59" s="150">
        <f t="shared" si="290"/>
        <v>0</v>
      </c>
      <c r="HH59" s="150">
        <f t="shared" si="291"/>
        <v>3034.8996069062914</v>
      </c>
      <c r="HI59" s="150">
        <f t="shared" si="292"/>
        <v>0</v>
      </c>
      <c r="HJ59" s="150">
        <f t="shared" si="293"/>
        <v>0</v>
      </c>
      <c r="HK59" s="150">
        <f t="shared" si="294"/>
        <v>31378.982074918364</v>
      </c>
      <c r="HL59" s="26"/>
      <c r="HN59" s="147">
        <f t="shared" si="295"/>
        <v>0</v>
      </c>
      <c r="HO59" s="147">
        <f t="shared" si="296"/>
        <v>130.81201587375401</v>
      </c>
      <c r="HP59" s="147">
        <f t="shared" si="297"/>
        <v>0</v>
      </c>
      <c r="HQ59" s="147">
        <f t="shared" si="298"/>
        <v>0</v>
      </c>
      <c r="HR59" s="147">
        <f t="shared" si="299"/>
        <v>0</v>
      </c>
      <c r="HS59" s="147">
        <f t="shared" si="300"/>
        <v>937.5703024774009</v>
      </c>
      <c r="HT59" s="147">
        <f t="shared" si="301"/>
        <v>0</v>
      </c>
      <c r="HU59" s="147">
        <f t="shared" si="302"/>
        <v>0</v>
      </c>
      <c r="HV59" s="147">
        <f t="shared" si="303"/>
        <v>0</v>
      </c>
      <c r="HW59" s="147">
        <f t="shared" si="304"/>
        <v>0</v>
      </c>
      <c r="HX59" s="147">
        <f t="shared" si="305"/>
        <v>0</v>
      </c>
      <c r="HY59" s="147">
        <f t="shared" si="306"/>
        <v>0</v>
      </c>
      <c r="HZ59" s="147">
        <f t="shared" si="307"/>
        <v>0</v>
      </c>
      <c r="IA59" s="147">
        <f t="shared" si="308"/>
        <v>2332.6934174786838</v>
      </c>
      <c r="IB59" s="147">
        <f t="shared" si="309"/>
        <v>0</v>
      </c>
      <c r="IC59" s="147">
        <f t="shared" si="310"/>
        <v>654.06007936876824</v>
      </c>
      <c r="ID59" s="147">
        <f t="shared" si="311"/>
        <v>196.21802381063083</v>
      </c>
      <c r="IE59" s="147">
        <f t="shared" si="312"/>
        <v>523.24806349501534</v>
      </c>
      <c r="IF59" s="147">
        <f t="shared" si="313"/>
        <v>0</v>
      </c>
      <c r="IG59" s="147">
        <f t="shared" si="314"/>
        <v>0</v>
      </c>
      <c r="IH59" s="147">
        <f t="shared" si="315"/>
        <v>392.43604762126125</v>
      </c>
      <c r="II59" s="147">
        <f t="shared" si="316"/>
        <v>0</v>
      </c>
      <c r="IJ59" s="147">
        <f t="shared" si="317"/>
        <v>3008.6763650963389</v>
      </c>
      <c r="IK59" s="147">
        <f t="shared" si="318"/>
        <v>0</v>
      </c>
      <c r="IL59" s="147">
        <f t="shared" si="319"/>
        <v>0</v>
      </c>
      <c r="IM59" s="147">
        <f t="shared" si="320"/>
        <v>31107.84999765682</v>
      </c>
      <c r="IN59" s="26"/>
      <c r="IP59" s="61">
        <f t="shared" si="321"/>
        <v>0</v>
      </c>
      <c r="IQ59" s="61">
        <f t="shared" si="322"/>
        <v>218.40731289671803</v>
      </c>
      <c r="IR59" s="61">
        <f t="shared" si="323"/>
        <v>0</v>
      </c>
      <c r="IS59" s="61">
        <f t="shared" si="324"/>
        <v>0</v>
      </c>
      <c r="IT59" s="61">
        <f t="shared" si="325"/>
        <v>0</v>
      </c>
      <c r="IU59" s="61">
        <f t="shared" si="326"/>
        <v>1565.3929728709084</v>
      </c>
      <c r="IV59" s="61">
        <f t="shared" si="327"/>
        <v>0</v>
      </c>
      <c r="IW59" s="61">
        <f t="shared" si="328"/>
        <v>0</v>
      </c>
      <c r="IX59" s="61">
        <f t="shared" si="329"/>
        <v>0</v>
      </c>
      <c r="IY59" s="61">
        <f t="shared" si="330"/>
        <v>0</v>
      </c>
      <c r="IZ59" s="61">
        <f t="shared" si="331"/>
        <v>0</v>
      </c>
      <c r="JA59" s="61">
        <f t="shared" si="332"/>
        <v>0</v>
      </c>
      <c r="JB59" s="61">
        <f t="shared" si="333"/>
        <v>0</v>
      </c>
      <c r="JC59" s="61">
        <f t="shared" si="334"/>
        <v>3894.7286128139422</v>
      </c>
      <c r="JD59" s="61">
        <f t="shared" si="335"/>
        <v>0</v>
      </c>
      <c r="JE59" s="61">
        <f t="shared" si="336"/>
        <v>1092.036564483587</v>
      </c>
      <c r="JF59" s="61">
        <f t="shared" si="337"/>
        <v>327.61096934507668</v>
      </c>
      <c r="JG59" s="61">
        <f t="shared" si="338"/>
        <v>873.62925158687085</v>
      </c>
      <c r="JH59" s="61">
        <f t="shared" si="339"/>
        <v>0</v>
      </c>
      <c r="JI59" s="61">
        <f t="shared" si="340"/>
        <v>0</v>
      </c>
      <c r="JJ59" s="61">
        <f t="shared" si="341"/>
        <v>655.2219386901528</v>
      </c>
      <c r="JK59" s="61">
        <f t="shared" si="342"/>
        <v>0</v>
      </c>
      <c r="JL59" s="61">
        <f t="shared" si="343"/>
        <v>5023.3681966245085</v>
      </c>
      <c r="JM59" s="61">
        <f t="shared" si="344"/>
        <v>0</v>
      </c>
      <c r="JN59" s="61">
        <f t="shared" si="345"/>
        <v>0</v>
      </c>
      <c r="JO59" s="61">
        <f t="shared" si="346"/>
        <v>51938.515606543602</v>
      </c>
      <c r="JQ59" s="26">
        <f t="shared" si="431"/>
        <v>170118.99999999997</v>
      </c>
      <c r="JR59" s="156">
        <f t="shared" si="432"/>
        <v>0.99999999999999978</v>
      </c>
      <c r="JT59" s="157">
        <f t="shared" si="347"/>
        <v>0</v>
      </c>
      <c r="JU59" s="29">
        <f t="shared" si="348"/>
        <v>0</v>
      </c>
    </row>
    <row r="60" spans="1:281" ht="18.75" x14ac:dyDescent="0.3">
      <c r="A60" t="s">
        <v>69</v>
      </c>
      <c r="B60" t="s">
        <v>108</v>
      </c>
      <c r="C60" t="s">
        <v>86</v>
      </c>
      <c r="D60" t="s">
        <v>20</v>
      </c>
      <c r="E60" t="s">
        <v>134</v>
      </c>
      <c r="F60" s="113">
        <v>9</v>
      </c>
      <c r="G60" s="15">
        <v>85059</v>
      </c>
      <c r="H60" s="20">
        <v>63007</v>
      </c>
      <c r="I60" s="23">
        <v>1.3499928579364198</v>
      </c>
      <c r="J60" s="9">
        <v>0</v>
      </c>
      <c r="K60" s="9">
        <v>3.3299426404357299E-3</v>
      </c>
      <c r="L60" s="9">
        <v>0</v>
      </c>
      <c r="M60" s="9">
        <v>0</v>
      </c>
      <c r="N60" s="9">
        <v>0</v>
      </c>
      <c r="O60" s="9">
        <v>2.38667320258928E-2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5.9380900340398501E-2</v>
      </c>
      <c r="X60" s="9">
        <v>0</v>
      </c>
      <c r="Y60" s="9">
        <v>1.66497132021786E-2</v>
      </c>
      <c r="Z60" s="9">
        <v>4.9949139606535898E-3</v>
      </c>
      <c r="AA60" s="9">
        <v>1.33197705617429E-2</v>
      </c>
      <c r="AB60" s="9">
        <v>0</v>
      </c>
      <c r="AC60" s="9">
        <v>0</v>
      </c>
      <c r="AD60" s="9">
        <v>9.9898279213071692E-3</v>
      </c>
      <c r="AE60" s="9">
        <v>0</v>
      </c>
      <c r="AF60" s="9">
        <v>7.6588680730021702E-2</v>
      </c>
      <c r="AG60" s="9">
        <v>0</v>
      </c>
      <c r="AH60" s="9">
        <v>0</v>
      </c>
      <c r="AI60" s="9">
        <v>0.79187951861736905</v>
      </c>
      <c r="AJ60" s="8">
        <f t="shared" si="376"/>
        <v>1</v>
      </c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9"/>
      <c r="BM60" s="26">
        <f t="shared" si="377"/>
        <v>0</v>
      </c>
      <c r="BN60" s="26">
        <f t="shared" si="378"/>
        <v>283.24159105282274</v>
      </c>
      <c r="BO60" s="26">
        <f t="shared" si="379"/>
        <v>0</v>
      </c>
      <c r="BP60" s="26">
        <f t="shared" si="380"/>
        <v>0</v>
      </c>
      <c r="BQ60" s="26">
        <f t="shared" si="381"/>
        <v>0</v>
      </c>
      <c r="BR60" s="26">
        <f t="shared" si="382"/>
        <v>2030.0803593904157</v>
      </c>
      <c r="BS60" s="26">
        <f t="shared" si="383"/>
        <v>0</v>
      </c>
      <c r="BT60" s="26">
        <f t="shared" si="384"/>
        <v>0</v>
      </c>
      <c r="BU60" s="26">
        <f t="shared" si="385"/>
        <v>0</v>
      </c>
      <c r="BV60" s="26">
        <f t="shared" si="386"/>
        <v>0</v>
      </c>
      <c r="BW60" s="26">
        <f t="shared" si="387"/>
        <v>0</v>
      </c>
      <c r="BX60" s="26">
        <f t="shared" si="388"/>
        <v>0</v>
      </c>
      <c r="BY60" s="26">
        <f t="shared" si="389"/>
        <v>0</v>
      </c>
      <c r="BZ60" s="26">
        <f t="shared" si="390"/>
        <v>5050.8800020539566</v>
      </c>
      <c r="CA60" s="26">
        <f t="shared" si="391"/>
        <v>0</v>
      </c>
      <c r="CB60" s="26">
        <f t="shared" si="392"/>
        <v>1416.2079552641096</v>
      </c>
      <c r="CC60" s="26">
        <f t="shared" si="393"/>
        <v>424.86238657923371</v>
      </c>
      <c r="CD60" s="26">
        <f t="shared" si="394"/>
        <v>1132.9663642112894</v>
      </c>
      <c r="CE60" s="26">
        <f t="shared" si="395"/>
        <v>0</v>
      </c>
      <c r="CF60" s="26">
        <f t="shared" si="396"/>
        <v>0</v>
      </c>
      <c r="CG60" s="26">
        <f t="shared" si="397"/>
        <v>849.72477315846652</v>
      </c>
      <c r="CH60" s="26">
        <f t="shared" si="398"/>
        <v>0</v>
      </c>
      <c r="CI60" s="26">
        <f t="shared" si="399"/>
        <v>6514.556594214916</v>
      </c>
      <c r="CJ60" s="26">
        <f t="shared" si="400"/>
        <v>0</v>
      </c>
      <c r="CK60" s="26">
        <f t="shared" si="401"/>
        <v>0</v>
      </c>
      <c r="CL60" s="26">
        <f t="shared" si="402"/>
        <v>67356.479974074799</v>
      </c>
      <c r="CM60" s="110">
        <f t="shared" si="403"/>
        <v>1.0000000000000002</v>
      </c>
      <c r="CN60" s="27">
        <f t="shared" si="404"/>
        <v>0</v>
      </c>
      <c r="CO60" s="27">
        <f t="shared" si="405"/>
        <v>209.80969594593404</v>
      </c>
      <c r="CP60" s="27">
        <f t="shared" si="406"/>
        <v>0</v>
      </c>
      <c r="CQ60" s="27">
        <f t="shared" si="407"/>
        <v>0</v>
      </c>
      <c r="CR60" s="27">
        <f t="shared" si="408"/>
        <v>0</v>
      </c>
      <c r="CS60" s="27">
        <f t="shared" si="409"/>
        <v>1503.7711847554276</v>
      </c>
      <c r="CT60" s="27">
        <f t="shared" si="410"/>
        <v>0</v>
      </c>
      <c r="CU60" s="27">
        <f t="shared" si="411"/>
        <v>0</v>
      </c>
      <c r="CV60" s="27">
        <f t="shared" si="412"/>
        <v>0</v>
      </c>
      <c r="CW60" s="27">
        <f t="shared" si="413"/>
        <v>0</v>
      </c>
      <c r="CX60" s="27">
        <f t="shared" si="414"/>
        <v>0</v>
      </c>
      <c r="CY60" s="27">
        <f t="shared" si="415"/>
        <v>0</v>
      </c>
      <c r="CZ60" s="27">
        <f t="shared" si="416"/>
        <v>0</v>
      </c>
      <c r="DA60" s="27">
        <f t="shared" si="417"/>
        <v>3741.4123877474885</v>
      </c>
      <c r="DB60" s="27">
        <f t="shared" si="418"/>
        <v>0</v>
      </c>
      <c r="DC60" s="27">
        <f t="shared" si="419"/>
        <v>1049.0484797296672</v>
      </c>
      <c r="DD60" s="27">
        <f t="shared" si="420"/>
        <v>314.71454391890074</v>
      </c>
      <c r="DE60" s="27">
        <f t="shared" si="421"/>
        <v>839.2387837837349</v>
      </c>
      <c r="DF60" s="27">
        <f t="shared" si="422"/>
        <v>0</v>
      </c>
      <c r="DG60" s="27">
        <f t="shared" si="423"/>
        <v>0</v>
      </c>
      <c r="DH60" s="27">
        <f t="shared" si="424"/>
        <v>629.42908783780081</v>
      </c>
      <c r="DI60" s="27">
        <f t="shared" si="425"/>
        <v>0</v>
      </c>
      <c r="DJ60" s="27">
        <f t="shared" si="426"/>
        <v>4825.6230067564775</v>
      </c>
      <c r="DK60" s="27">
        <f t="shared" si="427"/>
        <v>0</v>
      </c>
      <c r="DL60" s="27">
        <f t="shared" si="428"/>
        <v>0</v>
      </c>
      <c r="DM60" s="27">
        <f t="shared" si="429"/>
        <v>49893.952829524569</v>
      </c>
      <c r="DN60" s="110">
        <f t="shared" si="430"/>
        <v>1</v>
      </c>
      <c r="DO60" s="28">
        <f t="shared" si="211"/>
        <v>0</v>
      </c>
      <c r="DP60" s="28">
        <f t="shared" si="212"/>
        <v>73.431895106888703</v>
      </c>
      <c r="DQ60" s="28">
        <f t="shared" si="213"/>
        <v>0</v>
      </c>
      <c r="DR60" s="28">
        <f t="shared" si="214"/>
        <v>0</v>
      </c>
      <c r="DS60" s="28">
        <f t="shared" si="215"/>
        <v>0</v>
      </c>
      <c r="DT60" s="28">
        <f t="shared" si="216"/>
        <v>526.30917463498804</v>
      </c>
      <c r="DU60" s="28">
        <f t="shared" si="217"/>
        <v>0</v>
      </c>
      <c r="DV60" s="28">
        <f t="shared" si="218"/>
        <v>0</v>
      </c>
      <c r="DW60" s="28">
        <f t="shared" si="219"/>
        <v>0</v>
      </c>
      <c r="DX60" s="28">
        <f t="shared" si="220"/>
        <v>0</v>
      </c>
      <c r="DY60" s="28">
        <f t="shared" si="221"/>
        <v>0</v>
      </c>
      <c r="DZ60" s="28">
        <f t="shared" si="222"/>
        <v>0</v>
      </c>
      <c r="EA60" s="28">
        <f t="shared" si="223"/>
        <v>0</v>
      </c>
      <c r="EB60" s="28">
        <f t="shared" si="224"/>
        <v>1309.467614306468</v>
      </c>
      <c r="EC60" s="28">
        <f t="shared" si="225"/>
        <v>0</v>
      </c>
      <c r="ED60" s="28">
        <f t="shared" si="226"/>
        <v>367.15947553444244</v>
      </c>
      <c r="EE60" s="28">
        <f t="shared" si="227"/>
        <v>110.14784266033297</v>
      </c>
      <c r="EF60" s="28">
        <f t="shared" si="228"/>
        <v>293.72758042755447</v>
      </c>
      <c r="EG60" s="28">
        <f t="shared" si="229"/>
        <v>0</v>
      </c>
      <c r="EH60" s="28">
        <f t="shared" si="230"/>
        <v>0</v>
      </c>
      <c r="EI60" s="28">
        <f t="shared" si="231"/>
        <v>220.29568532066571</v>
      </c>
      <c r="EJ60" s="28">
        <f t="shared" si="232"/>
        <v>0</v>
      </c>
      <c r="EK60" s="28">
        <f t="shared" si="233"/>
        <v>1688.9335874584385</v>
      </c>
      <c r="EL60" s="28">
        <f t="shared" si="234"/>
        <v>0</v>
      </c>
      <c r="EM60" s="28">
        <f t="shared" si="235"/>
        <v>0</v>
      </c>
      <c r="EN60" s="28">
        <f t="shared" si="236"/>
        <v>17462.527144550229</v>
      </c>
      <c r="EQ60" s="144">
        <v>4.0157189190750217E-2</v>
      </c>
      <c r="ER60" s="144">
        <v>5.0201276329702442E-2</v>
      </c>
      <c r="ES60" s="144">
        <v>6.0245343469317432E-2</v>
      </c>
      <c r="ET60" s="144">
        <v>8.2327011682832837E-2</v>
      </c>
      <c r="EU60" s="144">
        <v>7.0289430608269643E-2</v>
      </c>
      <c r="EV60" s="144">
        <v>8.031435838216322E-2</v>
      </c>
      <c r="EW60" s="144">
        <v>8.031435838216322E-2</v>
      </c>
      <c r="EX60" s="144">
        <v>7.0289430608269643E-2</v>
      </c>
      <c r="EY60" s="144">
        <v>8.031435838216322E-2</v>
      </c>
      <c r="EZ60" s="144">
        <v>0.10743721953054479</v>
      </c>
      <c r="FA60" s="144">
        <v>0.10743721953054479</v>
      </c>
      <c r="FB60" s="144">
        <v>0.17067280390327866</v>
      </c>
      <c r="FC60" s="145">
        <f t="shared" si="237"/>
        <v>1</v>
      </c>
      <c r="FD60" s="146">
        <f t="shared" si="238"/>
        <v>0.15060380898977008</v>
      </c>
      <c r="FE60" s="146">
        <f t="shared" si="239"/>
        <v>0.23293080067326571</v>
      </c>
      <c r="FF60" s="146">
        <f t="shared" si="240"/>
        <v>0.23091814737259608</v>
      </c>
      <c r="FG60" s="146">
        <f t="shared" si="241"/>
        <v>0.38554724296436826</v>
      </c>
      <c r="FH60" s="145">
        <f t="shared" si="375"/>
        <v>1</v>
      </c>
      <c r="FJ60" s="52">
        <f t="shared" si="243"/>
        <v>0</v>
      </c>
      <c r="FK60" s="52">
        <f t="shared" si="244"/>
        <v>42.657262476877882</v>
      </c>
      <c r="FL60" s="52">
        <f t="shared" si="245"/>
        <v>0</v>
      </c>
      <c r="FM60" s="52">
        <f t="shared" si="246"/>
        <v>0</v>
      </c>
      <c r="FN60" s="52">
        <f t="shared" si="247"/>
        <v>0</v>
      </c>
      <c r="FO60" s="52">
        <f t="shared" si="248"/>
        <v>305.73783467951796</v>
      </c>
      <c r="FP60" s="52">
        <f t="shared" si="249"/>
        <v>0</v>
      </c>
      <c r="FQ60" s="52">
        <f t="shared" si="250"/>
        <v>0</v>
      </c>
      <c r="FR60" s="52">
        <f t="shared" si="251"/>
        <v>0</v>
      </c>
      <c r="FS60" s="52">
        <f t="shared" si="252"/>
        <v>0</v>
      </c>
      <c r="FT60" s="52">
        <f t="shared" si="253"/>
        <v>0</v>
      </c>
      <c r="FU60" s="52">
        <f t="shared" si="254"/>
        <v>0</v>
      </c>
      <c r="FV60" s="52">
        <f t="shared" si="255"/>
        <v>0</v>
      </c>
      <c r="FW60" s="52">
        <f t="shared" si="256"/>
        <v>760.68176705958354</v>
      </c>
      <c r="FX60" s="52">
        <f t="shared" si="257"/>
        <v>0</v>
      </c>
      <c r="FY60" s="52">
        <f t="shared" si="258"/>
        <v>213.28631238438882</v>
      </c>
      <c r="FZ60" s="52">
        <f t="shared" si="259"/>
        <v>63.98589371531677</v>
      </c>
      <c r="GA60" s="52">
        <f t="shared" si="260"/>
        <v>170.6290499075113</v>
      </c>
      <c r="GB60" s="52">
        <f t="shared" si="261"/>
        <v>0</v>
      </c>
      <c r="GC60" s="52">
        <f t="shared" si="262"/>
        <v>0</v>
      </c>
      <c r="GD60" s="52">
        <f t="shared" si="263"/>
        <v>127.9717874306334</v>
      </c>
      <c r="GE60" s="52">
        <f t="shared" si="264"/>
        <v>0</v>
      </c>
      <c r="GF60" s="52">
        <f t="shared" si="265"/>
        <v>981.11703696819029</v>
      </c>
      <c r="GG60" s="52">
        <f t="shared" si="266"/>
        <v>0</v>
      </c>
      <c r="GH60" s="52">
        <f t="shared" si="267"/>
        <v>0</v>
      </c>
      <c r="GI60" s="52">
        <f t="shared" si="268"/>
        <v>10144.142444238834</v>
      </c>
      <c r="GJ60" s="26"/>
      <c r="GL60" s="150">
        <f t="shared" si="269"/>
        <v>0</v>
      </c>
      <c r="GM60" s="150">
        <f t="shared" si="270"/>
        <v>65.975690587903699</v>
      </c>
      <c r="GN60" s="150">
        <f t="shared" si="271"/>
        <v>0</v>
      </c>
      <c r="GO60" s="150">
        <f t="shared" si="272"/>
        <v>0</v>
      </c>
      <c r="GP60" s="150">
        <f t="shared" si="273"/>
        <v>0</v>
      </c>
      <c r="GQ60" s="150">
        <f t="shared" si="274"/>
        <v>472.86824354388051</v>
      </c>
      <c r="GR60" s="150">
        <f t="shared" si="275"/>
        <v>0</v>
      </c>
      <c r="GS60" s="150">
        <f t="shared" si="276"/>
        <v>0</v>
      </c>
      <c r="GT60" s="150">
        <f t="shared" si="277"/>
        <v>0</v>
      </c>
      <c r="GU60" s="150">
        <f t="shared" si="278"/>
        <v>0</v>
      </c>
      <c r="GV60" s="150">
        <f t="shared" si="279"/>
        <v>0</v>
      </c>
      <c r="GW60" s="150">
        <f t="shared" si="280"/>
        <v>0</v>
      </c>
      <c r="GX60" s="150">
        <f t="shared" si="281"/>
        <v>0</v>
      </c>
      <c r="GY60" s="150">
        <f t="shared" si="282"/>
        <v>1176.5055229830141</v>
      </c>
      <c r="GZ60" s="150">
        <f t="shared" si="283"/>
        <v>0</v>
      </c>
      <c r="HA60" s="150">
        <f t="shared" si="284"/>
        <v>329.8784529395175</v>
      </c>
      <c r="HB60" s="150">
        <f t="shared" si="285"/>
        <v>98.963535881855449</v>
      </c>
      <c r="HC60" s="150">
        <f t="shared" si="286"/>
        <v>263.9027623516144</v>
      </c>
      <c r="HD60" s="150">
        <f t="shared" si="287"/>
        <v>0</v>
      </c>
      <c r="HE60" s="150">
        <f t="shared" si="288"/>
        <v>0</v>
      </c>
      <c r="HF60" s="150">
        <f t="shared" si="289"/>
        <v>197.9270717637107</v>
      </c>
      <c r="HG60" s="150">
        <f t="shared" si="290"/>
        <v>0</v>
      </c>
      <c r="HH60" s="150">
        <f t="shared" si="291"/>
        <v>1517.4408835217835</v>
      </c>
      <c r="HI60" s="150">
        <f t="shared" si="292"/>
        <v>0</v>
      </c>
      <c r="HJ60" s="150">
        <f t="shared" si="293"/>
        <v>0</v>
      </c>
      <c r="HK60" s="150">
        <f t="shared" si="294"/>
        <v>15689.39881089403</v>
      </c>
      <c r="HL60" s="26"/>
      <c r="HN60" s="147">
        <f t="shared" si="295"/>
        <v>0</v>
      </c>
      <c r="HO60" s="147">
        <f t="shared" si="296"/>
        <v>65.405623464784313</v>
      </c>
      <c r="HP60" s="147">
        <f t="shared" si="297"/>
        <v>0</v>
      </c>
      <c r="HQ60" s="147">
        <f t="shared" si="298"/>
        <v>0</v>
      </c>
      <c r="HR60" s="147">
        <f t="shared" si="299"/>
        <v>0</v>
      </c>
      <c r="HS60" s="147">
        <f t="shared" si="300"/>
        <v>468.78239560792883</v>
      </c>
      <c r="HT60" s="147">
        <f t="shared" si="301"/>
        <v>0</v>
      </c>
      <c r="HU60" s="147">
        <f t="shared" si="302"/>
        <v>0</v>
      </c>
      <c r="HV60" s="147">
        <f t="shared" si="303"/>
        <v>0</v>
      </c>
      <c r="HW60" s="147">
        <f t="shared" si="304"/>
        <v>0</v>
      </c>
      <c r="HX60" s="147">
        <f t="shared" si="305"/>
        <v>0</v>
      </c>
      <c r="HY60" s="147">
        <f t="shared" si="306"/>
        <v>0</v>
      </c>
      <c r="HZ60" s="147">
        <f t="shared" si="307"/>
        <v>0</v>
      </c>
      <c r="IA60" s="147">
        <f t="shared" si="308"/>
        <v>1166.3398526755939</v>
      </c>
      <c r="IB60" s="147">
        <f t="shared" si="309"/>
        <v>0</v>
      </c>
      <c r="IC60" s="147">
        <f t="shared" si="310"/>
        <v>327.02811732392064</v>
      </c>
      <c r="ID60" s="147">
        <f t="shared" si="311"/>
        <v>98.108435197176377</v>
      </c>
      <c r="IE60" s="147">
        <f t="shared" si="312"/>
        <v>261.62249385913691</v>
      </c>
      <c r="IF60" s="147">
        <f t="shared" si="313"/>
        <v>0</v>
      </c>
      <c r="IG60" s="147">
        <f t="shared" si="314"/>
        <v>0</v>
      </c>
      <c r="IH60" s="147">
        <f t="shared" si="315"/>
        <v>196.21687039435255</v>
      </c>
      <c r="II60" s="147">
        <f t="shared" si="316"/>
        <v>0</v>
      </c>
      <c r="IJ60" s="147">
        <f t="shared" si="317"/>
        <v>1504.3293396900376</v>
      </c>
      <c r="IK60" s="147">
        <f t="shared" si="318"/>
        <v>0</v>
      </c>
      <c r="IL60" s="147">
        <f t="shared" si="319"/>
        <v>0</v>
      </c>
      <c r="IM60" s="147">
        <f t="shared" si="320"/>
        <v>15553.833569152721</v>
      </c>
      <c r="IN60" s="26"/>
      <c r="IP60" s="61">
        <f t="shared" si="321"/>
        <v>0</v>
      </c>
      <c r="IQ60" s="61">
        <f t="shared" si="322"/>
        <v>109.20301452325688</v>
      </c>
      <c r="IR60" s="61">
        <f t="shared" si="323"/>
        <v>0</v>
      </c>
      <c r="IS60" s="61">
        <f t="shared" si="324"/>
        <v>0</v>
      </c>
      <c r="IT60" s="61">
        <f t="shared" si="325"/>
        <v>0</v>
      </c>
      <c r="IU60" s="61">
        <f t="shared" si="326"/>
        <v>782.69188555908863</v>
      </c>
      <c r="IV60" s="61">
        <f t="shared" si="327"/>
        <v>0</v>
      </c>
      <c r="IW60" s="61">
        <f t="shared" si="328"/>
        <v>0</v>
      </c>
      <c r="IX60" s="61">
        <f t="shared" si="329"/>
        <v>0</v>
      </c>
      <c r="IY60" s="61">
        <f t="shared" si="330"/>
        <v>0</v>
      </c>
      <c r="IZ60" s="61">
        <f t="shared" si="331"/>
        <v>0</v>
      </c>
      <c r="JA60" s="61">
        <f t="shared" si="332"/>
        <v>0</v>
      </c>
      <c r="JB60" s="61">
        <f t="shared" si="333"/>
        <v>0</v>
      </c>
      <c r="JC60" s="61">
        <f t="shared" si="334"/>
        <v>1947.3528593357657</v>
      </c>
      <c r="JD60" s="61">
        <f t="shared" si="335"/>
        <v>0</v>
      </c>
      <c r="JE60" s="61">
        <f t="shared" si="336"/>
        <v>546.01507261628285</v>
      </c>
      <c r="JF60" s="61">
        <f t="shared" si="337"/>
        <v>163.80452178488517</v>
      </c>
      <c r="JG60" s="61">
        <f t="shared" si="338"/>
        <v>436.81205809302691</v>
      </c>
      <c r="JH60" s="61">
        <f t="shared" si="339"/>
        <v>0</v>
      </c>
      <c r="JI60" s="61">
        <f t="shared" si="340"/>
        <v>0</v>
      </c>
      <c r="JJ60" s="61">
        <f t="shared" si="341"/>
        <v>327.60904356976999</v>
      </c>
      <c r="JK60" s="61">
        <f t="shared" si="342"/>
        <v>0</v>
      </c>
      <c r="JL60" s="61">
        <f t="shared" si="343"/>
        <v>2511.6693340349057</v>
      </c>
      <c r="JM60" s="61">
        <f t="shared" si="344"/>
        <v>0</v>
      </c>
      <c r="JN60" s="61">
        <f t="shared" si="345"/>
        <v>0</v>
      </c>
      <c r="JO60" s="61">
        <f t="shared" si="346"/>
        <v>25969.105149789222</v>
      </c>
      <c r="JQ60" s="26">
        <f t="shared" si="431"/>
        <v>85059.000000000029</v>
      </c>
      <c r="JR60" s="156">
        <f t="shared" si="432"/>
        <v>1.0000000000000004</v>
      </c>
      <c r="JT60" s="157">
        <f t="shared" si="347"/>
        <v>0</v>
      </c>
      <c r="JU60" s="29">
        <f t="shared" si="348"/>
        <v>0</v>
      </c>
    </row>
    <row r="61" spans="1:281" ht="18.75" x14ac:dyDescent="0.3">
      <c r="A61" t="s">
        <v>69</v>
      </c>
      <c r="B61" t="s">
        <v>109</v>
      </c>
      <c r="C61" t="s">
        <v>85</v>
      </c>
      <c r="D61" t="s">
        <v>20</v>
      </c>
      <c r="E61" t="s">
        <v>85</v>
      </c>
      <c r="F61" s="113">
        <v>20</v>
      </c>
      <c r="G61" s="15">
        <v>1099945</v>
      </c>
      <c r="H61" s="20">
        <v>785675</v>
      </c>
      <c r="I61" s="23">
        <v>1.4</v>
      </c>
      <c r="J61" s="9">
        <v>0</v>
      </c>
      <c r="K61" s="9">
        <v>3.3299426404357299E-3</v>
      </c>
      <c r="L61" s="9">
        <v>0</v>
      </c>
      <c r="M61" s="9">
        <v>0</v>
      </c>
      <c r="N61" s="9">
        <v>0</v>
      </c>
      <c r="O61" s="9">
        <v>2.38667320258928E-2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5.9380900340398501E-2</v>
      </c>
      <c r="X61" s="9">
        <v>0</v>
      </c>
      <c r="Y61" s="9">
        <v>1.66497132021786E-2</v>
      </c>
      <c r="Z61" s="9">
        <v>4.9949139606535898E-3</v>
      </c>
      <c r="AA61" s="9">
        <v>1.33197705617429E-2</v>
      </c>
      <c r="AB61" s="9">
        <v>0</v>
      </c>
      <c r="AC61" s="9">
        <v>0</v>
      </c>
      <c r="AD61" s="9">
        <v>9.9898279213071692E-3</v>
      </c>
      <c r="AE61" s="9">
        <v>0</v>
      </c>
      <c r="AF61" s="9">
        <v>7.6588680730021702E-2</v>
      </c>
      <c r="AG61" s="9">
        <v>0</v>
      </c>
      <c r="AH61" s="9">
        <v>0</v>
      </c>
      <c r="AI61" s="9">
        <v>0.79187951861736905</v>
      </c>
      <c r="AJ61" s="8">
        <f t="shared" si="376"/>
        <v>1</v>
      </c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9"/>
      <c r="BM61" s="26">
        <f t="shared" si="377"/>
        <v>0</v>
      </c>
      <c r="BN61" s="26">
        <f t="shared" si="378"/>
        <v>3662.7537576340787</v>
      </c>
      <c r="BO61" s="26">
        <f t="shared" si="379"/>
        <v>0</v>
      </c>
      <c r="BP61" s="26">
        <f t="shared" si="380"/>
        <v>0</v>
      </c>
      <c r="BQ61" s="26">
        <f t="shared" si="381"/>
        <v>0</v>
      </c>
      <c r="BR61" s="26">
        <f t="shared" si="382"/>
        <v>26252.092558220655</v>
      </c>
      <c r="BS61" s="26">
        <f t="shared" si="383"/>
        <v>0</v>
      </c>
      <c r="BT61" s="26">
        <f t="shared" si="384"/>
        <v>0</v>
      </c>
      <c r="BU61" s="26">
        <f t="shared" si="385"/>
        <v>0</v>
      </c>
      <c r="BV61" s="26">
        <f t="shared" si="386"/>
        <v>0</v>
      </c>
      <c r="BW61" s="26">
        <f t="shared" si="387"/>
        <v>0</v>
      </c>
      <c r="BX61" s="26">
        <f t="shared" si="388"/>
        <v>0</v>
      </c>
      <c r="BY61" s="26">
        <f t="shared" si="389"/>
        <v>0</v>
      </c>
      <c r="BZ61" s="26">
        <f t="shared" si="390"/>
        <v>65315.72442491963</v>
      </c>
      <c r="CA61" s="26">
        <f t="shared" si="391"/>
        <v>0</v>
      </c>
      <c r="CB61" s="26">
        <f t="shared" si="392"/>
        <v>18313.768788170339</v>
      </c>
      <c r="CC61" s="26">
        <f t="shared" si="393"/>
        <v>5494.1306364511129</v>
      </c>
      <c r="CD61" s="26">
        <f t="shared" si="394"/>
        <v>14651.015030536295</v>
      </c>
      <c r="CE61" s="26">
        <f t="shared" si="395"/>
        <v>0</v>
      </c>
      <c r="CF61" s="26">
        <f t="shared" si="396"/>
        <v>0</v>
      </c>
      <c r="CG61" s="26">
        <f t="shared" si="397"/>
        <v>10988.261272902215</v>
      </c>
      <c r="CH61" s="26">
        <f t="shared" si="398"/>
        <v>0</v>
      </c>
      <c r="CI61" s="26">
        <f t="shared" si="399"/>
        <v>84243.336425583722</v>
      </c>
      <c r="CJ61" s="26">
        <f t="shared" si="400"/>
        <v>0</v>
      </c>
      <c r="CK61" s="26">
        <f t="shared" si="401"/>
        <v>0</v>
      </c>
      <c r="CL61" s="26">
        <f t="shared" si="402"/>
        <v>871023.91710558196</v>
      </c>
      <c r="CM61" s="110">
        <f t="shared" si="403"/>
        <v>1</v>
      </c>
      <c r="CN61" s="27">
        <f t="shared" si="404"/>
        <v>0</v>
      </c>
      <c r="CO61" s="27">
        <f t="shared" si="405"/>
        <v>2616.2526840243422</v>
      </c>
      <c r="CP61" s="27">
        <f t="shared" si="406"/>
        <v>0</v>
      </c>
      <c r="CQ61" s="27">
        <f t="shared" si="407"/>
        <v>0</v>
      </c>
      <c r="CR61" s="27">
        <f t="shared" si="408"/>
        <v>0</v>
      </c>
      <c r="CS61" s="27">
        <f t="shared" si="409"/>
        <v>18751.494684443325</v>
      </c>
      <c r="CT61" s="27">
        <f t="shared" si="410"/>
        <v>0</v>
      </c>
      <c r="CU61" s="27">
        <f t="shared" si="411"/>
        <v>0</v>
      </c>
      <c r="CV61" s="27">
        <f t="shared" si="412"/>
        <v>0</v>
      </c>
      <c r="CW61" s="27">
        <f t="shared" si="413"/>
        <v>0</v>
      </c>
      <c r="CX61" s="27">
        <f t="shared" si="414"/>
        <v>0</v>
      </c>
      <c r="CY61" s="27">
        <f t="shared" si="415"/>
        <v>0</v>
      </c>
      <c r="CZ61" s="27">
        <f t="shared" si="416"/>
        <v>0</v>
      </c>
      <c r="DA61" s="27">
        <f t="shared" si="417"/>
        <v>46654.088874942594</v>
      </c>
      <c r="DB61" s="27">
        <f t="shared" si="418"/>
        <v>0</v>
      </c>
      <c r="DC61" s="27">
        <f t="shared" si="419"/>
        <v>13081.263420121672</v>
      </c>
      <c r="DD61" s="27">
        <f t="shared" si="420"/>
        <v>3924.379026036509</v>
      </c>
      <c r="DE61" s="27">
        <f t="shared" si="421"/>
        <v>10465.010736097352</v>
      </c>
      <c r="DF61" s="27">
        <f t="shared" si="422"/>
        <v>0</v>
      </c>
      <c r="DG61" s="27">
        <f t="shared" si="423"/>
        <v>0</v>
      </c>
      <c r="DH61" s="27">
        <f t="shared" si="424"/>
        <v>7848.7580520730098</v>
      </c>
      <c r="DI61" s="27">
        <f t="shared" si="425"/>
        <v>0</v>
      </c>
      <c r="DJ61" s="27">
        <f t="shared" si="426"/>
        <v>60173.8117325598</v>
      </c>
      <c r="DK61" s="27">
        <f t="shared" si="427"/>
        <v>0</v>
      </c>
      <c r="DL61" s="27">
        <f t="shared" si="428"/>
        <v>0</v>
      </c>
      <c r="DM61" s="27">
        <f t="shared" si="429"/>
        <v>622159.94078970142</v>
      </c>
      <c r="DN61" s="110">
        <f t="shared" si="430"/>
        <v>1</v>
      </c>
      <c r="DO61" s="28">
        <f t="shared" si="211"/>
        <v>0</v>
      </c>
      <c r="DP61" s="28">
        <f t="shared" si="212"/>
        <v>1046.5010736097365</v>
      </c>
      <c r="DQ61" s="28">
        <f t="shared" si="213"/>
        <v>0</v>
      </c>
      <c r="DR61" s="28">
        <f t="shared" si="214"/>
        <v>0</v>
      </c>
      <c r="DS61" s="28">
        <f t="shared" si="215"/>
        <v>0</v>
      </c>
      <c r="DT61" s="28">
        <f t="shared" si="216"/>
        <v>7500.5978737773294</v>
      </c>
      <c r="DU61" s="28">
        <f t="shared" si="217"/>
        <v>0</v>
      </c>
      <c r="DV61" s="28">
        <f t="shared" si="218"/>
        <v>0</v>
      </c>
      <c r="DW61" s="28">
        <f t="shared" si="219"/>
        <v>0</v>
      </c>
      <c r="DX61" s="28">
        <f t="shared" si="220"/>
        <v>0</v>
      </c>
      <c r="DY61" s="28">
        <f t="shared" si="221"/>
        <v>0</v>
      </c>
      <c r="DZ61" s="28">
        <f t="shared" si="222"/>
        <v>0</v>
      </c>
      <c r="EA61" s="28">
        <f t="shared" si="223"/>
        <v>0</v>
      </c>
      <c r="EB61" s="28">
        <f t="shared" si="224"/>
        <v>18661.635549977036</v>
      </c>
      <c r="EC61" s="28">
        <f t="shared" si="225"/>
        <v>0</v>
      </c>
      <c r="ED61" s="28">
        <f t="shared" si="226"/>
        <v>5232.5053680486672</v>
      </c>
      <c r="EE61" s="28">
        <f t="shared" si="227"/>
        <v>1569.7516104146039</v>
      </c>
      <c r="EF61" s="28">
        <f t="shared" si="228"/>
        <v>4186.0042944389425</v>
      </c>
      <c r="EG61" s="28">
        <f t="shared" si="229"/>
        <v>0</v>
      </c>
      <c r="EH61" s="28">
        <f t="shared" si="230"/>
        <v>0</v>
      </c>
      <c r="EI61" s="28">
        <f t="shared" si="231"/>
        <v>3139.503220829205</v>
      </c>
      <c r="EJ61" s="28">
        <f t="shared" si="232"/>
        <v>0</v>
      </c>
      <c r="EK61" s="28">
        <f t="shared" si="233"/>
        <v>24069.524693023923</v>
      </c>
      <c r="EL61" s="28">
        <f t="shared" si="234"/>
        <v>0</v>
      </c>
      <c r="EM61" s="28">
        <f t="shared" si="235"/>
        <v>0</v>
      </c>
      <c r="EN61" s="28">
        <f t="shared" si="236"/>
        <v>248863.97631588054</v>
      </c>
      <c r="EQ61" s="144">
        <v>4.0161050771465388E-2</v>
      </c>
      <c r="ER61" s="144">
        <v>5.0176147406128628E-2</v>
      </c>
      <c r="ES61" s="144">
        <v>6.0241570601163592E-2</v>
      </c>
      <c r="ET61" s="144">
        <v>8.2335175069868802E-2</v>
      </c>
      <c r="EU61" s="144">
        <v>7.0256667235826839E-2</v>
      </c>
      <c r="EV61" s="144">
        <v>8.0322090430861803E-2</v>
      </c>
      <c r="EW61" s="144">
        <v>8.0322090430861803E-2</v>
      </c>
      <c r="EX61" s="144">
        <v>7.0256667235826839E-2</v>
      </c>
      <c r="EY61" s="144">
        <v>8.0322090430861803E-2</v>
      </c>
      <c r="EZ61" s="144">
        <v>0.10744841760915348</v>
      </c>
      <c r="FA61" s="144">
        <v>0.10744841760915348</v>
      </c>
      <c r="FB61" s="144">
        <v>0.17070961516882754</v>
      </c>
      <c r="FC61" s="145">
        <f t="shared" si="237"/>
        <v>1</v>
      </c>
      <c r="FD61" s="146">
        <f t="shared" si="238"/>
        <v>0.15057876877875762</v>
      </c>
      <c r="FE61" s="146">
        <f t="shared" si="239"/>
        <v>0.23291393273655744</v>
      </c>
      <c r="FF61" s="146">
        <f t="shared" si="240"/>
        <v>0.23090084809755046</v>
      </c>
      <c r="FG61" s="146">
        <f t="shared" si="241"/>
        <v>0.38560645038713448</v>
      </c>
      <c r="FH61" s="145">
        <f t="shared" si="375"/>
        <v>1</v>
      </c>
      <c r="FJ61" s="52">
        <f t="shared" si="243"/>
        <v>0</v>
      </c>
      <c r="FK61" s="52">
        <f t="shared" si="244"/>
        <v>551.53295116430752</v>
      </c>
      <c r="FL61" s="52">
        <f t="shared" si="245"/>
        <v>0</v>
      </c>
      <c r="FM61" s="52">
        <f t="shared" si="246"/>
        <v>0</v>
      </c>
      <c r="FN61" s="52">
        <f t="shared" si="247"/>
        <v>0</v>
      </c>
      <c r="FO61" s="52">
        <f t="shared" si="248"/>
        <v>3953.0077752828515</v>
      </c>
      <c r="FP61" s="52">
        <f t="shared" si="249"/>
        <v>0</v>
      </c>
      <c r="FQ61" s="52">
        <f t="shared" si="250"/>
        <v>0</v>
      </c>
      <c r="FR61" s="52">
        <f t="shared" si="251"/>
        <v>0</v>
      </c>
      <c r="FS61" s="52">
        <f t="shared" si="252"/>
        <v>0</v>
      </c>
      <c r="FT61" s="52">
        <f t="shared" si="253"/>
        <v>0</v>
      </c>
      <c r="FU61" s="52">
        <f t="shared" si="254"/>
        <v>0</v>
      </c>
      <c r="FV61" s="52">
        <f t="shared" si="255"/>
        <v>0</v>
      </c>
      <c r="FW61" s="52">
        <f t="shared" si="256"/>
        <v>9835.1613657970247</v>
      </c>
      <c r="FX61" s="52">
        <f t="shared" si="257"/>
        <v>0</v>
      </c>
      <c r="FY61" s="52">
        <f t="shared" si="258"/>
        <v>2757.6647558215295</v>
      </c>
      <c r="FZ61" s="52">
        <f t="shared" si="259"/>
        <v>827.29942674646054</v>
      </c>
      <c r="GA61" s="52">
        <f t="shared" si="260"/>
        <v>2206.1318046572273</v>
      </c>
      <c r="GB61" s="52">
        <f t="shared" si="261"/>
        <v>0</v>
      </c>
      <c r="GC61" s="52">
        <f t="shared" si="262"/>
        <v>0</v>
      </c>
      <c r="GD61" s="52">
        <f t="shared" si="263"/>
        <v>1654.5988534929195</v>
      </c>
      <c r="GE61" s="52">
        <f t="shared" si="264"/>
        <v>0</v>
      </c>
      <c r="GF61" s="52">
        <f t="shared" si="265"/>
        <v>12685.25787677906</v>
      </c>
      <c r="GG61" s="52">
        <f t="shared" si="266"/>
        <v>0</v>
      </c>
      <c r="GH61" s="52">
        <f t="shared" si="267"/>
        <v>0</v>
      </c>
      <c r="GI61" s="52">
        <f t="shared" si="268"/>
        <v>131157.70901460917</v>
      </c>
      <c r="GJ61" s="26"/>
      <c r="GL61" s="150">
        <f t="shared" si="269"/>
        <v>0</v>
      </c>
      <c r="GM61" s="150">
        <f t="shared" si="270"/>
        <v>853.1063823361568</v>
      </c>
      <c r="GN61" s="150">
        <f t="shared" si="271"/>
        <v>0</v>
      </c>
      <c r="GO61" s="150">
        <f t="shared" si="272"/>
        <v>0</v>
      </c>
      <c r="GP61" s="150">
        <f t="shared" si="273"/>
        <v>0</v>
      </c>
      <c r="GQ61" s="150">
        <f t="shared" si="274"/>
        <v>6114.4781202992854</v>
      </c>
      <c r="GR61" s="150">
        <f t="shared" si="275"/>
        <v>0</v>
      </c>
      <c r="GS61" s="150">
        <f t="shared" si="276"/>
        <v>0</v>
      </c>
      <c r="GT61" s="150">
        <f t="shared" si="277"/>
        <v>0</v>
      </c>
      <c r="GU61" s="150">
        <f t="shared" si="278"/>
        <v>0</v>
      </c>
      <c r="GV61" s="150">
        <f t="shared" si="279"/>
        <v>0</v>
      </c>
      <c r="GW61" s="150">
        <f t="shared" si="280"/>
        <v>0</v>
      </c>
      <c r="GX61" s="150">
        <f t="shared" si="281"/>
        <v>0</v>
      </c>
      <c r="GY61" s="150">
        <f t="shared" si="282"/>
        <v>15212.942245345253</v>
      </c>
      <c r="GZ61" s="150">
        <f t="shared" si="283"/>
        <v>0</v>
      </c>
      <c r="HA61" s="150">
        <f t="shared" si="284"/>
        <v>4265.5319116807714</v>
      </c>
      <c r="HB61" s="150">
        <f t="shared" si="285"/>
        <v>1279.659573504234</v>
      </c>
      <c r="HC61" s="150">
        <f t="shared" si="286"/>
        <v>3412.4255293446226</v>
      </c>
      <c r="HD61" s="150">
        <f t="shared" si="287"/>
        <v>0</v>
      </c>
      <c r="HE61" s="150">
        <f t="shared" si="288"/>
        <v>0</v>
      </c>
      <c r="HF61" s="150">
        <f t="shared" si="289"/>
        <v>2559.3191470084657</v>
      </c>
      <c r="HG61" s="150">
        <f t="shared" si="290"/>
        <v>0</v>
      </c>
      <c r="HH61" s="150">
        <f t="shared" si="291"/>
        <v>19621.446793731586</v>
      </c>
      <c r="HI61" s="150">
        <f t="shared" si="292"/>
        <v>0</v>
      </c>
      <c r="HJ61" s="150">
        <f t="shared" si="293"/>
        <v>0</v>
      </c>
      <c r="HK61" s="150">
        <f t="shared" si="294"/>
        <v>202873.6060406623</v>
      </c>
      <c r="HL61" s="26"/>
      <c r="HN61" s="147">
        <f t="shared" si="295"/>
        <v>0</v>
      </c>
      <c r="HO61" s="147">
        <f t="shared" si="296"/>
        <v>845.73294901019858</v>
      </c>
      <c r="HP61" s="147">
        <f t="shared" si="297"/>
        <v>0</v>
      </c>
      <c r="HQ61" s="147">
        <f t="shared" si="298"/>
        <v>0</v>
      </c>
      <c r="HR61" s="147">
        <f t="shared" si="299"/>
        <v>0</v>
      </c>
      <c r="HS61" s="147">
        <f t="shared" si="300"/>
        <v>6061.6304360285421</v>
      </c>
      <c r="HT61" s="147">
        <f t="shared" si="301"/>
        <v>0</v>
      </c>
      <c r="HU61" s="147">
        <f t="shared" si="302"/>
        <v>0</v>
      </c>
      <c r="HV61" s="147">
        <f t="shared" si="303"/>
        <v>0</v>
      </c>
      <c r="HW61" s="147">
        <f t="shared" si="304"/>
        <v>0</v>
      </c>
      <c r="HX61" s="147">
        <f t="shared" si="305"/>
        <v>0</v>
      </c>
      <c r="HY61" s="147">
        <f t="shared" si="306"/>
        <v>0</v>
      </c>
      <c r="HZ61" s="147">
        <f t="shared" si="307"/>
        <v>0</v>
      </c>
      <c r="IA61" s="147">
        <f t="shared" si="308"/>
        <v>15081.456163819834</v>
      </c>
      <c r="IB61" s="147">
        <f t="shared" si="309"/>
        <v>0</v>
      </c>
      <c r="IC61" s="147">
        <f t="shared" si="310"/>
        <v>4228.6647450509799</v>
      </c>
      <c r="ID61" s="147">
        <f t="shared" si="311"/>
        <v>1268.5994235152966</v>
      </c>
      <c r="IE61" s="147">
        <f t="shared" si="312"/>
        <v>3382.9317960407898</v>
      </c>
      <c r="IF61" s="147">
        <f t="shared" si="313"/>
        <v>0</v>
      </c>
      <c r="IG61" s="147">
        <f t="shared" si="314"/>
        <v>0</v>
      </c>
      <c r="IH61" s="147">
        <f t="shared" si="315"/>
        <v>2537.198847030591</v>
      </c>
      <c r="II61" s="147">
        <f t="shared" si="316"/>
        <v>0</v>
      </c>
      <c r="IJ61" s="147">
        <f t="shared" si="317"/>
        <v>19451.857827234548</v>
      </c>
      <c r="IK61" s="147">
        <f t="shared" si="318"/>
        <v>0</v>
      </c>
      <c r="IL61" s="147">
        <f t="shared" si="319"/>
        <v>0</v>
      </c>
      <c r="IM61" s="147">
        <f t="shared" si="320"/>
        <v>201120.16117292937</v>
      </c>
      <c r="IN61" s="26"/>
      <c r="IP61" s="61">
        <f t="shared" si="321"/>
        <v>0</v>
      </c>
      <c r="IQ61" s="61">
        <f t="shared" si="322"/>
        <v>1412.3814751234158</v>
      </c>
      <c r="IR61" s="61">
        <f t="shared" si="323"/>
        <v>0</v>
      </c>
      <c r="IS61" s="61">
        <f t="shared" si="324"/>
        <v>0</v>
      </c>
      <c r="IT61" s="61">
        <f t="shared" si="325"/>
        <v>0</v>
      </c>
      <c r="IU61" s="61">
        <f t="shared" si="326"/>
        <v>10122.976226609975</v>
      </c>
      <c r="IV61" s="61">
        <f t="shared" si="327"/>
        <v>0</v>
      </c>
      <c r="IW61" s="61">
        <f t="shared" si="328"/>
        <v>0</v>
      </c>
      <c r="IX61" s="61">
        <f t="shared" si="329"/>
        <v>0</v>
      </c>
      <c r="IY61" s="61">
        <f t="shared" si="330"/>
        <v>0</v>
      </c>
      <c r="IZ61" s="61">
        <f t="shared" si="331"/>
        <v>0</v>
      </c>
      <c r="JA61" s="61">
        <f t="shared" si="332"/>
        <v>0</v>
      </c>
      <c r="JB61" s="61">
        <f t="shared" si="333"/>
        <v>0</v>
      </c>
      <c r="JC61" s="61">
        <f t="shared" si="334"/>
        <v>25186.164649957518</v>
      </c>
      <c r="JD61" s="61">
        <f t="shared" si="335"/>
        <v>0</v>
      </c>
      <c r="JE61" s="61">
        <f t="shared" si="336"/>
        <v>7061.9073756170574</v>
      </c>
      <c r="JF61" s="61">
        <f t="shared" si="337"/>
        <v>2118.5722126851215</v>
      </c>
      <c r="JG61" s="61">
        <f t="shared" si="338"/>
        <v>5649.5259004936552</v>
      </c>
      <c r="JH61" s="61">
        <f t="shared" si="339"/>
        <v>0</v>
      </c>
      <c r="JI61" s="61">
        <f t="shared" si="340"/>
        <v>0</v>
      </c>
      <c r="JJ61" s="61">
        <f t="shared" si="341"/>
        <v>4237.1444253702393</v>
      </c>
      <c r="JK61" s="61">
        <f t="shared" si="342"/>
        <v>0</v>
      </c>
      <c r="JL61" s="61">
        <f t="shared" si="343"/>
        <v>32484.773927838527</v>
      </c>
      <c r="JM61" s="61">
        <f t="shared" si="344"/>
        <v>0</v>
      </c>
      <c r="JN61" s="61">
        <f t="shared" si="345"/>
        <v>0</v>
      </c>
      <c r="JO61" s="61">
        <f t="shared" si="346"/>
        <v>335872.44087738113</v>
      </c>
      <c r="JQ61" s="26">
        <f t="shared" si="431"/>
        <v>1099945</v>
      </c>
      <c r="JR61" s="156">
        <f t="shared" si="432"/>
        <v>1</v>
      </c>
      <c r="JT61" s="157">
        <f t="shared" si="347"/>
        <v>0</v>
      </c>
      <c r="JU61" s="29">
        <f t="shared" si="348"/>
        <v>0</v>
      </c>
    </row>
    <row r="62" spans="1:281" ht="18.75" x14ac:dyDescent="0.3">
      <c r="A62" t="s">
        <v>69</v>
      </c>
      <c r="B62" t="s">
        <v>0</v>
      </c>
      <c r="C62" t="s">
        <v>13</v>
      </c>
      <c r="D62" t="s">
        <v>14</v>
      </c>
      <c r="E62" t="s">
        <v>15</v>
      </c>
      <c r="F62" s="113">
        <v>9000</v>
      </c>
      <c r="G62" s="15">
        <f>707630+16717</f>
        <v>724347</v>
      </c>
      <c r="H62" s="20">
        <f>G62/I62</f>
        <v>391515.35211267608</v>
      </c>
      <c r="I62" s="23">
        <v>1.8501113585746103</v>
      </c>
      <c r="J62" s="9">
        <v>0</v>
      </c>
      <c r="K62" s="9">
        <v>3.3299426404357299E-3</v>
      </c>
      <c r="L62" s="9">
        <v>0</v>
      </c>
      <c r="M62" s="9">
        <v>0</v>
      </c>
      <c r="N62" s="9">
        <v>0</v>
      </c>
      <c r="O62" s="9">
        <v>2.38667320258928E-2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5.9380900340398501E-2</v>
      </c>
      <c r="X62" s="9">
        <v>0</v>
      </c>
      <c r="Y62" s="9">
        <v>1.66497132021786E-2</v>
      </c>
      <c r="Z62" s="9">
        <v>4.9949139606535898E-3</v>
      </c>
      <c r="AA62" s="9">
        <v>1.33197705617429E-2</v>
      </c>
      <c r="AB62" s="9">
        <v>0</v>
      </c>
      <c r="AC62" s="9">
        <v>0</v>
      </c>
      <c r="AD62" s="9">
        <v>9.9898279213071692E-3</v>
      </c>
      <c r="AE62" s="9">
        <v>0</v>
      </c>
      <c r="AF62" s="9">
        <v>7.6588680730021702E-2</v>
      </c>
      <c r="AG62" s="9">
        <v>0</v>
      </c>
      <c r="AH62" s="9">
        <v>0</v>
      </c>
      <c r="AI62" s="9">
        <v>0.79187951861736905</v>
      </c>
      <c r="AJ62" s="8">
        <f t="shared" si="376"/>
        <v>1</v>
      </c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9"/>
      <c r="BM62" s="26">
        <f t="shared" si="377"/>
        <v>0</v>
      </c>
      <c r="BN62" s="26">
        <f t="shared" si="378"/>
        <v>2412.0339617716995</v>
      </c>
      <c r="BO62" s="26">
        <f t="shared" si="379"/>
        <v>0</v>
      </c>
      <c r="BP62" s="26">
        <f t="shared" si="380"/>
        <v>0</v>
      </c>
      <c r="BQ62" s="26">
        <f t="shared" si="381"/>
        <v>0</v>
      </c>
      <c r="BR62" s="26">
        <f t="shared" si="382"/>
        <v>17287.795742759372</v>
      </c>
      <c r="BS62" s="26">
        <f t="shared" si="383"/>
        <v>0</v>
      </c>
      <c r="BT62" s="26">
        <f t="shared" si="384"/>
        <v>0</v>
      </c>
      <c r="BU62" s="26">
        <f t="shared" si="385"/>
        <v>0</v>
      </c>
      <c r="BV62" s="26">
        <f t="shared" si="386"/>
        <v>0</v>
      </c>
      <c r="BW62" s="26">
        <f t="shared" si="387"/>
        <v>0</v>
      </c>
      <c r="BX62" s="26">
        <f t="shared" si="388"/>
        <v>0</v>
      </c>
      <c r="BY62" s="26">
        <f t="shared" si="389"/>
        <v>0</v>
      </c>
      <c r="BZ62" s="26">
        <f t="shared" si="390"/>
        <v>43012.377018866631</v>
      </c>
      <c r="CA62" s="26">
        <f t="shared" si="391"/>
        <v>0</v>
      </c>
      <c r="CB62" s="26">
        <f t="shared" si="392"/>
        <v>12060.169808858462</v>
      </c>
      <c r="CC62" s="26">
        <f t="shared" si="393"/>
        <v>3618.0509426575459</v>
      </c>
      <c r="CD62" s="26">
        <f t="shared" si="394"/>
        <v>9648.1358470867854</v>
      </c>
      <c r="CE62" s="26">
        <f t="shared" si="395"/>
        <v>0</v>
      </c>
      <c r="CF62" s="26">
        <f t="shared" si="396"/>
        <v>0</v>
      </c>
      <c r="CG62" s="26">
        <f t="shared" si="397"/>
        <v>7236.1018853150845</v>
      </c>
      <c r="CH62" s="26">
        <f t="shared" si="398"/>
        <v>0</v>
      </c>
      <c r="CI62" s="26">
        <f t="shared" si="399"/>
        <v>55476.78112074903</v>
      </c>
      <c r="CJ62" s="26">
        <f t="shared" si="400"/>
        <v>0</v>
      </c>
      <c r="CK62" s="26">
        <f t="shared" si="401"/>
        <v>0</v>
      </c>
      <c r="CL62" s="26">
        <f t="shared" si="402"/>
        <v>573595.55367193546</v>
      </c>
      <c r="CM62" s="110">
        <f t="shared" si="403"/>
        <v>1</v>
      </c>
      <c r="CN62" s="27">
        <f t="shared" si="404"/>
        <v>0</v>
      </c>
      <c r="CO62" s="27">
        <f t="shared" si="405"/>
        <v>1303.7236653852092</v>
      </c>
      <c r="CP62" s="27">
        <f t="shared" si="406"/>
        <v>0</v>
      </c>
      <c r="CQ62" s="27">
        <f t="shared" si="407"/>
        <v>0</v>
      </c>
      <c r="CR62" s="27">
        <f t="shared" si="408"/>
        <v>0</v>
      </c>
      <c r="CS62" s="27">
        <f t="shared" si="409"/>
        <v>9344.1919928963016</v>
      </c>
      <c r="CT62" s="27">
        <f t="shared" si="410"/>
        <v>0</v>
      </c>
      <c r="CU62" s="27">
        <f t="shared" si="411"/>
        <v>0</v>
      </c>
      <c r="CV62" s="27">
        <f t="shared" si="412"/>
        <v>0</v>
      </c>
      <c r="CW62" s="27">
        <f t="shared" si="413"/>
        <v>0</v>
      </c>
      <c r="CX62" s="27">
        <f t="shared" si="414"/>
        <v>0</v>
      </c>
      <c r="CY62" s="27">
        <f t="shared" si="415"/>
        <v>0</v>
      </c>
      <c r="CZ62" s="27">
        <f t="shared" si="416"/>
        <v>0</v>
      </c>
      <c r="DA62" s="27">
        <f t="shared" si="417"/>
        <v>23248.534105538845</v>
      </c>
      <c r="DB62" s="27">
        <f t="shared" si="418"/>
        <v>0</v>
      </c>
      <c r="DC62" s="27">
        <f t="shared" si="419"/>
        <v>6518.6183269260264</v>
      </c>
      <c r="DD62" s="27">
        <f t="shared" si="420"/>
        <v>1955.5854980778117</v>
      </c>
      <c r="DE62" s="27">
        <f t="shared" si="421"/>
        <v>5214.8946615408286</v>
      </c>
      <c r="DF62" s="27">
        <f t="shared" si="422"/>
        <v>0</v>
      </c>
      <c r="DG62" s="27">
        <f t="shared" si="423"/>
        <v>0</v>
      </c>
      <c r="DH62" s="27">
        <f t="shared" si="424"/>
        <v>3911.1709961556194</v>
      </c>
      <c r="DI62" s="27">
        <f t="shared" si="425"/>
        <v>0</v>
      </c>
      <c r="DJ62" s="27">
        <f t="shared" si="426"/>
        <v>29985.644303859775</v>
      </c>
      <c r="DK62" s="27">
        <f t="shared" si="427"/>
        <v>0</v>
      </c>
      <c r="DL62" s="27">
        <f t="shared" si="428"/>
        <v>0</v>
      </c>
      <c r="DM62" s="27">
        <f t="shared" si="429"/>
        <v>310032.98856229568</v>
      </c>
      <c r="DN62" s="110">
        <f t="shared" si="430"/>
        <v>1</v>
      </c>
      <c r="DO62" s="28">
        <f t="shared" si="211"/>
        <v>0</v>
      </c>
      <c r="DP62" s="28">
        <f t="shared" si="212"/>
        <v>1108.3102963864903</v>
      </c>
      <c r="DQ62" s="28">
        <f t="shared" si="213"/>
        <v>0</v>
      </c>
      <c r="DR62" s="28">
        <f t="shared" si="214"/>
        <v>0</v>
      </c>
      <c r="DS62" s="28">
        <f t="shared" si="215"/>
        <v>0</v>
      </c>
      <c r="DT62" s="28">
        <f t="shared" si="216"/>
        <v>7943.6037498630703</v>
      </c>
      <c r="DU62" s="28">
        <f t="shared" si="217"/>
        <v>0</v>
      </c>
      <c r="DV62" s="28">
        <f t="shared" si="218"/>
        <v>0</v>
      </c>
      <c r="DW62" s="28">
        <f t="shared" si="219"/>
        <v>0</v>
      </c>
      <c r="DX62" s="28">
        <f t="shared" si="220"/>
        <v>0</v>
      </c>
      <c r="DY62" s="28">
        <f t="shared" si="221"/>
        <v>0</v>
      </c>
      <c r="DZ62" s="28">
        <f t="shared" si="222"/>
        <v>0</v>
      </c>
      <c r="EA62" s="28">
        <f t="shared" si="223"/>
        <v>0</v>
      </c>
      <c r="EB62" s="28">
        <f t="shared" si="224"/>
        <v>19763.842913327786</v>
      </c>
      <c r="EC62" s="28">
        <f t="shared" si="225"/>
        <v>0</v>
      </c>
      <c r="ED62" s="28">
        <f t="shared" si="226"/>
        <v>5541.5514819324353</v>
      </c>
      <c r="EE62" s="28">
        <f t="shared" si="227"/>
        <v>1662.4654445797341</v>
      </c>
      <c r="EF62" s="28">
        <f t="shared" si="228"/>
        <v>4433.2411855459568</v>
      </c>
      <c r="EG62" s="28">
        <f t="shared" si="229"/>
        <v>0</v>
      </c>
      <c r="EH62" s="28">
        <f t="shared" si="230"/>
        <v>0</v>
      </c>
      <c r="EI62" s="28">
        <f t="shared" si="231"/>
        <v>3324.9308891594651</v>
      </c>
      <c r="EJ62" s="28">
        <f t="shared" si="232"/>
        <v>0</v>
      </c>
      <c r="EK62" s="28">
        <f t="shared" si="233"/>
        <v>25491.136816889255</v>
      </c>
      <c r="EL62" s="28">
        <f t="shared" si="234"/>
        <v>0</v>
      </c>
      <c r="EM62" s="28">
        <f t="shared" si="235"/>
        <v>0</v>
      </c>
      <c r="EN62" s="28">
        <f t="shared" si="236"/>
        <v>263562.56510963978</v>
      </c>
      <c r="EQ62" s="144">
        <v>4.0160580034410011E-2</v>
      </c>
      <c r="ER62" s="144">
        <v>5.0200753614447202E-2</v>
      </c>
      <c r="ES62" s="144">
        <v>6.0240941480201753E-2</v>
      </c>
      <c r="ET62" s="144">
        <v>8.232937478486603E-2</v>
      </c>
      <c r="EU62" s="144">
        <v>7.0281115060238944E-2</v>
      </c>
      <c r="EV62" s="144">
        <v>8.0321288640276142E-2</v>
      </c>
      <c r="EW62" s="144">
        <v>8.0321288640276142E-2</v>
      </c>
      <c r="EX62" s="144">
        <v>7.0281115060238944E-2</v>
      </c>
      <c r="EY62" s="144">
        <v>8.0321288640276142E-2</v>
      </c>
      <c r="EZ62" s="144">
        <v>0.10742969444922025</v>
      </c>
      <c r="FA62" s="144">
        <v>0.10742969444922025</v>
      </c>
      <c r="FB62" s="144">
        <v>0.17068286514632824</v>
      </c>
      <c r="FC62" s="145">
        <f t="shared" si="237"/>
        <v>1</v>
      </c>
      <c r="FD62" s="146">
        <f t="shared" si="238"/>
        <v>0.15060227512905897</v>
      </c>
      <c r="FE62" s="146">
        <f t="shared" si="239"/>
        <v>0.2329317784853811</v>
      </c>
      <c r="FF62" s="146">
        <f t="shared" si="240"/>
        <v>0.23092369234079124</v>
      </c>
      <c r="FG62" s="146">
        <f t="shared" si="241"/>
        <v>0.38554225404476872</v>
      </c>
      <c r="FH62" s="145">
        <f t="shared" si="375"/>
        <v>1</v>
      </c>
      <c r="FJ62" s="52">
        <f t="shared" si="243"/>
        <v>0</v>
      </c>
      <c r="FK62" s="52">
        <f t="shared" si="244"/>
        <v>363.25780233137561</v>
      </c>
      <c r="FL62" s="52">
        <f t="shared" si="245"/>
        <v>0</v>
      </c>
      <c r="FM62" s="52">
        <f t="shared" si="246"/>
        <v>0</v>
      </c>
      <c r="FN62" s="52">
        <f t="shared" si="247"/>
        <v>0</v>
      </c>
      <c r="FO62" s="52">
        <f t="shared" si="248"/>
        <v>2603.5813708260212</v>
      </c>
      <c r="FP62" s="52">
        <f t="shared" si="249"/>
        <v>0</v>
      </c>
      <c r="FQ62" s="52">
        <f t="shared" si="250"/>
        <v>0</v>
      </c>
      <c r="FR62" s="52">
        <f t="shared" si="251"/>
        <v>0</v>
      </c>
      <c r="FS62" s="52">
        <f t="shared" si="252"/>
        <v>0</v>
      </c>
      <c r="FT62" s="52">
        <f t="shared" si="253"/>
        <v>0</v>
      </c>
      <c r="FU62" s="52">
        <f t="shared" si="254"/>
        <v>0</v>
      </c>
      <c r="FV62" s="52">
        <f t="shared" si="255"/>
        <v>0</v>
      </c>
      <c r="FW62" s="52">
        <f t="shared" si="256"/>
        <v>6477.7618377501658</v>
      </c>
      <c r="FX62" s="52">
        <f t="shared" si="257"/>
        <v>0</v>
      </c>
      <c r="FY62" s="52">
        <f t="shared" si="258"/>
        <v>1816.2890116568726</v>
      </c>
      <c r="FZ62" s="52">
        <f t="shared" si="259"/>
        <v>544.88670349706285</v>
      </c>
      <c r="GA62" s="52">
        <f t="shared" si="260"/>
        <v>1453.0312093255004</v>
      </c>
      <c r="GB62" s="52">
        <f t="shared" si="261"/>
        <v>0</v>
      </c>
      <c r="GC62" s="52">
        <f t="shared" si="262"/>
        <v>0</v>
      </c>
      <c r="GD62" s="52">
        <f t="shared" si="263"/>
        <v>1089.7734069941246</v>
      </c>
      <c r="GE62" s="52">
        <f t="shared" si="264"/>
        <v>0</v>
      </c>
      <c r="GF62" s="52">
        <f t="shared" si="265"/>
        <v>8354.9294536216294</v>
      </c>
      <c r="GG62" s="52">
        <f t="shared" si="266"/>
        <v>0</v>
      </c>
      <c r="GH62" s="52">
        <f t="shared" si="267"/>
        <v>0</v>
      </c>
      <c r="GI62" s="52">
        <f t="shared" si="268"/>
        <v>86384.795386905738</v>
      </c>
      <c r="GJ62" s="26"/>
      <c r="GL62" s="150">
        <f t="shared" si="269"/>
        <v>0</v>
      </c>
      <c r="GM62" s="150">
        <f t="shared" si="270"/>
        <v>561.83936048262171</v>
      </c>
      <c r="GN62" s="150">
        <f t="shared" si="271"/>
        <v>0</v>
      </c>
      <c r="GO62" s="150">
        <f t="shared" si="272"/>
        <v>0</v>
      </c>
      <c r="GP62" s="150">
        <f t="shared" si="273"/>
        <v>0</v>
      </c>
      <c r="GQ62" s="150">
        <f t="shared" si="274"/>
        <v>4026.8770084529406</v>
      </c>
      <c r="GR62" s="150">
        <f t="shared" si="275"/>
        <v>0</v>
      </c>
      <c r="GS62" s="150">
        <f t="shared" si="276"/>
        <v>0</v>
      </c>
      <c r="GT62" s="150">
        <f t="shared" si="277"/>
        <v>0</v>
      </c>
      <c r="GU62" s="150">
        <f t="shared" si="278"/>
        <v>0</v>
      </c>
      <c r="GV62" s="150">
        <f t="shared" si="279"/>
        <v>0</v>
      </c>
      <c r="GW62" s="150">
        <f t="shared" si="280"/>
        <v>0</v>
      </c>
      <c r="GX62" s="150">
        <f t="shared" si="281"/>
        <v>0</v>
      </c>
      <c r="GY62" s="150">
        <f t="shared" si="282"/>
        <v>10018.949475888339</v>
      </c>
      <c r="GZ62" s="150">
        <f t="shared" si="283"/>
        <v>0</v>
      </c>
      <c r="HA62" s="150">
        <f t="shared" si="284"/>
        <v>2809.1968024131002</v>
      </c>
      <c r="HB62" s="150">
        <f t="shared" si="285"/>
        <v>842.75904072393178</v>
      </c>
      <c r="HC62" s="150">
        <f t="shared" si="286"/>
        <v>2247.3574419304837</v>
      </c>
      <c r="HD62" s="150">
        <f t="shared" si="287"/>
        <v>0</v>
      </c>
      <c r="HE62" s="150">
        <f t="shared" si="288"/>
        <v>0</v>
      </c>
      <c r="HF62" s="150">
        <f t="shared" si="289"/>
        <v>1685.5180814478617</v>
      </c>
      <c r="HG62" s="150">
        <f t="shared" si="290"/>
        <v>0</v>
      </c>
      <c r="HH62" s="150">
        <f t="shared" si="291"/>
        <v>12922.305291100285</v>
      </c>
      <c r="HI62" s="150">
        <f t="shared" si="292"/>
        <v>0</v>
      </c>
      <c r="HJ62" s="150">
        <f t="shared" si="293"/>
        <v>0</v>
      </c>
      <c r="HK62" s="150">
        <f t="shared" si="294"/>
        <v>133608.63244811079</v>
      </c>
      <c r="HL62" s="26"/>
      <c r="HN62" s="147">
        <f t="shared" si="295"/>
        <v>0</v>
      </c>
      <c r="HO62" s="147">
        <f t="shared" si="296"/>
        <v>556.99578850370779</v>
      </c>
      <c r="HP62" s="147">
        <f t="shared" si="297"/>
        <v>0</v>
      </c>
      <c r="HQ62" s="147">
        <f t="shared" si="298"/>
        <v>0</v>
      </c>
      <c r="HR62" s="147">
        <f t="shared" si="299"/>
        <v>0</v>
      </c>
      <c r="HS62" s="147">
        <f t="shared" si="300"/>
        <v>3992.1616253514057</v>
      </c>
      <c r="HT62" s="147">
        <f t="shared" si="301"/>
        <v>0</v>
      </c>
      <c r="HU62" s="147">
        <f t="shared" si="302"/>
        <v>0</v>
      </c>
      <c r="HV62" s="147">
        <f t="shared" si="303"/>
        <v>0</v>
      </c>
      <c r="HW62" s="147">
        <f t="shared" si="304"/>
        <v>0</v>
      </c>
      <c r="HX62" s="147">
        <f t="shared" si="305"/>
        <v>0</v>
      </c>
      <c r="HY62" s="147">
        <f t="shared" si="306"/>
        <v>0</v>
      </c>
      <c r="HZ62" s="147">
        <f t="shared" si="307"/>
        <v>0</v>
      </c>
      <c r="IA62" s="147">
        <f t="shared" si="308"/>
        <v>9932.5769175508776</v>
      </c>
      <c r="IB62" s="147">
        <f t="shared" si="309"/>
        <v>0</v>
      </c>
      <c r="IC62" s="147">
        <f t="shared" si="310"/>
        <v>2784.9789425185304</v>
      </c>
      <c r="ID62" s="147">
        <f t="shared" si="311"/>
        <v>835.49368275556083</v>
      </c>
      <c r="IE62" s="147">
        <f t="shared" si="312"/>
        <v>2227.983154014828</v>
      </c>
      <c r="IF62" s="147">
        <f t="shared" si="313"/>
        <v>0</v>
      </c>
      <c r="IG62" s="147">
        <f t="shared" si="314"/>
        <v>0</v>
      </c>
      <c r="IH62" s="147">
        <f t="shared" si="315"/>
        <v>1670.9873655111201</v>
      </c>
      <c r="II62" s="147">
        <f t="shared" si="316"/>
        <v>0</v>
      </c>
      <c r="IJ62" s="147">
        <f t="shared" si="317"/>
        <v>12810.903135585266</v>
      </c>
      <c r="IK62" s="147">
        <f t="shared" si="318"/>
        <v>0</v>
      </c>
      <c r="IL62" s="147">
        <f t="shared" si="319"/>
        <v>0</v>
      </c>
      <c r="IM62" s="147">
        <f t="shared" si="320"/>
        <v>132456.80316418383</v>
      </c>
      <c r="IN62" s="26"/>
      <c r="IP62" s="61">
        <f t="shared" si="321"/>
        <v>0</v>
      </c>
      <c r="IQ62" s="61">
        <f t="shared" si="322"/>
        <v>929.94101045399452</v>
      </c>
      <c r="IR62" s="61">
        <f t="shared" si="323"/>
        <v>0</v>
      </c>
      <c r="IS62" s="61">
        <f t="shared" si="324"/>
        <v>0</v>
      </c>
      <c r="IT62" s="61">
        <f t="shared" si="325"/>
        <v>0</v>
      </c>
      <c r="IU62" s="61">
        <f t="shared" si="326"/>
        <v>6665.1757381290045</v>
      </c>
      <c r="IV62" s="61">
        <f t="shared" si="327"/>
        <v>0</v>
      </c>
      <c r="IW62" s="61">
        <f t="shared" si="328"/>
        <v>0</v>
      </c>
      <c r="IX62" s="61">
        <f t="shared" si="329"/>
        <v>0</v>
      </c>
      <c r="IY62" s="61">
        <f t="shared" si="330"/>
        <v>0</v>
      </c>
      <c r="IZ62" s="61">
        <f t="shared" si="331"/>
        <v>0</v>
      </c>
      <c r="JA62" s="61">
        <f t="shared" si="332"/>
        <v>0</v>
      </c>
      <c r="JB62" s="61">
        <f t="shared" si="333"/>
        <v>0</v>
      </c>
      <c r="JC62" s="61">
        <f t="shared" si="334"/>
        <v>16583.08878767725</v>
      </c>
      <c r="JD62" s="61">
        <f t="shared" si="335"/>
        <v>0</v>
      </c>
      <c r="JE62" s="61">
        <f t="shared" si="336"/>
        <v>4649.7050522699592</v>
      </c>
      <c r="JF62" s="61">
        <f t="shared" si="337"/>
        <v>1394.9115156809905</v>
      </c>
      <c r="JG62" s="61">
        <f t="shared" si="338"/>
        <v>3719.7640418159731</v>
      </c>
      <c r="JH62" s="61">
        <f t="shared" si="339"/>
        <v>0</v>
      </c>
      <c r="JI62" s="61">
        <f t="shared" si="340"/>
        <v>0</v>
      </c>
      <c r="JJ62" s="61">
        <f t="shared" si="341"/>
        <v>2789.8230313619783</v>
      </c>
      <c r="JK62" s="61">
        <f t="shared" si="342"/>
        <v>0</v>
      </c>
      <c r="JL62" s="61">
        <f t="shared" si="343"/>
        <v>21388.643240441852</v>
      </c>
      <c r="JM62" s="61">
        <f t="shared" si="344"/>
        <v>0</v>
      </c>
      <c r="JN62" s="61">
        <f t="shared" si="345"/>
        <v>0</v>
      </c>
      <c r="JO62" s="61">
        <f t="shared" si="346"/>
        <v>221145.32267273511</v>
      </c>
      <c r="JQ62" s="26">
        <f t="shared" si="431"/>
        <v>724347.00000000023</v>
      </c>
      <c r="JR62" s="156">
        <f t="shared" si="432"/>
        <v>1.0000000000000002</v>
      </c>
      <c r="JT62" s="157">
        <f t="shared" si="347"/>
        <v>0</v>
      </c>
      <c r="JU62" s="29">
        <f t="shared" si="348"/>
        <v>0</v>
      </c>
    </row>
    <row r="63" spans="1:281" ht="18.75" x14ac:dyDescent="0.3">
      <c r="A63" t="s">
        <v>69</v>
      </c>
      <c r="B63" t="s">
        <v>111</v>
      </c>
      <c r="C63" t="s">
        <v>77</v>
      </c>
      <c r="D63" t="s">
        <v>136</v>
      </c>
      <c r="E63" t="s">
        <v>137</v>
      </c>
      <c r="F63" s="113">
        <v>547</v>
      </c>
      <c r="G63" s="15">
        <v>53196</v>
      </c>
      <c r="H63" s="20">
        <v>39406</v>
      </c>
      <c r="I63" s="23">
        <v>1.3499467086230523</v>
      </c>
      <c r="J63" s="9">
        <v>0</v>
      </c>
      <c r="K63" s="9">
        <v>3.3299251460454666E-3</v>
      </c>
      <c r="L63" s="9">
        <v>0</v>
      </c>
      <c r="M63" s="9">
        <v>0</v>
      </c>
      <c r="N63" s="9">
        <v>0</v>
      </c>
      <c r="O63" s="9">
        <v>2.1583968174373365E-2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6.1668480498209617E-2</v>
      </c>
      <c r="X63" s="9">
        <v>0</v>
      </c>
      <c r="Y63" s="9">
        <v>1.6649625730227331E-2</v>
      </c>
      <c r="Z63" s="9">
        <v>4.994887719068199E-3</v>
      </c>
      <c r="AA63" s="9">
        <v>1.3319700584181866E-2</v>
      </c>
      <c r="AB63" s="9">
        <v>0</v>
      </c>
      <c r="AC63" s="9">
        <v>0</v>
      </c>
      <c r="AD63" s="9">
        <v>9.989775438136398E-3</v>
      </c>
      <c r="AE63" s="9">
        <v>0</v>
      </c>
      <c r="AF63" s="9">
        <v>7.6588278359045719E-2</v>
      </c>
      <c r="AG63" s="9">
        <v>0</v>
      </c>
      <c r="AH63" s="9">
        <v>0</v>
      </c>
      <c r="AI63" s="9">
        <v>0.7918753583507121</v>
      </c>
      <c r="AJ63" s="8">
        <f t="shared" si="376"/>
        <v>1</v>
      </c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9"/>
      <c r="BM63" s="26">
        <f t="shared" si="377"/>
        <v>0</v>
      </c>
      <c r="BN63" s="26">
        <f t="shared" si="378"/>
        <v>177.13869806903463</v>
      </c>
      <c r="BO63" s="26">
        <f t="shared" si="379"/>
        <v>0</v>
      </c>
      <c r="BP63" s="26">
        <f t="shared" si="380"/>
        <v>0</v>
      </c>
      <c r="BQ63" s="26">
        <f t="shared" si="381"/>
        <v>0</v>
      </c>
      <c r="BR63" s="26">
        <f t="shared" si="382"/>
        <v>1148.1807710039654</v>
      </c>
      <c r="BS63" s="26">
        <f t="shared" si="383"/>
        <v>0</v>
      </c>
      <c r="BT63" s="26">
        <f t="shared" si="384"/>
        <v>0</v>
      </c>
      <c r="BU63" s="26">
        <f t="shared" si="385"/>
        <v>0</v>
      </c>
      <c r="BV63" s="26">
        <f t="shared" si="386"/>
        <v>0</v>
      </c>
      <c r="BW63" s="26">
        <f t="shared" si="387"/>
        <v>0</v>
      </c>
      <c r="BX63" s="26">
        <f t="shared" si="388"/>
        <v>0</v>
      </c>
      <c r="BY63" s="26">
        <f t="shared" si="389"/>
        <v>0</v>
      </c>
      <c r="BZ63" s="26">
        <f t="shared" si="390"/>
        <v>3280.5164885827589</v>
      </c>
      <c r="CA63" s="26">
        <f t="shared" si="391"/>
        <v>0</v>
      </c>
      <c r="CB63" s="26">
        <f t="shared" si="392"/>
        <v>885.69349034517313</v>
      </c>
      <c r="CC63" s="26">
        <f t="shared" si="393"/>
        <v>265.70804710355191</v>
      </c>
      <c r="CD63" s="26">
        <f t="shared" si="394"/>
        <v>708.55479227613853</v>
      </c>
      <c r="CE63" s="26">
        <f t="shared" si="395"/>
        <v>0</v>
      </c>
      <c r="CF63" s="26">
        <f t="shared" si="396"/>
        <v>0</v>
      </c>
      <c r="CG63" s="26">
        <f t="shared" si="397"/>
        <v>531.41609420710381</v>
      </c>
      <c r="CH63" s="26">
        <f t="shared" si="398"/>
        <v>0</v>
      </c>
      <c r="CI63" s="26">
        <f t="shared" si="399"/>
        <v>4074.190055587796</v>
      </c>
      <c r="CJ63" s="26">
        <f t="shared" si="400"/>
        <v>0</v>
      </c>
      <c r="CK63" s="26">
        <f t="shared" si="401"/>
        <v>0</v>
      </c>
      <c r="CL63" s="26">
        <f t="shared" si="402"/>
        <v>42124.601562824479</v>
      </c>
      <c r="CM63" s="110">
        <f t="shared" si="403"/>
        <v>1</v>
      </c>
      <c r="CN63" s="27">
        <f t="shared" si="404"/>
        <v>0</v>
      </c>
      <c r="CO63" s="27">
        <f t="shared" si="405"/>
        <v>131.21903030506766</v>
      </c>
      <c r="CP63" s="27">
        <f t="shared" si="406"/>
        <v>0</v>
      </c>
      <c r="CQ63" s="27">
        <f t="shared" si="407"/>
        <v>0</v>
      </c>
      <c r="CR63" s="27">
        <f t="shared" si="408"/>
        <v>0</v>
      </c>
      <c r="CS63" s="27">
        <f t="shared" si="409"/>
        <v>850.53784987935683</v>
      </c>
      <c r="CT63" s="27">
        <f t="shared" si="410"/>
        <v>0</v>
      </c>
      <c r="CU63" s="27">
        <f t="shared" si="411"/>
        <v>0</v>
      </c>
      <c r="CV63" s="27">
        <f t="shared" si="412"/>
        <v>0</v>
      </c>
      <c r="CW63" s="27">
        <f t="shared" si="413"/>
        <v>0</v>
      </c>
      <c r="CX63" s="27">
        <f t="shared" si="414"/>
        <v>0</v>
      </c>
      <c r="CY63" s="27">
        <f t="shared" si="415"/>
        <v>0</v>
      </c>
      <c r="CZ63" s="27">
        <f t="shared" si="416"/>
        <v>0</v>
      </c>
      <c r="DA63" s="27">
        <f t="shared" si="417"/>
        <v>2430.108142512448</v>
      </c>
      <c r="DB63" s="27">
        <f t="shared" si="418"/>
        <v>0</v>
      </c>
      <c r="DC63" s="27">
        <f t="shared" si="419"/>
        <v>656.09515152533822</v>
      </c>
      <c r="DD63" s="27">
        <f t="shared" si="420"/>
        <v>196.82854545760145</v>
      </c>
      <c r="DE63" s="27">
        <f t="shared" si="421"/>
        <v>524.87612122027065</v>
      </c>
      <c r="DF63" s="27">
        <f t="shared" si="422"/>
        <v>0</v>
      </c>
      <c r="DG63" s="27">
        <f t="shared" si="423"/>
        <v>0</v>
      </c>
      <c r="DH63" s="27">
        <f t="shared" si="424"/>
        <v>393.6570909152029</v>
      </c>
      <c r="DI63" s="27">
        <f t="shared" si="425"/>
        <v>0</v>
      </c>
      <c r="DJ63" s="27">
        <f t="shared" si="426"/>
        <v>3018.0376970165557</v>
      </c>
      <c r="DK63" s="27">
        <f t="shared" si="427"/>
        <v>0</v>
      </c>
      <c r="DL63" s="27">
        <f t="shared" si="428"/>
        <v>0</v>
      </c>
      <c r="DM63" s="27">
        <f t="shared" si="429"/>
        <v>31204.64037116816</v>
      </c>
      <c r="DN63" s="110">
        <f t="shared" si="430"/>
        <v>1</v>
      </c>
      <c r="DO63" s="28">
        <f t="shared" si="211"/>
        <v>0</v>
      </c>
      <c r="DP63" s="28">
        <f t="shared" si="212"/>
        <v>45.91966776396697</v>
      </c>
      <c r="DQ63" s="28">
        <f t="shared" si="213"/>
        <v>0</v>
      </c>
      <c r="DR63" s="28">
        <f t="shared" si="214"/>
        <v>0</v>
      </c>
      <c r="DS63" s="28">
        <f t="shared" si="215"/>
        <v>0</v>
      </c>
      <c r="DT63" s="28">
        <f t="shared" si="216"/>
        <v>297.64292112460862</v>
      </c>
      <c r="DU63" s="28">
        <f t="shared" si="217"/>
        <v>0</v>
      </c>
      <c r="DV63" s="28">
        <f t="shared" si="218"/>
        <v>0</v>
      </c>
      <c r="DW63" s="28">
        <f t="shared" si="219"/>
        <v>0</v>
      </c>
      <c r="DX63" s="28">
        <f t="shared" si="220"/>
        <v>0</v>
      </c>
      <c r="DY63" s="28">
        <f t="shared" si="221"/>
        <v>0</v>
      </c>
      <c r="DZ63" s="28">
        <f t="shared" si="222"/>
        <v>0</v>
      </c>
      <c r="EA63" s="28">
        <f t="shared" si="223"/>
        <v>0</v>
      </c>
      <c r="EB63" s="28">
        <f t="shared" si="224"/>
        <v>850.40834607031093</v>
      </c>
      <c r="EC63" s="28">
        <f t="shared" si="225"/>
        <v>0</v>
      </c>
      <c r="ED63" s="28">
        <f t="shared" si="226"/>
        <v>229.59833881983491</v>
      </c>
      <c r="EE63" s="28">
        <f t="shared" si="227"/>
        <v>68.879501645950455</v>
      </c>
      <c r="EF63" s="28">
        <f t="shared" si="228"/>
        <v>183.67867105586788</v>
      </c>
      <c r="EG63" s="28">
        <f t="shared" si="229"/>
        <v>0</v>
      </c>
      <c r="EH63" s="28">
        <f t="shared" si="230"/>
        <v>0</v>
      </c>
      <c r="EI63" s="28">
        <f t="shared" si="231"/>
        <v>137.75900329190091</v>
      </c>
      <c r="EJ63" s="28">
        <f t="shared" si="232"/>
        <v>0</v>
      </c>
      <c r="EK63" s="28">
        <f t="shared" si="233"/>
        <v>1056.1523585712403</v>
      </c>
      <c r="EL63" s="28">
        <f t="shared" si="234"/>
        <v>0</v>
      </c>
      <c r="EM63" s="28">
        <f t="shared" si="235"/>
        <v>0</v>
      </c>
      <c r="EN63" s="28">
        <f t="shared" si="236"/>
        <v>10919.961191656319</v>
      </c>
      <c r="EQ63" s="144">
        <v>4.0000849996812513E-2</v>
      </c>
      <c r="ER63" s="144">
        <v>5.9999025003656239E-2</v>
      </c>
      <c r="ES63" s="144">
        <v>5.9999025003656239E-2</v>
      </c>
      <c r="ET63" s="144">
        <v>5.9999025003656239E-2</v>
      </c>
      <c r="EU63" s="144">
        <v>6.9999237502859357E-2</v>
      </c>
      <c r="EV63" s="144">
        <v>6.9999237502859357E-2</v>
      </c>
      <c r="EW63" s="144">
        <v>7.9999450002062503E-2</v>
      </c>
      <c r="EX63" s="144">
        <v>7.9999450002062503E-2</v>
      </c>
      <c r="EY63" s="144">
        <v>0.10000012499953126</v>
      </c>
      <c r="EZ63" s="144">
        <v>0.12000054999793752</v>
      </c>
      <c r="FA63" s="144">
        <v>0.14000347498696883</v>
      </c>
      <c r="FB63" s="144">
        <v>0.12000054999793752</v>
      </c>
      <c r="FC63" s="145">
        <f t="shared" si="237"/>
        <v>1</v>
      </c>
      <c r="FD63" s="146">
        <f t="shared" si="238"/>
        <v>0.15999890000412498</v>
      </c>
      <c r="FE63" s="146">
        <f t="shared" si="239"/>
        <v>0.19999750000937494</v>
      </c>
      <c r="FF63" s="146">
        <f t="shared" si="240"/>
        <v>0.25999902500365624</v>
      </c>
      <c r="FG63" s="146">
        <f t="shared" si="241"/>
        <v>0.3800045749828439</v>
      </c>
      <c r="FH63" s="145">
        <f t="shared" si="375"/>
        <v>1</v>
      </c>
      <c r="FJ63" s="52">
        <f t="shared" si="243"/>
        <v>0</v>
      </c>
      <c r="FK63" s="52">
        <f t="shared" si="244"/>
        <v>28.34199683920836</v>
      </c>
      <c r="FL63" s="52">
        <f t="shared" si="245"/>
        <v>0</v>
      </c>
      <c r="FM63" s="52">
        <f t="shared" si="246"/>
        <v>0</v>
      </c>
      <c r="FN63" s="52">
        <f t="shared" si="247"/>
        <v>0</v>
      </c>
      <c r="FO63" s="52">
        <f t="shared" si="248"/>
        <v>183.70766036652259</v>
      </c>
      <c r="FP63" s="52">
        <f t="shared" si="249"/>
        <v>0</v>
      </c>
      <c r="FQ63" s="52">
        <f t="shared" si="250"/>
        <v>0</v>
      </c>
      <c r="FR63" s="52">
        <f t="shared" si="251"/>
        <v>0</v>
      </c>
      <c r="FS63" s="52">
        <f t="shared" si="252"/>
        <v>0</v>
      </c>
      <c r="FT63" s="52">
        <f t="shared" si="253"/>
        <v>0</v>
      </c>
      <c r="FU63" s="52">
        <f t="shared" si="254"/>
        <v>0</v>
      </c>
      <c r="FV63" s="52">
        <f t="shared" si="255"/>
        <v>0</v>
      </c>
      <c r="FW63" s="52">
        <f t="shared" si="256"/>
        <v>524.87902961863608</v>
      </c>
      <c r="FX63" s="52">
        <f t="shared" si="257"/>
        <v>0</v>
      </c>
      <c r="FY63" s="52">
        <f t="shared" si="258"/>
        <v>141.70998419604177</v>
      </c>
      <c r="FZ63" s="52">
        <f t="shared" si="259"/>
        <v>42.512995258812531</v>
      </c>
      <c r="GA63" s="52">
        <f t="shared" si="260"/>
        <v>113.36798735683344</v>
      </c>
      <c r="GB63" s="52">
        <f t="shared" si="261"/>
        <v>0</v>
      </c>
      <c r="GC63" s="52">
        <f t="shared" si="262"/>
        <v>0</v>
      </c>
      <c r="GD63" s="52">
        <f t="shared" si="263"/>
        <v>85.025990517625061</v>
      </c>
      <c r="GE63" s="52">
        <f t="shared" si="264"/>
        <v>0</v>
      </c>
      <c r="GF63" s="52">
        <f t="shared" si="265"/>
        <v>651.86592730179211</v>
      </c>
      <c r="GG63" s="52">
        <f t="shared" si="266"/>
        <v>0</v>
      </c>
      <c r="GH63" s="52">
        <f t="shared" si="267"/>
        <v>0</v>
      </c>
      <c r="GI63" s="52">
        <f t="shared" si="268"/>
        <v>6739.889913163961</v>
      </c>
      <c r="GJ63" s="26"/>
      <c r="GL63" s="150">
        <f t="shared" si="269"/>
        <v>0</v>
      </c>
      <c r="GM63" s="150">
        <f t="shared" si="270"/>
        <v>35.427296768722421</v>
      </c>
      <c r="GN63" s="150">
        <f t="shared" si="271"/>
        <v>0</v>
      </c>
      <c r="GO63" s="150">
        <f t="shared" si="272"/>
        <v>0</v>
      </c>
      <c r="GP63" s="150">
        <f t="shared" si="273"/>
        <v>0</v>
      </c>
      <c r="GQ63" s="150">
        <f t="shared" si="274"/>
        <v>229.63328375962971</v>
      </c>
      <c r="GR63" s="150">
        <f t="shared" si="275"/>
        <v>0</v>
      </c>
      <c r="GS63" s="150">
        <f t="shared" si="276"/>
        <v>0</v>
      </c>
      <c r="GT63" s="150">
        <f t="shared" si="277"/>
        <v>0</v>
      </c>
      <c r="GU63" s="150">
        <f t="shared" si="278"/>
        <v>0</v>
      </c>
      <c r="GV63" s="150">
        <f t="shared" si="279"/>
        <v>0</v>
      </c>
      <c r="GW63" s="150">
        <f t="shared" si="280"/>
        <v>0</v>
      </c>
      <c r="GX63" s="150">
        <f t="shared" si="281"/>
        <v>0</v>
      </c>
      <c r="GY63" s="150">
        <f t="shared" si="282"/>
        <v>656.095096456085</v>
      </c>
      <c r="GZ63" s="150">
        <f t="shared" si="283"/>
        <v>0</v>
      </c>
      <c r="HA63" s="150">
        <f t="shared" si="284"/>
        <v>177.1364838436121</v>
      </c>
      <c r="HB63" s="150">
        <f t="shared" si="285"/>
        <v>53.140945153083621</v>
      </c>
      <c r="HC63" s="150">
        <f t="shared" si="286"/>
        <v>141.70918707488968</v>
      </c>
      <c r="HD63" s="150">
        <f t="shared" si="287"/>
        <v>0</v>
      </c>
      <c r="HE63" s="150">
        <f t="shared" si="288"/>
        <v>0</v>
      </c>
      <c r="HF63" s="150">
        <f t="shared" si="289"/>
        <v>106.28189030616724</v>
      </c>
      <c r="HG63" s="150">
        <f t="shared" si="290"/>
        <v>0</v>
      </c>
      <c r="HH63" s="150">
        <f t="shared" si="291"/>
        <v>814.82782568061555</v>
      </c>
      <c r="HI63" s="150">
        <f t="shared" si="292"/>
        <v>0</v>
      </c>
      <c r="HJ63" s="150">
        <f t="shared" si="293"/>
        <v>0</v>
      </c>
      <c r="HK63" s="150">
        <f t="shared" si="294"/>
        <v>8424.8150014559051</v>
      </c>
      <c r="HL63" s="26"/>
      <c r="HN63" s="147">
        <f t="shared" si="295"/>
        <v>0</v>
      </c>
      <c r="HO63" s="147">
        <f t="shared" si="296"/>
        <v>46.055888788366047</v>
      </c>
      <c r="HP63" s="147">
        <f t="shared" si="297"/>
        <v>0</v>
      </c>
      <c r="HQ63" s="147">
        <f t="shared" si="298"/>
        <v>0</v>
      </c>
      <c r="HR63" s="147">
        <f t="shared" si="299"/>
        <v>0</v>
      </c>
      <c r="HS63" s="147">
        <f t="shared" si="300"/>
        <v>298.52588098897729</v>
      </c>
      <c r="HT63" s="147">
        <f t="shared" si="301"/>
        <v>0</v>
      </c>
      <c r="HU63" s="147">
        <f t="shared" si="302"/>
        <v>0</v>
      </c>
      <c r="HV63" s="147">
        <f t="shared" si="303"/>
        <v>0</v>
      </c>
      <c r="HW63" s="147">
        <f t="shared" si="304"/>
        <v>0</v>
      </c>
      <c r="HX63" s="147">
        <f t="shared" si="305"/>
        <v>0</v>
      </c>
      <c r="HY63" s="147">
        <f t="shared" si="306"/>
        <v>0</v>
      </c>
      <c r="HZ63" s="147">
        <f t="shared" si="307"/>
        <v>0</v>
      </c>
      <c r="IA63" s="147">
        <f t="shared" si="308"/>
        <v>852.93108853993533</v>
      </c>
      <c r="IB63" s="147">
        <f t="shared" si="309"/>
        <v>0</v>
      </c>
      <c r="IC63" s="147">
        <f t="shared" si="310"/>
        <v>230.27944394183024</v>
      </c>
      <c r="ID63" s="147">
        <f t="shared" si="311"/>
        <v>69.083833182549057</v>
      </c>
      <c r="IE63" s="147">
        <f t="shared" si="312"/>
        <v>184.22355515346419</v>
      </c>
      <c r="IF63" s="147">
        <f t="shared" si="313"/>
        <v>0</v>
      </c>
      <c r="IG63" s="147">
        <f t="shared" si="314"/>
        <v>0</v>
      </c>
      <c r="IH63" s="147">
        <f t="shared" si="315"/>
        <v>138.16766636509811</v>
      </c>
      <c r="II63" s="147">
        <f t="shared" si="316"/>
        <v>0</v>
      </c>
      <c r="IJ63" s="147">
        <f t="shared" si="317"/>
        <v>1059.2854421324189</v>
      </c>
      <c r="IK63" s="147">
        <f t="shared" si="318"/>
        <v>0</v>
      </c>
      <c r="IL63" s="147">
        <f t="shared" si="319"/>
        <v>0</v>
      </c>
      <c r="IM63" s="147">
        <f t="shared" si="320"/>
        <v>10952.355335001857</v>
      </c>
      <c r="IN63" s="26"/>
      <c r="IP63" s="61">
        <f t="shared" si="321"/>
        <v>0</v>
      </c>
      <c r="IQ63" s="61">
        <f t="shared" si="322"/>
        <v>67.313515672737822</v>
      </c>
      <c r="IR63" s="61">
        <f t="shared" si="323"/>
        <v>0</v>
      </c>
      <c r="IS63" s="61">
        <f t="shared" si="324"/>
        <v>0</v>
      </c>
      <c r="IT63" s="61">
        <f t="shared" si="325"/>
        <v>0</v>
      </c>
      <c r="IU63" s="61">
        <f t="shared" si="326"/>
        <v>436.31394588883592</v>
      </c>
      <c r="IV63" s="61">
        <f t="shared" si="327"/>
        <v>0</v>
      </c>
      <c r="IW63" s="61">
        <f t="shared" si="328"/>
        <v>0</v>
      </c>
      <c r="IX63" s="61">
        <f t="shared" si="329"/>
        <v>0</v>
      </c>
      <c r="IY63" s="61">
        <f t="shared" si="330"/>
        <v>0</v>
      </c>
      <c r="IZ63" s="61">
        <f t="shared" si="331"/>
        <v>0</v>
      </c>
      <c r="JA63" s="61">
        <f t="shared" si="332"/>
        <v>0</v>
      </c>
      <c r="JB63" s="61">
        <f t="shared" si="333"/>
        <v>0</v>
      </c>
      <c r="JC63" s="61">
        <f t="shared" si="334"/>
        <v>1246.6112739681028</v>
      </c>
      <c r="JD63" s="61">
        <f t="shared" si="335"/>
        <v>0</v>
      </c>
      <c r="JE63" s="61">
        <f t="shared" si="336"/>
        <v>336.56757836368905</v>
      </c>
      <c r="JF63" s="61">
        <f t="shared" si="337"/>
        <v>100.9702735091067</v>
      </c>
      <c r="JG63" s="61">
        <f t="shared" si="338"/>
        <v>269.25406269095129</v>
      </c>
      <c r="JH63" s="61">
        <f t="shared" si="339"/>
        <v>0</v>
      </c>
      <c r="JI63" s="61">
        <f t="shared" si="340"/>
        <v>0</v>
      </c>
      <c r="JJ63" s="61">
        <f t="shared" si="341"/>
        <v>201.94054701821341</v>
      </c>
      <c r="JK63" s="61">
        <f t="shared" si="342"/>
        <v>0</v>
      </c>
      <c r="JL63" s="61">
        <f t="shared" si="343"/>
        <v>1548.2108604729697</v>
      </c>
      <c r="JM63" s="61">
        <f t="shared" si="344"/>
        <v>0</v>
      </c>
      <c r="JN63" s="61">
        <f t="shared" si="345"/>
        <v>0</v>
      </c>
      <c r="JO63" s="61">
        <f t="shared" si="346"/>
        <v>16007.541313202759</v>
      </c>
      <c r="JQ63" s="26">
        <f t="shared" si="431"/>
        <v>53196.000000000015</v>
      </c>
      <c r="JR63" s="156">
        <f t="shared" si="432"/>
        <v>1.0000000000000002</v>
      </c>
      <c r="JT63" s="157">
        <f t="shared" si="347"/>
        <v>0</v>
      </c>
      <c r="JU63" s="29">
        <f t="shared" si="348"/>
        <v>0</v>
      </c>
    </row>
    <row r="64" spans="1:281" ht="18.75" x14ac:dyDescent="0.3">
      <c r="A64" t="s">
        <v>69</v>
      </c>
      <c r="B64" t="s">
        <v>112</v>
      </c>
      <c r="C64" s="1" t="s">
        <v>78</v>
      </c>
      <c r="D64" t="s">
        <v>136</v>
      </c>
      <c r="E64" t="s">
        <v>138</v>
      </c>
      <c r="F64" s="113">
        <v>58</v>
      </c>
      <c r="G64" s="15">
        <v>132990</v>
      </c>
      <c r="H64" s="20">
        <v>103093</v>
      </c>
      <c r="I64" s="23">
        <v>1.2900002909993888</v>
      </c>
      <c r="J64" s="9">
        <v>0</v>
      </c>
      <c r="K64" s="9">
        <v>3.3299251460454666E-3</v>
      </c>
      <c r="L64" s="9">
        <v>0</v>
      </c>
      <c r="M64" s="9">
        <v>0</v>
      </c>
      <c r="N64" s="9">
        <v>0</v>
      </c>
      <c r="O64" s="9">
        <v>2.1583968174373365E-2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6.1668480498209617E-2</v>
      </c>
      <c r="X64" s="9">
        <v>0</v>
      </c>
      <c r="Y64" s="9">
        <v>1.6649625730227331E-2</v>
      </c>
      <c r="Z64" s="9">
        <v>4.994887719068199E-3</v>
      </c>
      <c r="AA64" s="9">
        <v>1.3319700584181866E-2</v>
      </c>
      <c r="AB64" s="9">
        <v>0</v>
      </c>
      <c r="AC64" s="9">
        <v>0</v>
      </c>
      <c r="AD64" s="9">
        <v>9.989775438136398E-3</v>
      </c>
      <c r="AE64" s="9">
        <v>0</v>
      </c>
      <c r="AF64" s="9">
        <v>7.6588278359045719E-2</v>
      </c>
      <c r="AG64" s="9">
        <v>0</v>
      </c>
      <c r="AH64" s="9">
        <v>0</v>
      </c>
      <c r="AI64" s="9">
        <v>0.7918753583507121</v>
      </c>
      <c r="AJ64" s="8">
        <f t="shared" si="376"/>
        <v>1</v>
      </c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9"/>
      <c r="BM64" s="26">
        <f t="shared" si="377"/>
        <v>0</v>
      </c>
      <c r="BN64" s="26">
        <f t="shared" si="378"/>
        <v>442.84674517258662</v>
      </c>
      <c r="BO64" s="26">
        <f t="shared" si="379"/>
        <v>0</v>
      </c>
      <c r="BP64" s="26">
        <f t="shared" si="380"/>
        <v>0</v>
      </c>
      <c r="BQ64" s="26">
        <f t="shared" si="381"/>
        <v>0</v>
      </c>
      <c r="BR64" s="26">
        <f t="shared" si="382"/>
        <v>2870.4519275099137</v>
      </c>
      <c r="BS64" s="26">
        <f t="shared" si="383"/>
        <v>0</v>
      </c>
      <c r="BT64" s="26">
        <f t="shared" si="384"/>
        <v>0</v>
      </c>
      <c r="BU64" s="26">
        <f t="shared" si="385"/>
        <v>0</v>
      </c>
      <c r="BV64" s="26">
        <f t="shared" si="386"/>
        <v>0</v>
      </c>
      <c r="BW64" s="26">
        <f t="shared" si="387"/>
        <v>0</v>
      </c>
      <c r="BX64" s="26">
        <f t="shared" si="388"/>
        <v>0</v>
      </c>
      <c r="BY64" s="26">
        <f t="shared" si="389"/>
        <v>0</v>
      </c>
      <c r="BZ64" s="26">
        <f t="shared" si="390"/>
        <v>8201.2912214568969</v>
      </c>
      <c r="CA64" s="26">
        <f t="shared" si="391"/>
        <v>0</v>
      </c>
      <c r="CB64" s="26">
        <f t="shared" si="392"/>
        <v>2214.2337258629327</v>
      </c>
      <c r="CC64" s="26">
        <f t="shared" si="393"/>
        <v>664.27011775887979</v>
      </c>
      <c r="CD64" s="26">
        <f t="shared" si="394"/>
        <v>1771.3869806903465</v>
      </c>
      <c r="CE64" s="26">
        <f t="shared" si="395"/>
        <v>0</v>
      </c>
      <c r="CF64" s="26">
        <f t="shared" si="396"/>
        <v>0</v>
      </c>
      <c r="CG64" s="26">
        <f t="shared" si="397"/>
        <v>1328.5402355177596</v>
      </c>
      <c r="CH64" s="26">
        <f t="shared" si="398"/>
        <v>0</v>
      </c>
      <c r="CI64" s="26">
        <f t="shared" si="399"/>
        <v>10185.47513896949</v>
      </c>
      <c r="CJ64" s="26">
        <f t="shared" si="400"/>
        <v>0</v>
      </c>
      <c r="CK64" s="26">
        <f t="shared" si="401"/>
        <v>0</v>
      </c>
      <c r="CL64" s="26">
        <f t="shared" si="402"/>
        <v>105311.5039070612</v>
      </c>
      <c r="CM64" s="110">
        <f t="shared" si="403"/>
        <v>1</v>
      </c>
      <c r="CN64" s="27">
        <f t="shared" si="404"/>
        <v>0</v>
      </c>
      <c r="CO64" s="27">
        <f t="shared" si="405"/>
        <v>343.29197308126527</v>
      </c>
      <c r="CP64" s="27">
        <f t="shared" si="406"/>
        <v>0</v>
      </c>
      <c r="CQ64" s="27">
        <f t="shared" si="407"/>
        <v>0</v>
      </c>
      <c r="CR64" s="27">
        <f t="shared" si="408"/>
        <v>0</v>
      </c>
      <c r="CS64" s="27">
        <f t="shared" si="409"/>
        <v>2225.1560310006735</v>
      </c>
      <c r="CT64" s="27">
        <f t="shared" si="410"/>
        <v>0</v>
      </c>
      <c r="CU64" s="27">
        <f t="shared" si="411"/>
        <v>0</v>
      </c>
      <c r="CV64" s="27">
        <f t="shared" si="412"/>
        <v>0</v>
      </c>
      <c r="CW64" s="27">
        <f t="shared" si="413"/>
        <v>0</v>
      </c>
      <c r="CX64" s="27">
        <f t="shared" si="414"/>
        <v>0</v>
      </c>
      <c r="CY64" s="27">
        <f t="shared" si="415"/>
        <v>0</v>
      </c>
      <c r="CZ64" s="27">
        <f t="shared" si="416"/>
        <v>0</v>
      </c>
      <c r="DA64" s="27">
        <f t="shared" si="417"/>
        <v>6357.5886600019239</v>
      </c>
      <c r="DB64" s="27">
        <f t="shared" si="418"/>
        <v>0</v>
      </c>
      <c r="DC64" s="27">
        <f t="shared" si="419"/>
        <v>1716.4598654063263</v>
      </c>
      <c r="DD64" s="27">
        <f t="shared" si="420"/>
        <v>514.93795962189779</v>
      </c>
      <c r="DE64" s="27">
        <f t="shared" si="421"/>
        <v>1373.1678923250611</v>
      </c>
      <c r="DF64" s="27">
        <f t="shared" si="422"/>
        <v>0</v>
      </c>
      <c r="DG64" s="27">
        <f t="shared" si="423"/>
        <v>0</v>
      </c>
      <c r="DH64" s="27">
        <f t="shared" si="424"/>
        <v>1029.8759192437956</v>
      </c>
      <c r="DI64" s="27">
        <f t="shared" si="425"/>
        <v>0</v>
      </c>
      <c r="DJ64" s="27">
        <f t="shared" si="426"/>
        <v>7895.7153808691</v>
      </c>
      <c r="DK64" s="27">
        <f t="shared" si="427"/>
        <v>0</v>
      </c>
      <c r="DL64" s="27">
        <f t="shared" si="428"/>
        <v>0</v>
      </c>
      <c r="DM64" s="27">
        <f t="shared" si="429"/>
        <v>81636.806318449962</v>
      </c>
      <c r="DN64" s="110">
        <f t="shared" si="430"/>
        <v>1</v>
      </c>
      <c r="DO64" s="28">
        <f t="shared" si="211"/>
        <v>0</v>
      </c>
      <c r="DP64" s="28">
        <f t="shared" si="212"/>
        <v>99.554772091321354</v>
      </c>
      <c r="DQ64" s="28">
        <f t="shared" si="213"/>
        <v>0</v>
      </c>
      <c r="DR64" s="28">
        <f t="shared" si="214"/>
        <v>0</v>
      </c>
      <c r="DS64" s="28">
        <f t="shared" si="215"/>
        <v>0</v>
      </c>
      <c r="DT64" s="28">
        <f t="shared" si="216"/>
        <v>645.29589650924027</v>
      </c>
      <c r="DU64" s="28">
        <f t="shared" si="217"/>
        <v>0</v>
      </c>
      <c r="DV64" s="28">
        <f t="shared" si="218"/>
        <v>0</v>
      </c>
      <c r="DW64" s="28">
        <f t="shared" si="219"/>
        <v>0</v>
      </c>
      <c r="DX64" s="28">
        <f t="shared" si="220"/>
        <v>0</v>
      </c>
      <c r="DY64" s="28">
        <f t="shared" si="221"/>
        <v>0</v>
      </c>
      <c r="DZ64" s="28">
        <f t="shared" si="222"/>
        <v>0</v>
      </c>
      <c r="EA64" s="28">
        <f t="shared" si="223"/>
        <v>0</v>
      </c>
      <c r="EB64" s="28">
        <f t="shared" si="224"/>
        <v>1843.702561454973</v>
      </c>
      <c r="EC64" s="28">
        <f t="shared" si="225"/>
        <v>0</v>
      </c>
      <c r="ED64" s="28">
        <f t="shared" si="226"/>
        <v>497.77386045660637</v>
      </c>
      <c r="EE64" s="28">
        <f t="shared" si="227"/>
        <v>149.332158136982</v>
      </c>
      <c r="EF64" s="28">
        <f t="shared" si="228"/>
        <v>398.21908836528542</v>
      </c>
      <c r="EG64" s="28">
        <f t="shared" si="229"/>
        <v>0</v>
      </c>
      <c r="EH64" s="28">
        <f t="shared" si="230"/>
        <v>0</v>
      </c>
      <c r="EI64" s="28">
        <f t="shared" si="231"/>
        <v>298.664316273964</v>
      </c>
      <c r="EJ64" s="28">
        <f t="shared" si="232"/>
        <v>0</v>
      </c>
      <c r="EK64" s="28">
        <f t="shared" si="233"/>
        <v>2289.7597581003902</v>
      </c>
      <c r="EL64" s="28">
        <f t="shared" si="234"/>
        <v>0</v>
      </c>
      <c r="EM64" s="28">
        <f t="shared" si="235"/>
        <v>0</v>
      </c>
      <c r="EN64" s="28">
        <f t="shared" si="236"/>
        <v>23674.697588611234</v>
      </c>
      <c r="EQ64" s="144">
        <v>3.9999997333364623E-2</v>
      </c>
      <c r="ER64" s="144">
        <v>5.9999996000046942E-2</v>
      </c>
      <c r="ES64" s="144">
        <v>5.9999996000046942E-2</v>
      </c>
      <c r="ET64" s="144">
        <v>5.9999996000046942E-2</v>
      </c>
      <c r="EU64" s="144">
        <v>7.000001199985921E-2</v>
      </c>
      <c r="EV64" s="144">
        <v>7.000001199985921E-2</v>
      </c>
      <c r="EW64" s="144">
        <v>7.9999994666729246E-2</v>
      </c>
      <c r="EX64" s="144">
        <v>7.9999994666729246E-2</v>
      </c>
      <c r="EY64" s="144">
        <v>9.9999993333411571E-2</v>
      </c>
      <c r="EZ64" s="144">
        <v>0.11999999200009388</v>
      </c>
      <c r="FA64" s="144">
        <v>0.14000002399971842</v>
      </c>
      <c r="FB64" s="144">
        <v>0.11999999200009388</v>
      </c>
      <c r="FC64" s="145">
        <f t="shared" si="237"/>
        <v>1.0000000000000002</v>
      </c>
      <c r="FD64" s="146">
        <f t="shared" si="238"/>
        <v>0.15999998933345849</v>
      </c>
      <c r="FE64" s="146">
        <f t="shared" si="239"/>
        <v>0.20000001999976535</v>
      </c>
      <c r="FF64" s="146">
        <f t="shared" si="240"/>
        <v>0.25999998266687008</v>
      </c>
      <c r="FG64" s="146">
        <f t="shared" si="241"/>
        <v>0.38000000799990619</v>
      </c>
      <c r="FH64" s="145">
        <f t="shared" si="375"/>
        <v>1</v>
      </c>
      <c r="FJ64" s="52">
        <f t="shared" si="243"/>
        <v>0</v>
      </c>
      <c r="FK64" s="52">
        <f t="shared" si="244"/>
        <v>70.855474503970669</v>
      </c>
      <c r="FL64" s="52">
        <f t="shared" si="245"/>
        <v>0</v>
      </c>
      <c r="FM64" s="52">
        <f t="shared" si="246"/>
        <v>0</v>
      </c>
      <c r="FN64" s="52">
        <f t="shared" si="247"/>
        <v>0</v>
      </c>
      <c r="FO64" s="52">
        <f t="shared" si="248"/>
        <v>459.27227778379159</v>
      </c>
      <c r="FP64" s="52">
        <f t="shared" si="249"/>
        <v>0</v>
      </c>
      <c r="FQ64" s="52">
        <f t="shared" si="250"/>
        <v>0</v>
      </c>
      <c r="FR64" s="52">
        <f t="shared" si="251"/>
        <v>0</v>
      </c>
      <c r="FS64" s="52">
        <f t="shared" si="252"/>
        <v>0</v>
      </c>
      <c r="FT64" s="52">
        <f t="shared" si="253"/>
        <v>0</v>
      </c>
      <c r="FU64" s="52">
        <f t="shared" si="254"/>
        <v>0</v>
      </c>
      <c r="FV64" s="52">
        <f t="shared" si="255"/>
        <v>0</v>
      </c>
      <c r="FW64" s="52">
        <f t="shared" si="256"/>
        <v>1312.2065079536903</v>
      </c>
      <c r="FX64" s="52">
        <f t="shared" si="257"/>
        <v>0</v>
      </c>
      <c r="FY64" s="52">
        <f t="shared" si="258"/>
        <v>354.27737251985332</v>
      </c>
      <c r="FZ64" s="52">
        <f t="shared" si="259"/>
        <v>106.28321175595599</v>
      </c>
      <c r="GA64" s="52">
        <f t="shared" si="260"/>
        <v>283.42189801588268</v>
      </c>
      <c r="GB64" s="52">
        <f t="shared" si="261"/>
        <v>0</v>
      </c>
      <c r="GC64" s="52">
        <f t="shared" si="262"/>
        <v>0</v>
      </c>
      <c r="GD64" s="52">
        <f t="shared" si="263"/>
        <v>212.56642351191198</v>
      </c>
      <c r="GE64" s="52">
        <f t="shared" si="264"/>
        <v>0</v>
      </c>
      <c r="GF64" s="52">
        <f t="shared" si="265"/>
        <v>1629.6759135913251</v>
      </c>
      <c r="GG64" s="52">
        <f t="shared" si="266"/>
        <v>0</v>
      </c>
      <c r="GH64" s="52">
        <f t="shared" si="267"/>
        <v>0</v>
      </c>
      <c r="GI64" s="52">
        <f t="shared" si="268"/>
        <v>16849.839501820265</v>
      </c>
      <c r="GJ64" s="26"/>
      <c r="GL64" s="150">
        <f t="shared" si="269"/>
        <v>0</v>
      </c>
      <c r="GM64" s="150">
        <f t="shared" si="270"/>
        <v>88.569357891348318</v>
      </c>
      <c r="GN64" s="150">
        <f t="shared" si="271"/>
        <v>0</v>
      </c>
      <c r="GO64" s="150">
        <f t="shared" si="272"/>
        <v>0</v>
      </c>
      <c r="GP64" s="150">
        <f t="shared" si="273"/>
        <v>0</v>
      </c>
      <c r="GQ64" s="150">
        <f t="shared" si="274"/>
        <v>574.09044291034775</v>
      </c>
      <c r="GR64" s="150">
        <f t="shared" si="275"/>
        <v>0</v>
      </c>
      <c r="GS64" s="150">
        <f t="shared" si="276"/>
        <v>0</v>
      </c>
      <c r="GT64" s="150">
        <f t="shared" si="277"/>
        <v>0</v>
      </c>
      <c r="GU64" s="150">
        <f t="shared" si="278"/>
        <v>0</v>
      </c>
      <c r="GV64" s="150">
        <f t="shared" si="279"/>
        <v>0</v>
      </c>
      <c r="GW64" s="150">
        <f t="shared" si="280"/>
        <v>0</v>
      </c>
      <c r="GX64" s="150">
        <f t="shared" si="281"/>
        <v>0</v>
      </c>
      <c r="GY64" s="150">
        <f t="shared" si="282"/>
        <v>1640.2584083152794</v>
      </c>
      <c r="GZ64" s="150">
        <f t="shared" si="283"/>
        <v>0</v>
      </c>
      <c r="HA64" s="150">
        <f t="shared" si="284"/>
        <v>442.84678945674148</v>
      </c>
      <c r="HB64" s="150">
        <f t="shared" si="285"/>
        <v>132.85403683702245</v>
      </c>
      <c r="HC64" s="150">
        <f t="shared" si="286"/>
        <v>354.27743156539327</v>
      </c>
      <c r="HD64" s="150">
        <f t="shared" si="287"/>
        <v>0</v>
      </c>
      <c r="HE64" s="150">
        <f t="shared" si="288"/>
        <v>0</v>
      </c>
      <c r="HF64" s="150">
        <f t="shared" si="289"/>
        <v>265.7080736740449</v>
      </c>
      <c r="HG64" s="150">
        <f t="shared" si="290"/>
        <v>0</v>
      </c>
      <c r="HH64" s="150">
        <f t="shared" si="291"/>
        <v>2037.0952315010109</v>
      </c>
      <c r="HI64" s="150">
        <f t="shared" si="292"/>
        <v>0</v>
      </c>
      <c r="HJ64" s="150">
        <f t="shared" si="293"/>
        <v>0</v>
      </c>
      <c r="HK64" s="150">
        <f t="shared" si="294"/>
        <v>21062.302887617607</v>
      </c>
      <c r="HL64" s="26"/>
      <c r="HN64" s="147">
        <f t="shared" si="295"/>
        <v>0</v>
      </c>
      <c r="HO64" s="147">
        <f t="shared" si="296"/>
        <v>115.14014606895235</v>
      </c>
      <c r="HP64" s="147">
        <f t="shared" si="297"/>
        <v>0</v>
      </c>
      <c r="HQ64" s="147">
        <f t="shared" si="298"/>
        <v>0</v>
      </c>
      <c r="HR64" s="147">
        <f t="shared" si="299"/>
        <v>0</v>
      </c>
      <c r="HS64" s="147">
        <f t="shared" si="300"/>
        <v>746.31745139866132</v>
      </c>
      <c r="HT64" s="147">
        <f t="shared" si="301"/>
        <v>0</v>
      </c>
      <c r="HU64" s="147">
        <f t="shared" si="302"/>
        <v>0</v>
      </c>
      <c r="HV64" s="147">
        <f t="shared" si="303"/>
        <v>0</v>
      </c>
      <c r="HW64" s="147">
        <f t="shared" si="304"/>
        <v>0</v>
      </c>
      <c r="HX64" s="147">
        <f t="shared" si="305"/>
        <v>0</v>
      </c>
      <c r="HY64" s="147">
        <f t="shared" si="306"/>
        <v>0</v>
      </c>
      <c r="HZ64" s="147">
        <f t="shared" si="307"/>
        <v>0</v>
      </c>
      <c r="IA64" s="147">
        <f t="shared" si="308"/>
        <v>2132.3355754247468</v>
      </c>
      <c r="IB64" s="147">
        <f t="shared" si="309"/>
        <v>0</v>
      </c>
      <c r="IC64" s="147">
        <f t="shared" si="310"/>
        <v>575.70073034476161</v>
      </c>
      <c r="ID64" s="147">
        <f t="shared" si="311"/>
        <v>172.7102191034285</v>
      </c>
      <c r="IE64" s="147">
        <f t="shared" si="312"/>
        <v>460.56058427580939</v>
      </c>
      <c r="IF64" s="147">
        <f t="shared" si="313"/>
        <v>0</v>
      </c>
      <c r="IG64" s="147">
        <f t="shared" si="314"/>
        <v>0</v>
      </c>
      <c r="IH64" s="147">
        <f t="shared" si="315"/>
        <v>345.420438206857</v>
      </c>
      <c r="II64" s="147">
        <f t="shared" si="316"/>
        <v>0</v>
      </c>
      <c r="IJ64" s="147">
        <f t="shared" si="317"/>
        <v>2648.2233595859034</v>
      </c>
      <c r="IK64" s="147">
        <f t="shared" si="318"/>
        <v>0</v>
      </c>
      <c r="IL64" s="147">
        <f t="shared" si="319"/>
        <v>0</v>
      </c>
      <c r="IM64" s="147">
        <f t="shared" si="320"/>
        <v>27380.989190457931</v>
      </c>
      <c r="IN64" s="26"/>
      <c r="IP64" s="61">
        <f t="shared" si="321"/>
        <v>0</v>
      </c>
      <c r="IQ64" s="61">
        <f t="shared" si="322"/>
        <v>168.28176670831533</v>
      </c>
      <c r="IR64" s="61">
        <f t="shared" si="323"/>
        <v>0</v>
      </c>
      <c r="IS64" s="61">
        <f t="shared" si="324"/>
        <v>0</v>
      </c>
      <c r="IT64" s="61">
        <f t="shared" si="325"/>
        <v>0</v>
      </c>
      <c r="IU64" s="61">
        <f t="shared" si="326"/>
        <v>1090.7717554171134</v>
      </c>
      <c r="IV64" s="61">
        <f t="shared" si="327"/>
        <v>0</v>
      </c>
      <c r="IW64" s="61">
        <f t="shared" si="328"/>
        <v>0</v>
      </c>
      <c r="IX64" s="61">
        <f t="shared" si="329"/>
        <v>0</v>
      </c>
      <c r="IY64" s="61">
        <f t="shared" si="330"/>
        <v>0</v>
      </c>
      <c r="IZ64" s="61">
        <f t="shared" si="331"/>
        <v>0</v>
      </c>
      <c r="JA64" s="61">
        <f t="shared" si="332"/>
        <v>0</v>
      </c>
      <c r="JB64" s="61">
        <f t="shared" si="333"/>
        <v>0</v>
      </c>
      <c r="JC64" s="61">
        <f t="shared" si="334"/>
        <v>3116.4907297631812</v>
      </c>
      <c r="JD64" s="61">
        <f t="shared" si="335"/>
        <v>0</v>
      </c>
      <c r="JE64" s="61">
        <f t="shared" si="336"/>
        <v>841.40883354157654</v>
      </c>
      <c r="JF64" s="61">
        <f t="shared" si="337"/>
        <v>252.42265006247294</v>
      </c>
      <c r="JG64" s="61">
        <f t="shared" si="338"/>
        <v>673.12706683326132</v>
      </c>
      <c r="JH64" s="61">
        <f t="shared" si="339"/>
        <v>0</v>
      </c>
      <c r="JI64" s="61">
        <f t="shared" si="340"/>
        <v>0</v>
      </c>
      <c r="JJ64" s="61">
        <f t="shared" si="341"/>
        <v>504.84530012494588</v>
      </c>
      <c r="JK64" s="61">
        <f t="shared" si="342"/>
        <v>0</v>
      </c>
      <c r="JL64" s="61">
        <f t="shared" si="343"/>
        <v>3870.480634291252</v>
      </c>
      <c r="JM64" s="61">
        <f t="shared" si="344"/>
        <v>0</v>
      </c>
      <c r="JN64" s="61">
        <f t="shared" si="345"/>
        <v>0</v>
      </c>
      <c r="JO64" s="61">
        <f t="shared" si="346"/>
        <v>40018.372327165409</v>
      </c>
      <c r="JQ64" s="26">
        <f t="shared" si="431"/>
        <v>132990.00000000003</v>
      </c>
      <c r="JR64" s="156">
        <f t="shared" si="432"/>
        <v>1.0000000000000002</v>
      </c>
      <c r="JT64" s="157">
        <f t="shared" si="347"/>
        <v>0</v>
      </c>
      <c r="JU64" s="29">
        <f t="shared" si="348"/>
        <v>0</v>
      </c>
    </row>
    <row r="65" spans="1:281" ht="18.75" x14ac:dyDescent="0.3">
      <c r="A65" t="s">
        <v>69</v>
      </c>
      <c r="B65" t="s">
        <v>113</v>
      </c>
      <c r="C65" s="1" t="s">
        <v>90</v>
      </c>
      <c r="D65" t="s">
        <v>136</v>
      </c>
      <c r="E65" t="s">
        <v>139</v>
      </c>
      <c r="F65" s="113">
        <v>201.00000000000003</v>
      </c>
      <c r="G65" s="15">
        <v>1276707</v>
      </c>
      <c r="H65" s="20">
        <v>899088</v>
      </c>
      <c r="I65" s="23">
        <v>1.4200022689658853</v>
      </c>
      <c r="J65" s="9">
        <v>0</v>
      </c>
      <c r="K65" s="9">
        <v>3.3299251460454666E-3</v>
      </c>
      <c r="L65" s="9">
        <v>0</v>
      </c>
      <c r="M65" s="9">
        <v>0</v>
      </c>
      <c r="N65" s="9">
        <v>0</v>
      </c>
      <c r="O65" s="9">
        <v>2.1583968174373365E-2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6.1668480498209617E-2</v>
      </c>
      <c r="X65" s="9">
        <v>0</v>
      </c>
      <c r="Y65" s="9">
        <v>1.6649625730227331E-2</v>
      </c>
      <c r="Z65" s="9">
        <v>4.994887719068199E-3</v>
      </c>
      <c r="AA65" s="9">
        <v>1.3319700584181866E-2</v>
      </c>
      <c r="AB65" s="9">
        <v>0</v>
      </c>
      <c r="AC65" s="9">
        <v>0</v>
      </c>
      <c r="AD65" s="9">
        <v>9.989775438136398E-3</v>
      </c>
      <c r="AE65" s="9">
        <v>0</v>
      </c>
      <c r="AF65" s="9">
        <v>7.6588278359045719E-2</v>
      </c>
      <c r="AG65" s="9">
        <v>0</v>
      </c>
      <c r="AH65" s="9">
        <v>0</v>
      </c>
      <c r="AI65" s="9">
        <v>0.7918753583507121</v>
      </c>
      <c r="AJ65" s="8">
        <f t="shared" si="376"/>
        <v>1</v>
      </c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9"/>
      <c r="BM65" s="26">
        <f t="shared" si="377"/>
        <v>0</v>
      </c>
      <c r="BN65" s="26">
        <f t="shared" si="378"/>
        <v>4251.3387434322694</v>
      </c>
      <c r="BO65" s="26">
        <f t="shared" si="379"/>
        <v>0</v>
      </c>
      <c r="BP65" s="26">
        <f t="shared" si="380"/>
        <v>0</v>
      </c>
      <c r="BQ65" s="26">
        <f t="shared" si="381"/>
        <v>0</v>
      </c>
      <c r="BR65" s="26">
        <f t="shared" si="382"/>
        <v>27556.403255999696</v>
      </c>
      <c r="BS65" s="26">
        <f t="shared" si="383"/>
        <v>0</v>
      </c>
      <c r="BT65" s="26">
        <f t="shared" si="384"/>
        <v>0</v>
      </c>
      <c r="BU65" s="26">
        <f t="shared" si="385"/>
        <v>0</v>
      </c>
      <c r="BV65" s="26">
        <f t="shared" si="386"/>
        <v>0</v>
      </c>
      <c r="BW65" s="26">
        <f t="shared" si="387"/>
        <v>0</v>
      </c>
      <c r="BX65" s="26">
        <f t="shared" si="388"/>
        <v>0</v>
      </c>
      <c r="BY65" s="26">
        <f t="shared" si="389"/>
        <v>0</v>
      </c>
      <c r="BZ65" s="26">
        <f t="shared" si="390"/>
        <v>78732.580731427704</v>
      </c>
      <c r="CA65" s="26">
        <f t="shared" si="391"/>
        <v>0</v>
      </c>
      <c r="CB65" s="26">
        <f t="shared" si="392"/>
        <v>21256.693717161346</v>
      </c>
      <c r="CC65" s="26">
        <f t="shared" si="393"/>
        <v>6377.0081151484028</v>
      </c>
      <c r="CD65" s="26">
        <f t="shared" si="394"/>
        <v>17005.354973729078</v>
      </c>
      <c r="CE65" s="26">
        <f t="shared" si="395"/>
        <v>0</v>
      </c>
      <c r="CF65" s="26">
        <f t="shared" si="396"/>
        <v>0</v>
      </c>
      <c r="CG65" s="26">
        <f t="shared" si="397"/>
        <v>12754.016230296806</v>
      </c>
      <c r="CH65" s="26">
        <f t="shared" si="398"/>
        <v>0</v>
      </c>
      <c r="CI65" s="26">
        <f t="shared" si="399"/>
        <v>97780.79109894218</v>
      </c>
      <c r="CJ65" s="26">
        <f t="shared" si="400"/>
        <v>0</v>
      </c>
      <c r="CK65" s="26">
        <f t="shared" si="401"/>
        <v>0</v>
      </c>
      <c r="CL65" s="26">
        <f t="shared" si="402"/>
        <v>1010992.8131338626</v>
      </c>
      <c r="CM65" s="110">
        <f t="shared" si="403"/>
        <v>1</v>
      </c>
      <c r="CN65" s="27">
        <f t="shared" si="404"/>
        <v>0</v>
      </c>
      <c r="CO65" s="27">
        <f t="shared" si="405"/>
        <v>2993.8957397077265</v>
      </c>
      <c r="CP65" s="27">
        <f t="shared" si="406"/>
        <v>0</v>
      </c>
      <c r="CQ65" s="27">
        <f t="shared" si="407"/>
        <v>0</v>
      </c>
      <c r="CR65" s="27">
        <f t="shared" si="408"/>
        <v>0</v>
      </c>
      <c r="CS65" s="27">
        <f t="shared" si="409"/>
        <v>19405.886777961001</v>
      </c>
      <c r="CT65" s="27">
        <f t="shared" si="410"/>
        <v>0</v>
      </c>
      <c r="CU65" s="27">
        <f t="shared" si="411"/>
        <v>0</v>
      </c>
      <c r="CV65" s="27">
        <f t="shared" si="412"/>
        <v>0</v>
      </c>
      <c r="CW65" s="27">
        <f t="shared" si="413"/>
        <v>0</v>
      </c>
      <c r="CX65" s="27">
        <f t="shared" si="414"/>
        <v>0</v>
      </c>
      <c r="CY65" s="27">
        <f t="shared" si="415"/>
        <v>0</v>
      </c>
      <c r="CZ65" s="27">
        <f t="shared" si="416"/>
        <v>0</v>
      </c>
      <c r="DA65" s="27">
        <f t="shared" si="417"/>
        <v>55445.390794174287</v>
      </c>
      <c r="DB65" s="27">
        <f t="shared" si="418"/>
        <v>0</v>
      </c>
      <c r="DC65" s="27">
        <f t="shared" si="419"/>
        <v>14969.478698538631</v>
      </c>
      <c r="DD65" s="27">
        <f t="shared" si="420"/>
        <v>4490.8436095615889</v>
      </c>
      <c r="DE65" s="27">
        <f t="shared" si="421"/>
        <v>11975.582958830906</v>
      </c>
      <c r="DF65" s="27">
        <f t="shared" si="422"/>
        <v>0</v>
      </c>
      <c r="DG65" s="27">
        <f t="shared" si="423"/>
        <v>0</v>
      </c>
      <c r="DH65" s="27">
        <f t="shared" si="424"/>
        <v>8981.6872191231778</v>
      </c>
      <c r="DI65" s="27">
        <f t="shared" si="425"/>
        <v>0</v>
      </c>
      <c r="DJ65" s="27">
        <f t="shared" si="426"/>
        <v>68859.602013277705</v>
      </c>
      <c r="DK65" s="27">
        <f t="shared" si="427"/>
        <v>0</v>
      </c>
      <c r="DL65" s="27">
        <f t="shared" si="428"/>
        <v>0</v>
      </c>
      <c r="DM65" s="27">
        <f t="shared" si="429"/>
        <v>711965.63218882505</v>
      </c>
      <c r="DN65" s="110">
        <f t="shared" si="430"/>
        <v>1.0000000000000002</v>
      </c>
      <c r="DO65" s="28">
        <f t="shared" si="211"/>
        <v>0</v>
      </c>
      <c r="DP65" s="28">
        <f t="shared" si="212"/>
        <v>1257.4430037245429</v>
      </c>
      <c r="DQ65" s="28">
        <f t="shared" si="213"/>
        <v>0</v>
      </c>
      <c r="DR65" s="28">
        <f t="shared" si="214"/>
        <v>0</v>
      </c>
      <c r="DS65" s="28">
        <f t="shared" si="215"/>
        <v>0</v>
      </c>
      <c r="DT65" s="28">
        <f t="shared" si="216"/>
        <v>8150.5164780386949</v>
      </c>
      <c r="DU65" s="28">
        <f t="shared" si="217"/>
        <v>0</v>
      </c>
      <c r="DV65" s="28">
        <f t="shared" si="218"/>
        <v>0</v>
      </c>
      <c r="DW65" s="28">
        <f t="shared" si="219"/>
        <v>0</v>
      </c>
      <c r="DX65" s="28">
        <f t="shared" si="220"/>
        <v>0</v>
      </c>
      <c r="DY65" s="28">
        <f t="shared" si="221"/>
        <v>0</v>
      </c>
      <c r="DZ65" s="28">
        <f t="shared" si="222"/>
        <v>0</v>
      </c>
      <c r="EA65" s="28">
        <f t="shared" si="223"/>
        <v>0</v>
      </c>
      <c r="EB65" s="28">
        <f t="shared" si="224"/>
        <v>23287.189937253417</v>
      </c>
      <c r="EC65" s="28">
        <f t="shared" si="225"/>
        <v>0</v>
      </c>
      <c r="ED65" s="28">
        <f t="shared" si="226"/>
        <v>6287.2150186227154</v>
      </c>
      <c r="EE65" s="28">
        <f t="shared" si="227"/>
        <v>1886.1645055868139</v>
      </c>
      <c r="EF65" s="28">
        <f t="shared" si="228"/>
        <v>5029.7720148981716</v>
      </c>
      <c r="EG65" s="28">
        <f t="shared" si="229"/>
        <v>0</v>
      </c>
      <c r="EH65" s="28">
        <f t="shared" si="230"/>
        <v>0</v>
      </c>
      <c r="EI65" s="28">
        <f t="shared" si="231"/>
        <v>3772.3290111736278</v>
      </c>
      <c r="EJ65" s="28">
        <f t="shared" si="232"/>
        <v>0</v>
      </c>
      <c r="EK65" s="28">
        <f t="shared" si="233"/>
        <v>28921.189085664475</v>
      </c>
      <c r="EL65" s="28">
        <f t="shared" si="234"/>
        <v>0</v>
      </c>
      <c r="EM65" s="28">
        <f t="shared" si="235"/>
        <v>0</v>
      </c>
      <c r="EN65" s="28">
        <f t="shared" si="236"/>
        <v>299027.18094503751</v>
      </c>
      <c r="EQ65" s="144">
        <v>3.9997778386235507E-2</v>
      </c>
      <c r="ER65" s="144">
        <v>6.000222422251713E-2</v>
      </c>
      <c r="ES65" s="144">
        <v>6.000222422251713E-2</v>
      </c>
      <c r="ET65" s="144">
        <v>6.000222422251713E-2</v>
      </c>
      <c r="EU65" s="144">
        <v>7.0001668819076004E-2</v>
      </c>
      <c r="EV65" s="144">
        <v>7.0001668819076004E-2</v>
      </c>
      <c r="EW65" s="144">
        <v>8.0001113415634886E-2</v>
      </c>
      <c r="EX65" s="144">
        <v>8.0001113415634886E-2</v>
      </c>
      <c r="EY65" s="144">
        <v>0.10000000260875262</v>
      </c>
      <c r="EZ65" s="144">
        <v>0.11999888310602819</v>
      </c>
      <c r="FA65" s="144">
        <v>0.13999221565598211</v>
      </c>
      <c r="FB65" s="144">
        <v>0.11999888310602819</v>
      </c>
      <c r="FC65" s="145">
        <f t="shared" si="237"/>
        <v>0.99999999999999978</v>
      </c>
      <c r="FD65" s="146">
        <f t="shared" si="238"/>
        <v>0.16000222683126977</v>
      </c>
      <c r="FE65" s="146">
        <f t="shared" si="239"/>
        <v>0.20000556186066915</v>
      </c>
      <c r="FF65" s="146">
        <f t="shared" si="240"/>
        <v>0.26000222944002238</v>
      </c>
      <c r="FG65" s="146">
        <f t="shared" si="241"/>
        <v>0.37998998186803851</v>
      </c>
      <c r="FH65" s="145">
        <f t="shared" si="375"/>
        <v>0.99999999999999978</v>
      </c>
      <c r="FJ65" s="52">
        <f t="shared" si="243"/>
        <v>0</v>
      </c>
      <c r="FK65" s="52">
        <f t="shared" si="244"/>
        <v>680.22366596321535</v>
      </c>
      <c r="FL65" s="52">
        <f t="shared" si="245"/>
        <v>0</v>
      </c>
      <c r="FM65" s="52">
        <f t="shared" si="246"/>
        <v>0</v>
      </c>
      <c r="FN65" s="52">
        <f t="shared" si="247"/>
        <v>0</v>
      </c>
      <c r="FO65" s="52">
        <f t="shared" si="248"/>
        <v>4409.085884420404</v>
      </c>
      <c r="FP65" s="52">
        <f t="shared" si="249"/>
        <v>0</v>
      </c>
      <c r="FQ65" s="52">
        <f t="shared" si="250"/>
        <v>0</v>
      </c>
      <c r="FR65" s="52">
        <f t="shared" si="251"/>
        <v>0</v>
      </c>
      <c r="FS65" s="52">
        <f t="shared" si="252"/>
        <v>0</v>
      </c>
      <c r="FT65" s="52">
        <f t="shared" si="253"/>
        <v>0</v>
      </c>
      <c r="FU65" s="52">
        <f t="shared" si="254"/>
        <v>0</v>
      </c>
      <c r="FV65" s="52">
        <f t="shared" si="255"/>
        <v>0</v>
      </c>
      <c r="FW65" s="52">
        <f t="shared" si="256"/>
        <v>12597.388241201155</v>
      </c>
      <c r="FX65" s="52">
        <f t="shared" si="257"/>
        <v>0</v>
      </c>
      <c r="FY65" s="52">
        <f t="shared" si="258"/>
        <v>3401.1183298160768</v>
      </c>
      <c r="FZ65" s="52">
        <f t="shared" si="259"/>
        <v>1020.3354989448228</v>
      </c>
      <c r="GA65" s="52">
        <f t="shared" si="260"/>
        <v>2720.8946638528614</v>
      </c>
      <c r="GB65" s="52">
        <f t="shared" si="261"/>
        <v>0</v>
      </c>
      <c r="GC65" s="52">
        <f t="shared" si="262"/>
        <v>0</v>
      </c>
      <c r="GD65" s="52">
        <f t="shared" si="263"/>
        <v>2040.6709978896456</v>
      </c>
      <c r="GE65" s="52">
        <f t="shared" si="264"/>
        <v>0</v>
      </c>
      <c r="GF65" s="52">
        <f t="shared" si="265"/>
        <v>15645.14431715395</v>
      </c>
      <c r="GG65" s="52">
        <f t="shared" si="266"/>
        <v>0</v>
      </c>
      <c r="GH65" s="52">
        <f t="shared" si="267"/>
        <v>0</v>
      </c>
      <c r="GI65" s="52">
        <f t="shared" si="268"/>
        <v>161761.10141182781</v>
      </c>
      <c r="GJ65" s="26"/>
      <c r="GL65" s="150">
        <f t="shared" si="269"/>
        <v>0</v>
      </c>
      <c r="GM65" s="150">
        <f t="shared" si="270"/>
        <v>850.29139404020225</v>
      </c>
      <c r="GN65" s="150">
        <f t="shared" si="271"/>
        <v>0</v>
      </c>
      <c r="GO65" s="150">
        <f t="shared" si="272"/>
        <v>0</v>
      </c>
      <c r="GP65" s="150">
        <f t="shared" si="273"/>
        <v>0</v>
      </c>
      <c r="GQ65" s="150">
        <f t="shared" si="274"/>
        <v>5511.4339160753916</v>
      </c>
      <c r="GR65" s="150">
        <f t="shared" si="275"/>
        <v>0</v>
      </c>
      <c r="GS65" s="150">
        <f t="shared" si="276"/>
        <v>0</v>
      </c>
      <c r="GT65" s="150">
        <f t="shared" si="277"/>
        <v>0</v>
      </c>
      <c r="GU65" s="150">
        <f t="shared" si="278"/>
        <v>0</v>
      </c>
      <c r="GV65" s="150">
        <f t="shared" si="279"/>
        <v>0</v>
      </c>
      <c r="GW65" s="150">
        <f t="shared" si="280"/>
        <v>0</v>
      </c>
      <c r="GX65" s="150">
        <f t="shared" si="281"/>
        <v>0</v>
      </c>
      <c r="GY65" s="150">
        <f t="shared" si="282"/>
        <v>15746.954045929691</v>
      </c>
      <c r="GZ65" s="150">
        <f t="shared" si="283"/>
        <v>0</v>
      </c>
      <c r="HA65" s="150">
        <f t="shared" si="284"/>
        <v>4251.4569702010112</v>
      </c>
      <c r="HB65" s="150">
        <f t="shared" si="285"/>
        <v>1275.4370910603029</v>
      </c>
      <c r="HC65" s="150">
        <f t="shared" si="286"/>
        <v>3401.165576160809</v>
      </c>
      <c r="HD65" s="150">
        <f t="shared" si="287"/>
        <v>0</v>
      </c>
      <c r="HE65" s="150">
        <f t="shared" si="288"/>
        <v>0</v>
      </c>
      <c r="HF65" s="150">
        <f t="shared" si="289"/>
        <v>2550.8741821206058</v>
      </c>
      <c r="HG65" s="150">
        <f t="shared" si="290"/>
        <v>0</v>
      </c>
      <c r="HH65" s="150">
        <f t="shared" si="291"/>
        <v>19556.702062924647</v>
      </c>
      <c r="HI65" s="150">
        <f t="shared" si="292"/>
        <v>0</v>
      </c>
      <c r="HJ65" s="150">
        <f t="shared" si="293"/>
        <v>0</v>
      </c>
      <c r="HK65" s="150">
        <f t="shared" si="294"/>
        <v>202204.18562793668</v>
      </c>
      <c r="HL65" s="26"/>
      <c r="HN65" s="147">
        <f t="shared" si="295"/>
        <v>0</v>
      </c>
      <c r="HO65" s="147">
        <f t="shared" si="296"/>
        <v>1105.3575513971334</v>
      </c>
      <c r="HP65" s="147">
        <f t="shared" si="297"/>
        <v>0</v>
      </c>
      <c r="HQ65" s="147">
        <f t="shared" si="298"/>
        <v>0</v>
      </c>
      <c r="HR65" s="147">
        <f t="shared" si="299"/>
        <v>0</v>
      </c>
      <c r="HS65" s="147">
        <f t="shared" si="300"/>
        <v>7164.7262819082125</v>
      </c>
      <c r="HT65" s="147">
        <f t="shared" si="301"/>
        <v>0</v>
      </c>
      <c r="HU65" s="147">
        <f t="shared" si="302"/>
        <v>0</v>
      </c>
      <c r="HV65" s="147">
        <f t="shared" si="303"/>
        <v>0</v>
      </c>
      <c r="HW65" s="147">
        <f t="shared" si="304"/>
        <v>0</v>
      </c>
      <c r="HX65" s="147">
        <f t="shared" si="305"/>
        <v>0</v>
      </c>
      <c r="HY65" s="147">
        <f t="shared" si="306"/>
        <v>0</v>
      </c>
      <c r="HZ65" s="147">
        <f t="shared" si="307"/>
        <v>0</v>
      </c>
      <c r="IA65" s="147">
        <f t="shared" si="308"/>
        <v>20470.646519737751</v>
      </c>
      <c r="IB65" s="147">
        <f t="shared" si="309"/>
        <v>0</v>
      </c>
      <c r="IC65" s="147">
        <f t="shared" si="310"/>
        <v>5526.7877569856664</v>
      </c>
      <c r="ID65" s="147">
        <f t="shared" si="311"/>
        <v>1658.0363270956998</v>
      </c>
      <c r="IE65" s="147">
        <f t="shared" si="312"/>
        <v>4421.4302055885337</v>
      </c>
      <c r="IF65" s="147">
        <f t="shared" si="313"/>
        <v>0</v>
      </c>
      <c r="IG65" s="147">
        <f t="shared" si="314"/>
        <v>0</v>
      </c>
      <c r="IH65" s="147">
        <f t="shared" si="315"/>
        <v>3316.0726541913996</v>
      </c>
      <c r="II65" s="147">
        <f t="shared" si="316"/>
        <v>0</v>
      </c>
      <c r="IJ65" s="147">
        <f t="shared" si="317"/>
        <v>25423.223682134063</v>
      </c>
      <c r="IK65" s="147">
        <f t="shared" si="318"/>
        <v>0</v>
      </c>
      <c r="IL65" s="147">
        <f t="shared" si="319"/>
        <v>0</v>
      </c>
      <c r="IM65" s="147">
        <f t="shared" si="320"/>
        <v>262860.38536264421</v>
      </c>
      <c r="IN65" s="26"/>
      <c r="IP65" s="61">
        <f t="shared" si="321"/>
        <v>0</v>
      </c>
      <c r="IQ65" s="61">
        <f t="shared" si="322"/>
        <v>1615.4661320317177</v>
      </c>
      <c r="IR65" s="61">
        <f t="shared" si="323"/>
        <v>0</v>
      </c>
      <c r="IS65" s="61">
        <f t="shared" si="324"/>
        <v>0</v>
      </c>
      <c r="IT65" s="61">
        <f t="shared" si="325"/>
        <v>0</v>
      </c>
      <c r="IU65" s="61">
        <f t="shared" si="326"/>
        <v>10471.157173595682</v>
      </c>
      <c r="IV65" s="61">
        <f t="shared" si="327"/>
        <v>0</v>
      </c>
      <c r="IW65" s="61">
        <f t="shared" si="328"/>
        <v>0</v>
      </c>
      <c r="IX65" s="61">
        <f t="shared" si="329"/>
        <v>0</v>
      </c>
      <c r="IY65" s="61">
        <f t="shared" si="330"/>
        <v>0</v>
      </c>
      <c r="IZ65" s="61">
        <f t="shared" si="331"/>
        <v>0</v>
      </c>
      <c r="JA65" s="61">
        <f t="shared" si="332"/>
        <v>0</v>
      </c>
      <c r="JB65" s="61">
        <f t="shared" si="333"/>
        <v>0</v>
      </c>
      <c r="JC65" s="61">
        <f t="shared" si="334"/>
        <v>29917.591924559092</v>
      </c>
      <c r="JD65" s="61">
        <f t="shared" si="335"/>
        <v>0</v>
      </c>
      <c r="JE65" s="61">
        <f t="shared" si="336"/>
        <v>8077.3306601585882</v>
      </c>
      <c r="JF65" s="61">
        <f t="shared" si="337"/>
        <v>2423.1991980475759</v>
      </c>
      <c r="JG65" s="61">
        <f t="shared" si="338"/>
        <v>6461.8645281268709</v>
      </c>
      <c r="JH65" s="61">
        <f t="shared" si="339"/>
        <v>0</v>
      </c>
      <c r="JI65" s="61">
        <f t="shared" si="340"/>
        <v>0</v>
      </c>
      <c r="JJ65" s="61">
        <f t="shared" si="341"/>
        <v>4846.3983960951518</v>
      </c>
      <c r="JK65" s="61">
        <f t="shared" si="342"/>
        <v>0</v>
      </c>
      <c r="JL65" s="61">
        <f t="shared" si="343"/>
        <v>37155.721036729497</v>
      </c>
      <c r="JM65" s="61">
        <f t="shared" si="344"/>
        <v>0</v>
      </c>
      <c r="JN65" s="61">
        <f t="shared" si="345"/>
        <v>0</v>
      </c>
      <c r="JO65" s="61">
        <f t="shared" si="346"/>
        <v>384167.14073145366</v>
      </c>
      <c r="JQ65" s="26">
        <f t="shared" si="431"/>
        <v>1276706.9999999998</v>
      </c>
      <c r="JR65" s="156">
        <f t="shared" si="432"/>
        <v>0.99999999999999978</v>
      </c>
      <c r="JT65" s="157">
        <f t="shared" si="347"/>
        <v>0</v>
      </c>
      <c r="JU65" s="29">
        <f t="shared" si="348"/>
        <v>0</v>
      </c>
    </row>
    <row r="66" spans="1:281" ht="18.75" x14ac:dyDescent="0.3">
      <c r="A66" t="s">
        <v>69</v>
      </c>
      <c r="B66" t="s">
        <v>118</v>
      </c>
      <c r="C66" s="1" t="s">
        <v>84</v>
      </c>
      <c r="D66" t="s">
        <v>149</v>
      </c>
      <c r="E66" t="s">
        <v>150</v>
      </c>
      <c r="F66" s="113">
        <v>9.0625</v>
      </c>
      <c r="G66" s="16">
        <v>50000</v>
      </c>
      <c r="H66" s="20">
        <v>33333.3125</v>
      </c>
      <c r="I66" s="24">
        <v>1.5000009375005858</v>
      </c>
      <c r="J66" s="9">
        <v>0</v>
      </c>
      <c r="K66" s="9">
        <v>3.3299747258002162E-3</v>
      </c>
      <c r="L66" s="9">
        <v>0</v>
      </c>
      <c r="M66" s="9">
        <v>0</v>
      </c>
      <c r="N66" s="9">
        <v>0</v>
      </c>
      <c r="O66" s="9">
        <v>4.7460090514421696E-2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5.2172002317372478E-2</v>
      </c>
      <c r="X66" s="9">
        <v>0</v>
      </c>
      <c r="Y66" s="9">
        <v>1.6649873629001079E-2</v>
      </c>
      <c r="Z66" s="9">
        <v>4.9949620887003235E-3</v>
      </c>
      <c r="AA66" s="9">
        <v>1.3319898903200865E-2</v>
      </c>
      <c r="AB66" s="9">
        <v>0</v>
      </c>
      <c r="AC66" s="9">
        <v>0</v>
      </c>
      <c r="AD66" s="9">
        <v>9.989924177400647E-3</v>
      </c>
      <c r="AE66" s="9">
        <v>0</v>
      </c>
      <c r="AF66" s="9">
        <v>7.6589418693404965E-2</v>
      </c>
      <c r="AG66" s="9">
        <v>0</v>
      </c>
      <c r="AH66" s="9">
        <v>0</v>
      </c>
      <c r="AI66" s="9">
        <f>1-SUM(J66:AH66)</f>
        <v>0.77549385495069778</v>
      </c>
      <c r="AJ66" s="8">
        <f t="shared" si="376"/>
        <v>1</v>
      </c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9"/>
      <c r="BM66" s="26">
        <f t="shared" si="377"/>
        <v>0</v>
      </c>
      <c r="BN66" s="26">
        <f t="shared" si="378"/>
        <v>166.49873629001081</v>
      </c>
      <c r="BO66" s="26">
        <f t="shared" si="379"/>
        <v>0</v>
      </c>
      <c r="BP66" s="26">
        <f t="shared" si="380"/>
        <v>0</v>
      </c>
      <c r="BQ66" s="26">
        <f t="shared" si="381"/>
        <v>0</v>
      </c>
      <c r="BR66" s="26">
        <f t="shared" si="382"/>
        <v>2373.004525721085</v>
      </c>
      <c r="BS66" s="26">
        <f t="shared" si="383"/>
        <v>0</v>
      </c>
      <c r="BT66" s="26">
        <f t="shared" si="384"/>
        <v>0</v>
      </c>
      <c r="BU66" s="26">
        <f t="shared" si="385"/>
        <v>0</v>
      </c>
      <c r="BV66" s="26">
        <f t="shared" si="386"/>
        <v>0</v>
      </c>
      <c r="BW66" s="26">
        <f t="shared" si="387"/>
        <v>0</v>
      </c>
      <c r="BX66" s="26">
        <f t="shared" si="388"/>
        <v>0</v>
      </c>
      <c r="BY66" s="26">
        <f t="shared" si="389"/>
        <v>0</v>
      </c>
      <c r="BZ66" s="26">
        <f t="shared" si="390"/>
        <v>2608.600115868624</v>
      </c>
      <c r="CA66" s="26">
        <f t="shared" si="391"/>
        <v>0</v>
      </c>
      <c r="CB66" s="26">
        <f t="shared" si="392"/>
        <v>832.49368145005394</v>
      </c>
      <c r="CC66" s="26">
        <f t="shared" si="393"/>
        <v>249.74810443501619</v>
      </c>
      <c r="CD66" s="26">
        <f t="shared" si="394"/>
        <v>665.99494516004324</v>
      </c>
      <c r="CE66" s="26">
        <f t="shared" si="395"/>
        <v>0</v>
      </c>
      <c r="CF66" s="26">
        <f t="shared" si="396"/>
        <v>0</v>
      </c>
      <c r="CG66" s="26">
        <f t="shared" si="397"/>
        <v>499.49620887003238</v>
      </c>
      <c r="CH66" s="26">
        <f t="shared" si="398"/>
        <v>0</v>
      </c>
      <c r="CI66" s="26">
        <f t="shared" si="399"/>
        <v>3829.4709346702484</v>
      </c>
      <c r="CJ66" s="26">
        <f t="shared" si="400"/>
        <v>0</v>
      </c>
      <c r="CK66" s="26">
        <f t="shared" si="401"/>
        <v>0</v>
      </c>
      <c r="CL66" s="26">
        <f t="shared" si="402"/>
        <v>38774.692747534886</v>
      </c>
      <c r="CM66" s="110">
        <f t="shared" si="403"/>
        <v>1</v>
      </c>
      <c r="CN66" s="27">
        <f t="shared" si="404"/>
        <v>0</v>
      </c>
      <c r="CO66" s="27">
        <f t="shared" si="405"/>
        <v>110.99908815220041</v>
      </c>
      <c r="CP66" s="27">
        <f t="shared" si="406"/>
        <v>0</v>
      </c>
      <c r="CQ66" s="27">
        <f t="shared" si="407"/>
        <v>0</v>
      </c>
      <c r="CR66" s="27">
        <f t="shared" si="408"/>
        <v>0</v>
      </c>
      <c r="CS66" s="27">
        <f t="shared" si="409"/>
        <v>1582.0020283955041</v>
      </c>
      <c r="CT66" s="27">
        <f t="shared" si="410"/>
        <v>0</v>
      </c>
      <c r="CU66" s="27">
        <f t="shared" si="411"/>
        <v>0</v>
      </c>
      <c r="CV66" s="27">
        <f t="shared" si="412"/>
        <v>0</v>
      </c>
      <c r="CW66" s="27">
        <f t="shared" si="413"/>
        <v>0</v>
      </c>
      <c r="CX66" s="27">
        <f t="shared" si="414"/>
        <v>0</v>
      </c>
      <c r="CY66" s="27">
        <f t="shared" si="415"/>
        <v>0</v>
      </c>
      <c r="CZ66" s="27">
        <f t="shared" si="416"/>
        <v>0</v>
      </c>
      <c r="DA66" s="27">
        <f t="shared" si="417"/>
        <v>1739.0656569957009</v>
      </c>
      <c r="DB66" s="27">
        <f t="shared" si="418"/>
        <v>0</v>
      </c>
      <c r="DC66" s="27">
        <f t="shared" si="419"/>
        <v>554.9954407610021</v>
      </c>
      <c r="DD66" s="27">
        <f t="shared" si="420"/>
        <v>166.49863222830061</v>
      </c>
      <c r="DE66" s="27">
        <f t="shared" si="421"/>
        <v>443.99635260880166</v>
      </c>
      <c r="DF66" s="27">
        <f t="shared" si="422"/>
        <v>0</v>
      </c>
      <c r="DG66" s="27">
        <f t="shared" si="423"/>
        <v>0</v>
      </c>
      <c r="DH66" s="27">
        <f t="shared" si="424"/>
        <v>332.99726445660121</v>
      </c>
      <c r="DI66" s="27">
        <f t="shared" si="425"/>
        <v>0</v>
      </c>
      <c r="DJ66" s="27">
        <f t="shared" si="426"/>
        <v>2552.9790275006094</v>
      </c>
      <c r="DK66" s="27">
        <f t="shared" si="427"/>
        <v>0</v>
      </c>
      <c r="DL66" s="27">
        <f t="shared" si="428"/>
        <v>0</v>
      </c>
      <c r="DM66" s="27">
        <f t="shared" si="429"/>
        <v>25849.779008901281</v>
      </c>
      <c r="DN66" s="110">
        <f t="shared" si="430"/>
        <v>1</v>
      </c>
      <c r="DO66" s="28">
        <f t="shared" si="211"/>
        <v>0</v>
      </c>
      <c r="DP66" s="28">
        <f t="shared" si="212"/>
        <v>55.499648137810397</v>
      </c>
      <c r="DQ66" s="28">
        <f t="shared" si="213"/>
        <v>0</v>
      </c>
      <c r="DR66" s="28">
        <f t="shared" si="214"/>
        <v>0</v>
      </c>
      <c r="DS66" s="28">
        <f t="shared" si="215"/>
        <v>0</v>
      </c>
      <c r="DT66" s="28">
        <f t="shared" si="216"/>
        <v>791.00249732558086</v>
      </c>
      <c r="DU66" s="28">
        <f t="shared" si="217"/>
        <v>0</v>
      </c>
      <c r="DV66" s="28">
        <f t="shared" si="218"/>
        <v>0</v>
      </c>
      <c r="DW66" s="28">
        <f t="shared" si="219"/>
        <v>0</v>
      </c>
      <c r="DX66" s="28">
        <f t="shared" si="220"/>
        <v>0</v>
      </c>
      <c r="DY66" s="28">
        <f t="shared" si="221"/>
        <v>0</v>
      </c>
      <c r="DZ66" s="28">
        <f t="shared" si="222"/>
        <v>0</v>
      </c>
      <c r="EA66" s="28">
        <f t="shared" si="223"/>
        <v>0</v>
      </c>
      <c r="EB66" s="28">
        <f t="shared" si="224"/>
        <v>869.5344588729231</v>
      </c>
      <c r="EC66" s="28">
        <f t="shared" si="225"/>
        <v>0</v>
      </c>
      <c r="ED66" s="28">
        <f t="shared" si="226"/>
        <v>277.49824068905184</v>
      </c>
      <c r="EE66" s="28">
        <f t="shared" si="227"/>
        <v>83.249472206715581</v>
      </c>
      <c r="EF66" s="28">
        <f t="shared" si="228"/>
        <v>221.99859255124159</v>
      </c>
      <c r="EG66" s="28">
        <f t="shared" si="229"/>
        <v>0</v>
      </c>
      <c r="EH66" s="28">
        <f t="shared" si="230"/>
        <v>0</v>
      </c>
      <c r="EI66" s="28">
        <f t="shared" si="231"/>
        <v>166.49894441343116</v>
      </c>
      <c r="EJ66" s="28">
        <f t="shared" si="232"/>
        <v>0</v>
      </c>
      <c r="EK66" s="28">
        <f t="shared" si="233"/>
        <v>1276.491907169639</v>
      </c>
      <c r="EL66" s="28">
        <f t="shared" si="234"/>
        <v>0</v>
      </c>
      <c r="EM66" s="28">
        <f t="shared" si="235"/>
        <v>0</v>
      </c>
      <c r="EN66" s="28">
        <f t="shared" si="236"/>
        <v>12924.913738633604</v>
      </c>
      <c r="EQ66" s="144">
        <v>0.04</v>
      </c>
      <c r="ER66" s="144">
        <v>0.05</v>
      </c>
      <c r="ES66" s="144">
        <v>0.06</v>
      </c>
      <c r="ET66" s="144">
        <v>0.05</v>
      </c>
      <c r="EU66" s="144">
        <v>0.06</v>
      </c>
      <c r="EV66" s="144">
        <v>0.08</v>
      </c>
      <c r="EW66" s="144">
        <v>7.0000000000000007E-2</v>
      </c>
      <c r="EX66" s="144">
        <v>0.1</v>
      </c>
      <c r="EY66" s="144">
        <v>0.14000000000000001</v>
      </c>
      <c r="EZ66" s="144">
        <v>0.14000000000000001</v>
      </c>
      <c r="FA66" s="144">
        <v>0.12</v>
      </c>
      <c r="FB66" s="144">
        <v>0.09</v>
      </c>
      <c r="FC66" s="145">
        <f t="shared" si="237"/>
        <v>1</v>
      </c>
      <c r="FD66" s="146">
        <f t="shared" si="238"/>
        <v>0.15</v>
      </c>
      <c r="FE66" s="146">
        <f t="shared" si="239"/>
        <v>0.19</v>
      </c>
      <c r="FF66" s="146">
        <f t="shared" si="240"/>
        <v>0.31000000000000005</v>
      </c>
      <c r="FG66" s="146">
        <f t="shared" si="241"/>
        <v>0.35</v>
      </c>
      <c r="FH66" s="145">
        <f t="shared" si="375"/>
        <v>1</v>
      </c>
      <c r="FJ66" s="52">
        <f t="shared" si="243"/>
        <v>0</v>
      </c>
      <c r="FK66" s="52">
        <f t="shared" si="244"/>
        <v>24.974810443501621</v>
      </c>
      <c r="FL66" s="52">
        <f t="shared" si="245"/>
        <v>0</v>
      </c>
      <c r="FM66" s="52">
        <f t="shared" si="246"/>
        <v>0</v>
      </c>
      <c r="FN66" s="52">
        <f t="shared" si="247"/>
        <v>0</v>
      </c>
      <c r="FO66" s="52">
        <f t="shared" si="248"/>
        <v>355.95067885816275</v>
      </c>
      <c r="FP66" s="52">
        <f t="shared" si="249"/>
        <v>0</v>
      </c>
      <c r="FQ66" s="52">
        <f t="shared" si="250"/>
        <v>0</v>
      </c>
      <c r="FR66" s="52">
        <f t="shared" si="251"/>
        <v>0</v>
      </c>
      <c r="FS66" s="52">
        <f t="shared" si="252"/>
        <v>0</v>
      </c>
      <c r="FT66" s="52">
        <f t="shared" si="253"/>
        <v>0</v>
      </c>
      <c r="FU66" s="52">
        <f t="shared" si="254"/>
        <v>0</v>
      </c>
      <c r="FV66" s="52">
        <f t="shared" si="255"/>
        <v>0</v>
      </c>
      <c r="FW66" s="52">
        <f t="shared" si="256"/>
        <v>391.29001738029359</v>
      </c>
      <c r="FX66" s="52">
        <f t="shared" si="257"/>
        <v>0</v>
      </c>
      <c r="FY66" s="52">
        <f t="shared" si="258"/>
        <v>124.87405221750808</v>
      </c>
      <c r="FZ66" s="52">
        <f t="shared" si="259"/>
        <v>37.46221566525243</v>
      </c>
      <c r="GA66" s="52">
        <f t="shared" si="260"/>
        <v>99.899241774006484</v>
      </c>
      <c r="GB66" s="52">
        <f t="shared" si="261"/>
        <v>0</v>
      </c>
      <c r="GC66" s="52">
        <f t="shared" si="262"/>
        <v>0</v>
      </c>
      <c r="GD66" s="52">
        <f t="shared" si="263"/>
        <v>74.924431330504859</v>
      </c>
      <c r="GE66" s="52">
        <f t="shared" si="264"/>
        <v>0</v>
      </c>
      <c r="GF66" s="52">
        <f t="shared" si="265"/>
        <v>574.42064020053726</v>
      </c>
      <c r="GG66" s="52">
        <f t="shared" si="266"/>
        <v>0</v>
      </c>
      <c r="GH66" s="52">
        <f t="shared" si="267"/>
        <v>0</v>
      </c>
      <c r="GI66" s="52">
        <f t="shared" si="268"/>
        <v>5816.2039121302323</v>
      </c>
      <c r="GJ66" s="26"/>
      <c r="GL66" s="150">
        <f t="shared" si="269"/>
        <v>0</v>
      </c>
      <c r="GM66" s="150">
        <f t="shared" si="270"/>
        <v>31.634759895102054</v>
      </c>
      <c r="GN66" s="150">
        <f t="shared" si="271"/>
        <v>0</v>
      </c>
      <c r="GO66" s="150">
        <f t="shared" si="272"/>
        <v>0</v>
      </c>
      <c r="GP66" s="150">
        <f t="shared" si="273"/>
        <v>0</v>
      </c>
      <c r="GQ66" s="150">
        <f t="shared" si="274"/>
        <v>450.87085988700613</v>
      </c>
      <c r="GR66" s="150">
        <f t="shared" si="275"/>
        <v>0</v>
      </c>
      <c r="GS66" s="150">
        <f t="shared" si="276"/>
        <v>0</v>
      </c>
      <c r="GT66" s="150">
        <f t="shared" si="277"/>
        <v>0</v>
      </c>
      <c r="GU66" s="150">
        <f t="shared" si="278"/>
        <v>0</v>
      </c>
      <c r="GV66" s="150">
        <f t="shared" si="279"/>
        <v>0</v>
      </c>
      <c r="GW66" s="150">
        <f t="shared" si="280"/>
        <v>0</v>
      </c>
      <c r="GX66" s="150">
        <f t="shared" si="281"/>
        <v>0</v>
      </c>
      <c r="GY66" s="150">
        <f t="shared" si="282"/>
        <v>495.63402201503857</v>
      </c>
      <c r="GZ66" s="150">
        <f t="shared" si="283"/>
        <v>0</v>
      </c>
      <c r="HA66" s="150">
        <f t="shared" si="284"/>
        <v>158.17379947551026</v>
      </c>
      <c r="HB66" s="150">
        <f t="shared" si="285"/>
        <v>47.452139842653075</v>
      </c>
      <c r="HC66" s="150">
        <f t="shared" si="286"/>
        <v>126.53903958040821</v>
      </c>
      <c r="HD66" s="150">
        <f t="shared" si="287"/>
        <v>0</v>
      </c>
      <c r="HE66" s="150">
        <f t="shared" si="288"/>
        <v>0</v>
      </c>
      <c r="HF66" s="150">
        <f t="shared" si="289"/>
        <v>94.90427968530615</v>
      </c>
      <c r="HG66" s="150">
        <f t="shared" si="290"/>
        <v>0</v>
      </c>
      <c r="HH66" s="150">
        <f t="shared" si="291"/>
        <v>727.59947758734722</v>
      </c>
      <c r="HI66" s="150">
        <f t="shared" si="292"/>
        <v>0</v>
      </c>
      <c r="HJ66" s="150">
        <f t="shared" si="293"/>
        <v>0</v>
      </c>
      <c r="HK66" s="150">
        <f t="shared" si="294"/>
        <v>7367.191622031628</v>
      </c>
      <c r="HL66" s="26"/>
      <c r="HN66" s="147">
        <f t="shared" si="295"/>
        <v>0</v>
      </c>
      <c r="HO66" s="147">
        <f t="shared" si="296"/>
        <v>51.614608249903362</v>
      </c>
      <c r="HP66" s="147">
        <f t="shared" si="297"/>
        <v>0</v>
      </c>
      <c r="HQ66" s="147">
        <f t="shared" si="298"/>
        <v>0</v>
      </c>
      <c r="HR66" s="147">
        <f t="shared" si="299"/>
        <v>0</v>
      </c>
      <c r="HS66" s="147">
        <f t="shared" si="300"/>
        <v>735.63140297353652</v>
      </c>
      <c r="HT66" s="147">
        <f t="shared" si="301"/>
        <v>0</v>
      </c>
      <c r="HU66" s="147">
        <f t="shared" si="302"/>
        <v>0</v>
      </c>
      <c r="HV66" s="147">
        <f t="shared" si="303"/>
        <v>0</v>
      </c>
      <c r="HW66" s="147">
        <f t="shared" si="304"/>
        <v>0</v>
      </c>
      <c r="HX66" s="147">
        <f t="shared" si="305"/>
        <v>0</v>
      </c>
      <c r="HY66" s="147">
        <f t="shared" si="306"/>
        <v>0</v>
      </c>
      <c r="HZ66" s="147">
        <f t="shared" si="307"/>
        <v>0</v>
      </c>
      <c r="IA66" s="147">
        <f t="shared" si="308"/>
        <v>808.66603591927355</v>
      </c>
      <c r="IB66" s="147">
        <f t="shared" si="309"/>
        <v>0</v>
      </c>
      <c r="IC66" s="147">
        <f t="shared" si="310"/>
        <v>258.07304124951679</v>
      </c>
      <c r="ID66" s="147">
        <f t="shared" si="311"/>
        <v>77.421912374855026</v>
      </c>
      <c r="IE66" s="147">
        <f t="shared" si="312"/>
        <v>206.45843299961345</v>
      </c>
      <c r="IF66" s="147">
        <f t="shared" si="313"/>
        <v>0</v>
      </c>
      <c r="IG66" s="147">
        <f t="shared" si="314"/>
        <v>0</v>
      </c>
      <c r="IH66" s="147">
        <f t="shared" si="315"/>
        <v>154.84382474971005</v>
      </c>
      <c r="II66" s="147">
        <f t="shared" si="316"/>
        <v>0</v>
      </c>
      <c r="IJ66" s="147">
        <f t="shared" si="317"/>
        <v>1187.1359897477771</v>
      </c>
      <c r="IK66" s="147">
        <f t="shared" si="318"/>
        <v>0</v>
      </c>
      <c r="IL66" s="147">
        <f t="shared" si="319"/>
        <v>0</v>
      </c>
      <c r="IM66" s="147">
        <f t="shared" si="320"/>
        <v>12020.154751735816</v>
      </c>
      <c r="IN66" s="26"/>
      <c r="IP66" s="61">
        <f t="shared" si="321"/>
        <v>0</v>
      </c>
      <c r="IQ66" s="61">
        <f t="shared" si="322"/>
        <v>58.274557701503781</v>
      </c>
      <c r="IR66" s="61">
        <f t="shared" si="323"/>
        <v>0</v>
      </c>
      <c r="IS66" s="61">
        <f t="shared" si="324"/>
        <v>0</v>
      </c>
      <c r="IT66" s="61">
        <f t="shared" si="325"/>
        <v>0</v>
      </c>
      <c r="IU66" s="61">
        <f t="shared" si="326"/>
        <v>830.55158400237974</v>
      </c>
      <c r="IV66" s="61">
        <f t="shared" si="327"/>
        <v>0</v>
      </c>
      <c r="IW66" s="61">
        <f t="shared" si="328"/>
        <v>0</v>
      </c>
      <c r="IX66" s="61">
        <f t="shared" si="329"/>
        <v>0</v>
      </c>
      <c r="IY66" s="61">
        <f t="shared" si="330"/>
        <v>0</v>
      </c>
      <c r="IZ66" s="61">
        <f t="shared" si="331"/>
        <v>0</v>
      </c>
      <c r="JA66" s="61">
        <f t="shared" si="332"/>
        <v>0</v>
      </c>
      <c r="JB66" s="61">
        <f t="shared" si="333"/>
        <v>0</v>
      </c>
      <c r="JC66" s="61">
        <f t="shared" si="334"/>
        <v>913.01004055401836</v>
      </c>
      <c r="JD66" s="61">
        <f t="shared" si="335"/>
        <v>0</v>
      </c>
      <c r="JE66" s="61">
        <f t="shared" si="336"/>
        <v>291.37278850751886</v>
      </c>
      <c r="JF66" s="61">
        <f t="shared" si="337"/>
        <v>87.411836552255664</v>
      </c>
      <c r="JG66" s="61">
        <f t="shared" si="338"/>
        <v>233.09823080601512</v>
      </c>
      <c r="JH66" s="61">
        <f t="shared" si="339"/>
        <v>0</v>
      </c>
      <c r="JI66" s="61">
        <f t="shared" si="340"/>
        <v>0</v>
      </c>
      <c r="JJ66" s="61">
        <f t="shared" si="341"/>
        <v>174.82367310451133</v>
      </c>
      <c r="JK66" s="61">
        <f t="shared" si="342"/>
        <v>0</v>
      </c>
      <c r="JL66" s="61">
        <f t="shared" si="343"/>
        <v>1340.3148271345869</v>
      </c>
      <c r="JM66" s="61">
        <f t="shared" si="344"/>
        <v>0</v>
      </c>
      <c r="JN66" s="61">
        <f t="shared" si="345"/>
        <v>0</v>
      </c>
      <c r="JO66" s="61">
        <f t="shared" si="346"/>
        <v>13571.14246163721</v>
      </c>
      <c r="JQ66" s="26">
        <f t="shared" si="431"/>
        <v>49999.999999999985</v>
      </c>
      <c r="JR66" s="156">
        <f t="shared" si="432"/>
        <v>0.99999999999999967</v>
      </c>
      <c r="JT66" s="157">
        <f t="shared" si="347"/>
        <v>0</v>
      </c>
      <c r="JU66" s="29">
        <f t="shared" si="348"/>
        <v>0</v>
      </c>
    </row>
    <row r="67" spans="1:281" ht="18.75" x14ac:dyDescent="0.3">
      <c r="A67" t="s">
        <v>69</v>
      </c>
      <c r="B67" t="s">
        <v>114</v>
      </c>
      <c r="C67" s="1" t="s">
        <v>140</v>
      </c>
      <c r="D67" t="s">
        <v>141</v>
      </c>
      <c r="E67" t="s">
        <v>142</v>
      </c>
      <c r="F67" s="113">
        <v>836</v>
      </c>
      <c r="G67" s="16">
        <v>45062.028804321752</v>
      </c>
      <c r="H67" s="20">
        <v>21736</v>
      </c>
      <c r="I67" s="24">
        <v>2.0731518588664772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9">
        <v>0</v>
      </c>
      <c r="AH67" s="13">
        <v>0</v>
      </c>
      <c r="AI67" s="9">
        <v>1</v>
      </c>
      <c r="AJ67" s="8">
        <f t="shared" si="376"/>
        <v>1</v>
      </c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9"/>
      <c r="BM67" s="26">
        <f t="shared" si="377"/>
        <v>0</v>
      </c>
      <c r="BN67" s="26">
        <f t="shared" si="378"/>
        <v>0</v>
      </c>
      <c r="BO67" s="26">
        <f t="shared" si="379"/>
        <v>0</v>
      </c>
      <c r="BP67" s="26">
        <f t="shared" si="380"/>
        <v>0</v>
      </c>
      <c r="BQ67" s="26">
        <f t="shared" si="381"/>
        <v>0</v>
      </c>
      <c r="BR67" s="26">
        <f t="shared" si="382"/>
        <v>0</v>
      </c>
      <c r="BS67" s="26">
        <f t="shared" si="383"/>
        <v>0</v>
      </c>
      <c r="BT67" s="26">
        <f t="shared" si="384"/>
        <v>0</v>
      </c>
      <c r="BU67" s="26">
        <f t="shared" si="385"/>
        <v>0</v>
      </c>
      <c r="BV67" s="26">
        <f t="shared" si="386"/>
        <v>0</v>
      </c>
      <c r="BW67" s="26">
        <f t="shared" si="387"/>
        <v>0</v>
      </c>
      <c r="BX67" s="26">
        <f t="shared" si="388"/>
        <v>0</v>
      </c>
      <c r="BY67" s="26">
        <f t="shared" si="389"/>
        <v>0</v>
      </c>
      <c r="BZ67" s="26">
        <f t="shared" si="390"/>
        <v>0</v>
      </c>
      <c r="CA67" s="26">
        <f t="shared" si="391"/>
        <v>0</v>
      </c>
      <c r="CB67" s="26">
        <f t="shared" si="392"/>
        <v>0</v>
      </c>
      <c r="CC67" s="26">
        <f t="shared" si="393"/>
        <v>0</v>
      </c>
      <c r="CD67" s="26">
        <f t="shared" si="394"/>
        <v>0</v>
      </c>
      <c r="CE67" s="26">
        <f t="shared" si="395"/>
        <v>0</v>
      </c>
      <c r="CF67" s="26">
        <f t="shared" si="396"/>
        <v>0</v>
      </c>
      <c r="CG67" s="26">
        <f t="shared" si="397"/>
        <v>0</v>
      </c>
      <c r="CH67" s="26">
        <f t="shared" si="398"/>
        <v>0</v>
      </c>
      <c r="CI67" s="26">
        <f t="shared" si="399"/>
        <v>0</v>
      </c>
      <c r="CJ67" s="26">
        <f t="shared" si="400"/>
        <v>0</v>
      </c>
      <c r="CK67" s="26">
        <f t="shared" si="401"/>
        <v>0</v>
      </c>
      <c r="CL67" s="26">
        <f t="shared" si="402"/>
        <v>45062.028804321752</v>
      </c>
      <c r="CM67" s="110">
        <f t="shared" si="403"/>
        <v>1</v>
      </c>
      <c r="CN67" s="27">
        <f t="shared" si="404"/>
        <v>0</v>
      </c>
      <c r="CO67" s="27">
        <f t="shared" si="405"/>
        <v>0</v>
      </c>
      <c r="CP67" s="27">
        <f t="shared" si="406"/>
        <v>0</v>
      </c>
      <c r="CQ67" s="27">
        <f t="shared" si="407"/>
        <v>0</v>
      </c>
      <c r="CR67" s="27">
        <f t="shared" si="408"/>
        <v>0</v>
      </c>
      <c r="CS67" s="27">
        <f t="shared" si="409"/>
        <v>0</v>
      </c>
      <c r="CT67" s="27">
        <f t="shared" si="410"/>
        <v>0</v>
      </c>
      <c r="CU67" s="27">
        <f t="shared" si="411"/>
        <v>0</v>
      </c>
      <c r="CV67" s="27">
        <f t="shared" si="412"/>
        <v>0</v>
      </c>
      <c r="CW67" s="27">
        <f t="shared" si="413"/>
        <v>0</v>
      </c>
      <c r="CX67" s="27">
        <f t="shared" si="414"/>
        <v>0</v>
      </c>
      <c r="CY67" s="27">
        <f t="shared" si="415"/>
        <v>0</v>
      </c>
      <c r="CZ67" s="27">
        <f t="shared" si="416"/>
        <v>0</v>
      </c>
      <c r="DA67" s="27">
        <f t="shared" si="417"/>
        <v>0</v>
      </c>
      <c r="DB67" s="27">
        <f t="shared" si="418"/>
        <v>0</v>
      </c>
      <c r="DC67" s="27">
        <f t="shared" si="419"/>
        <v>0</v>
      </c>
      <c r="DD67" s="27">
        <f t="shared" si="420"/>
        <v>0</v>
      </c>
      <c r="DE67" s="27">
        <f t="shared" si="421"/>
        <v>0</v>
      </c>
      <c r="DF67" s="27">
        <f t="shared" si="422"/>
        <v>0</v>
      </c>
      <c r="DG67" s="27">
        <f t="shared" si="423"/>
        <v>0</v>
      </c>
      <c r="DH67" s="27">
        <f t="shared" si="424"/>
        <v>0</v>
      </c>
      <c r="DI67" s="27">
        <f t="shared" si="425"/>
        <v>0</v>
      </c>
      <c r="DJ67" s="27">
        <f t="shared" si="426"/>
        <v>0</v>
      </c>
      <c r="DK67" s="27">
        <f t="shared" si="427"/>
        <v>0</v>
      </c>
      <c r="DL67" s="27">
        <f t="shared" si="428"/>
        <v>0</v>
      </c>
      <c r="DM67" s="27">
        <f t="shared" si="429"/>
        <v>21736</v>
      </c>
      <c r="DN67" s="110">
        <f t="shared" si="430"/>
        <v>1</v>
      </c>
      <c r="DO67" s="28">
        <f t="shared" si="211"/>
        <v>0</v>
      </c>
      <c r="DP67" s="28">
        <f t="shared" si="212"/>
        <v>0</v>
      </c>
      <c r="DQ67" s="28">
        <f t="shared" si="213"/>
        <v>0</v>
      </c>
      <c r="DR67" s="28">
        <f t="shared" si="214"/>
        <v>0</v>
      </c>
      <c r="DS67" s="28">
        <f t="shared" si="215"/>
        <v>0</v>
      </c>
      <c r="DT67" s="28">
        <f t="shared" si="216"/>
        <v>0</v>
      </c>
      <c r="DU67" s="28">
        <f t="shared" si="217"/>
        <v>0</v>
      </c>
      <c r="DV67" s="28">
        <f t="shared" si="218"/>
        <v>0</v>
      </c>
      <c r="DW67" s="28">
        <f t="shared" si="219"/>
        <v>0</v>
      </c>
      <c r="DX67" s="28">
        <f t="shared" si="220"/>
        <v>0</v>
      </c>
      <c r="DY67" s="28">
        <f t="shared" si="221"/>
        <v>0</v>
      </c>
      <c r="DZ67" s="28">
        <f t="shared" si="222"/>
        <v>0</v>
      </c>
      <c r="EA67" s="28">
        <f t="shared" si="223"/>
        <v>0</v>
      </c>
      <c r="EB67" s="28">
        <f t="shared" si="224"/>
        <v>0</v>
      </c>
      <c r="EC67" s="28">
        <f t="shared" si="225"/>
        <v>0</v>
      </c>
      <c r="ED67" s="28">
        <f t="shared" si="226"/>
        <v>0</v>
      </c>
      <c r="EE67" s="28">
        <f t="shared" si="227"/>
        <v>0</v>
      </c>
      <c r="EF67" s="28">
        <f t="shared" si="228"/>
        <v>0</v>
      </c>
      <c r="EG67" s="28">
        <f t="shared" si="229"/>
        <v>0</v>
      </c>
      <c r="EH67" s="28">
        <f t="shared" si="230"/>
        <v>0</v>
      </c>
      <c r="EI67" s="28">
        <f t="shared" si="231"/>
        <v>0</v>
      </c>
      <c r="EJ67" s="28">
        <f t="shared" si="232"/>
        <v>0</v>
      </c>
      <c r="EK67" s="28">
        <f t="shared" si="233"/>
        <v>0</v>
      </c>
      <c r="EL67" s="28">
        <f t="shared" si="234"/>
        <v>0</v>
      </c>
      <c r="EM67" s="28">
        <f t="shared" si="235"/>
        <v>0</v>
      </c>
      <c r="EN67" s="28">
        <f t="shared" si="236"/>
        <v>23326.028804321752</v>
      </c>
      <c r="EQ67" s="144">
        <v>0</v>
      </c>
      <c r="ER67" s="144">
        <v>0</v>
      </c>
      <c r="ES67" s="144">
        <v>0</v>
      </c>
      <c r="ET67" s="144">
        <v>0.06</v>
      </c>
      <c r="EU67" s="144">
        <v>0.2</v>
      </c>
      <c r="EV67" s="144">
        <v>0.27</v>
      </c>
      <c r="EW67" s="144">
        <v>0.28000000000000003</v>
      </c>
      <c r="EX67" s="144">
        <v>0.11</v>
      </c>
      <c r="EY67" s="144">
        <v>0.08</v>
      </c>
      <c r="EZ67" s="144">
        <v>0</v>
      </c>
      <c r="FA67" s="144">
        <v>0</v>
      </c>
      <c r="FB67" s="144">
        <v>0</v>
      </c>
      <c r="FC67" s="145">
        <f t="shared" si="237"/>
        <v>1</v>
      </c>
      <c r="FD67" s="146">
        <f t="shared" si="238"/>
        <v>0</v>
      </c>
      <c r="FE67" s="146">
        <f t="shared" si="239"/>
        <v>0.53</v>
      </c>
      <c r="FF67" s="146">
        <f t="shared" si="240"/>
        <v>0.47000000000000003</v>
      </c>
      <c r="FG67" s="146">
        <f t="shared" si="241"/>
        <v>0</v>
      </c>
      <c r="FH67" s="145">
        <f t="shared" si="375"/>
        <v>1</v>
      </c>
      <c r="FJ67" s="52">
        <f t="shared" si="243"/>
        <v>0</v>
      </c>
      <c r="FK67" s="52">
        <f t="shared" si="244"/>
        <v>0</v>
      </c>
      <c r="FL67" s="52">
        <f t="shared" si="245"/>
        <v>0</v>
      </c>
      <c r="FM67" s="52">
        <f t="shared" si="246"/>
        <v>0</v>
      </c>
      <c r="FN67" s="52">
        <f t="shared" si="247"/>
        <v>0</v>
      </c>
      <c r="FO67" s="52">
        <f t="shared" si="248"/>
        <v>0</v>
      </c>
      <c r="FP67" s="52">
        <f t="shared" si="249"/>
        <v>0</v>
      </c>
      <c r="FQ67" s="52">
        <f t="shared" si="250"/>
        <v>0</v>
      </c>
      <c r="FR67" s="52">
        <f t="shared" si="251"/>
        <v>0</v>
      </c>
      <c r="FS67" s="52">
        <f t="shared" si="252"/>
        <v>0</v>
      </c>
      <c r="FT67" s="52">
        <f t="shared" si="253"/>
        <v>0</v>
      </c>
      <c r="FU67" s="52">
        <f t="shared" si="254"/>
        <v>0</v>
      </c>
      <c r="FV67" s="52">
        <f t="shared" si="255"/>
        <v>0</v>
      </c>
      <c r="FW67" s="52">
        <f t="shared" si="256"/>
        <v>0</v>
      </c>
      <c r="FX67" s="52">
        <f t="shared" si="257"/>
        <v>0</v>
      </c>
      <c r="FY67" s="52">
        <f t="shared" si="258"/>
        <v>0</v>
      </c>
      <c r="FZ67" s="52">
        <f t="shared" si="259"/>
        <v>0</v>
      </c>
      <c r="GA67" s="52">
        <f t="shared" si="260"/>
        <v>0</v>
      </c>
      <c r="GB67" s="52">
        <f t="shared" si="261"/>
        <v>0</v>
      </c>
      <c r="GC67" s="52">
        <f t="shared" si="262"/>
        <v>0</v>
      </c>
      <c r="GD67" s="52">
        <f t="shared" si="263"/>
        <v>0</v>
      </c>
      <c r="GE67" s="52">
        <f t="shared" si="264"/>
        <v>0</v>
      </c>
      <c r="GF67" s="52">
        <f t="shared" si="265"/>
        <v>0</v>
      </c>
      <c r="GG67" s="52">
        <f t="shared" si="266"/>
        <v>0</v>
      </c>
      <c r="GH67" s="52">
        <f t="shared" si="267"/>
        <v>0</v>
      </c>
      <c r="GI67" s="52">
        <f t="shared" si="268"/>
        <v>0</v>
      </c>
      <c r="GJ67" s="26"/>
      <c r="GL67" s="150">
        <f t="shared" si="269"/>
        <v>0</v>
      </c>
      <c r="GM67" s="150">
        <f t="shared" si="270"/>
        <v>0</v>
      </c>
      <c r="GN67" s="150">
        <f t="shared" si="271"/>
        <v>0</v>
      </c>
      <c r="GO67" s="150">
        <f t="shared" si="272"/>
        <v>0</v>
      </c>
      <c r="GP67" s="150">
        <f t="shared" si="273"/>
        <v>0</v>
      </c>
      <c r="GQ67" s="150">
        <f t="shared" si="274"/>
        <v>0</v>
      </c>
      <c r="GR67" s="150">
        <f t="shared" si="275"/>
        <v>0</v>
      </c>
      <c r="GS67" s="150">
        <f t="shared" si="276"/>
        <v>0</v>
      </c>
      <c r="GT67" s="150">
        <f t="shared" si="277"/>
        <v>0</v>
      </c>
      <c r="GU67" s="150">
        <f t="shared" si="278"/>
        <v>0</v>
      </c>
      <c r="GV67" s="150">
        <f t="shared" si="279"/>
        <v>0</v>
      </c>
      <c r="GW67" s="150">
        <f t="shared" si="280"/>
        <v>0</v>
      </c>
      <c r="GX67" s="150">
        <f t="shared" si="281"/>
        <v>0</v>
      </c>
      <c r="GY67" s="150">
        <f t="shared" si="282"/>
        <v>0</v>
      </c>
      <c r="GZ67" s="150">
        <f t="shared" si="283"/>
        <v>0</v>
      </c>
      <c r="HA67" s="150">
        <f t="shared" si="284"/>
        <v>0</v>
      </c>
      <c r="HB67" s="150">
        <f t="shared" si="285"/>
        <v>0</v>
      </c>
      <c r="HC67" s="150">
        <f t="shared" si="286"/>
        <v>0</v>
      </c>
      <c r="HD67" s="150">
        <f t="shared" si="287"/>
        <v>0</v>
      </c>
      <c r="HE67" s="150">
        <f t="shared" si="288"/>
        <v>0</v>
      </c>
      <c r="HF67" s="150">
        <f t="shared" si="289"/>
        <v>0</v>
      </c>
      <c r="HG67" s="150">
        <f t="shared" si="290"/>
        <v>0</v>
      </c>
      <c r="HH67" s="150">
        <f t="shared" si="291"/>
        <v>0</v>
      </c>
      <c r="HI67" s="150">
        <f t="shared" si="292"/>
        <v>0</v>
      </c>
      <c r="HJ67" s="150">
        <f t="shared" si="293"/>
        <v>0</v>
      </c>
      <c r="HK67" s="150">
        <f t="shared" si="294"/>
        <v>23882.875266290528</v>
      </c>
      <c r="HL67" s="26"/>
      <c r="HN67" s="147">
        <f t="shared" si="295"/>
        <v>0</v>
      </c>
      <c r="HO67" s="147">
        <f t="shared" si="296"/>
        <v>0</v>
      </c>
      <c r="HP67" s="147">
        <f t="shared" si="297"/>
        <v>0</v>
      </c>
      <c r="HQ67" s="147">
        <f t="shared" si="298"/>
        <v>0</v>
      </c>
      <c r="HR67" s="147">
        <f t="shared" si="299"/>
        <v>0</v>
      </c>
      <c r="HS67" s="147">
        <f t="shared" si="300"/>
        <v>0</v>
      </c>
      <c r="HT67" s="147">
        <f t="shared" si="301"/>
        <v>0</v>
      </c>
      <c r="HU67" s="147">
        <f t="shared" si="302"/>
        <v>0</v>
      </c>
      <c r="HV67" s="147">
        <f t="shared" si="303"/>
        <v>0</v>
      </c>
      <c r="HW67" s="147">
        <f t="shared" si="304"/>
        <v>0</v>
      </c>
      <c r="HX67" s="147">
        <f t="shared" si="305"/>
        <v>0</v>
      </c>
      <c r="HY67" s="147">
        <f t="shared" si="306"/>
        <v>0</v>
      </c>
      <c r="HZ67" s="147">
        <f t="shared" si="307"/>
        <v>0</v>
      </c>
      <c r="IA67" s="147">
        <f t="shared" si="308"/>
        <v>0</v>
      </c>
      <c r="IB67" s="147">
        <f t="shared" si="309"/>
        <v>0</v>
      </c>
      <c r="IC67" s="147">
        <f t="shared" si="310"/>
        <v>0</v>
      </c>
      <c r="ID67" s="147">
        <f t="shared" si="311"/>
        <v>0</v>
      </c>
      <c r="IE67" s="147">
        <f t="shared" si="312"/>
        <v>0</v>
      </c>
      <c r="IF67" s="147">
        <f t="shared" si="313"/>
        <v>0</v>
      </c>
      <c r="IG67" s="147">
        <f t="shared" si="314"/>
        <v>0</v>
      </c>
      <c r="IH67" s="147">
        <f t="shared" si="315"/>
        <v>0</v>
      </c>
      <c r="II67" s="147">
        <f t="shared" si="316"/>
        <v>0</v>
      </c>
      <c r="IJ67" s="147">
        <f t="shared" si="317"/>
        <v>0</v>
      </c>
      <c r="IK67" s="147">
        <f t="shared" si="318"/>
        <v>0</v>
      </c>
      <c r="IL67" s="147">
        <f t="shared" si="319"/>
        <v>0</v>
      </c>
      <c r="IM67" s="147">
        <f t="shared" si="320"/>
        <v>21179.153538031223</v>
      </c>
      <c r="IN67" s="26"/>
      <c r="IP67" s="61">
        <f t="shared" si="321"/>
        <v>0</v>
      </c>
      <c r="IQ67" s="61">
        <f t="shared" si="322"/>
        <v>0</v>
      </c>
      <c r="IR67" s="61">
        <f t="shared" si="323"/>
        <v>0</v>
      </c>
      <c r="IS67" s="61">
        <f t="shared" si="324"/>
        <v>0</v>
      </c>
      <c r="IT67" s="61">
        <f t="shared" si="325"/>
        <v>0</v>
      </c>
      <c r="IU67" s="61">
        <f t="shared" si="326"/>
        <v>0</v>
      </c>
      <c r="IV67" s="61">
        <f t="shared" si="327"/>
        <v>0</v>
      </c>
      <c r="IW67" s="61">
        <f t="shared" si="328"/>
        <v>0</v>
      </c>
      <c r="IX67" s="61">
        <f t="shared" si="329"/>
        <v>0</v>
      </c>
      <c r="IY67" s="61">
        <f t="shared" si="330"/>
        <v>0</v>
      </c>
      <c r="IZ67" s="61">
        <f t="shared" si="331"/>
        <v>0</v>
      </c>
      <c r="JA67" s="61">
        <f t="shared" si="332"/>
        <v>0</v>
      </c>
      <c r="JB67" s="61">
        <f t="shared" si="333"/>
        <v>0</v>
      </c>
      <c r="JC67" s="61">
        <f t="shared" si="334"/>
        <v>0</v>
      </c>
      <c r="JD67" s="61">
        <f t="shared" si="335"/>
        <v>0</v>
      </c>
      <c r="JE67" s="61">
        <f t="shared" si="336"/>
        <v>0</v>
      </c>
      <c r="JF67" s="61">
        <f t="shared" si="337"/>
        <v>0</v>
      </c>
      <c r="JG67" s="61">
        <f t="shared" si="338"/>
        <v>0</v>
      </c>
      <c r="JH67" s="61">
        <f t="shared" si="339"/>
        <v>0</v>
      </c>
      <c r="JI67" s="61">
        <f t="shared" si="340"/>
        <v>0</v>
      </c>
      <c r="JJ67" s="61">
        <f t="shared" si="341"/>
        <v>0</v>
      </c>
      <c r="JK67" s="61">
        <f t="shared" si="342"/>
        <v>0</v>
      </c>
      <c r="JL67" s="61">
        <f t="shared" si="343"/>
        <v>0</v>
      </c>
      <c r="JM67" s="61">
        <f t="shared" si="344"/>
        <v>0</v>
      </c>
      <c r="JN67" s="61">
        <f t="shared" si="345"/>
        <v>0</v>
      </c>
      <c r="JO67" s="61">
        <f t="shared" si="346"/>
        <v>0</v>
      </c>
      <c r="JQ67" s="26">
        <f t="shared" si="431"/>
        <v>45062.028804321752</v>
      </c>
      <c r="JR67" s="156">
        <f t="shared" si="432"/>
        <v>1</v>
      </c>
      <c r="JT67" s="157">
        <f t="shared" si="347"/>
        <v>0</v>
      </c>
      <c r="JU67" s="29">
        <f t="shared" si="348"/>
        <v>0</v>
      </c>
    </row>
    <row r="68" spans="1:281" ht="18.75" x14ac:dyDescent="0.3">
      <c r="A68" t="s">
        <v>69</v>
      </c>
      <c r="B68" t="s">
        <v>115</v>
      </c>
      <c r="C68" s="1" t="s">
        <v>143</v>
      </c>
      <c r="D68" t="s">
        <v>141</v>
      </c>
      <c r="E68" t="s">
        <v>144</v>
      </c>
      <c r="F68" s="113">
        <v>2501</v>
      </c>
      <c r="G68" s="16">
        <v>70322</v>
      </c>
      <c r="H68" s="20">
        <v>34236</v>
      </c>
      <c r="I68" s="24">
        <v>2.0540366865288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9">
        <v>0</v>
      </c>
      <c r="AH68" s="13">
        <v>0</v>
      </c>
      <c r="AI68" s="9">
        <v>1</v>
      </c>
      <c r="AJ68" s="8">
        <f t="shared" si="376"/>
        <v>1</v>
      </c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9"/>
      <c r="BM68" s="26">
        <f t="shared" si="377"/>
        <v>0</v>
      </c>
      <c r="BN68" s="26">
        <f t="shared" si="378"/>
        <v>0</v>
      </c>
      <c r="BO68" s="26">
        <f t="shared" si="379"/>
        <v>0</v>
      </c>
      <c r="BP68" s="26">
        <f t="shared" si="380"/>
        <v>0</v>
      </c>
      <c r="BQ68" s="26">
        <f t="shared" si="381"/>
        <v>0</v>
      </c>
      <c r="BR68" s="26">
        <f t="shared" si="382"/>
        <v>0</v>
      </c>
      <c r="BS68" s="26">
        <f t="shared" si="383"/>
        <v>0</v>
      </c>
      <c r="BT68" s="26">
        <f t="shared" si="384"/>
        <v>0</v>
      </c>
      <c r="BU68" s="26">
        <f t="shared" si="385"/>
        <v>0</v>
      </c>
      <c r="BV68" s="26">
        <f t="shared" si="386"/>
        <v>0</v>
      </c>
      <c r="BW68" s="26">
        <f t="shared" si="387"/>
        <v>0</v>
      </c>
      <c r="BX68" s="26">
        <f t="shared" si="388"/>
        <v>0</v>
      </c>
      <c r="BY68" s="26">
        <f t="shared" si="389"/>
        <v>0</v>
      </c>
      <c r="BZ68" s="26">
        <f t="shared" si="390"/>
        <v>0</v>
      </c>
      <c r="CA68" s="26">
        <f t="shared" si="391"/>
        <v>0</v>
      </c>
      <c r="CB68" s="26">
        <f t="shared" si="392"/>
        <v>0</v>
      </c>
      <c r="CC68" s="26">
        <f t="shared" si="393"/>
        <v>0</v>
      </c>
      <c r="CD68" s="26">
        <f t="shared" si="394"/>
        <v>0</v>
      </c>
      <c r="CE68" s="26">
        <f t="shared" si="395"/>
        <v>0</v>
      </c>
      <c r="CF68" s="26">
        <f t="shared" si="396"/>
        <v>0</v>
      </c>
      <c r="CG68" s="26">
        <f t="shared" si="397"/>
        <v>0</v>
      </c>
      <c r="CH68" s="26">
        <f t="shared" si="398"/>
        <v>0</v>
      </c>
      <c r="CI68" s="26">
        <f t="shared" si="399"/>
        <v>0</v>
      </c>
      <c r="CJ68" s="26">
        <f t="shared" si="400"/>
        <v>0</v>
      </c>
      <c r="CK68" s="26">
        <f t="shared" si="401"/>
        <v>0</v>
      </c>
      <c r="CL68" s="26">
        <f t="shared" si="402"/>
        <v>70322</v>
      </c>
      <c r="CM68" s="110">
        <f t="shared" si="403"/>
        <v>1</v>
      </c>
      <c r="CN68" s="27">
        <f t="shared" si="404"/>
        <v>0</v>
      </c>
      <c r="CO68" s="27">
        <f t="shared" si="405"/>
        <v>0</v>
      </c>
      <c r="CP68" s="27">
        <f t="shared" si="406"/>
        <v>0</v>
      </c>
      <c r="CQ68" s="27">
        <f t="shared" si="407"/>
        <v>0</v>
      </c>
      <c r="CR68" s="27">
        <f t="shared" si="408"/>
        <v>0</v>
      </c>
      <c r="CS68" s="27">
        <f t="shared" si="409"/>
        <v>0</v>
      </c>
      <c r="CT68" s="27">
        <f t="shared" si="410"/>
        <v>0</v>
      </c>
      <c r="CU68" s="27">
        <f t="shared" si="411"/>
        <v>0</v>
      </c>
      <c r="CV68" s="27">
        <f t="shared" si="412"/>
        <v>0</v>
      </c>
      <c r="CW68" s="27">
        <f t="shared" si="413"/>
        <v>0</v>
      </c>
      <c r="CX68" s="27">
        <f t="shared" si="414"/>
        <v>0</v>
      </c>
      <c r="CY68" s="27">
        <f t="shared" si="415"/>
        <v>0</v>
      </c>
      <c r="CZ68" s="27">
        <f t="shared" si="416"/>
        <v>0</v>
      </c>
      <c r="DA68" s="27">
        <f t="shared" si="417"/>
        <v>0</v>
      </c>
      <c r="DB68" s="27">
        <f t="shared" si="418"/>
        <v>0</v>
      </c>
      <c r="DC68" s="27">
        <f t="shared" si="419"/>
        <v>0</v>
      </c>
      <c r="DD68" s="27">
        <f t="shared" si="420"/>
        <v>0</v>
      </c>
      <c r="DE68" s="27">
        <f t="shared" si="421"/>
        <v>0</v>
      </c>
      <c r="DF68" s="27">
        <f t="shared" si="422"/>
        <v>0</v>
      </c>
      <c r="DG68" s="27">
        <f t="shared" si="423"/>
        <v>0</v>
      </c>
      <c r="DH68" s="27">
        <f t="shared" si="424"/>
        <v>0</v>
      </c>
      <c r="DI68" s="27">
        <f t="shared" si="425"/>
        <v>0</v>
      </c>
      <c r="DJ68" s="27">
        <f t="shared" si="426"/>
        <v>0</v>
      </c>
      <c r="DK68" s="27">
        <f t="shared" si="427"/>
        <v>0</v>
      </c>
      <c r="DL68" s="27">
        <f t="shared" si="428"/>
        <v>0</v>
      </c>
      <c r="DM68" s="27">
        <f t="shared" si="429"/>
        <v>34236</v>
      </c>
      <c r="DN68" s="110">
        <f t="shared" si="430"/>
        <v>1</v>
      </c>
      <c r="DO68" s="28">
        <f t="shared" si="211"/>
        <v>0</v>
      </c>
      <c r="DP68" s="28">
        <f t="shared" si="212"/>
        <v>0</v>
      </c>
      <c r="DQ68" s="28">
        <f t="shared" si="213"/>
        <v>0</v>
      </c>
      <c r="DR68" s="28">
        <f t="shared" si="214"/>
        <v>0</v>
      </c>
      <c r="DS68" s="28">
        <f t="shared" si="215"/>
        <v>0</v>
      </c>
      <c r="DT68" s="28">
        <f t="shared" si="216"/>
        <v>0</v>
      </c>
      <c r="DU68" s="28">
        <f t="shared" si="217"/>
        <v>0</v>
      </c>
      <c r="DV68" s="28">
        <f t="shared" si="218"/>
        <v>0</v>
      </c>
      <c r="DW68" s="28">
        <f t="shared" si="219"/>
        <v>0</v>
      </c>
      <c r="DX68" s="28">
        <f t="shared" si="220"/>
        <v>0</v>
      </c>
      <c r="DY68" s="28">
        <f t="shared" si="221"/>
        <v>0</v>
      </c>
      <c r="DZ68" s="28">
        <f t="shared" si="222"/>
        <v>0</v>
      </c>
      <c r="EA68" s="28">
        <f t="shared" si="223"/>
        <v>0</v>
      </c>
      <c r="EB68" s="28">
        <f t="shared" si="224"/>
        <v>0</v>
      </c>
      <c r="EC68" s="28">
        <f t="shared" si="225"/>
        <v>0</v>
      </c>
      <c r="ED68" s="28">
        <f t="shared" si="226"/>
        <v>0</v>
      </c>
      <c r="EE68" s="28">
        <f t="shared" si="227"/>
        <v>0</v>
      </c>
      <c r="EF68" s="28">
        <f t="shared" si="228"/>
        <v>0</v>
      </c>
      <c r="EG68" s="28">
        <f t="shared" si="229"/>
        <v>0</v>
      </c>
      <c r="EH68" s="28">
        <f t="shared" si="230"/>
        <v>0</v>
      </c>
      <c r="EI68" s="28">
        <f t="shared" si="231"/>
        <v>0</v>
      </c>
      <c r="EJ68" s="28">
        <f t="shared" si="232"/>
        <v>0</v>
      </c>
      <c r="EK68" s="28">
        <f t="shared" si="233"/>
        <v>0</v>
      </c>
      <c r="EL68" s="28">
        <f t="shared" si="234"/>
        <v>0</v>
      </c>
      <c r="EM68" s="28">
        <f t="shared" si="235"/>
        <v>0</v>
      </c>
      <c r="EN68" s="28">
        <f t="shared" si="236"/>
        <v>36086</v>
      </c>
      <c r="EQ68" s="144">
        <v>0</v>
      </c>
      <c r="ER68" s="144">
        <v>0</v>
      </c>
      <c r="ES68" s="144">
        <v>0</v>
      </c>
      <c r="ET68" s="144">
        <v>0.11</v>
      </c>
      <c r="EU68" s="144">
        <v>0.17</v>
      </c>
      <c r="EV68" s="144">
        <v>0.2</v>
      </c>
      <c r="EW68" s="144">
        <v>0.18</v>
      </c>
      <c r="EX68" s="144">
        <v>0.11</v>
      </c>
      <c r="EY68" s="144">
        <v>0.09</v>
      </c>
      <c r="EZ68" s="144">
        <v>0.08</v>
      </c>
      <c r="FA68" s="144">
        <v>0.04</v>
      </c>
      <c r="FB68" s="144">
        <v>0.02</v>
      </c>
      <c r="FC68" s="145">
        <f t="shared" si="237"/>
        <v>1</v>
      </c>
      <c r="FD68" s="146">
        <f t="shared" si="238"/>
        <v>0</v>
      </c>
      <c r="FE68" s="146">
        <f t="shared" si="239"/>
        <v>0.48000000000000004</v>
      </c>
      <c r="FF68" s="146">
        <f t="shared" si="240"/>
        <v>0.38</v>
      </c>
      <c r="FG68" s="146">
        <f t="shared" si="241"/>
        <v>0.13999999999999999</v>
      </c>
      <c r="FH68" s="145">
        <f t="shared" si="375"/>
        <v>1</v>
      </c>
      <c r="FJ68" s="52">
        <f t="shared" si="243"/>
        <v>0</v>
      </c>
      <c r="FK68" s="52">
        <f t="shared" si="244"/>
        <v>0</v>
      </c>
      <c r="FL68" s="52">
        <f t="shared" si="245"/>
        <v>0</v>
      </c>
      <c r="FM68" s="52">
        <f t="shared" si="246"/>
        <v>0</v>
      </c>
      <c r="FN68" s="52">
        <f t="shared" si="247"/>
        <v>0</v>
      </c>
      <c r="FO68" s="52">
        <f t="shared" si="248"/>
        <v>0</v>
      </c>
      <c r="FP68" s="52">
        <f t="shared" si="249"/>
        <v>0</v>
      </c>
      <c r="FQ68" s="52">
        <f t="shared" si="250"/>
        <v>0</v>
      </c>
      <c r="FR68" s="52">
        <f t="shared" si="251"/>
        <v>0</v>
      </c>
      <c r="FS68" s="52">
        <f t="shared" si="252"/>
        <v>0</v>
      </c>
      <c r="FT68" s="52">
        <f t="shared" si="253"/>
        <v>0</v>
      </c>
      <c r="FU68" s="52">
        <f t="shared" si="254"/>
        <v>0</v>
      </c>
      <c r="FV68" s="52">
        <f t="shared" si="255"/>
        <v>0</v>
      </c>
      <c r="FW68" s="52">
        <f t="shared" si="256"/>
        <v>0</v>
      </c>
      <c r="FX68" s="52">
        <f t="shared" si="257"/>
        <v>0</v>
      </c>
      <c r="FY68" s="52">
        <f t="shared" si="258"/>
        <v>0</v>
      </c>
      <c r="FZ68" s="52">
        <f t="shared" si="259"/>
        <v>0</v>
      </c>
      <c r="GA68" s="52">
        <f t="shared" si="260"/>
        <v>0</v>
      </c>
      <c r="GB68" s="52">
        <f t="shared" si="261"/>
        <v>0</v>
      </c>
      <c r="GC68" s="52">
        <f t="shared" si="262"/>
        <v>0</v>
      </c>
      <c r="GD68" s="52">
        <f t="shared" si="263"/>
        <v>0</v>
      </c>
      <c r="GE68" s="52">
        <f t="shared" si="264"/>
        <v>0</v>
      </c>
      <c r="GF68" s="52">
        <f t="shared" si="265"/>
        <v>0</v>
      </c>
      <c r="GG68" s="52">
        <f t="shared" si="266"/>
        <v>0</v>
      </c>
      <c r="GH68" s="52">
        <f t="shared" si="267"/>
        <v>0</v>
      </c>
      <c r="GI68" s="52">
        <f t="shared" si="268"/>
        <v>0</v>
      </c>
      <c r="GJ68" s="26"/>
      <c r="GL68" s="150">
        <f t="shared" si="269"/>
        <v>0</v>
      </c>
      <c r="GM68" s="150">
        <f t="shared" si="270"/>
        <v>0</v>
      </c>
      <c r="GN68" s="150">
        <f t="shared" si="271"/>
        <v>0</v>
      </c>
      <c r="GO68" s="150">
        <f t="shared" si="272"/>
        <v>0</v>
      </c>
      <c r="GP68" s="150">
        <f t="shared" si="273"/>
        <v>0</v>
      </c>
      <c r="GQ68" s="150">
        <f t="shared" si="274"/>
        <v>0</v>
      </c>
      <c r="GR68" s="150">
        <f t="shared" si="275"/>
        <v>0</v>
      </c>
      <c r="GS68" s="150">
        <f t="shared" si="276"/>
        <v>0</v>
      </c>
      <c r="GT68" s="150">
        <f t="shared" si="277"/>
        <v>0</v>
      </c>
      <c r="GU68" s="150">
        <f t="shared" si="278"/>
        <v>0</v>
      </c>
      <c r="GV68" s="150">
        <f t="shared" si="279"/>
        <v>0</v>
      </c>
      <c r="GW68" s="150">
        <f t="shared" si="280"/>
        <v>0</v>
      </c>
      <c r="GX68" s="150">
        <f t="shared" si="281"/>
        <v>0</v>
      </c>
      <c r="GY68" s="150">
        <f t="shared" si="282"/>
        <v>0</v>
      </c>
      <c r="GZ68" s="150">
        <f t="shared" si="283"/>
        <v>0</v>
      </c>
      <c r="HA68" s="150">
        <f t="shared" si="284"/>
        <v>0</v>
      </c>
      <c r="HB68" s="150">
        <f t="shared" si="285"/>
        <v>0</v>
      </c>
      <c r="HC68" s="150">
        <f t="shared" si="286"/>
        <v>0</v>
      </c>
      <c r="HD68" s="150">
        <f t="shared" si="287"/>
        <v>0</v>
      </c>
      <c r="HE68" s="150">
        <f t="shared" si="288"/>
        <v>0</v>
      </c>
      <c r="HF68" s="150">
        <f t="shared" si="289"/>
        <v>0</v>
      </c>
      <c r="HG68" s="150">
        <f t="shared" si="290"/>
        <v>0</v>
      </c>
      <c r="HH68" s="150">
        <f t="shared" si="291"/>
        <v>0</v>
      </c>
      <c r="HI68" s="150">
        <f t="shared" si="292"/>
        <v>0</v>
      </c>
      <c r="HJ68" s="150">
        <f t="shared" si="293"/>
        <v>0</v>
      </c>
      <c r="HK68" s="150">
        <f t="shared" si="294"/>
        <v>33754.560000000005</v>
      </c>
      <c r="HL68" s="26"/>
      <c r="HN68" s="147">
        <f t="shared" si="295"/>
        <v>0</v>
      </c>
      <c r="HO68" s="147">
        <f t="shared" si="296"/>
        <v>0</v>
      </c>
      <c r="HP68" s="147">
        <f t="shared" si="297"/>
        <v>0</v>
      </c>
      <c r="HQ68" s="147">
        <f t="shared" si="298"/>
        <v>0</v>
      </c>
      <c r="HR68" s="147">
        <f t="shared" si="299"/>
        <v>0</v>
      </c>
      <c r="HS68" s="147">
        <f t="shared" si="300"/>
        <v>0</v>
      </c>
      <c r="HT68" s="147">
        <f t="shared" si="301"/>
        <v>0</v>
      </c>
      <c r="HU68" s="147">
        <f t="shared" si="302"/>
        <v>0</v>
      </c>
      <c r="HV68" s="147">
        <f t="shared" si="303"/>
        <v>0</v>
      </c>
      <c r="HW68" s="147">
        <f t="shared" si="304"/>
        <v>0</v>
      </c>
      <c r="HX68" s="147">
        <f t="shared" si="305"/>
        <v>0</v>
      </c>
      <c r="HY68" s="147">
        <f t="shared" si="306"/>
        <v>0</v>
      </c>
      <c r="HZ68" s="147">
        <f t="shared" si="307"/>
        <v>0</v>
      </c>
      <c r="IA68" s="147">
        <f t="shared" si="308"/>
        <v>0</v>
      </c>
      <c r="IB68" s="147">
        <f t="shared" si="309"/>
        <v>0</v>
      </c>
      <c r="IC68" s="147">
        <f t="shared" si="310"/>
        <v>0</v>
      </c>
      <c r="ID68" s="147">
        <f t="shared" si="311"/>
        <v>0</v>
      </c>
      <c r="IE68" s="147">
        <f t="shared" si="312"/>
        <v>0</v>
      </c>
      <c r="IF68" s="147">
        <f t="shared" si="313"/>
        <v>0</v>
      </c>
      <c r="IG68" s="147">
        <f t="shared" si="314"/>
        <v>0</v>
      </c>
      <c r="IH68" s="147">
        <f t="shared" si="315"/>
        <v>0</v>
      </c>
      <c r="II68" s="147">
        <f t="shared" si="316"/>
        <v>0</v>
      </c>
      <c r="IJ68" s="147">
        <f t="shared" si="317"/>
        <v>0</v>
      </c>
      <c r="IK68" s="147">
        <f t="shared" si="318"/>
        <v>0</v>
      </c>
      <c r="IL68" s="147">
        <f t="shared" si="319"/>
        <v>0</v>
      </c>
      <c r="IM68" s="147">
        <f t="shared" si="320"/>
        <v>26722.36</v>
      </c>
      <c r="IN68" s="26"/>
      <c r="IP68" s="61">
        <f t="shared" si="321"/>
        <v>0</v>
      </c>
      <c r="IQ68" s="61">
        <f t="shared" si="322"/>
        <v>0</v>
      </c>
      <c r="IR68" s="61">
        <f t="shared" si="323"/>
        <v>0</v>
      </c>
      <c r="IS68" s="61">
        <f t="shared" si="324"/>
        <v>0</v>
      </c>
      <c r="IT68" s="61">
        <f t="shared" si="325"/>
        <v>0</v>
      </c>
      <c r="IU68" s="61">
        <f t="shared" si="326"/>
        <v>0</v>
      </c>
      <c r="IV68" s="61">
        <f t="shared" si="327"/>
        <v>0</v>
      </c>
      <c r="IW68" s="61">
        <f t="shared" si="328"/>
        <v>0</v>
      </c>
      <c r="IX68" s="61">
        <f t="shared" si="329"/>
        <v>0</v>
      </c>
      <c r="IY68" s="61">
        <f t="shared" si="330"/>
        <v>0</v>
      </c>
      <c r="IZ68" s="61">
        <f t="shared" si="331"/>
        <v>0</v>
      </c>
      <c r="JA68" s="61">
        <f t="shared" si="332"/>
        <v>0</v>
      </c>
      <c r="JB68" s="61">
        <f t="shared" si="333"/>
        <v>0</v>
      </c>
      <c r="JC68" s="61">
        <f t="shared" si="334"/>
        <v>0</v>
      </c>
      <c r="JD68" s="61">
        <f t="shared" si="335"/>
        <v>0</v>
      </c>
      <c r="JE68" s="61">
        <f t="shared" si="336"/>
        <v>0</v>
      </c>
      <c r="JF68" s="61">
        <f t="shared" si="337"/>
        <v>0</v>
      </c>
      <c r="JG68" s="61">
        <f t="shared" si="338"/>
        <v>0</v>
      </c>
      <c r="JH68" s="61">
        <f t="shared" si="339"/>
        <v>0</v>
      </c>
      <c r="JI68" s="61">
        <f t="shared" si="340"/>
        <v>0</v>
      </c>
      <c r="JJ68" s="61">
        <f t="shared" si="341"/>
        <v>0</v>
      </c>
      <c r="JK68" s="61">
        <f t="shared" si="342"/>
        <v>0</v>
      </c>
      <c r="JL68" s="61">
        <f t="shared" si="343"/>
        <v>0</v>
      </c>
      <c r="JM68" s="61">
        <f t="shared" si="344"/>
        <v>0</v>
      </c>
      <c r="JN68" s="61">
        <f t="shared" si="345"/>
        <v>0</v>
      </c>
      <c r="JO68" s="61">
        <f t="shared" si="346"/>
        <v>9845.0799999999981</v>
      </c>
      <c r="JQ68" s="26">
        <f t="shared" si="431"/>
        <v>70322</v>
      </c>
      <c r="JR68" s="156">
        <f t="shared" si="432"/>
        <v>1</v>
      </c>
      <c r="JT68" s="157">
        <f t="shared" si="347"/>
        <v>0</v>
      </c>
      <c r="JU68" s="29">
        <f t="shared" si="348"/>
        <v>0</v>
      </c>
    </row>
    <row r="69" spans="1:281" ht="18.75" x14ac:dyDescent="0.3">
      <c r="A69" t="s">
        <v>69</v>
      </c>
      <c r="B69" t="s">
        <v>116</v>
      </c>
      <c r="C69" s="1" t="s">
        <v>145</v>
      </c>
      <c r="D69" t="s">
        <v>141</v>
      </c>
      <c r="E69" t="s">
        <v>146</v>
      </c>
      <c r="F69" s="113">
        <v>5008</v>
      </c>
      <c r="G69" s="16">
        <v>653926.31571099302</v>
      </c>
      <c r="H69" s="20">
        <v>255408</v>
      </c>
      <c r="I69" s="24">
        <v>2.5603204116981182</v>
      </c>
      <c r="J69" s="9">
        <v>0</v>
      </c>
      <c r="K69" s="9">
        <v>3.3299275869560488E-3</v>
      </c>
      <c r="L69" s="9">
        <v>0</v>
      </c>
      <c r="M69" s="9">
        <v>0</v>
      </c>
      <c r="N69" s="9">
        <v>0</v>
      </c>
      <c r="O69" s="9">
        <v>2.0138546937758208E-2</v>
      </c>
      <c r="P69" s="9">
        <v>0</v>
      </c>
      <c r="Q69" s="9">
        <v>7.2044027593464038E-3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6.2405134361561219E-2</v>
      </c>
      <c r="X69" s="9">
        <v>0</v>
      </c>
      <c r="Y69" s="9">
        <v>1.6649637934780241E-2</v>
      </c>
      <c r="Z69" s="9">
        <v>4.9948913804340727E-3</v>
      </c>
      <c r="AA69" s="9">
        <v>1.3319710347824195E-2</v>
      </c>
      <c r="AB69" s="9">
        <v>0</v>
      </c>
      <c r="AC69" s="9">
        <v>0</v>
      </c>
      <c r="AD69" s="9">
        <v>9.9897827608681454E-3</v>
      </c>
      <c r="AE69" s="9">
        <v>0</v>
      </c>
      <c r="AF69" s="9">
        <v>7.009202711717917E-2</v>
      </c>
      <c r="AG69" s="9">
        <v>0</v>
      </c>
      <c r="AH69" s="9">
        <v>0</v>
      </c>
      <c r="AI69" s="9">
        <v>0.79187593881329232</v>
      </c>
      <c r="AJ69" s="8">
        <f t="shared" si="376"/>
        <v>1</v>
      </c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9"/>
      <c r="BM69" s="26">
        <f t="shared" si="377"/>
        <v>0</v>
      </c>
      <c r="BN69" s="26">
        <f t="shared" si="378"/>
        <v>2177.5272785225661</v>
      </c>
      <c r="BO69" s="26">
        <f t="shared" si="379"/>
        <v>0</v>
      </c>
      <c r="BP69" s="26">
        <f t="shared" si="380"/>
        <v>0</v>
      </c>
      <c r="BQ69" s="26">
        <f t="shared" si="381"/>
        <v>0</v>
      </c>
      <c r="BR69" s="26">
        <f t="shared" si="382"/>
        <v>13169.125802781125</v>
      </c>
      <c r="BS69" s="26">
        <f t="shared" si="383"/>
        <v>0</v>
      </c>
      <c r="BT69" s="26">
        <f t="shared" si="384"/>
        <v>4711.1485533175055</v>
      </c>
      <c r="BU69" s="26">
        <f t="shared" si="385"/>
        <v>0</v>
      </c>
      <c r="BV69" s="26">
        <f t="shared" si="386"/>
        <v>0</v>
      </c>
      <c r="BW69" s="26">
        <f t="shared" si="387"/>
        <v>0</v>
      </c>
      <c r="BX69" s="26">
        <f t="shared" si="388"/>
        <v>0</v>
      </c>
      <c r="BY69" s="26">
        <f t="shared" si="389"/>
        <v>0</v>
      </c>
      <c r="BZ69" s="26">
        <f t="shared" si="390"/>
        <v>40808.359594505222</v>
      </c>
      <c r="CA69" s="26">
        <f t="shared" si="391"/>
        <v>0</v>
      </c>
      <c r="CB69" s="26">
        <f t="shared" si="392"/>
        <v>10887.636392612831</v>
      </c>
      <c r="CC69" s="26">
        <f t="shared" si="393"/>
        <v>3266.2909177838492</v>
      </c>
      <c r="CD69" s="26">
        <f t="shared" si="394"/>
        <v>8710.1091140902645</v>
      </c>
      <c r="CE69" s="26">
        <f t="shared" si="395"/>
        <v>0</v>
      </c>
      <c r="CF69" s="26">
        <f t="shared" si="396"/>
        <v>0</v>
      </c>
      <c r="CG69" s="26">
        <f t="shared" si="397"/>
        <v>6532.5818355676984</v>
      </c>
      <c r="CH69" s="26">
        <f t="shared" si="398"/>
        <v>0</v>
      </c>
      <c r="CI69" s="26">
        <f t="shared" si="399"/>
        <v>45835.021053451987</v>
      </c>
      <c r="CJ69" s="26">
        <f t="shared" si="400"/>
        <v>0</v>
      </c>
      <c r="CK69" s="26">
        <f t="shared" si="401"/>
        <v>0</v>
      </c>
      <c r="CL69" s="26">
        <f t="shared" si="402"/>
        <v>517828.51516835997</v>
      </c>
      <c r="CM69" s="110">
        <f t="shared" si="403"/>
        <v>1</v>
      </c>
      <c r="CN69" s="27">
        <f t="shared" si="404"/>
        <v>0</v>
      </c>
      <c r="CO69" s="27">
        <f t="shared" si="405"/>
        <v>850.49014512927045</v>
      </c>
      <c r="CP69" s="27">
        <f t="shared" si="406"/>
        <v>0</v>
      </c>
      <c r="CQ69" s="27">
        <f t="shared" si="407"/>
        <v>0</v>
      </c>
      <c r="CR69" s="27">
        <f t="shared" si="408"/>
        <v>0</v>
      </c>
      <c r="CS69" s="27">
        <f t="shared" si="409"/>
        <v>5143.5459962789482</v>
      </c>
      <c r="CT69" s="27">
        <f t="shared" si="410"/>
        <v>0</v>
      </c>
      <c r="CU69" s="27">
        <f t="shared" si="411"/>
        <v>1840.0620999591463</v>
      </c>
      <c r="CV69" s="27">
        <f t="shared" si="412"/>
        <v>0</v>
      </c>
      <c r="CW69" s="27">
        <f t="shared" si="413"/>
        <v>0</v>
      </c>
      <c r="CX69" s="27">
        <f t="shared" si="414"/>
        <v>0</v>
      </c>
      <c r="CY69" s="27">
        <f t="shared" si="415"/>
        <v>0</v>
      </c>
      <c r="CZ69" s="27">
        <f t="shared" si="416"/>
        <v>0</v>
      </c>
      <c r="DA69" s="27">
        <f t="shared" si="417"/>
        <v>15938.770557017628</v>
      </c>
      <c r="DB69" s="27">
        <f t="shared" si="418"/>
        <v>0</v>
      </c>
      <c r="DC69" s="27">
        <f t="shared" si="419"/>
        <v>4252.4507256463521</v>
      </c>
      <c r="DD69" s="27">
        <f t="shared" si="420"/>
        <v>1275.7352176939057</v>
      </c>
      <c r="DE69" s="27">
        <f t="shared" si="421"/>
        <v>3401.9605805170818</v>
      </c>
      <c r="DF69" s="27">
        <f t="shared" si="422"/>
        <v>0</v>
      </c>
      <c r="DG69" s="27">
        <f t="shared" si="423"/>
        <v>0</v>
      </c>
      <c r="DH69" s="27">
        <f t="shared" si="424"/>
        <v>2551.4704353878114</v>
      </c>
      <c r="DI69" s="27">
        <f t="shared" si="425"/>
        <v>0</v>
      </c>
      <c r="DJ69" s="27">
        <f t="shared" si="426"/>
        <v>17902.064461944497</v>
      </c>
      <c r="DK69" s="27">
        <f t="shared" si="427"/>
        <v>0</v>
      </c>
      <c r="DL69" s="27">
        <f t="shared" si="428"/>
        <v>0</v>
      </c>
      <c r="DM69" s="27">
        <f t="shared" si="429"/>
        <v>202251.44978042538</v>
      </c>
      <c r="DN69" s="110">
        <f t="shared" si="430"/>
        <v>1</v>
      </c>
      <c r="DO69" s="28">
        <f t="shared" si="211"/>
        <v>0</v>
      </c>
      <c r="DP69" s="28">
        <f t="shared" si="212"/>
        <v>1327.0371333932958</v>
      </c>
      <c r="DQ69" s="28">
        <f t="shared" si="213"/>
        <v>0</v>
      </c>
      <c r="DR69" s="28">
        <f t="shared" si="214"/>
        <v>0</v>
      </c>
      <c r="DS69" s="28">
        <f t="shared" si="215"/>
        <v>0</v>
      </c>
      <c r="DT69" s="28">
        <f t="shared" si="216"/>
        <v>8025.5798065021772</v>
      </c>
      <c r="DU69" s="28">
        <f t="shared" si="217"/>
        <v>0</v>
      </c>
      <c r="DV69" s="28">
        <f t="shared" si="218"/>
        <v>2871.086453358359</v>
      </c>
      <c r="DW69" s="28">
        <f t="shared" si="219"/>
        <v>0</v>
      </c>
      <c r="DX69" s="28">
        <f t="shared" si="220"/>
        <v>0</v>
      </c>
      <c r="DY69" s="28">
        <f t="shared" si="221"/>
        <v>0</v>
      </c>
      <c r="DZ69" s="28">
        <f t="shared" si="222"/>
        <v>0</v>
      </c>
      <c r="EA69" s="28">
        <f t="shared" si="223"/>
        <v>0</v>
      </c>
      <c r="EB69" s="28">
        <f t="shared" si="224"/>
        <v>24869.589037487596</v>
      </c>
      <c r="EC69" s="28">
        <f t="shared" si="225"/>
        <v>0</v>
      </c>
      <c r="ED69" s="28">
        <f t="shared" si="226"/>
        <v>6635.1856669664785</v>
      </c>
      <c r="EE69" s="28">
        <f t="shared" si="227"/>
        <v>1990.5557000899435</v>
      </c>
      <c r="EF69" s="28">
        <f t="shared" si="228"/>
        <v>5308.1485335731832</v>
      </c>
      <c r="EG69" s="28">
        <f t="shared" si="229"/>
        <v>0</v>
      </c>
      <c r="EH69" s="28">
        <f t="shared" si="230"/>
        <v>0</v>
      </c>
      <c r="EI69" s="28">
        <f t="shared" si="231"/>
        <v>3981.1114001798869</v>
      </c>
      <c r="EJ69" s="28">
        <f t="shared" si="232"/>
        <v>0</v>
      </c>
      <c r="EK69" s="28">
        <f t="shared" si="233"/>
        <v>27932.956591507489</v>
      </c>
      <c r="EL69" s="28">
        <f t="shared" si="234"/>
        <v>0</v>
      </c>
      <c r="EM69" s="28">
        <f t="shared" si="235"/>
        <v>0</v>
      </c>
      <c r="EN69" s="28">
        <f t="shared" si="236"/>
        <v>315577.06538793456</v>
      </c>
      <c r="EQ69" s="144">
        <v>0</v>
      </c>
      <c r="ER69" s="144">
        <v>0</v>
      </c>
      <c r="ES69" s="144">
        <v>0</v>
      </c>
      <c r="ET69" s="144">
        <v>0.14000000000000001</v>
      </c>
      <c r="EU69" s="144">
        <v>0.17</v>
      </c>
      <c r="EV69" s="144">
        <v>0.18</v>
      </c>
      <c r="EW69" s="144">
        <v>0.2</v>
      </c>
      <c r="EX69" s="144">
        <v>0.2</v>
      </c>
      <c r="EY69" s="144">
        <v>0.04</v>
      </c>
      <c r="EZ69" s="144">
        <v>0.03</v>
      </c>
      <c r="FA69" s="144">
        <v>0.04</v>
      </c>
      <c r="FB69" s="144">
        <v>0</v>
      </c>
      <c r="FC69" s="145">
        <f t="shared" si="237"/>
        <v>1.0000000000000002</v>
      </c>
      <c r="FD69" s="146">
        <f t="shared" si="238"/>
        <v>0</v>
      </c>
      <c r="FE69" s="146">
        <f t="shared" si="239"/>
        <v>0.49000000000000005</v>
      </c>
      <c r="FF69" s="146">
        <f t="shared" si="240"/>
        <v>0.44</v>
      </c>
      <c r="FG69" s="146">
        <f t="shared" si="241"/>
        <v>7.0000000000000007E-2</v>
      </c>
      <c r="FH69" s="145">
        <f t="shared" si="375"/>
        <v>1</v>
      </c>
      <c r="FJ69" s="52">
        <f t="shared" si="243"/>
        <v>0</v>
      </c>
      <c r="FK69" s="52">
        <f t="shared" si="244"/>
        <v>0</v>
      </c>
      <c r="FL69" s="52">
        <f t="shared" si="245"/>
        <v>0</v>
      </c>
      <c r="FM69" s="52">
        <f t="shared" si="246"/>
        <v>0</v>
      </c>
      <c r="FN69" s="52">
        <f t="shared" si="247"/>
        <v>0</v>
      </c>
      <c r="FO69" s="52">
        <f t="shared" si="248"/>
        <v>0</v>
      </c>
      <c r="FP69" s="52">
        <f t="shared" si="249"/>
        <v>0</v>
      </c>
      <c r="FQ69" s="52">
        <f t="shared" si="250"/>
        <v>0</v>
      </c>
      <c r="FR69" s="52">
        <f t="shared" si="251"/>
        <v>0</v>
      </c>
      <c r="FS69" s="52">
        <f t="shared" si="252"/>
        <v>0</v>
      </c>
      <c r="FT69" s="52">
        <f t="shared" si="253"/>
        <v>0</v>
      </c>
      <c r="FU69" s="52">
        <f t="shared" si="254"/>
        <v>0</v>
      </c>
      <c r="FV69" s="52">
        <f t="shared" si="255"/>
        <v>0</v>
      </c>
      <c r="FW69" s="52">
        <f t="shared" si="256"/>
        <v>0</v>
      </c>
      <c r="FX69" s="52">
        <f t="shared" si="257"/>
        <v>0</v>
      </c>
      <c r="FY69" s="52">
        <f t="shared" si="258"/>
        <v>0</v>
      </c>
      <c r="FZ69" s="52">
        <f t="shared" si="259"/>
        <v>0</v>
      </c>
      <c r="GA69" s="52">
        <f t="shared" si="260"/>
        <v>0</v>
      </c>
      <c r="GB69" s="52">
        <f t="shared" si="261"/>
        <v>0</v>
      </c>
      <c r="GC69" s="52">
        <f t="shared" si="262"/>
        <v>0</v>
      </c>
      <c r="GD69" s="52">
        <f t="shared" si="263"/>
        <v>0</v>
      </c>
      <c r="GE69" s="52">
        <f t="shared" si="264"/>
        <v>0</v>
      </c>
      <c r="GF69" s="52">
        <f t="shared" si="265"/>
        <v>0</v>
      </c>
      <c r="GG69" s="52">
        <f t="shared" si="266"/>
        <v>0</v>
      </c>
      <c r="GH69" s="52">
        <f t="shared" si="267"/>
        <v>0</v>
      </c>
      <c r="GI69" s="52">
        <f t="shared" si="268"/>
        <v>0</v>
      </c>
      <c r="GJ69" s="26"/>
      <c r="GL69" s="150">
        <f t="shared" si="269"/>
        <v>0</v>
      </c>
      <c r="GM69" s="150">
        <f t="shared" si="270"/>
        <v>1066.9883664760575</v>
      </c>
      <c r="GN69" s="150">
        <f t="shared" si="271"/>
        <v>0</v>
      </c>
      <c r="GO69" s="150">
        <f t="shared" si="272"/>
        <v>0</v>
      </c>
      <c r="GP69" s="150">
        <f t="shared" si="273"/>
        <v>0</v>
      </c>
      <c r="GQ69" s="150">
        <f t="shared" si="274"/>
        <v>6452.8716433627524</v>
      </c>
      <c r="GR69" s="150">
        <f t="shared" si="275"/>
        <v>0</v>
      </c>
      <c r="GS69" s="150">
        <f t="shared" si="276"/>
        <v>2308.462791125578</v>
      </c>
      <c r="GT69" s="150">
        <f t="shared" si="277"/>
        <v>0</v>
      </c>
      <c r="GU69" s="150">
        <f t="shared" si="278"/>
        <v>0</v>
      </c>
      <c r="GV69" s="150">
        <f t="shared" si="279"/>
        <v>0</v>
      </c>
      <c r="GW69" s="150">
        <f t="shared" si="280"/>
        <v>0</v>
      </c>
      <c r="GX69" s="150">
        <f t="shared" si="281"/>
        <v>0</v>
      </c>
      <c r="GY69" s="150">
        <f t="shared" si="282"/>
        <v>19996.096201307562</v>
      </c>
      <c r="GZ69" s="150">
        <f t="shared" si="283"/>
        <v>0</v>
      </c>
      <c r="HA69" s="150">
        <f t="shared" si="284"/>
        <v>5334.9418323802875</v>
      </c>
      <c r="HB69" s="150">
        <f t="shared" si="285"/>
        <v>1600.4825497140862</v>
      </c>
      <c r="HC69" s="150">
        <f t="shared" si="286"/>
        <v>4267.9534659042301</v>
      </c>
      <c r="HD69" s="150">
        <f t="shared" si="287"/>
        <v>0</v>
      </c>
      <c r="HE69" s="150">
        <f t="shared" si="288"/>
        <v>0</v>
      </c>
      <c r="HF69" s="150">
        <f t="shared" si="289"/>
        <v>3200.9650994281724</v>
      </c>
      <c r="HG69" s="150">
        <f t="shared" si="290"/>
        <v>0</v>
      </c>
      <c r="HH69" s="150">
        <f t="shared" si="291"/>
        <v>22459.160316191475</v>
      </c>
      <c r="HI69" s="150">
        <f t="shared" si="292"/>
        <v>0</v>
      </c>
      <c r="HJ69" s="150">
        <f t="shared" si="293"/>
        <v>0</v>
      </c>
      <c r="HK69" s="150">
        <f t="shared" si="294"/>
        <v>253735.9724324964</v>
      </c>
      <c r="HL69" s="26"/>
      <c r="HN69" s="147">
        <f t="shared" si="295"/>
        <v>0</v>
      </c>
      <c r="HO69" s="147">
        <f t="shared" si="296"/>
        <v>958.11200254992912</v>
      </c>
      <c r="HP69" s="147">
        <f t="shared" si="297"/>
        <v>0</v>
      </c>
      <c r="HQ69" s="147">
        <f t="shared" si="298"/>
        <v>0</v>
      </c>
      <c r="HR69" s="147">
        <f t="shared" si="299"/>
        <v>0</v>
      </c>
      <c r="HS69" s="147">
        <f t="shared" si="300"/>
        <v>5794.4153532236951</v>
      </c>
      <c r="HT69" s="147">
        <f t="shared" si="301"/>
        <v>0</v>
      </c>
      <c r="HU69" s="147">
        <f t="shared" si="302"/>
        <v>2072.9053634597026</v>
      </c>
      <c r="HV69" s="147">
        <f t="shared" si="303"/>
        <v>0</v>
      </c>
      <c r="HW69" s="147">
        <f t="shared" si="304"/>
        <v>0</v>
      </c>
      <c r="HX69" s="147">
        <f t="shared" si="305"/>
        <v>0</v>
      </c>
      <c r="HY69" s="147">
        <f t="shared" si="306"/>
        <v>0</v>
      </c>
      <c r="HZ69" s="147">
        <f t="shared" si="307"/>
        <v>0</v>
      </c>
      <c r="IA69" s="147">
        <f t="shared" si="308"/>
        <v>17955.678221582297</v>
      </c>
      <c r="IB69" s="147">
        <f t="shared" si="309"/>
        <v>0</v>
      </c>
      <c r="IC69" s="147">
        <f t="shared" si="310"/>
        <v>4790.5600127496455</v>
      </c>
      <c r="ID69" s="147">
        <f t="shared" si="311"/>
        <v>1437.1680038248937</v>
      </c>
      <c r="IE69" s="147">
        <f t="shared" si="312"/>
        <v>3832.4480101997165</v>
      </c>
      <c r="IF69" s="147">
        <f t="shared" si="313"/>
        <v>0</v>
      </c>
      <c r="IG69" s="147">
        <f t="shared" si="314"/>
        <v>0</v>
      </c>
      <c r="IH69" s="147">
        <f t="shared" si="315"/>
        <v>2874.3360076497875</v>
      </c>
      <c r="II69" s="147">
        <f t="shared" si="316"/>
        <v>0</v>
      </c>
      <c r="IJ69" s="147">
        <f t="shared" si="317"/>
        <v>20167.409263518875</v>
      </c>
      <c r="IK69" s="147">
        <f t="shared" si="318"/>
        <v>0</v>
      </c>
      <c r="IL69" s="147">
        <f t="shared" si="319"/>
        <v>0</v>
      </c>
      <c r="IM69" s="147">
        <f t="shared" si="320"/>
        <v>227844.54667407839</v>
      </c>
      <c r="IN69" s="26"/>
      <c r="IP69" s="61">
        <f t="shared" si="321"/>
        <v>0</v>
      </c>
      <c r="IQ69" s="61">
        <f t="shared" si="322"/>
        <v>152.42690949657964</v>
      </c>
      <c r="IR69" s="61">
        <f t="shared" si="323"/>
        <v>0</v>
      </c>
      <c r="IS69" s="61">
        <f t="shared" si="324"/>
        <v>0</v>
      </c>
      <c r="IT69" s="61">
        <f t="shared" si="325"/>
        <v>0</v>
      </c>
      <c r="IU69" s="61">
        <f t="shared" si="326"/>
        <v>921.83880619467891</v>
      </c>
      <c r="IV69" s="61">
        <f t="shared" si="327"/>
        <v>0</v>
      </c>
      <c r="IW69" s="61">
        <f t="shared" si="328"/>
        <v>329.78039873222542</v>
      </c>
      <c r="IX69" s="61">
        <f t="shared" si="329"/>
        <v>0</v>
      </c>
      <c r="IY69" s="61">
        <f t="shared" si="330"/>
        <v>0</v>
      </c>
      <c r="IZ69" s="61">
        <f t="shared" si="331"/>
        <v>0</v>
      </c>
      <c r="JA69" s="61">
        <f t="shared" si="332"/>
        <v>0</v>
      </c>
      <c r="JB69" s="61">
        <f t="shared" si="333"/>
        <v>0</v>
      </c>
      <c r="JC69" s="61">
        <f t="shared" si="334"/>
        <v>2856.5851716153657</v>
      </c>
      <c r="JD69" s="61">
        <f t="shared" si="335"/>
        <v>0</v>
      </c>
      <c r="JE69" s="61">
        <f t="shared" si="336"/>
        <v>762.13454748289826</v>
      </c>
      <c r="JF69" s="61">
        <f t="shared" si="337"/>
        <v>228.64036424486946</v>
      </c>
      <c r="JG69" s="61">
        <f t="shared" si="338"/>
        <v>609.70763798631856</v>
      </c>
      <c r="JH69" s="61">
        <f t="shared" si="339"/>
        <v>0</v>
      </c>
      <c r="JI69" s="61">
        <f t="shared" si="340"/>
        <v>0</v>
      </c>
      <c r="JJ69" s="61">
        <f t="shared" si="341"/>
        <v>457.28072848973892</v>
      </c>
      <c r="JK69" s="61">
        <f t="shared" si="342"/>
        <v>0</v>
      </c>
      <c r="JL69" s="61">
        <f t="shared" si="343"/>
        <v>3208.4514737416393</v>
      </c>
      <c r="JM69" s="61">
        <f t="shared" si="344"/>
        <v>0</v>
      </c>
      <c r="JN69" s="61">
        <f t="shared" si="345"/>
        <v>0</v>
      </c>
      <c r="JO69" s="61">
        <f t="shared" si="346"/>
        <v>36247.996061785205</v>
      </c>
      <c r="JQ69" s="26">
        <f t="shared" si="431"/>
        <v>653926.31571099313</v>
      </c>
      <c r="JR69" s="156">
        <f t="shared" si="432"/>
        <v>1.0000000000000002</v>
      </c>
      <c r="JT69" s="157">
        <f t="shared" si="347"/>
        <v>0</v>
      </c>
      <c r="JU69" s="29">
        <f t="shared" si="348"/>
        <v>0</v>
      </c>
    </row>
    <row r="70" spans="1:281" ht="18.75" x14ac:dyDescent="0.3">
      <c r="A70" t="s">
        <v>69</v>
      </c>
      <c r="B70" t="s">
        <v>117</v>
      </c>
      <c r="C70" s="1" t="s">
        <v>147</v>
      </c>
      <c r="D70" t="s">
        <v>141</v>
      </c>
      <c r="E70" t="s">
        <v>148</v>
      </c>
      <c r="F70" s="113">
        <v>150</v>
      </c>
      <c r="G70" s="15">
        <v>255000</v>
      </c>
      <c r="H70" s="20">
        <v>150000</v>
      </c>
      <c r="I70" s="23">
        <v>1.7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9">
        <v>0</v>
      </c>
      <c r="AH70" s="13">
        <v>0</v>
      </c>
      <c r="AI70" s="9">
        <v>1</v>
      </c>
      <c r="AJ70" s="8">
        <f t="shared" si="376"/>
        <v>1</v>
      </c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9"/>
      <c r="BM70" s="26">
        <f t="shared" si="377"/>
        <v>0</v>
      </c>
      <c r="BN70" s="26">
        <f t="shared" si="378"/>
        <v>0</v>
      </c>
      <c r="BO70" s="26">
        <f t="shared" si="379"/>
        <v>0</v>
      </c>
      <c r="BP70" s="26">
        <f t="shared" si="380"/>
        <v>0</v>
      </c>
      <c r="BQ70" s="26">
        <f t="shared" si="381"/>
        <v>0</v>
      </c>
      <c r="BR70" s="26">
        <f t="shared" si="382"/>
        <v>0</v>
      </c>
      <c r="BS70" s="26">
        <f t="shared" si="383"/>
        <v>0</v>
      </c>
      <c r="BT70" s="26">
        <f t="shared" si="384"/>
        <v>0</v>
      </c>
      <c r="BU70" s="26">
        <f t="shared" si="385"/>
        <v>0</v>
      </c>
      <c r="BV70" s="26">
        <f t="shared" si="386"/>
        <v>0</v>
      </c>
      <c r="BW70" s="26">
        <f t="shared" si="387"/>
        <v>0</v>
      </c>
      <c r="BX70" s="26">
        <f t="shared" si="388"/>
        <v>0</v>
      </c>
      <c r="BY70" s="26">
        <f t="shared" si="389"/>
        <v>0</v>
      </c>
      <c r="BZ70" s="26">
        <f t="shared" si="390"/>
        <v>0</v>
      </c>
      <c r="CA70" s="26">
        <f t="shared" si="391"/>
        <v>0</v>
      </c>
      <c r="CB70" s="26">
        <f t="shared" si="392"/>
        <v>0</v>
      </c>
      <c r="CC70" s="26">
        <f t="shared" si="393"/>
        <v>0</v>
      </c>
      <c r="CD70" s="26">
        <f t="shared" si="394"/>
        <v>0</v>
      </c>
      <c r="CE70" s="26">
        <f t="shared" si="395"/>
        <v>0</v>
      </c>
      <c r="CF70" s="26">
        <f t="shared" si="396"/>
        <v>0</v>
      </c>
      <c r="CG70" s="26">
        <f t="shared" si="397"/>
        <v>0</v>
      </c>
      <c r="CH70" s="26">
        <f t="shared" si="398"/>
        <v>0</v>
      </c>
      <c r="CI70" s="26">
        <f t="shared" si="399"/>
        <v>0</v>
      </c>
      <c r="CJ70" s="26">
        <f t="shared" si="400"/>
        <v>0</v>
      </c>
      <c r="CK70" s="26">
        <f t="shared" si="401"/>
        <v>0</v>
      </c>
      <c r="CL70" s="26">
        <f t="shared" si="402"/>
        <v>255000</v>
      </c>
      <c r="CM70" s="110">
        <f t="shared" si="403"/>
        <v>1</v>
      </c>
      <c r="CN70" s="27">
        <f t="shared" si="404"/>
        <v>0</v>
      </c>
      <c r="CO70" s="27">
        <f t="shared" si="405"/>
        <v>0</v>
      </c>
      <c r="CP70" s="27">
        <f t="shared" si="406"/>
        <v>0</v>
      </c>
      <c r="CQ70" s="27">
        <f t="shared" si="407"/>
        <v>0</v>
      </c>
      <c r="CR70" s="27">
        <f t="shared" si="408"/>
        <v>0</v>
      </c>
      <c r="CS70" s="27">
        <f t="shared" si="409"/>
        <v>0</v>
      </c>
      <c r="CT70" s="27">
        <f t="shared" si="410"/>
        <v>0</v>
      </c>
      <c r="CU70" s="27">
        <f t="shared" si="411"/>
        <v>0</v>
      </c>
      <c r="CV70" s="27">
        <f t="shared" si="412"/>
        <v>0</v>
      </c>
      <c r="CW70" s="27">
        <f t="shared" si="413"/>
        <v>0</v>
      </c>
      <c r="CX70" s="27">
        <f t="shared" si="414"/>
        <v>0</v>
      </c>
      <c r="CY70" s="27">
        <f t="shared" si="415"/>
        <v>0</v>
      </c>
      <c r="CZ70" s="27">
        <f t="shared" si="416"/>
        <v>0</v>
      </c>
      <c r="DA70" s="27">
        <f t="shared" si="417"/>
        <v>0</v>
      </c>
      <c r="DB70" s="27">
        <f t="shared" si="418"/>
        <v>0</v>
      </c>
      <c r="DC70" s="27">
        <f t="shared" si="419"/>
        <v>0</v>
      </c>
      <c r="DD70" s="27">
        <f t="shared" si="420"/>
        <v>0</v>
      </c>
      <c r="DE70" s="27">
        <f t="shared" si="421"/>
        <v>0</v>
      </c>
      <c r="DF70" s="27">
        <f t="shared" si="422"/>
        <v>0</v>
      </c>
      <c r="DG70" s="27">
        <f t="shared" si="423"/>
        <v>0</v>
      </c>
      <c r="DH70" s="27">
        <f t="shared" si="424"/>
        <v>0</v>
      </c>
      <c r="DI70" s="27">
        <f t="shared" si="425"/>
        <v>0</v>
      </c>
      <c r="DJ70" s="27">
        <f t="shared" si="426"/>
        <v>0</v>
      </c>
      <c r="DK70" s="27">
        <f t="shared" si="427"/>
        <v>0</v>
      </c>
      <c r="DL70" s="27">
        <f t="shared" si="428"/>
        <v>0</v>
      </c>
      <c r="DM70" s="27">
        <f t="shared" si="429"/>
        <v>150000</v>
      </c>
      <c r="DN70" s="110">
        <f t="shared" si="430"/>
        <v>1</v>
      </c>
      <c r="DO70" s="28">
        <f t="shared" si="211"/>
        <v>0</v>
      </c>
      <c r="DP70" s="28">
        <f t="shared" si="212"/>
        <v>0</v>
      </c>
      <c r="DQ70" s="28">
        <f t="shared" si="213"/>
        <v>0</v>
      </c>
      <c r="DR70" s="28">
        <f t="shared" si="214"/>
        <v>0</v>
      </c>
      <c r="DS70" s="28">
        <f t="shared" si="215"/>
        <v>0</v>
      </c>
      <c r="DT70" s="28">
        <f t="shared" si="216"/>
        <v>0</v>
      </c>
      <c r="DU70" s="28">
        <f t="shared" si="217"/>
        <v>0</v>
      </c>
      <c r="DV70" s="28">
        <f t="shared" si="218"/>
        <v>0</v>
      </c>
      <c r="DW70" s="28">
        <f t="shared" si="219"/>
        <v>0</v>
      </c>
      <c r="DX70" s="28">
        <f t="shared" si="220"/>
        <v>0</v>
      </c>
      <c r="DY70" s="28">
        <f t="shared" si="221"/>
        <v>0</v>
      </c>
      <c r="DZ70" s="28">
        <f t="shared" si="222"/>
        <v>0</v>
      </c>
      <c r="EA70" s="28">
        <f t="shared" si="223"/>
        <v>0</v>
      </c>
      <c r="EB70" s="28">
        <f t="shared" si="224"/>
        <v>0</v>
      </c>
      <c r="EC70" s="28">
        <f t="shared" si="225"/>
        <v>0</v>
      </c>
      <c r="ED70" s="28">
        <f t="shared" si="226"/>
        <v>0</v>
      </c>
      <c r="EE70" s="28">
        <f t="shared" si="227"/>
        <v>0</v>
      </c>
      <c r="EF70" s="28">
        <f t="shared" si="228"/>
        <v>0</v>
      </c>
      <c r="EG70" s="28">
        <f t="shared" si="229"/>
        <v>0</v>
      </c>
      <c r="EH70" s="28">
        <f t="shared" si="230"/>
        <v>0</v>
      </c>
      <c r="EI70" s="28">
        <f t="shared" si="231"/>
        <v>0</v>
      </c>
      <c r="EJ70" s="28">
        <f t="shared" si="232"/>
        <v>0</v>
      </c>
      <c r="EK70" s="28">
        <f t="shared" si="233"/>
        <v>0</v>
      </c>
      <c r="EL70" s="28">
        <f t="shared" si="234"/>
        <v>0</v>
      </c>
      <c r="EM70" s="28">
        <f t="shared" si="235"/>
        <v>0</v>
      </c>
      <c r="EN70" s="28">
        <f t="shared" si="236"/>
        <v>105000</v>
      </c>
      <c r="EQ70" s="144">
        <v>0</v>
      </c>
      <c r="ER70" s="144">
        <v>0</v>
      </c>
      <c r="ES70" s="144">
        <v>0</v>
      </c>
      <c r="ET70" s="144">
        <v>0.11</v>
      </c>
      <c r="EU70" s="144">
        <v>0.17</v>
      </c>
      <c r="EV70" s="144">
        <v>0.2</v>
      </c>
      <c r="EW70" s="144">
        <v>0.18</v>
      </c>
      <c r="EX70" s="144">
        <v>0.11</v>
      </c>
      <c r="EY70" s="144">
        <v>0.09</v>
      </c>
      <c r="EZ70" s="144">
        <v>0.08</v>
      </c>
      <c r="FA70" s="144">
        <v>0.04</v>
      </c>
      <c r="FB70" s="144">
        <v>0.02</v>
      </c>
      <c r="FC70" s="145">
        <f t="shared" si="237"/>
        <v>1</v>
      </c>
      <c r="FD70" s="146">
        <f t="shared" si="238"/>
        <v>0</v>
      </c>
      <c r="FE70" s="146">
        <f t="shared" si="239"/>
        <v>0.48000000000000004</v>
      </c>
      <c r="FF70" s="146">
        <f t="shared" si="240"/>
        <v>0.38</v>
      </c>
      <c r="FG70" s="146">
        <f t="shared" si="241"/>
        <v>0.13999999999999999</v>
      </c>
      <c r="FH70" s="145">
        <f t="shared" si="375"/>
        <v>1</v>
      </c>
      <c r="FJ70" s="52">
        <f t="shared" si="243"/>
        <v>0</v>
      </c>
      <c r="FK70" s="52">
        <f t="shared" si="244"/>
        <v>0</v>
      </c>
      <c r="FL70" s="52">
        <f t="shared" si="245"/>
        <v>0</v>
      </c>
      <c r="FM70" s="52">
        <f t="shared" si="246"/>
        <v>0</v>
      </c>
      <c r="FN70" s="52">
        <f t="shared" si="247"/>
        <v>0</v>
      </c>
      <c r="FO70" s="52">
        <f t="shared" si="248"/>
        <v>0</v>
      </c>
      <c r="FP70" s="52">
        <f t="shared" si="249"/>
        <v>0</v>
      </c>
      <c r="FQ70" s="52">
        <f t="shared" si="250"/>
        <v>0</v>
      </c>
      <c r="FR70" s="52">
        <f t="shared" si="251"/>
        <v>0</v>
      </c>
      <c r="FS70" s="52">
        <f t="shared" si="252"/>
        <v>0</v>
      </c>
      <c r="FT70" s="52">
        <f t="shared" si="253"/>
        <v>0</v>
      </c>
      <c r="FU70" s="52">
        <f t="shared" si="254"/>
        <v>0</v>
      </c>
      <c r="FV70" s="52">
        <f t="shared" si="255"/>
        <v>0</v>
      </c>
      <c r="FW70" s="52">
        <f t="shared" si="256"/>
        <v>0</v>
      </c>
      <c r="FX70" s="52">
        <f t="shared" si="257"/>
        <v>0</v>
      </c>
      <c r="FY70" s="52">
        <f t="shared" si="258"/>
        <v>0</v>
      </c>
      <c r="FZ70" s="52">
        <f t="shared" si="259"/>
        <v>0</v>
      </c>
      <c r="GA70" s="52">
        <f t="shared" si="260"/>
        <v>0</v>
      </c>
      <c r="GB70" s="52">
        <f t="shared" si="261"/>
        <v>0</v>
      </c>
      <c r="GC70" s="52">
        <f t="shared" si="262"/>
        <v>0</v>
      </c>
      <c r="GD70" s="52">
        <f t="shared" si="263"/>
        <v>0</v>
      </c>
      <c r="GE70" s="52">
        <f t="shared" si="264"/>
        <v>0</v>
      </c>
      <c r="GF70" s="52">
        <f t="shared" si="265"/>
        <v>0</v>
      </c>
      <c r="GG70" s="52">
        <f t="shared" si="266"/>
        <v>0</v>
      </c>
      <c r="GH70" s="52">
        <f t="shared" si="267"/>
        <v>0</v>
      </c>
      <c r="GI70" s="52">
        <f t="shared" si="268"/>
        <v>0</v>
      </c>
      <c r="GJ70" s="26"/>
      <c r="GL70" s="150">
        <f t="shared" si="269"/>
        <v>0</v>
      </c>
      <c r="GM70" s="150">
        <f t="shared" si="270"/>
        <v>0</v>
      </c>
      <c r="GN70" s="150">
        <f t="shared" si="271"/>
        <v>0</v>
      </c>
      <c r="GO70" s="150">
        <f t="shared" si="272"/>
        <v>0</v>
      </c>
      <c r="GP70" s="150">
        <f t="shared" si="273"/>
        <v>0</v>
      </c>
      <c r="GQ70" s="150">
        <f t="shared" si="274"/>
        <v>0</v>
      </c>
      <c r="GR70" s="150">
        <f t="shared" si="275"/>
        <v>0</v>
      </c>
      <c r="GS70" s="150">
        <f t="shared" si="276"/>
        <v>0</v>
      </c>
      <c r="GT70" s="150">
        <f t="shared" si="277"/>
        <v>0</v>
      </c>
      <c r="GU70" s="150">
        <f t="shared" si="278"/>
        <v>0</v>
      </c>
      <c r="GV70" s="150">
        <f t="shared" si="279"/>
        <v>0</v>
      </c>
      <c r="GW70" s="150">
        <f t="shared" si="280"/>
        <v>0</v>
      </c>
      <c r="GX70" s="150">
        <f t="shared" si="281"/>
        <v>0</v>
      </c>
      <c r="GY70" s="150">
        <f t="shared" si="282"/>
        <v>0</v>
      </c>
      <c r="GZ70" s="150">
        <f t="shared" si="283"/>
        <v>0</v>
      </c>
      <c r="HA70" s="150">
        <f t="shared" si="284"/>
        <v>0</v>
      </c>
      <c r="HB70" s="150">
        <f t="shared" si="285"/>
        <v>0</v>
      </c>
      <c r="HC70" s="150">
        <f t="shared" si="286"/>
        <v>0</v>
      </c>
      <c r="HD70" s="150">
        <f t="shared" si="287"/>
        <v>0</v>
      </c>
      <c r="HE70" s="150">
        <f t="shared" si="288"/>
        <v>0</v>
      </c>
      <c r="HF70" s="150">
        <f t="shared" si="289"/>
        <v>0</v>
      </c>
      <c r="HG70" s="150">
        <f t="shared" si="290"/>
        <v>0</v>
      </c>
      <c r="HH70" s="150">
        <f t="shared" si="291"/>
        <v>0</v>
      </c>
      <c r="HI70" s="150">
        <f t="shared" si="292"/>
        <v>0</v>
      </c>
      <c r="HJ70" s="150">
        <f t="shared" si="293"/>
        <v>0</v>
      </c>
      <c r="HK70" s="150">
        <f t="shared" si="294"/>
        <v>122400.00000000001</v>
      </c>
      <c r="HL70" s="26"/>
      <c r="HN70" s="147">
        <f t="shared" si="295"/>
        <v>0</v>
      </c>
      <c r="HO70" s="147">
        <f t="shared" si="296"/>
        <v>0</v>
      </c>
      <c r="HP70" s="147">
        <f t="shared" si="297"/>
        <v>0</v>
      </c>
      <c r="HQ70" s="147">
        <f t="shared" si="298"/>
        <v>0</v>
      </c>
      <c r="HR70" s="147">
        <f t="shared" si="299"/>
        <v>0</v>
      </c>
      <c r="HS70" s="147">
        <f t="shared" si="300"/>
        <v>0</v>
      </c>
      <c r="HT70" s="147">
        <f t="shared" si="301"/>
        <v>0</v>
      </c>
      <c r="HU70" s="147">
        <f t="shared" si="302"/>
        <v>0</v>
      </c>
      <c r="HV70" s="147">
        <f t="shared" si="303"/>
        <v>0</v>
      </c>
      <c r="HW70" s="147">
        <f t="shared" si="304"/>
        <v>0</v>
      </c>
      <c r="HX70" s="147">
        <f t="shared" si="305"/>
        <v>0</v>
      </c>
      <c r="HY70" s="147">
        <f t="shared" si="306"/>
        <v>0</v>
      </c>
      <c r="HZ70" s="147">
        <f t="shared" si="307"/>
        <v>0</v>
      </c>
      <c r="IA70" s="147">
        <f t="shared" si="308"/>
        <v>0</v>
      </c>
      <c r="IB70" s="147">
        <f t="shared" si="309"/>
        <v>0</v>
      </c>
      <c r="IC70" s="147">
        <f t="shared" si="310"/>
        <v>0</v>
      </c>
      <c r="ID70" s="147">
        <f t="shared" si="311"/>
        <v>0</v>
      </c>
      <c r="IE70" s="147">
        <f t="shared" si="312"/>
        <v>0</v>
      </c>
      <c r="IF70" s="147">
        <f t="shared" si="313"/>
        <v>0</v>
      </c>
      <c r="IG70" s="147">
        <f t="shared" si="314"/>
        <v>0</v>
      </c>
      <c r="IH70" s="147">
        <f t="shared" si="315"/>
        <v>0</v>
      </c>
      <c r="II70" s="147">
        <f t="shared" si="316"/>
        <v>0</v>
      </c>
      <c r="IJ70" s="147">
        <f t="shared" si="317"/>
        <v>0</v>
      </c>
      <c r="IK70" s="147">
        <f t="shared" si="318"/>
        <v>0</v>
      </c>
      <c r="IL70" s="147">
        <f t="shared" si="319"/>
        <v>0</v>
      </c>
      <c r="IM70" s="147">
        <f t="shared" si="320"/>
        <v>96900</v>
      </c>
      <c r="IN70" s="26"/>
      <c r="IP70" s="61">
        <f t="shared" si="321"/>
        <v>0</v>
      </c>
      <c r="IQ70" s="61">
        <f t="shared" si="322"/>
        <v>0</v>
      </c>
      <c r="IR70" s="61">
        <f t="shared" si="323"/>
        <v>0</v>
      </c>
      <c r="IS70" s="61">
        <f t="shared" si="324"/>
        <v>0</v>
      </c>
      <c r="IT70" s="61">
        <f t="shared" si="325"/>
        <v>0</v>
      </c>
      <c r="IU70" s="61">
        <f t="shared" si="326"/>
        <v>0</v>
      </c>
      <c r="IV70" s="61">
        <f t="shared" si="327"/>
        <v>0</v>
      </c>
      <c r="IW70" s="61">
        <f t="shared" si="328"/>
        <v>0</v>
      </c>
      <c r="IX70" s="61">
        <f t="shared" si="329"/>
        <v>0</v>
      </c>
      <c r="IY70" s="61">
        <f t="shared" si="330"/>
        <v>0</v>
      </c>
      <c r="IZ70" s="61">
        <f t="shared" si="331"/>
        <v>0</v>
      </c>
      <c r="JA70" s="61">
        <f t="shared" si="332"/>
        <v>0</v>
      </c>
      <c r="JB70" s="61">
        <f t="shared" si="333"/>
        <v>0</v>
      </c>
      <c r="JC70" s="61">
        <f t="shared" si="334"/>
        <v>0</v>
      </c>
      <c r="JD70" s="61">
        <f t="shared" si="335"/>
        <v>0</v>
      </c>
      <c r="JE70" s="61">
        <f t="shared" si="336"/>
        <v>0</v>
      </c>
      <c r="JF70" s="61">
        <f t="shared" si="337"/>
        <v>0</v>
      </c>
      <c r="JG70" s="61">
        <f t="shared" si="338"/>
        <v>0</v>
      </c>
      <c r="JH70" s="61">
        <f t="shared" si="339"/>
        <v>0</v>
      </c>
      <c r="JI70" s="61">
        <f t="shared" si="340"/>
        <v>0</v>
      </c>
      <c r="JJ70" s="61">
        <f t="shared" si="341"/>
        <v>0</v>
      </c>
      <c r="JK70" s="61">
        <f t="shared" si="342"/>
        <v>0</v>
      </c>
      <c r="JL70" s="61">
        <f t="shared" si="343"/>
        <v>0</v>
      </c>
      <c r="JM70" s="61">
        <f t="shared" si="344"/>
        <v>0</v>
      </c>
      <c r="JN70" s="61">
        <f t="shared" si="345"/>
        <v>0</v>
      </c>
      <c r="JO70" s="61">
        <f t="shared" si="346"/>
        <v>35699.999999999993</v>
      </c>
      <c r="JQ70" s="26">
        <f t="shared" si="431"/>
        <v>255000</v>
      </c>
      <c r="JR70" s="156">
        <f t="shared" si="432"/>
        <v>1</v>
      </c>
      <c r="JT70" s="157">
        <f t="shared" si="347"/>
        <v>0</v>
      </c>
      <c r="JU70" s="29">
        <f t="shared" si="348"/>
        <v>0</v>
      </c>
    </row>
    <row r="71" spans="1:281" ht="18.75" x14ac:dyDescent="0.3">
      <c r="A71" t="s">
        <v>234</v>
      </c>
      <c r="B71" t="s">
        <v>151</v>
      </c>
      <c r="C71" t="s">
        <v>74</v>
      </c>
      <c r="D71" t="s">
        <v>29</v>
      </c>
      <c r="E71" s="11" t="s">
        <v>235</v>
      </c>
      <c r="F71" s="114">
        <v>1730</v>
      </c>
      <c r="G71" s="17">
        <v>479504</v>
      </c>
      <c r="H71" s="21">
        <v>368853</v>
      </c>
      <c r="I71" s="25">
        <f>G71/H71</f>
        <v>1.2999867155750393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9">
        <v>0</v>
      </c>
      <c r="AH71" s="13">
        <v>1</v>
      </c>
      <c r="AJ71" s="8">
        <f t="shared" si="376"/>
        <v>1</v>
      </c>
      <c r="AK71" s="141">
        <f>$F71*J71</f>
        <v>0</v>
      </c>
      <c r="AL71" s="141">
        <f t="shared" ref="AL71:BJ71" si="433">$F71*K71</f>
        <v>0</v>
      </c>
      <c r="AM71" s="141">
        <f t="shared" si="433"/>
        <v>0</v>
      </c>
      <c r="AN71" s="141">
        <f t="shared" si="433"/>
        <v>0</v>
      </c>
      <c r="AO71" s="141">
        <f t="shared" si="433"/>
        <v>0</v>
      </c>
      <c r="AP71" s="141">
        <f t="shared" si="433"/>
        <v>0</v>
      </c>
      <c r="AQ71" s="141">
        <f t="shared" si="433"/>
        <v>0</v>
      </c>
      <c r="AR71" s="141">
        <f t="shared" si="433"/>
        <v>0</v>
      </c>
      <c r="AS71" s="141">
        <f t="shared" si="433"/>
        <v>0</v>
      </c>
      <c r="AT71" s="141">
        <f t="shared" si="433"/>
        <v>0</v>
      </c>
      <c r="AU71" s="141">
        <f t="shared" si="433"/>
        <v>0</v>
      </c>
      <c r="AV71" s="141">
        <f t="shared" si="433"/>
        <v>0</v>
      </c>
      <c r="AW71" s="141">
        <f t="shared" si="433"/>
        <v>0</v>
      </c>
      <c r="AX71" s="141">
        <f t="shared" si="433"/>
        <v>0</v>
      </c>
      <c r="AY71" s="141">
        <f t="shared" si="433"/>
        <v>0</v>
      </c>
      <c r="AZ71" s="141">
        <f t="shared" si="433"/>
        <v>0</v>
      </c>
      <c r="BA71" s="141">
        <f t="shared" si="433"/>
        <v>0</v>
      </c>
      <c r="BB71" s="141">
        <f t="shared" si="433"/>
        <v>0</v>
      </c>
      <c r="BC71" s="141">
        <f t="shared" si="433"/>
        <v>0</v>
      </c>
      <c r="BD71" s="141">
        <f t="shared" si="433"/>
        <v>0</v>
      </c>
      <c r="BE71" s="141">
        <f t="shared" si="433"/>
        <v>0</v>
      </c>
      <c r="BF71" s="141">
        <f t="shared" si="433"/>
        <v>0</v>
      </c>
      <c r="BG71" s="141">
        <f t="shared" si="433"/>
        <v>0</v>
      </c>
      <c r="BH71" s="141">
        <f t="shared" si="433"/>
        <v>0</v>
      </c>
      <c r="BI71" s="141">
        <f t="shared" si="433"/>
        <v>1730</v>
      </c>
      <c r="BJ71" s="141">
        <f t="shared" si="433"/>
        <v>0</v>
      </c>
      <c r="BM71" s="26">
        <f t="shared" si="377"/>
        <v>0</v>
      </c>
      <c r="BN71" s="26">
        <f t="shared" si="378"/>
        <v>0</v>
      </c>
      <c r="BO71" s="26">
        <f t="shared" si="379"/>
        <v>0</v>
      </c>
      <c r="BP71" s="26">
        <f t="shared" si="380"/>
        <v>0</v>
      </c>
      <c r="BQ71" s="26">
        <f t="shared" si="381"/>
        <v>0</v>
      </c>
      <c r="BR71" s="26">
        <f t="shared" si="382"/>
        <v>0</v>
      </c>
      <c r="BS71" s="26">
        <f t="shared" si="383"/>
        <v>0</v>
      </c>
      <c r="BT71" s="26">
        <f t="shared" si="384"/>
        <v>0</v>
      </c>
      <c r="BU71" s="26">
        <f t="shared" si="385"/>
        <v>0</v>
      </c>
      <c r="BV71" s="26">
        <f t="shared" si="386"/>
        <v>0</v>
      </c>
      <c r="BW71" s="26">
        <f t="shared" si="387"/>
        <v>0</v>
      </c>
      <c r="BX71" s="26">
        <f t="shared" si="388"/>
        <v>0</v>
      </c>
      <c r="BY71" s="26">
        <f t="shared" si="389"/>
        <v>0</v>
      </c>
      <c r="BZ71" s="26">
        <f t="shared" si="390"/>
        <v>0</v>
      </c>
      <c r="CA71" s="26">
        <f t="shared" si="391"/>
        <v>0</v>
      </c>
      <c r="CB71" s="26">
        <f t="shared" si="392"/>
        <v>0</v>
      </c>
      <c r="CC71" s="26">
        <f t="shared" si="393"/>
        <v>0</v>
      </c>
      <c r="CD71" s="26">
        <f t="shared" si="394"/>
        <v>0</v>
      </c>
      <c r="CE71" s="26">
        <f t="shared" si="395"/>
        <v>0</v>
      </c>
      <c r="CF71" s="26">
        <f t="shared" si="396"/>
        <v>0</v>
      </c>
      <c r="CG71" s="26">
        <f t="shared" si="397"/>
        <v>0</v>
      </c>
      <c r="CH71" s="26">
        <f t="shared" si="398"/>
        <v>0</v>
      </c>
      <c r="CI71" s="26">
        <f t="shared" si="399"/>
        <v>0</v>
      </c>
      <c r="CJ71" s="26">
        <f t="shared" si="400"/>
        <v>0</v>
      </c>
      <c r="CK71" s="26">
        <f t="shared" si="401"/>
        <v>479504</v>
      </c>
      <c r="CL71" s="26">
        <f t="shared" si="402"/>
        <v>0</v>
      </c>
      <c r="CM71" s="110">
        <f t="shared" si="403"/>
        <v>1</v>
      </c>
      <c r="CN71" s="27">
        <f t="shared" si="404"/>
        <v>0</v>
      </c>
      <c r="CO71" s="27">
        <f t="shared" si="405"/>
        <v>0</v>
      </c>
      <c r="CP71" s="27">
        <f t="shared" si="406"/>
        <v>0</v>
      </c>
      <c r="CQ71" s="27">
        <f t="shared" si="407"/>
        <v>0</v>
      </c>
      <c r="CR71" s="27">
        <f t="shared" si="408"/>
        <v>0</v>
      </c>
      <c r="CS71" s="27">
        <f t="shared" si="409"/>
        <v>0</v>
      </c>
      <c r="CT71" s="27">
        <f t="shared" si="410"/>
        <v>0</v>
      </c>
      <c r="CU71" s="27">
        <f t="shared" si="411"/>
        <v>0</v>
      </c>
      <c r="CV71" s="27">
        <f t="shared" si="412"/>
        <v>0</v>
      </c>
      <c r="CW71" s="27">
        <f t="shared" si="413"/>
        <v>0</v>
      </c>
      <c r="CX71" s="27">
        <f t="shared" si="414"/>
        <v>0</v>
      </c>
      <c r="CY71" s="27">
        <f t="shared" si="415"/>
        <v>0</v>
      </c>
      <c r="CZ71" s="27">
        <f t="shared" si="416"/>
        <v>0</v>
      </c>
      <c r="DA71" s="27">
        <f t="shared" si="417"/>
        <v>0</v>
      </c>
      <c r="DB71" s="27">
        <f t="shared" si="418"/>
        <v>0</v>
      </c>
      <c r="DC71" s="27">
        <f t="shared" si="419"/>
        <v>0</v>
      </c>
      <c r="DD71" s="27">
        <f t="shared" si="420"/>
        <v>0</v>
      </c>
      <c r="DE71" s="27">
        <f t="shared" si="421"/>
        <v>0</v>
      </c>
      <c r="DF71" s="27">
        <f t="shared" si="422"/>
        <v>0</v>
      </c>
      <c r="DG71" s="27">
        <f t="shared" si="423"/>
        <v>0</v>
      </c>
      <c r="DH71" s="27">
        <f t="shared" si="424"/>
        <v>0</v>
      </c>
      <c r="DI71" s="27">
        <f t="shared" si="425"/>
        <v>0</v>
      </c>
      <c r="DJ71" s="27">
        <f t="shared" si="426"/>
        <v>0</v>
      </c>
      <c r="DK71" s="27">
        <f t="shared" si="427"/>
        <v>0</v>
      </c>
      <c r="DL71" s="27">
        <f t="shared" si="428"/>
        <v>368853</v>
      </c>
      <c r="DM71" s="27">
        <f t="shared" si="429"/>
        <v>0</v>
      </c>
      <c r="DN71" s="110">
        <f t="shared" si="430"/>
        <v>1</v>
      </c>
      <c r="DO71" s="28">
        <f t="shared" si="211"/>
        <v>0</v>
      </c>
      <c r="DP71" s="28">
        <f t="shared" si="212"/>
        <v>0</v>
      </c>
      <c r="DQ71" s="28">
        <f t="shared" si="213"/>
        <v>0</v>
      </c>
      <c r="DR71" s="28">
        <f t="shared" si="214"/>
        <v>0</v>
      </c>
      <c r="DS71" s="28">
        <f t="shared" si="215"/>
        <v>0</v>
      </c>
      <c r="DT71" s="28">
        <f t="shared" si="216"/>
        <v>0</v>
      </c>
      <c r="DU71" s="28">
        <f t="shared" si="217"/>
        <v>0</v>
      </c>
      <c r="DV71" s="28">
        <f t="shared" si="218"/>
        <v>0</v>
      </c>
      <c r="DW71" s="28">
        <f t="shared" si="219"/>
        <v>0</v>
      </c>
      <c r="DX71" s="28">
        <f t="shared" si="220"/>
        <v>0</v>
      </c>
      <c r="DY71" s="28">
        <f t="shared" si="221"/>
        <v>0</v>
      </c>
      <c r="DZ71" s="28">
        <f t="shared" si="222"/>
        <v>0</v>
      </c>
      <c r="EA71" s="28">
        <f t="shared" si="223"/>
        <v>0</v>
      </c>
      <c r="EB71" s="28">
        <f t="shared" si="224"/>
        <v>0</v>
      </c>
      <c r="EC71" s="28">
        <f t="shared" si="225"/>
        <v>0</v>
      </c>
      <c r="ED71" s="28">
        <f t="shared" si="226"/>
        <v>0</v>
      </c>
      <c r="EE71" s="28">
        <f t="shared" si="227"/>
        <v>0</v>
      </c>
      <c r="EF71" s="28">
        <f t="shared" si="228"/>
        <v>0</v>
      </c>
      <c r="EG71" s="28">
        <f t="shared" si="229"/>
        <v>0</v>
      </c>
      <c r="EH71" s="28">
        <f t="shared" si="230"/>
        <v>0</v>
      </c>
      <c r="EI71" s="28">
        <f t="shared" si="231"/>
        <v>0</v>
      </c>
      <c r="EJ71" s="28">
        <f t="shared" si="232"/>
        <v>0</v>
      </c>
      <c r="EK71" s="28">
        <f t="shared" si="233"/>
        <v>0</v>
      </c>
      <c r="EL71" s="28">
        <f t="shared" si="234"/>
        <v>0</v>
      </c>
      <c r="EM71" s="28">
        <f t="shared" si="235"/>
        <v>110651</v>
      </c>
      <c r="EN71" s="28">
        <f t="shared" si="236"/>
        <v>0</v>
      </c>
      <c r="EQ71" s="144">
        <v>2.999999249224386E-2</v>
      </c>
      <c r="ER71" s="144">
        <v>5.0000008341951258E-2</v>
      </c>
      <c r="ES71" s="144">
        <v>8.0000000834195117E-2</v>
      </c>
      <c r="ET71" s="144">
        <v>0.10999999332643896</v>
      </c>
      <c r="EU71" s="144">
        <v>0.1199999908238536</v>
      </c>
      <c r="EV71" s="144">
        <v>0.15000000417097561</v>
      </c>
      <c r="EW71" s="144">
        <v>0.12999998832126822</v>
      </c>
      <c r="EX71" s="144">
        <v>8.0000000834195117E-2</v>
      </c>
      <c r="EY71" s="144">
        <v>7.0000003336780497E-2</v>
      </c>
      <c r="EZ71" s="144">
        <v>6.0000005839365871E-2</v>
      </c>
      <c r="FA71" s="144">
        <v>6.0000005839365871E-2</v>
      </c>
      <c r="FB71" s="144">
        <v>6.0000005839365871E-2</v>
      </c>
      <c r="FC71" s="145">
        <f t="shared" si="237"/>
        <v>0.99999999999999967</v>
      </c>
      <c r="FD71" s="146">
        <f t="shared" si="238"/>
        <v>0.16000000166839023</v>
      </c>
      <c r="FE71" s="146">
        <f t="shared" si="239"/>
        <v>0.37999998832126813</v>
      </c>
      <c r="FF71" s="146">
        <f t="shared" si="240"/>
        <v>0.27999999249224383</v>
      </c>
      <c r="FG71" s="146">
        <f t="shared" si="241"/>
        <v>0.1800000175180976</v>
      </c>
      <c r="FH71" s="145">
        <f t="shared" si="375"/>
        <v>0.99999999999999978</v>
      </c>
      <c r="FJ71" s="52">
        <f t="shared" si="243"/>
        <v>0</v>
      </c>
      <c r="FK71" s="52">
        <f t="shared" si="244"/>
        <v>0</v>
      </c>
      <c r="FL71" s="52">
        <f t="shared" si="245"/>
        <v>0</v>
      </c>
      <c r="FM71" s="52">
        <f t="shared" si="246"/>
        <v>0</v>
      </c>
      <c r="FN71" s="52">
        <f t="shared" si="247"/>
        <v>0</v>
      </c>
      <c r="FO71" s="52">
        <f t="shared" si="248"/>
        <v>0</v>
      </c>
      <c r="FP71" s="52">
        <f t="shared" si="249"/>
        <v>0</v>
      </c>
      <c r="FQ71" s="52">
        <f t="shared" si="250"/>
        <v>0</v>
      </c>
      <c r="FR71" s="52">
        <f t="shared" si="251"/>
        <v>0</v>
      </c>
      <c r="FS71" s="52">
        <f t="shared" si="252"/>
        <v>0</v>
      </c>
      <c r="FT71" s="52">
        <f t="shared" si="253"/>
        <v>0</v>
      </c>
      <c r="FU71" s="52">
        <f t="shared" si="254"/>
        <v>0</v>
      </c>
      <c r="FV71" s="52">
        <f t="shared" si="255"/>
        <v>0</v>
      </c>
      <c r="FW71" s="52">
        <f t="shared" si="256"/>
        <v>0</v>
      </c>
      <c r="FX71" s="52">
        <f t="shared" si="257"/>
        <v>0</v>
      </c>
      <c r="FY71" s="52">
        <f t="shared" si="258"/>
        <v>0</v>
      </c>
      <c r="FZ71" s="52">
        <f t="shared" si="259"/>
        <v>0</v>
      </c>
      <c r="GA71" s="52">
        <f t="shared" si="260"/>
        <v>0</v>
      </c>
      <c r="GB71" s="52">
        <f t="shared" si="261"/>
        <v>0</v>
      </c>
      <c r="GC71" s="52">
        <f t="shared" si="262"/>
        <v>0</v>
      </c>
      <c r="GD71" s="52">
        <f t="shared" si="263"/>
        <v>0</v>
      </c>
      <c r="GE71" s="52">
        <f t="shared" si="264"/>
        <v>0</v>
      </c>
      <c r="GF71" s="52">
        <f t="shared" si="265"/>
        <v>0</v>
      </c>
      <c r="GG71" s="52">
        <f t="shared" si="266"/>
        <v>0</v>
      </c>
      <c r="GH71" s="52">
        <f t="shared" si="267"/>
        <v>76720.64079999979</v>
      </c>
      <c r="GI71" s="52">
        <f t="shared" si="268"/>
        <v>0</v>
      </c>
      <c r="GJ71" s="26"/>
      <c r="GL71" s="150">
        <f t="shared" si="269"/>
        <v>0</v>
      </c>
      <c r="GM71" s="150">
        <f t="shared" si="270"/>
        <v>0</v>
      </c>
      <c r="GN71" s="150">
        <f t="shared" si="271"/>
        <v>0</v>
      </c>
      <c r="GO71" s="150">
        <f t="shared" si="272"/>
        <v>0</v>
      </c>
      <c r="GP71" s="150">
        <f t="shared" si="273"/>
        <v>0</v>
      </c>
      <c r="GQ71" s="150">
        <f t="shared" si="274"/>
        <v>0</v>
      </c>
      <c r="GR71" s="150">
        <f t="shared" si="275"/>
        <v>0</v>
      </c>
      <c r="GS71" s="150">
        <f t="shared" si="276"/>
        <v>0</v>
      </c>
      <c r="GT71" s="150">
        <f t="shared" si="277"/>
        <v>0</v>
      </c>
      <c r="GU71" s="150">
        <f t="shared" si="278"/>
        <v>0</v>
      </c>
      <c r="GV71" s="150">
        <f t="shared" si="279"/>
        <v>0</v>
      </c>
      <c r="GW71" s="150">
        <f t="shared" si="280"/>
        <v>0</v>
      </c>
      <c r="GX71" s="150">
        <f t="shared" si="281"/>
        <v>0</v>
      </c>
      <c r="GY71" s="150">
        <f t="shared" si="282"/>
        <v>0</v>
      </c>
      <c r="GZ71" s="150">
        <f t="shared" si="283"/>
        <v>0</v>
      </c>
      <c r="HA71" s="150">
        <f t="shared" si="284"/>
        <v>0</v>
      </c>
      <c r="HB71" s="150">
        <f t="shared" si="285"/>
        <v>0</v>
      </c>
      <c r="HC71" s="150">
        <f t="shared" si="286"/>
        <v>0</v>
      </c>
      <c r="HD71" s="150">
        <f t="shared" si="287"/>
        <v>0</v>
      </c>
      <c r="HE71" s="150">
        <f t="shared" si="288"/>
        <v>0</v>
      </c>
      <c r="HF71" s="150">
        <f t="shared" si="289"/>
        <v>0</v>
      </c>
      <c r="HG71" s="150">
        <f t="shared" si="290"/>
        <v>0</v>
      </c>
      <c r="HH71" s="150">
        <f t="shared" si="291"/>
        <v>0</v>
      </c>
      <c r="HI71" s="150">
        <f t="shared" si="292"/>
        <v>0</v>
      </c>
      <c r="HJ71" s="150">
        <f t="shared" si="293"/>
        <v>182211.51440000135</v>
      </c>
      <c r="HK71" s="150">
        <f t="shared" si="294"/>
        <v>0</v>
      </c>
      <c r="HL71" s="26"/>
      <c r="HN71" s="147">
        <f t="shared" si="295"/>
        <v>0</v>
      </c>
      <c r="HO71" s="147">
        <f t="shared" si="296"/>
        <v>0</v>
      </c>
      <c r="HP71" s="147">
        <f t="shared" si="297"/>
        <v>0</v>
      </c>
      <c r="HQ71" s="147">
        <f t="shared" si="298"/>
        <v>0</v>
      </c>
      <c r="HR71" s="147">
        <f t="shared" si="299"/>
        <v>0</v>
      </c>
      <c r="HS71" s="147">
        <f t="shared" si="300"/>
        <v>0</v>
      </c>
      <c r="HT71" s="147">
        <f t="shared" si="301"/>
        <v>0</v>
      </c>
      <c r="HU71" s="147">
        <f t="shared" si="302"/>
        <v>0</v>
      </c>
      <c r="HV71" s="147">
        <f t="shared" si="303"/>
        <v>0</v>
      </c>
      <c r="HW71" s="147">
        <f t="shared" si="304"/>
        <v>0</v>
      </c>
      <c r="HX71" s="147">
        <f t="shared" si="305"/>
        <v>0</v>
      </c>
      <c r="HY71" s="147">
        <f t="shared" si="306"/>
        <v>0</v>
      </c>
      <c r="HZ71" s="147">
        <f t="shared" si="307"/>
        <v>0</v>
      </c>
      <c r="IA71" s="147">
        <f t="shared" si="308"/>
        <v>0</v>
      </c>
      <c r="IB71" s="147">
        <f t="shared" si="309"/>
        <v>0</v>
      </c>
      <c r="IC71" s="147">
        <f t="shared" si="310"/>
        <v>0</v>
      </c>
      <c r="ID71" s="147">
        <f t="shared" si="311"/>
        <v>0</v>
      </c>
      <c r="IE71" s="147">
        <f t="shared" si="312"/>
        <v>0</v>
      </c>
      <c r="IF71" s="147">
        <f t="shared" si="313"/>
        <v>0</v>
      </c>
      <c r="IG71" s="147">
        <f t="shared" si="314"/>
        <v>0</v>
      </c>
      <c r="IH71" s="147">
        <f t="shared" si="315"/>
        <v>0</v>
      </c>
      <c r="II71" s="147">
        <f t="shared" si="316"/>
        <v>0</v>
      </c>
      <c r="IJ71" s="147">
        <f t="shared" si="317"/>
        <v>0</v>
      </c>
      <c r="IK71" s="147">
        <f t="shared" si="318"/>
        <v>0</v>
      </c>
      <c r="IL71" s="147">
        <f t="shared" si="319"/>
        <v>134261.11640000087</v>
      </c>
      <c r="IM71" s="147">
        <f t="shared" si="320"/>
        <v>0</v>
      </c>
      <c r="IN71" s="26"/>
      <c r="IP71" s="61">
        <f t="shared" si="321"/>
        <v>0</v>
      </c>
      <c r="IQ71" s="61">
        <f t="shared" si="322"/>
        <v>0</v>
      </c>
      <c r="IR71" s="61">
        <f t="shared" si="323"/>
        <v>0</v>
      </c>
      <c r="IS71" s="61">
        <f t="shared" si="324"/>
        <v>0</v>
      </c>
      <c r="IT71" s="61">
        <f t="shared" si="325"/>
        <v>0</v>
      </c>
      <c r="IU71" s="61">
        <f t="shared" si="326"/>
        <v>0</v>
      </c>
      <c r="IV71" s="61">
        <f t="shared" si="327"/>
        <v>0</v>
      </c>
      <c r="IW71" s="61">
        <f t="shared" si="328"/>
        <v>0</v>
      </c>
      <c r="IX71" s="61">
        <f t="shared" si="329"/>
        <v>0</v>
      </c>
      <c r="IY71" s="61">
        <f t="shared" si="330"/>
        <v>0</v>
      </c>
      <c r="IZ71" s="61">
        <f t="shared" si="331"/>
        <v>0</v>
      </c>
      <c r="JA71" s="61">
        <f t="shared" si="332"/>
        <v>0</v>
      </c>
      <c r="JB71" s="61">
        <f t="shared" si="333"/>
        <v>0</v>
      </c>
      <c r="JC71" s="61">
        <f t="shared" si="334"/>
        <v>0</v>
      </c>
      <c r="JD71" s="61">
        <f t="shared" si="335"/>
        <v>0</v>
      </c>
      <c r="JE71" s="61">
        <f t="shared" si="336"/>
        <v>0</v>
      </c>
      <c r="JF71" s="61">
        <f t="shared" si="337"/>
        <v>0</v>
      </c>
      <c r="JG71" s="61">
        <f t="shared" si="338"/>
        <v>0</v>
      </c>
      <c r="JH71" s="61">
        <f t="shared" si="339"/>
        <v>0</v>
      </c>
      <c r="JI71" s="61">
        <f t="shared" si="340"/>
        <v>0</v>
      </c>
      <c r="JJ71" s="61">
        <f t="shared" si="341"/>
        <v>0</v>
      </c>
      <c r="JK71" s="61">
        <f t="shared" si="342"/>
        <v>0</v>
      </c>
      <c r="JL71" s="61">
        <f t="shared" si="343"/>
        <v>0</v>
      </c>
      <c r="JM71" s="61">
        <f t="shared" si="344"/>
        <v>0</v>
      </c>
      <c r="JN71" s="61">
        <f t="shared" si="345"/>
        <v>86310.728399997868</v>
      </c>
      <c r="JO71" s="61">
        <f t="shared" si="346"/>
        <v>0</v>
      </c>
      <c r="JQ71" s="26">
        <f t="shared" si="431"/>
        <v>479503.99999999988</v>
      </c>
      <c r="JR71" s="156">
        <f t="shared" si="432"/>
        <v>0.99999999999999978</v>
      </c>
      <c r="JT71" s="157">
        <f t="shared" si="347"/>
        <v>0</v>
      </c>
      <c r="JU71" s="29">
        <f t="shared" si="348"/>
        <v>0</v>
      </c>
    </row>
    <row r="72" spans="1:281" ht="18.75" x14ac:dyDescent="0.3">
      <c r="A72" t="s">
        <v>234</v>
      </c>
      <c r="B72" t="s">
        <v>152</v>
      </c>
      <c r="C72" t="s">
        <v>74</v>
      </c>
      <c r="D72" t="s">
        <v>29</v>
      </c>
      <c r="E72" s="11" t="s">
        <v>236</v>
      </c>
      <c r="F72" s="114">
        <v>3270</v>
      </c>
      <c r="G72" s="17">
        <v>725286</v>
      </c>
      <c r="H72" s="21">
        <v>580229</v>
      </c>
      <c r="I72" s="25">
        <f t="shared" ref="I72:I135" si="434">G72/H72</f>
        <v>1.2499995691356345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9">
        <v>0</v>
      </c>
      <c r="AH72" s="13">
        <v>1</v>
      </c>
      <c r="AJ72" s="8">
        <f t="shared" si="376"/>
        <v>1</v>
      </c>
      <c r="AK72" s="141">
        <f t="shared" ref="AK72:AK135" si="435">$F72*J72</f>
        <v>0</v>
      </c>
      <c r="AL72" s="141">
        <f t="shared" ref="AL72:AL135" si="436">$F72*K72</f>
        <v>0</v>
      </c>
      <c r="AM72" s="141">
        <f t="shared" ref="AM72:AM135" si="437">$F72*L72</f>
        <v>0</v>
      </c>
      <c r="AN72" s="141">
        <f t="shared" ref="AN72:AN135" si="438">$F72*M72</f>
        <v>0</v>
      </c>
      <c r="AO72" s="141">
        <f t="shared" ref="AO72:AO135" si="439">$F72*N72</f>
        <v>0</v>
      </c>
      <c r="AP72" s="141">
        <f t="shared" ref="AP72:AP135" si="440">$F72*O72</f>
        <v>0</v>
      </c>
      <c r="AQ72" s="141">
        <f t="shared" ref="AQ72:AQ135" si="441">$F72*P72</f>
        <v>0</v>
      </c>
      <c r="AR72" s="141">
        <f t="shared" ref="AR72:AR135" si="442">$F72*Q72</f>
        <v>0</v>
      </c>
      <c r="AS72" s="141">
        <f t="shared" ref="AS72:AS135" si="443">$F72*R72</f>
        <v>0</v>
      </c>
      <c r="AT72" s="141">
        <f t="shared" ref="AT72:AT135" si="444">$F72*S72</f>
        <v>0</v>
      </c>
      <c r="AU72" s="141">
        <f t="shared" ref="AU72:AU135" si="445">$F72*T72</f>
        <v>0</v>
      </c>
      <c r="AV72" s="141">
        <f t="shared" ref="AV72:AV135" si="446">$F72*U72</f>
        <v>0</v>
      </c>
      <c r="AW72" s="141">
        <f t="shared" ref="AW72:AW135" si="447">$F72*V72</f>
        <v>0</v>
      </c>
      <c r="AX72" s="141">
        <f t="shared" ref="AX72:AX135" si="448">$F72*W72</f>
        <v>0</v>
      </c>
      <c r="AY72" s="141">
        <f t="shared" ref="AY72:AY135" si="449">$F72*X72</f>
        <v>0</v>
      </c>
      <c r="AZ72" s="141">
        <f t="shared" ref="AZ72:AZ135" si="450">$F72*Y72</f>
        <v>0</v>
      </c>
      <c r="BA72" s="141">
        <f t="shared" ref="BA72:BA135" si="451">$F72*Z72</f>
        <v>0</v>
      </c>
      <c r="BB72" s="141">
        <f t="shared" ref="BB72:BB135" si="452">$F72*AA72</f>
        <v>0</v>
      </c>
      <c r="BC72" s="141">
        <f t="shared" ref="BC72:BC135" si="453">$F72*AB72</f>
        <v>0</v>
      </c>
      <c r="BD72" s="141">
        <f t="shared" ref="BD72:BD135" si="454">$F72*AC72</f>
        <v>0</v>
      </c>
      <c r="BE72" s="141">
        <f t="shared" ref="BE72:BE135" si="455">$F72*AD72</f>
        <v>0</v>
      </c>
      <c r="BF72" s="141">
        <f t="shared" ref="BF72:BF135" si="456">$F72*AE72</f>
        <v>0</v>
      </c>
      <c r="BG72" s="141">
        <f t="shared" ref="BG72:BG135" si="457">$F72*AF72</f>
        <v>0</v>
      </c>
      <c r="BH72" s="141">
        <f t="shared" ref="BH72:BH135" si="458">$F72*AG72</f>
        <v>0</v>
      </c>
      <c r="BI72" s="141">
        <f t="shared" ref="BI72:BI135" si="459">$F72*AH72</f>
        <v>3270</v>
      </c>
      <c r="BJ72" s="141">
        <f t="shared" ref="BJ72:BJ135" si="460">$F72*AI72</f>
        <v>0</v>
      </c>
      <c r="BM72" s="26">
        <f t="shared" si="377"/>
        <v>0</v>
      </c>
      <c r="BN72" s="26">
        <f t="shared" si="378"/>
        <v>0</v>
      </c>
      <c r="BO72" s="26">
        <f t="shared" si="379"/>
        <v>0</v>
      </c>
      <c r="BP72" s="26">
        <f t="shared" si="380"/>
        <v>0</v>
      </c>
      <c r="BQ72" s="26">
        <f t="shared" si="381"/>
        <v>0</v>
      </c>
      <c r="BR72" s="26">
        <f t="shared" si="382"/>
        <v>0</v>
      </c>
      <c r="BS72" s="26">
        <f t="shared" si="383"/>
        <v>0</v>
      </c>
      <c r="BT72" s="26">
        <f t="shared" si="384"/>
        <v>0</v>
      </c>
      <c r="BU72" s="26">
        <f t="shared" si="385"/>
        <v>0</v>
      </c>
      <c r="BV72" s="26">
        <f t="shared" si="386"/>
        <v>0</v>
      </c>
      <c r="BW72" s="26">
        <f t="shared" si="387"/>
        <v>0</v>
      </c>
      <c r="BX72" s="26">
        <f t="shared" si="388"/>
        <v>0</v>
      </c>
      <c r="BY72" s="26">
        <f t="shared" si="389"/>
        <v>0</v>
      </c>
      <c r="BZ72" s="26">
        <f t="shared" si="390"/>
        <v>0</v>
      </c>
      <c r="CA72" s="26">
        <f t="shared" si="391"/>
        <v>0</v>
      </c>
      <c r="CB72" s="26">
        <f t="shared" si="392"/>
        <v>0</v>
      </c>
      <c r="CC72" s="26">
        <f t="shared" si="393"/>
        <v>0</v>
      </c>
      <c r="CD72" s="26">
        <f t="shared" si="394"/>
        <v>0</v>
      </c>
      <c r="CE72" s="26">
        <f t="shared" si="395"/>
        <v>0</v>
      </c>
      <c r="CF72" s="26">
        <f t="shared" si="396"/>
        <v>0</v>
      </c>
      <c r="CG72" s="26">
        <f t="shared" si="397"/>
        <v>0</v>
      </c>
      <c r="CH72" s="26">
        <f t="shared" si="398"/>
        <v>0</v>
      </c>
      <c r="CI72" s="26">
        <f t="shared" si="399"/>
        <v>0</v>
      </c>
      <c r="CJ72" s="26">
        <f t="shared" si="400"/>
        <v>0</v>
      </c>
      <c r="CK72" s="26">
        <f t="shared" si="401"/>
        <v>725286</v>
      </c>
      <c r="CL72" s="26">
        <f t="shared" si="402"/>
        <v>0</v>
      </c>
      <c r="CM72" s="110">
        <f t="shared" si="403"/>
        <v>1</v>
      </c>
      <c r="CN72" s="27">
        <f t="shared" si="404"/>
        <v>0</v>
      </c>
      <c r="CO72" s="27">
        <f t="shared" si="405"/>
        <v>0</v>
      </c>
      <c r="CP72" s="27">
        <f t="shared" si="406"/>
        <v>0</v>
      </c>
      <c r="CQ72" s="27">
        <f t="shared" si="407"/>
        <v>0</v>
      </c>
      <c r="CR72" s="27">
        <f t="shared" si="408"/>
        <v>0</v>
      </c>
      <c r="CS72" s="27">
        <f t="shared" si="409"/>
        <v>0</v>
      </c>
      <c r="CT72" s="27">
        <f t="shared" si="410"/>
        <v>0</v>
      </c>
      <c r="CU72" s="27">
        <f t="shared" si="411"/>
        <v>0</v>
      </c>
      <c r="CV72" s="27">
        <f t="shared" si="412"/>
        <v>0</v>
      </c>
      <c r="CW72" s="27">
        <f t="shared" si="413"/>
        <v>0</v>
      </c>
      <c r="CX72" s="27">
        <f t="shared" si="414"/>
        <v>0</v>
      </c>
      <c r="CY72" s="27">
        <f t="shared" si="415"/>
        <v>0</v>
      </c>
      <c r="CZ72" s="27">
        <f t="shared" si="416"/>
        <v>0</v>
      </c>
      <c r="DA72" s="27">
        <f t="shared" si="417"/>
        <v>0</v>
      </c>
      <c r="DB72" s="27">
        <f t="shared" si="418"/>
        <v>0</v>
      </c>
      <c r="DC72" s="27">
        <f t="shared" si="419"/>
        <v>0</v>
      </c>
      <c r="DD72" s="27">
        <f t="shared" si="420"/>
        <v>0</v>
      </c>
      <c r="DE72" s="27">
        <f t="shared" si="421"/>
        <v>0</v>
      </c>
      <c r="DF72" s="27">
        <f t="shared" si="422"/>
        <v>0</v>
      </c>
      <c r="DG72" s="27">
        <f t="shared" si="423"/>
        <v>0</v>
      </c>
      <c r="DH72" s="27">
        <f t="shared" si="424"/>
        <v>0</v>
      </c>
      <c r="DI72" s="27">
        <f t="shared" si="425"/>
        <v>0</v>
      </c>
      <c r="DJ72" s="27">
        <f t="shared" si="426"/>
        <v>0</v>
      </c>
      <c r="DK72" s="27">
        <f t="shared" si="427"/>
        <v>0</v>
      </c>
      <c r="DL72" s="27">
        <f t="shared" si="428"/>
        <v>580229</v>
      </c>
      <c r="DM72" s="27">
        <f t="shared" si="429"/>
        <v>0</v>
      </c>
      <c r="DN72" s="110">
        <f t="shared" si="430"/>
        <v>1</v>
      </c>
      <c r="DO72" s="28">
        <f t="shared" si="211"/>
        <v>0</v>
      </c>
      <c r="DP72" s="28">
        <f t="shared" si="212"/>
        <v>0</v>
      </c>
      <c r="DQ72" s="28">
        <f t="shared" si="213"/>
        <v>0</v>
      </c>
      <c r="DR72" s="28">
        <f t="shared" si="214"/>
        <v>0</v>
      </c>
      <c r="DS72" s="28">
        <f t="shared" si="215"/>
        <v>0</v>
      </c>
      <c r="DT72" s="28">
        <f t="shared" si="216"/>
        <v>0</v>
      </c>
      <c r="DU72" s="28">
        <f t="shared" si="217"/>
        <v>0</v>
      </c>
      <c r="DV72" s="28">
        <f t="shared" si="218"/>
        <v>0</v>
      </c>
      <c r="DW72" s="28">
        <f t="shared" si="219"/>
        <v>0</v>
      </c>
      <c r="DX72" s="28">
        <f t="shared" si="220"/>
        <v>0</v>
      </c>
      <c r="DY72" s="28">
        <f t="shared" si="221"/>
        <v>0</v>
      </c>
      <c r="DZ72" s="28">
        <f t="shared" si="222"/>
        <v>0</v>
      </c>
      <c r="EA72" s="28">
        <f t="shared" si="223"/>
        <v>0</v>
      </c>
      <c r="EB72" s="28">
        <f t="shared" si="224"/>
        <v>0</v>
      </c>
      <c r="EC72" s="28">
        <f t="shared" si="225"/>
        <v>0</v>
      </c>
      <c r="ED72" s="28">
        <f t="shared" si="226"/>
        <v>0</v>
      </c>
      <c r="EE72" s="28">
        <f t="shared" si="227"/>
        <v>0</v>
      </c>
      <c r="EF72" s="28">
        <f t="shared" si="228"/>
        <v>0</v>
      </c>
      <c r="EG72" s="28">
        <f t="shared" si="229"/>
        <v>0</v>
      </c>
      <c r="EH72" s="28">
        <f t="shared" si="230"/>
        <v>0</v>
      </c>
      <c r="EI72" s="28">
        <f t="shared" si="231"/>
        <v>0</v>
      </c>
      <c r="EJ72" s="28">
        <f t="shared" si="232"/>
        <v>0</v>
      </c>
      <c r="EK72" s="28">
        <f t="shared" si="233"/>
        <v>0</v>
      </c>
      <c r="EL72" s="28">
        <f t="shared" si="234"/>
        <v>0</v>
      </c>
      <c r="EM72" s="28">
        <f t="shared" si="235"/>
        <v>145057</v>
      </c>
      <c r="EN72" s="28">
        <f t="shared" si="236"/>
        <v>0</v>
      </c>
      <c r="EQ72" s="144">
        <v>3.0000005661876623E-2</v>
      </c>
      <c r="ER72" s="144">
        <v>5.0000004833309311E-2</v>
      </c>
      <c r="ES72" s="144">
        <v>7.9999996685730754E-2</v>
      </c>
      <c r="ET72" s="144">
        <v>0.11000000234760739</v>
      </c>
      <c r="EU72" s="144">
        <v>0.11999999502859612</v>
      </c>
      <c r="EV72" s="144">
        <v>0.15000000069047276</v>
      </c>
      <c r="EW72" s="144">
        <v>0.13000000151904006</v>
      </c>
      <c r="EX72" s="144">
        <v>7.9999996685730754E-2</v>
      </c>
      <c r="EY72" s="144">
        <v>7.0000004004742003E-2</v>
      </c>
      <c r="EZ72" s="144">
        <v>5.9999997514298062E-2</v>
      </c>
      <c r="FA72" s="144">
        <v>5.9999997514298062E-2</v>
      </c>
      <c r="FB72" s="144">
        <v>5.9999997514298062E-2</v>
      </c>
      <c r="FC72" s="145">
        <f t="shared" si="237"/>
        <v>1</v>
      </c>
      <c r="FD72" s="146">
        <f t="shared" si="238"/>
        <v>0.16000000718091667</v>
      </c>
      <c r="FE72" s="146">
        <f t="shared" si="239"/>
        <v>0.37999999806667628</v>
      </c>
      <c r="FF72" s="146">
        <f t="shared" si="240"/>
        <v>0.28000000220951282</v>
      </c>
      <c r="FG72" s="146">
        <f t="shared" si="241"/>
        <v>0.17999999254289417</v>
      </c>
      <c r="FH72" s="145">
        <f t="shared" si="375"/>
        <v>1</v>
      </c>
      <c r="FJ72" s="52">
        <f t="shared" si="243"/>
        <v>0</v>
      </c>
      <c r="FK72" s="52">
        <f t="shared" si="244"/>
        <v>0</v>
      </c>
      <c r="FL72" s="52">
        <f t="shared" si="245"/>
        <v>0</v>
      </c>
      <c r="FM72" s="52">
        <f t="shared" si="246"/>
        <v>0</v>
      </c>
      <c r="FN72" s="52">
        <f t="shared" si="247"/>
        <v>0</v>
      </c>
      <c r="FO72" s="52">
        <f t="shared" si="248"/>
        <v>0</v>
      </c>
      <c r="FP72" s="52">
        <f t="shared" si="249"/>
        <v>0</v>
      </c>
      <c r="FQ72" s="52">
        <f t="shared" si="250"/>
        <v>0</v>
      </c>
      <c r="FR72" s="52">
        <f t="shared" si="251"/>
        <v>0</v>
      </c>
      <c r="FS72" s="52">
        <f t="shared" si="252"/>
        <v>0</v>
      </c>
      <c r="FT72" s="52">
        <f t="shared" si="253"/>
        <v>0</v>
      </c>
      <c r="FU72" s="52">
        <f t="shared" si="254"/>
        <v>0</v>
      </c>
      <c r="FV72" s="52">
        <f t="shared" si="255"/>
        <v>0</v>
      </c>
      <c r="FW72" s="52">
        <f t="shared" si="256"/>
        <v>0</v>
      </c>
      <c r="FX72" s="52">
        <f t="shared" si="257"/>
        <v>0</v>
      </c>
      <c r="FY72" s="52">
        <f t="shared" si="258"/>
        <v>0</v>
      </c>
      <c r="FZ72" s="52">
        <f t="shared" si="259"/>
        <v>0</v>
      </c>
      <c r="GA72" s="52">
        <f t="shared" si="260"/>
        <v>0</v>
      </c>
      <c r="GB72" s="52">
        <f t="shared" si="261"/>
        <v>0</v>
      </c>
      <c r="GC72" s="52">
        <f t="shared" si="262"/>
        <v>0</v>
      </c>
      <c r="GD72" s="52">
        <f t="shared" si="263"/>
        <v>0</v>
      </c>
      <c r="GE72" s="52">
        <f t="shared" si="264"/>
        <v>0</v>
      </c>
      <c r="GF72" s="52">
        <f t="shared" si="265"/>
        <v>0</v>
      </c>
      <c r="GG72" s="52">
        <f t="shared" si="266"/>
        <v>0</v>
      </c>
      <c r="GH72" s="52">
        <f t="shared" si="267"/>
        <v>116045.76520821833</v>
      </c>
      <c r="GI72" s="52">
        <f t="shared" si="268"/>
        <v>0</v>
      </c>
      <c r="GJ72" s="26"/>
      <c r="GL72" s="150">
        <f t="shared" si="269"/>
        <v>0</v>
      </c>
      <c r="GM72" s="150">
        <f t="shared" si="270"/>
        <v>0</v>
      </c>
      <c r="GN72" s="150">
        <f t="shared" si="271"/>
        <v>0</v>
      </c>
      <c r="GO72" s="150">
        <f t="shared" si="272"/>
        <v>0</v>
      </c>
      <c r="GP72" s="150">
        <f t="shared" si="273"/>
        <v>0</v>
      </c>
      <c r="GQ72" s="150">
        <f t="shared" si="274"/>
        <v>0</v>
      </c>
      <c r="GR72" s="150">
        <f t="shared" si="275"/>
        <v>0</v>
      </c>
      <c r="GS72" s="150">
        <f t="shared" si="276"/>
        <v>0</v>
      </c>
      <c r="GT72" s="150">
        <f t="shared" si="277"/>
        <v>0</v>
      </c>
      <c r="GU72" s="150">
        <f t="shared" si="278"/>
        <v>0</v>
      </c>
      <c r="GV72" s="150">
        <f t="shared" si="279"/>
        <v>0</v>
      </c>
      <c r="GW72" s="150">
        <f t="shared" si="280"/>
        <v>0</v>
      </c>
      <c r="GX72" s="150">
        <f t="shared" si="281"/>
        <v>0</v>
      </c>
      <c r="GY72" s="150">
        <f t="shared" si="282"/>
        <v>0</v>
      </c>
      <c r="GZ72" s="150">
        <f t="shared" si="283"/>
        <v>0</v>
      </c>
      <c r="HA72" s="150">
        <f t="shared" si="284"/>
        <v>0</v>
      </c>
      <c r="HB72" s="150">
        <f t="shared" si="285"/>
        <v>0</v>
      </c>
      <c r="HC72" s="150">
        <f t="shared" si="286"/>
        <v>0</v>
      </c>
      <c r="HD72" s="150">
        <f t="shared" si="287"/>
        <v>0</v>
      </c>
      <c r="HE72" s="150">
        <f t="shared" si="288"/>
        <v>0</v>
      </c>
      <c r="HF72" s="150">
        <f t="shared" si="289"/>
        <v>0</v>
      </c>
      <c r="HG72" s="150">
        <f t="shared" si="290"/>
        <v>0</v>
      </c>
      <c r="HH72" s="150">
        <f t="shared" si="291"/>
        <v>0</v>
      </c>
      <c r="HI72" s="150">
        <f t="shared" si="292"/>
        <v>0</v>
      </c>
      <c r="HJ72" s="150">
        <f t="shared" si="293"/>
        <v>275608.6785977874</v>
      </c>
      <c r="HK72" s="150">
        <f t="shared" si="294"/>
        <v>0</v>
      </c>
      <c r="HL72" s="26"/>
      <c r="HN72" s="147">
        <f t="shared" si="295"/>
        <v>0</v>
      </c>
      <c r="HO72" s="147">
        <f t="shared" si="296"/>
        <v>0</v>
      </c>
      <c r="HP72" s="147">
        <f t="shared" si="297"/>
        <v>0</v>
      </c>
      <c r="HQ72" s="147">
        <f t="shared" si="298"/>
        <v>0</v>
      </c>
      <c r="HR72" s="147">
        <f t="shared" si="299"/>
        <v>0</v>
      </c>
      <c r="HS72" s="147">
        <f t="shared" si="300"/>
        <v>0</v>
      </c>
      <c r="HT72" s="147">
        <f t="shared" si="301"/>
        <v>0</v>
      </c>
      <c r="HU72" s="147">
        <f t="shared" si="302"/>
        <v>0</v>
      </c>
      <c r="HV72" s="147">
        <f t="shared" si="303"/>
        <v>0</v>
      </c>
      <c r="HW72" s="147">
        <f t="shared" si="304"/>
        <v>0</v>
      </c>
      <c r="HX72" s="147">
        <f t="shared" si="305"/>
        <v>0</v>
      </c>
      <c r="HY72" s="147">
        <f t="shared" si="306"/>
        <v>0</v>
      </c>
      <c r="HZ72" s="147">
        <f t="shared" si="307"/>
        <v>0</v>
      </c>
      <c r="IA72" s="147">
        <f t="shared" si="308"/>
        <v>0</v>
      </c>
      <c r="IB72" s="147">
        <f t="shared" si="309"/>
        <v>0</v>
      </c>
      <c r="IC72" s="147">
        <f t="shared" si="310"/>
        <v>0</v>
      </c>
      <c r="ID72" s="147">
        <f t="shared" si="311"/>
        <v>0</v>
      </c>
      <c r="IE72" s="147">
        <f t="shared" si="312"/>
        <v>0</v>
      </c>
      <c r="IF72" s="147">
        <f t="shared" si="313"/>
        <v>0</v>
      </c>
      <c r="IG72" s="147">
        <f t="shared" si="314"/>
        <v>0</v>
      </c>
      <c r="IH72" s="147">
        <f t="shared" si="315"/>
        <v>0</v>
      </c>
      <c r="II72" s="147">
        <f t="shared" si="316"/>
        <v>0</v>
      </c>
      <c r="IJ72" s="147">
        <f t="shared" si="317"/>
        <v>0</v>
      </c>
      <c r="IK72" s="147">
        <f t="shared" si="318"/>
        <v>0</v>
      </c>
      <c r="IL72" s="147">
        <f t="shared" si="319"/>
        <v>203080.08160252872</v>
      </c>
      <c r="IM72" s="147">
        <f t="shared" si="320"/>
        <v>0</v>
      </c>
      <c r="IN72" s="26"/>
      <c r="IP72" s="61">
        <f t="shared" si="321"/>
        <v>0</v>
      </c>
      <c r="IQ72" s="61">
        <f t="shared" si="322"/>
        <v>0</v>
      </c>
      <c r="IR72" s="61">
        <f t="shared" si="323"/>
        <v>0</v>
      </c>
      <c r="IS72" s="61">
        <f t="shared" si="324"/>
        <v>0</v>
      </c>
      <c r="IT72" s="61">
        <f t="shared" si="325"/>
        <v>0</v>
      </c>
      <c r="IU72" s="61">
        <f t="shared" si="326"/>
        <v>0</v>
      </c>
      <c r="IV72" s="61">
        <f t="shared" si="327"/>
        <v>0</v>
      </c>
      <c r="IW72" s="61">
        <f t="shared" si="328"/>
        <v>0</v>
      </c>
      <c r="IX72" s="61">
        <f t="shared" si="329"/>
        <v>0</v>
      </c>
      <c r="IY72" s="61">
        <f t="shared" si="330"/>
        <v>0</v>
      </c>
      <c r="IZ72" s="61">
        <f t="shared" si="331"/>
        <v>0</v>
      </c>
      <c r="JA72" s="61">
        <f t="shared" si="332"/>
        <v>0</v>
      </c>
      <c r="JB72" s="61">
        <f t="shared" si="333"/>
        <v>0</v>
      </c>
      <c r="JC72" s="61">
        <f t="shared" si="334"/>
        <v>0</v>
      </c>
      <c r="JD72" s="61">
        <f t="shared" si="335"/>
        <v>0</v>
      </c>
      <c r="JE72" s="61">
        <f t="shared" si="336"/>
        <v>0</v>
      </c>
      <c r="JF72" s="61">
        <f t="shared" si="337"/>
        <v>0</v>
      </c>
      <c r="JG72" s="61">
        <f t="shared" si="338"/>
        <v>0</v>
      </c>
      <c r="JH72" s="61">
        <f t="shared" si="339"/>
        <v>0</v>
      </c>
      <c r="JI72" s="61">
        <f t="shared" si="340"/>
        <v>0</v>
      </c>
      <c r="JJ72" s="61">
        <f t="shared" si="341"/>
        <v>0</v>
      </c>
      <c r="JK72" s="61">
        <f t="shared" si="342"/>
        <v>0</v>
      </c>
      <c r="JL72" s="61">
        <f t="shared" si="343"/>
        <v>0</v>
      </c>
      <c r="JM72" s="61">
        <f t="shared" si="344"/>
        <v>0</v>
      </c>
      <c r="JN72" s="61">
        <f t="shared" si="345"/>
        <v>130551.47459146554</v>
      </c>
      <c r="JO72" s="61">
        <f t="shared" si="346"/>
        <v>0</v>
      </c>
      <c r="JQ72" s="26">
        <f t="shared" si="431"/>
        <v>725286</v>
      </c>
      <c r="JR72" s="156">
        <f t="shared" si="432"/>
        <v>1</v>
      </c>
      <c r="JT72" s="157">
        <f t="shared" si="347"/>
        <v>0</v>
      </c>
      <c r="JU72" s="29">
        <f t="shared" si="348"/>
        <v>0</v>
      </c>
    </row>
    <row r="73" spans="1:281" ht="18.75" x14ac:dyDescent="0.3">
      <c r="A73" t="s">
        <v>234</v>
      </c>
      <c r="B73" t="s">
        <v>153</v>
      </c>
      <c r="C73" t="s">
        <v>74</v>
      </c>
      <c r="D73" t="s">
        <v>29</v>
      </c>
      <c r="E73" s="11" t="s">
        <v>237</v>
      </c>
      <c r="F73" s="114">
        <v>1961.9999999999998</v>
      </c>
      <c r="G73" s="17">
        <v>573257</v>
      </c>
      <c r="H73" s="21">
        <v>410470</v>
      </c>
      <c r="I73" s="25">
        <f t="shared" si="434"/>
        <v>1.3965868394766974</v>
      </c>
      <c r="J73" s="13">
        <v>4.0000000000000008E-2</v>
      </c>
      <c r="K73" s="13">
        <v>6.0000000000000032E-2</v>
      </c>
      <c r="L73" s="13">
        <v>1.4999999999999977E-2</v>
      </c>
      <c r="M73" s="13">
        <v>2.0000000000000035E-2</v>
      </c>
      <c r="N73" s="13">
        <v>3.0170639096024542E-2</v>
      </c>
      <c r="O73" s="13">
        <v>4.5000000000000082E-2</v>
      </c>
      <c r="P73" s="13">
        <v>2.2000000000000013E-2</v>
      </c>
      <c r="Q73" s="13">
        <v>2.2000000000000006E-2</v>
      </c>
      <c r="R73" s="13">
        <v>5.9083215151653733E-2</v>
      </c>
      <c r="S73" s="13">
        <v>6.5000000000000169E-2</v>
      </c>
      <c r="T73" s="13">
        <v>4.0000000000000077E-2</v>
      </c>
      <c r="U73" s="13">
        <v>3.4999999999999969E-2</v>
      </c>
      <c r="V73" s="13">
        <v>1.9999999999999973E-2</v>
      </c>
      <c r="W73" s="13">
        <v>4.2362413651127674E-2</v>
      </c>
      <c r="X73" s="13">
        <v>8.4862070543025733E-2</v>
      </c>
      <c r="Y73" s="13">
        <v>6.000000000000006E-2</v>
      </c>
      <c r="Z73" s="13">
        <v>3.6666819159156358E-2</v>
      </c>
      <c r="AA73" s="13">
        <v>7.6490232856031848E-2</v>
      </c>
      <c r="AB73" s="13">
        <v>2.9164188663708259E-2</v>
      </c>
      <c r="AC73" s="13">
        <v>3.9320188480717159E-2</v>
      </c>
      <c r="AD73" s="13">
        <v>6.1667962852829487E-2</v>
      </c>
      <c r="AE73" s="13">
        <v>4.9289999999999848E-2</v>
      </c>
      <c r="AF73" s="13">
        <v>3.6918431767235388E-2</v>
      </c>
      <c r="AG73" s="9">
        <v>0</v>
      </c>
      <c r="AH73" s="13">
        <v>1.0000000000000012E-2</v>
      </c>
      <c r="AJ73" s="8">
        <f t="shared" si="376"/>
        <v>0.99999616222151055</v>
      </c>
      <c r="AK73" s="141">
        <f t="shared" si="435"/>
        <v>78.48</v>
      </c>
      <c r="AL73" s="141">
        <f t="shared" si="436"/>
        <v>117.72000000000006</v>
      </c>
      <c r="AM73" s="141">
        <f t="shared" si="437"/>
        <v>29.42999999999995</v>
      </c>
      <c r="AN73" s="141">
        <f t="shared" si="438"/>
        <v>39.240000000000066</v>
      </c>
      <c r="AO73" s="141">
        <f t="shared" si="439"/>
        <v>59.194793906400143</v>
      </c>
      <c r="AP73" s="141">
        <f t="shared" si="440"/>
        <v>88.290000000000148</v>
      </c>
      <c r="AQ73" s="141">
        <f t="shared" si="441"/>
        <v>43.164000000000023</v>
      </c>
      <c r="AR73" s="141">
        <f t="shared" si="442"/>
        <v>43.164000000000009</v>
      </c>
      <c r="AS73" s="141">
        <f t="shared" si="443"/>
        <v>115.92126812754461</v>
      </c>
      <c r="AT73" s="141">
        <f t="shared" si="444"/>
        <v>127.53000000000031</v>
      </c>
      <c r="AU73" s="141">
        <f t="shared" si="445"/>
        <v>78.480000000000146</v>
      </c>
      <c r="AV73" s="141">
        <f t="shared" si="446"/>
        <v>68.669999999999931</v>
      </c>
      <c r="AW73" s="141">
        <f t="shared" si="447"/>
        <v>39.239999999999945</v>
      </c>
      <c r="AX73" s="141">
        <f t="shared" si="448"/>
        <v>83.115055583512486</v>
      </c>
      <c r="AY73" s="141">
        <f t="shared" si="449"/>
        <v>166.49938240541647</v>
      </c>
      <c r="AZ73" s="141">
        <f t="shared" si="450"/>
        <v>117.7200000000001</v>
      </c>
      <c r="BA73" s="141">
        <f t="shared" si="451"/>
        <v>71.940299190264767</v>
      </c>
      <c r="BB73" s="141">
        <f t="shared" si="452"/>
        <v>150.07383686353447</v>
      </c>
      <c r="BC73" s="141">
        <f t="shared" si="453"/>
        <v>57.220138158195596</v>
      </c>
      <c r="BD73" s="141">
        <f t="shared" si="454"/>
        <v>77.146209799167053</v>
      </c>
      <c r="BE73" s="141">
        <f t="shared" si="455"/>
        <v>120.99254311725144</v>
      </c>
      <c r="BF73" s="141">
        <f t="shared" si="456"/>
        <v>96.706979999999689</v>
      </c>
      <c r="BG73" s="141">
        <f t="shared" si="457"/>
        <v>72.43396312731582</v>
      </c>
      <c r="BH73" s="141">
        <f t="shared" si="458"/>
        <v>0</v>
      </c>
      <c r="BI73" s="141">
        <f t="shared" si="459"/>
        <v>19.620000000000022</v>
      </c>
      <c r="BJ73" s="141">
        <f t="shared" si="460"/>
        <v>0</v>
      </c>
      <c r="BM73" s="26">
        <f t="shared" si="377"/>
        <v>22930.280000000006</v>
      </c>
      <c r="BN73" s="26">
        <f t="shared" si="378"/>
        <v>34395.42000000002</v>
      </c>
      <c r="BO73" s="26">
        <f t="shared" si="379"/>
        <v>8598.8549999999868</v>
      </c>
      <c r="BP73" s="26">
        <f t="shared" si="380"/>
        <v>11465.140000000019</v>
      </c>
      <c r="BQ73" s="26">
        <f t="shared" si="381"/>
        <v>17295.530056269741</v>
      </c>
      <c r="BR73" s="26">
        <f t="shared" si="382"/>
        <v>25796.565000000046</v>
      </c>
      <c r="BS73" s="26">
        <f t="shared" si="383"/>
        <v>12611.654000000008</v>
      </c>
      <c r="BT73" s="26">
        <f t="shared" si="384"/>
        <v>12611.654000000004</v>
      </c>
      <c r="BU73" s="26">
        <f t="shared" si="385"/>
        <v>33869.866668191564</v>
      </c>
      <c r="BV73" s="26">
        <f t="shared" si="386"/>
        <v>37261.705000000096</v>
      </c>
      <c r="BW73" s="26">
        <f t="shared" si="387"/>
        <v>22930.280000000042</v>
      </c>
      <c r="BX73" s="26">
        <f t="shared" si="388"/>
        <v>20063.994999999981</v>
      </c>
      <c r="BY73" s="26">
        <f t="shared" si="389"/>
        <v>11465.139999999985</v>
      </c>
      <c r="BZ73" s="26">
        <f t="shared" si="390"/>
        <v>24284.550162404495</v>
      </c>
      <c r="CA73" s="26">
        <f t="shared" si="391"/>
        <v>48647.7759732833</v>
      </c>
      <c r="CB73" s="26">
        <f t="shared" si="392"/>
        <v>34395.420000000035</v>
      </c>
      <c r="CC73" s="26">
        <f t="shared" si="393"/>
        <v>21019.510750720496</v>
      </c>
      <c r="CD73" s="26">
        <f t="shared" si="394"/>
        <v>43848.561416350247</v>
      </c>
      <c r="CE73" s="26">
        <f t="shared" si="395"/>
        <v>16718.575300791406</v>
      </c>
      <c r="CF73" s="26">
        <f t="shared" si="396"/>
        <v>22540.573287890478</v>
      </c>
      <c r="CG73" s="26">
        <f t="shared" si="397"/>
        <v>35351.591381124475</v>
      </c>
      <c r="CH73" s="26">
        <f t="shared" si="398"/>
        <v>28255.837529999913</v>
      </c>
      <c r="CI73" s="26">
        <f t="shared" si="399"/>
        <v>21163.749439590058</v>
      </c>
      <c r="CJ73" s="26">
        <f t="shared" si="400"/>
        <v>0</v>
      </c>
      <c r="CK73" s="26">
        <f t="shared" si="401"/>
        <v>5732.570000000007</v>
      </c>
      <c r="CL73" s="26">
        <f t="shared" si="402"/>
        <v>0</v>
      </c>
      <c r="CM73" s="110">
        <f t="shared" si="403"/>
        <v>0.99999616222151033</v>
      </c>
      <c r="CN73" s="27">
        <f t="shared" si="404"/>
        <v>16418.800000000003</v>
      </c>
      <c r="CO73" s="27">
        <f t="shared" si="405"/>
        <v>24628.200000000012</v>
      </c>
      <c r="CP73" s="27">
        <f t="shared" si="406"/>
        <v>6157.0499999999902</v>
      </c>
      <c r="CQ73" s="27">
        <f t="shared" si="407"/>
        <v>8209.4000000000142</v>
      </c>
      <c r="CR73" s="27">
        <f t="shared" si="408"/>
        <v>12384.142229745194</v>
      </c>
      <c r="CS73" s="27">
        <f t="shared" si="409"/>
        <v>18471.150000000034</v>
      </c>
      <c r="CT73" s="27">
        <f t="shared" si="410"/>
        <v>9030.3400000000056</v>
      </c>
      <c r="CU73" s="27">
        <f t="shared" si="411"/>
        <v>9030.340000000002</v>
      </c>
      <c r="CV73" s="27">
        <f t="shared" si="412"/>
        <v>24251.887323299306</v>
      </c>
      <c r="CW73" s="27">
        <f t="shared" si="413"/>
        <v>26680.550000000068</v>
      </c>
      <c r="CX73" s="27">
        <f t="shared" si="414"/>
        <v>16418.800000000032</v>
      </c>
      <c r="CY73" s="27">
        <f t="shared" si="415"/>
        <v>14366.449999999988</v>
      </c>
      <c r="CZ73" s="27">
        <f t="shared" si="416"/>
        <v>8209.3999999999887</v>
      </c>
      <c r="DA73" s="27">
        <f t="shared" si="417"/>
        <v>17388.499931378377</v>
      </c>
      <c r="DB73" s="27">
        <f t="shared" si="418"/>
        <v>34833.33409579577</v>
      </c>
      <c r="DC73" s="27">
        <f t="shared" si="419"/>
        <v>24628.200000000026</v>
      </c>
      <c r="DD73" s="27">
        <f t="shared" si="420"/>
        <v>15050.629260258911</v>
      </c>
      <c r="DE73" s="27">
        <f t="shared" si="421"/>
        <v>31396.945880415391</v>
      </c>
      <c r="DF73" s="27">
        <f t="shared" si="422"/>
        <v>11971.024520792329</v>
      </c>
      <c r="DG73" s="27">
        <f t="shared" si="423"/>
        <v>16139.757765679973</v>
      </c>
      <c r="DH73" s="27">
        <f t="shared" si="424"/>
        <v>25312.848712200921</v>
      </c>
      <c r="DI73" s="27">
        <f t="shared" si="425"/>
        <v>20232.066299999937</v>
      </c>
      <c r="DJ73" s="27">
        <f t="shared" si="426"/>
        <v>15153.908687497109</v>
      </c>
      <c r="DK73" s="27">
        <f t="shared" si="427"/>
        <v>0</v>
      </c>
      <c r="DL73" s="27">
        <f t="shared" si="428"/>
        <v>4104.7000000000053</v>
      </c>
      <c r="DM73" s="27">
        <f t="shared" si="429"/>
        <v>0</v>
      </c>
      <c r="DN73" s="110">
        <f t="shared" si="430"/>
        <v>0.99999616222151055</v>
      </c>
      <c r="DO73" s="28">
        <f t="shared" si="211"/>
        <v>6511.4800000000032</v>
      </c>
      <c r="DP73" s="28">
        <f t="shared" si="212"/>
        <v>9767.2200000000084</v>
      </c>
      <c r="DQ73" s="28">
        <f t="shared" si="213"/>
        <v>2441.8049999999967</v>
      </c>
      <c r="DR73" s="28">
        <f t="shared" si="214"/>
        <v>3255.7400000000052</v>
      </c>
      <c r="DS73" s="28">
        <f t="shared" si="215"/>
        <v>4911.3878265245476</v>
      </c>
      <c r="DT73" s="28">
        <f t="shared" si="216"/>
        <v>7325.4150000000118</v>
      </c>
      <c r="DU73" s="28">
        <f t="shared" si="217"/>
        <v>3581.3140000000021</v>
      </c>
      <c r="DV73" s="28">
        <f t="shared" si="218"/>
        <v>3581.3140000000021</v>
      </c>
      <c r="DW73" s="28">
        <f t="shared" si="219"/>
        <v>9617.9793448922574</v>
      </c>
      <c r="DX73" s="28">
        <f t="shared" si="220"/>
        <v>10581.155000000028</v>
      </c>
      <c r="DY73" s="28">
        <f t="shared" si="221"/>
        <v>6511.4800000000105</v>
      </c>
      <c r="DZ73" s="28">
        <f t="shared" si="222"/>
        <v>5697.5449999999928</v>
      </c>
      <c r="EA73" s="28">
        <f t="shared" si="223"/>
        <v>3255.7399999999961</v>
      </c>
      <c r="EB73" s="28">
        <f t="shared" si="224"/>
        <v>6896.0502310261181</v>
      </c>
      <c r="EC73" s="28">
        <f t="shared" si="225"/>
        <v>13814.44187748753</v>
      </c>
      <c r="ED73" s="28">
        <f t="shared" si="226"/>
        <v>9767.2200000000084</v>
      </c>
      <c r="EE73" s="28">
        <f t="shared" si="227"/>
        <v>5968.8814904615847</v>
      </c>
      <c r="EF73" s="28">
        <f t="shared" si="228"/>
        <v>12451.615535934856</v>
      </c>
      <c r="EG73" s="28">
        <f t="shared" si="229"/>
        <v>4747.5507799990773</v>
      </c>
      <c r="EH73" s="28">
        <f t="shared" si="230"/>
        <v>6400.8155222105052</v>
      </c>
      <c r="EI73" s="28">
        <f t="shared" si="231"/>
        <v>10038.742668923554</v>
      </c>
      <c r="EJ73" s="28">
        <f t="shared" si="232"/>
        <v>8023.7712299999766</v>
      </c>
      <c r="EK73" s="28">
        <f t="shared" si="233"/>
        <v>6009.8407520929486</v>
      </c>
      <c r="EL73" s="28">
        <f t="shared" si="234"/>
        <v>0</v>
      </c>
      <c r="EM73" s="28">
        <f t="shared" si="235"/>
        <v>1627.8700000000017</v>
      </c>
      <c r="EN73" s="28">
        <f t="shared" si="236"/>
        <v>0</v>
      </c>
      <c r="EQ73" s="144">
        <v>3.0000010718672327E-2</v>
      </c>
      <c r="ER73" s="144">
        <v>5.0000003281226231E-2</v>
      </c>
      <c r="ES73" s="144">
        <v>7.9999992125057096E-2</v>
      </c>
      <c r="ET73" s="144">
        <v>0.11000000284372943</v>
      </c>
      <c r="EU73" s="144">
        <v>0.11999999912500636</v>
      </c>
      <c r="EV73" s="144">
        <v>0.15000000984367867</v>
      </c>
      <c r="EW73" s="144">
        <v>0.12999999540628332</v>
      </c>
      <c r="EX73" s="144">
        <v>7.9999992125057096E-2</v>
      </c>
      <c r="EY73" s="144">
        <v>6.9999995843780138E-2</v>
      </c>
      <c r="EZ73" s="144">
        <v>5.9999999562503181E-2</v>
      </c>
      <c r="FA73" s="144">
        <v>5.9999999562503181E-2</v>
      </c>
      <c r="FB73" s="144">
        <v>5.9999999562503181E-2</v>
      </c>
      <c r="FC73" s="145">
        <f t="shared" si="237"/>
        <v>1.0000000000000002</v>
      </c>
      <c r="FD73" s="146">
        <f t="shared" si="238"/>
        <v>0.16000000612495566</v>
      </c>
      <c r="FE73" s="146">
        <f t="shared" si="239"/>
        <v>0.3800000118124145</v>
      </c>
      <c r="FF73" s="146">
        <f t="shared" si="240"/>
        <v>0.27999998337512055</v>
      </c>
      <c r="FG73" s="146">
        <f t="shared" si="241"/>
        <v>0.17999999868750954</v>
      </c>
      <c r="FH73" s="145">
        <f t="shared" si="375"/>
        <v>1.0000000000000002</v>
      </c>
      <c r="FJ73" s="52">
        <f t="shared" si="243"/>
        <v>3668.8449404469493</v>
      </c>
      <c r="FK73" s="52">
        <f t="shared" si="244"/>
        <v>5503.2674106704253</v>
      </c>
      <c r="FL73" s="52">
        <f t="shared" si="245"/>
        <v>1375.8168526676034</v>
      </c>
      <c r="FM73" s="52">
        <f t="shared" si="246"/>
        <v>1834.4224702234771</v>
      </c>
      <c r="FN73" s="52">
        <f t="shared" si="247"/>
        <v>2767.2849149375133</v>
      </c>
      <c r="FO73" s="52">
        <f t="shared" si="248"/>
        <v>4127.4505580028244</v>
      </c>
      <c r="FP73" s="52">
        <f t="shared" si="249"/>
        <v>2017.8647172458227</v>
      </c>
      <c r="FQ73" s="52">
        <f t="shared" si="250"/>
        <v>2017.8647172458222</v>
      </c>
      <c r="FR73" s="52">
        <f t="shared" si="251"/>
        <v>5419.1788743620818</v>
      </c>
      <c r="FS73" s="52">
        <f t="shared" si="252"/>
        <v>5961.8730282263059</v>
      </c>
      <c r="FT73" s="52">
        <f t="shared" si="253"/>
        <v>3668.8449404469552</v>
      </c>
      <c r="FU73" s="52">
        <f t="shared" si="254"/>
        <v>3210.2393228910764</v>
      </c>
      <c r="FV73" s="52">
        <f t="shared" si="255"/>
        <v>1834.4224702234717</v>
      </c>
      <c r="FW73" s="52">
        <f t="shared" si="256"/>
        <v>3885.5281747265121</v>
      </c>
      <c r="FX73" s="52">
        <f t="shared" si="257"/>
        <v>7783.6444536907984</v>
      </c>
      <c r="FY73" s="52">
        <f t="shared" si="258"/>
        <v>5503.267410670428</v>
      </c>
      <c r="FZ73" s="52">
        <f t="shared" si="259"/>
        <v>3363.1218488588506</v>
      </c>
      <c r="GA73" s="52">
        <f t="shared" si="260"/>
        <v>7015.7700951865336</v>
      </c>
      <c r="GB73" s="52">
        <f t="shared" si="261"/>
        <v>2674.9721505271573</v>
      </c>
      <c r="GC73" s="52">
        <f t="shared" si="262"/>
        <v>3606.4918641224886</v>
      </c>
      <c r="GD73" s="52">
        <f t="shared" si="263"/>
        <v>5656.2548375068454</v>
      </c>
      <c r="GE73" s="52">
        <f t="shared" si="264"/>
        <v>4520.9341778657381</v>
      </c>
      <c r="GF73" s="52">
        <f t="shared" si="265"/>
        <v>3386.2000399614362</v>
      </c>
      <c r="GG73" s="52">
        <f t="shared" si="266"/>
        <v>0</v>
      </c>
      <c r="GH73" s="52">
        <f t="shared" si="267"/>
        <v>917.21123511173812</v>
      </c>
      <c r="GI73" s="52">
        <f t="shared" si="268"/>
        <v>0</v>
      </c>
      <c r="GJ73" s="26"/>
      <c r="GL73" s="150">
        <f t="shared" si="269"/>
        <v>8713.5066708619743</v>
      </c>
      <c r="GM73" s="150">
        <f t="shared" si="270"/>
        <v>13070.260006292965</v>
      </c>
      <c r="GN73" s="150">
        <f t="shared" si="271"/>
        <v>3267.5650015732344</v>
      </c>
      <c r="GO73" s="150">
        <f t="shared" si="272"/>
        <v>4356.7533354309935</v>
      </c>
      <c r="GP73" s="150">
        <f t="shared" si="273"/>
        <v>6572.3016256844712</v>
      </c>
      <c r="GQ73" s="150">
        <f t="shared" si="274"/>
        <v>9802.6950047197352</v>
      </c>
      <c r="GR73" s="150">
        <f t="shared" si="275"/>
        <v>4792.4286689740875</v>
      </c>
      <c r="GS73" s="150">
        <f t="shared" si="276"/>
        <v>4792.4286689740857</v>
      </c>
      <c r="GT73" s="150">
        <f t="shared" si="277"/>
        <v>12870.549733997697</v>
      </c>
      <c r="GU73" s="150">
        <f t="shared" si="278"/>
        <v>14159.44834015074</v>
      </c>
      <c r="GV73" s="150">
        <f t="shared" si="279"/>
        <v>8713.5066708619888</v>
      </c>
      <c r="GW73" s="150">
        <f t="shared" si="280"/>
        <v>7624.3183370042179</v>
      </c>
      <c r="GX73" s="150">
        <f t="shared" si="281"/>
        <v>4356.7533354309799</v>
      </c>
      <c r="GY73" s="150">
        <f t="shared" si="282"/>
        <v>9228.1293485728802</v>
      </c>
      <c r="GZ73" s="150">
        <f t="shared" si="283"/>
        <v>18486.155444495347</v>
      </c>
      <c r="HA73" s="150">
        <f t="shared" si="284"/>
        <v>13070.260006292971</v>
      </c>
      <c r="HB73" s="150">
        <f t="shared" si="285"/>
        <v>7987.4143335649615</v>
      </c>
      <c r="HC73" s="150">
        <f t="shared" si="286"/>
        <v>16662.453856170476</v>
      </c>
      <c r="HD73" s="150">
        <f t="shared" si="287"/>
        <v>6353.0588117874759</v>
      </c>
      <c r="HE73" s="150">
        <f t="shared" si="288"/>
        <v>8565.4181156569757</v>
      </c>
      <c r="HF73" s="150">
        <f t="shared" si="289"/>
        <v>13433.605142414952</v>
      </c>
      <c r="HG73" s="150">
        <f t="shared" si="290"/>
        <v>10737.218595169632</v>
      </c>
      <c r="HH73" s="150">
        <f t="shared" si="291"/>
        <v>8042.2250370392021</v>
      </c>
      <c r="HI73" s="150">
        <f t="shared" si="292"/>
        <v>0</v>
      </c>
      <c r="HJ73" s="150">
        <f t="shared" si="293"/>
        <v>2178.3766677154958</v>
      </c>
      <c r="HK73" s="150">
        <f t="shared" si="294"/>
        <v>0</v>
      </c>
      <c r="HL73" s="26"/>
      <c r="HN73" s="147">
        <f t="shared" si="295"/>
        <v>6420.478018786861</v>
      </c>
      <c r="HO73" s="147">
        <f t="shared" si="296"/>
        <v>9630.7170281802937</v>
      </c>
      <c r="HP73" s="147">
        <f t="shared" si="297"/>
        <v>2407.6792570450684</v>
      </c>
      <c r="HQ73" s="147">
        <f t="shared" si="298"/>
        <v>3210.239009393435</v>
      </c>
      <c r="HR73" s="147">
        <f t="shared" si="299"/>
        <v>4842.7481282194258</v>
      </c>
      <c r="HS73" s="147">
        <f t="shared" si="300"/>
        <v>7223.0377711352294</v>
      </c>
      <c r="HT73" s="147">
        <f t="shared" si="301"/>
        <v>3531.2629103327749</v>
      </c>
      <c r="HU73" s="147">
        <f t="shared" si="302"/>
        <v>3531.2629103327736</v>
      </c>
      <c r="HV73" s="147">
        <f t="shared" si="303"/>
        <v>9483.5621040111873</v>
      </c>
      <c r="HW73" s="147">
        <f t="shared" si="304"/>
        <v>10433.276780528673</v>
      </c>
      <c r="HX73" s="147">
        <f t="shared" si="305"/>
        <v>6420.478018786871</v>
      </c>
      <c r="HY73" s="147">
        <f t="shared" si="306"/>
        <v>5617.9182664384962</v>
      </c>
      <c r="HZ73" s="147">
        <f t="shared" si="307"/>
        <v>3210.2390093934255</v>
      </c>
      <c r="IA73" s="147">
        <f t="shared" si="308"/>
        <v>6799.6736417455395</v>
      </c>
      <c r="IB73" s="147">
        <f t="shared" si="309"/>
        <v>13621.376463755912</v>
      </c>
      <c r="IC73" s="147">
        <f t="shared" si="310"/>
        <v>9630.7170281802992</v>
      </c>
      <c r="ID73" s="147">
        <f t="shared" si="311"/>
        <v>5885.4626607549062</v>
      </c>
      <c r="IE73" s="147">
        <f t="shared" si="312"/>
        <v>12277.596467601021</v>
      </c>
      <c r="IF73" s="147">
        <f t="shared" si="313"/>
        <v>4681.2008062772948</v>
      </c>
      <c r="IG73" s="147">
        <f t="shared" si="314"/>
        <v>6311.36014587502</v>
      </c>
      <c r="IH73" s="147">
        <f t="shared" si="315"/>
        <v>9898.444998998908</v>
      </c>
      <c r="II73" s="147">
        <f t="shared" si="316"/>
        <v>7911.6340386500833</v>
      </c>
      <c r="IJ73" s="147">
        <f t="shared" si="317"/>
        <v>5925.8494912404331</v>
      </c>
      <c r="IK73" s="147">
        <f t="shared" si="318"/>
        <v>0</v>
      </c>
      <c r="IL73" s="147">
        <f t="shared" si="319"/>
        <v>1605.1195046967168</v>
      </c>
      <c r="IM73" s="147">
        <f t="shared" si="320"/>
        <v>0</v>
      </c>
      <c r="IN73" s="26"/>
      <c r="IP73" s="61">
        <f t="shared" si="321"/>
        <v>4127.450369904227</v>
      </c>
      <c r="IQ73" s="61">
        <f t="shared" si="322"/>
        <v>6191.1755548563433</v>
      </c>
      <c r="IR73" s="61">
        <f t="shared" si="323"/>
        <v>1547.7938887140824</v>
      </c>
      <c r="IS73" s="61">
        <f t="shared" si="324"/>
        <v>2063.7251849521167</v>
      </c>
      <c r="IT73" s="61">
        <f t="shared" si="325"/>
        <v>3113.1953874283354</v>
      </c>
      <c r="IU73" s="61">
        <f t="shared" si="326"/>
        <v>4643.3816661422625</v>
      </c>
      <c r="IV73" s="61">
        <f t="shared" si="327"/>
        <v>2270.0977034473258</v>
      </c>
      <c r="IW73" s="61">
        <f t="shared" si="328"/>
        <v>2270.0977034473253</v>
      </c>
      <c r="IX73" s="61">
        <f t="shared" si="329"/>
        <v>6096.5759558206046</v>
      </c>
      <c r="IY73" s="61">
        <f t="shared" si="330"/>
        <v>6707.1068510943851</v>
      </c>
      <c r="IZ73" s="61">
        <f t="shared" si="331"/>
        <v>4127.4503699042343</v>
      </c>
      <c r="JA73" s="61">
        <f t="shared" si="332"/>
        <v>3611.5190736661948</v>
      </c>
      <c r="JB73" s="61">
        <f t="shared" si="333"/>
        <v>2063.7251849521103</v>
      </c>
      <c r="JC73" s="61">
        <f t="shared" si="334"/>
        <v>4371.2189973595687</v>
      </c>
      <c r="JD73" s="61">
        <f t="shared" si="335"/>
        <v>8756.599611341253</v>
      </c>
      <c r="JE73" s="61">
        <f t="shared" si="336"/>
        <v>6191.175554856346</v>
      </c>
      <c r="JF73" s="61">
        <f t="shared" si="337"/>
        <v>3783.511907541782</v>
      </c>
      <c r="JG73" s="61">
        <f t="shared" si="338"/>
        <v>7892.7409973922258</v>
      </c>
      <c r="JH73" s="61">
        <f t="shared" si="339"/>
        <v>3009.3435321994825</v>
      </c>
      <c r="JI73" s="61">
        <f t="shared" si="340"/>
        <v>4057.3031622359986</v>
      </c>
      <c r="JJ73" s="61">
        <f t="shared" si="341"/>
        <v>6363.2864022037793</v>
      </c>
      <c r="JK73" s="61">
        <f t="shared" si="342"/>
        <v>5086.0507183144673</v>
      </c>
      <c r="JL73" s="61">
        <f t="shared" si="343"/>
        <v>3809.4748713489912</v>
      </c>
      <c r="JM73" s="61">
        <f t="shared" si="344"/>
        <v>0</v>
      </c>
      <c r="JN73" s="61">
        <f t="shared" si="345"/>
        <v>1031.8625924760579</v>
      </c>
      <c r="JO73" s="61">
        <f t="shared" si="346"/>
        <v>0</v>
      </c>
      <c r="JQ73" s="26">
        <f t="shared" si="431"/>
        <v>573254.79996661644</v>
      </c>
      <c r="JR73" s="156">
        <f t="shared" si="432"/>
        <v>0.99999616222151044</v>
      </c>
      <c r="JT73" s="157">
        <f t="shared" si="347"/>
        <v>22930.280000000013</v>
      </c>
      <c r="JU73" s="29">
        <f t="shared" si="348"/>
        <v>1.0000000000000002</v>
      </c>
    </row>
    <row r="74" spans="1:281" ht="18.75" x14ac:dyDescent="0.3">
      <c r="A74" t="s">
        <v>234</v>
      </c>
      <c r="B74" t="s">
        <v>154</v>
      </c>
      <c r="C74" t="s">
        <v>74</v>
      </c>
      <c r="D74" t="s">
        <v>29</v>
      </c>
      <c r="E74" s="11" t="s">
        <v>238</v>
      </c>
      <c r="F74" s="114">
        <v>9110</v>
      </c>
      <c r="G74" s="17">
        <v>2463308.115125136</v>
      </c>
      <c r="H74" s="21">
        <v>1759505.7965179544</v>
      </c>
      <c r="I74" s="25">
        <f t="shared" si="434"/>
        <v>1.4</v>
      </c>
      <c r="J74" s="13">
        <v>3.9999999999999952E-2</v>
      </c>
      <c r="K74" s="13">
        <v>5.9999999999999991E-2</v>
      </c>
      <c r="L74" s="13">
        <v>1.4999999999999975E-2</v>
      </c>
      <c r="M74" s="13">
        <v>1.9999999999999969E-2</v>
      </c>
      <c r="N74" s="13">
        <v>3.0170639096024521E-2</v>
      </c>
      <c r="O74" s="13">
        <v>4.4999999999999971E-2</v>
      </c>
      <c r="P74" s="13">
        <v>2.1999999999999933E-2</v>
      </c>
      <c r="Q74" s="13">
        <v>2.1999999999999954E-2</v>
      </c>
      <c r="R74" s="13">
        <v>5.908321515165367E-2</v>
      </c>
      <c r="S74" s="13">
        <v>6.5000000000000044E-2</v>
      </c>
      <c r="T74" s="13">
        <v>4.0000000000000049E-2</v>
      </c>
      <c r="U74" s="13">
        <v>3.4999999999999962E-2</v>
      </c>
      <c r="V74" s="13">
        <v>1.9999999999999931E-2</v>
      </c>
      <c r="W74" s="13">
        <v>4.2362413651127868E-2</v>
      </c>
      <c r="X74" s="13">
        <v>8.4862070543025692E-2</v>
      </c>
      <c r="Y74" s="13">
        <v>5.9999999999999991E-2</v>
      </c>
      <c r="Z74" s="13">
        <v>3.6666819159156448E-2</v>
      </c>
      <c r="AA74" s="13">
        <v>7.6490232856032139E-2</v>
      </c>
      <c r="AB74" s="13">
        <v>2.916418866370827E-2</v>
      </c>
      <c r="AC74" s="13">
        <v>3.9320188480717326E-2</v>
      </c>
      <c r="AD74" s="13">
        <v>6.166796285282948E-2</v>
      </c>
      <c r="AE74" s="13">
        <v>4.9289999999999959E-2</v>
      </c>
      <c r="AF74" s="13">
        <v>3.6918431767235305E-2</v>
      </c>
      <c r="AG74" s="9">
        <v>0</v>
      </c>
      <c r="AH74" s="13">
        <v>1.0000000000000018E-2</v>
      </c>
      <c r="AJ74" s="8">
        <f t="shared" si="376"/>
        <v>0.99999616222151044</v>
      </c>
      <c r="AK74" s="141">
        <f t="shared" si="435"/>
        <v>364.39999999999958</v>
      </c>
      <c r="AL74" s="141">
        <f t="shared" si="436"/>
        <v>546.59999999999991</v>
      </c>
      <c r="AM74" s="141">
        <f t="shared" si="437"/>
        <v>136.64999999999978</v>
      </c>
      <c r="AN74" s="141">
        <f t="shared" si="438"/>
        <v>182.19999999999973</v>
      </c>
      <c r="AO74" s="141">
        <f t="shared" si="439"/>
        <v>274.85452216478336</v>
      </c>
      <c r="AP74" s="141">
        <f t="shared" si="440"/>
        <v>409.9499999999997</v>
      </c>
      <c r="AQ74" s="141">
        <f t="shared" si="441"/>
        <v>200.41999999999939</v>
      </c>
      <c r="AR74" s="141">
        <f t="shared" si="442"/>
        <v>200.41999999999959</v>
      </c>
      <c r="AS74" s="141">
        <f t="shared" si="443"/>
        <v>538.24809003156497</v>
      </c>
      <c r="AT74" s="141">
        <f t="shared" si="444"/>
        <v>592.15000000000043</v>
      </c>
      <c r="AU74" s="141">
        <f t="shared" si="445"/>
        <v>364.40000000000043</v>
      </c>
      <c r="AV74" s="141">
        <f t="shared" si="446"/>
        <v>318.84999999999962</v>
      </c>
      <c r="AW74" s="141">
        <f t="shared" si="447"/>
        <v>182.19999999999936</v>
      </c>
      <c r="AX74" s="141">
        <f t="shared" si="448"/>
        <v>385.92158836177487</v>
      </c>
      <c r="AY74" s="141">
        <f t="shared" si="449"/>
        <v>773.0934626469641</v>
      </c>
      <c r="AZ74" s="141">
        <f t="shared" si="450"/>
        <v>546.59999999999991</v>
      </c>
      <c r="BA74" s="141">
        <f t="shared" si="451"/>
        <v>334.03472253991526</v>
      </c>
      <c r="BB74" s="141">
        <f t="shared" si="452"/>
        <v>696.82602131845283</v>
      </c>
      <c r="BC74" s="141">
        <f t="shared" si="453"/>
        <v>265.68575872638235</v>
      </c>
      <c r="BD74" s="141">
        <f t="shared" si="454"/>
        <v>358.20691705933484</v>
      </c>
      <c r="BE74" s="141">
        <f t="shared" si="455"/>
        <v>561.79514158927657</v>
      </c>
      <c r="BF74" s="141">
        <f t="shared" si="456"/>
        <v>449.03189999999961</v>
      </c>
      <c r="BG74" s="141">
        <f t="shared" si="457"/>
        <v>336.32691339951361</v>
      </c>
      <c r="BH74" s="141">
        <f t="shared" si="458"/>
        <v>0</v>
      </c>
      <c r="BI74" s="141">
        <f t="shared" si="459"/>
        <v>91.100000000000165</v>
      </c>
      <c r="BJ74" s="141">
        <f t="shared" si="460"/>
        <v>0</v>
      </c>
      <c r="BM74" s="26">
        <f t="shared" si="377"/>
        <v>98532.324605005328</v>
      </c>
      <c r="BN74" s="26">
        <f t="shared" si="378"/>
        <v>147798.48690750814</v>
      </c>
      <c r="BO74" s="26">
        <f t="shared" si="379"/>
        <v>36949.621726876976</v>
      </c>
      <c r="BP74" s="26">
        <f t="shared" si="380"/>
        <v>49266.162302502642</v>
      </c>
      <c r="BQ74" s="26">
        <f t="shared" si="381"/>
        <v>74319.580123748892</v>
      </c>
      <c r="BR74" s="26">
        <f t="shared" si="382"/>
        <v>110848.86518063105</v>
      </c>
      <c r="BS74" s="26">
        <f t="shared" si="383"/>
        <v>54192.778532752825</v>
      </c>
      <c r="BT74" s="26">
        <f t="shared" si="384"/>
        <v>54192.778532752876</v>
      </c>
      <c r="BU74" s="26">
        <f t="shared" si="385"/>
        <v>145540.16335075287</v>
      </c>
      <c r="BV74" s="26">
        <f t="shared" si="386"/>
        <v>160115.02748313395</v>
      </c>
      <c r="BW74" s="26">
        <f t="shared" si="387"/>
        <v>98532.32460500556</v>
      </c>
      <c r="BX74" s="26">
        <f t="shared" si="388"/>
        <v>86215.784029379662</v>
      </c>
      <c r="BY74" s="26">
        <f t="shared" si="389"/>
        <v>49266.162302502547</v>
      </c>
      <c r="BZ74" s="26">
        <f t="shared" si="390"/>
        <v>104351.67732311111</v>
      </c>
      <c r="CA74" s="26">
        <f t="shared" si="391"/>
        <v>209041.42703495696</v>
      </c>
      <c r="CB74" s="26">
        <f t="shared" si="392"/>
        <v>147798.48690750814</v>
      </c>
      <c r="CC74" s="26">
        <f t="shared" si="393"/>
        <v>90321.673190575893</v>
      </c>
      <c r="CD74" s="26">
        <f t="shared" si="394"/>
        <v>188419.01132207527</v>
      </c>
      <c r="CE74" s="26">
        <f t="shared" si="395"/>
        <v>71840.382606353072</v>
      </c>
      <c r="CF74" s="26">
        <f t="shared" si="396"/>
        <v>96857.739372800876</v>
      </c>
      <c r="CG74" s="26">
        <f t="shared" si="397"/>
        <v>151907.19333861029</v>
      </c>
      <c r="CH74" s="26">
        <f t="shared" si="398"/>
        <v>121416.45699451785</v>
      </c>
      <c r="CI74" s="26">
        <f t="shared" si="399"/>
        <v>90941.472569924343</v>
      </c>
      <c r="CJ74" s="26">
        <f t="shared" si="400"/>
        <v>0</v>
      </c>
      <c r="CK74" s="26">
        <f t="shared" si="401"/>
        <v>24633.081151251405</v>
      </c>
      <c r="CL74" s="26">
        <f t="shared" si="402"/>
        <v>0</v>
      </c>
      <c r="CM74" s="110">
        <f t="shared" si="403"/>
        <v>0.99999616222151011</v>
      </c>
      <c r="CN74" s="27">
        <f t="shared" si="404"/>
        <v>70380.231860718093</v>
      </c>
      <c r="CO74" s="27">
        <f t="shared" si="405"/>
        <v>105570.34779107725</v>
      </c>
      <c r="CP74" s="27">
        <f t="shared" si="406"/>
        <v>26392.586947769272</v>
      </c>
      <c r="CQ74" s="27">
        <f t="shared" si="407"/>
        <v>35190.115930359032</v>
      </c>
      <c r="CR74" s="27">
        <f t="shared" si="408"/>
        <v>53085.41437410636</v>
      </c>
      <c r="CS74" s="27">
        <f t="shared" si="409"/>
        <v>79177.7608433079</v>
      </c>
      <c r="CT74" s="27">
        <f t="shared" si="410"/>
        <v>38709.127523394876</v>
      </c>
      <c r="CU74" s="27">
        <f t="shared" si="411"/>
        <v>38709.127523394913</v>
      </c>
      <c r="CV74" s="27">
        <f t="shared" si="412"/>
        <v>103957.25953625207</v>
      </c>
      <c r="CW74" s="27">
        <f t="shared" si="413"/>
        <v>114367.87677366711</v>
      </c>
      <c r="CX74" s="27">
        <f t="shared" si="414"/>
        <v>70380.231860718268</v>
      </c>
      <c r="CY74" s="27">
        <f t="shared" si="415"/>
        <v>61582.702878128337</v>
      </c>
      <c r="CZ74" s="27">
        <f t="shared" si="416"/>
        <v>35190.115930358967</v>
      </c>
      <c r="DA74" s="27">
        <f t="shared" si="417"/>
        <v>74536.912373650805</v>
      </c>
      <c r="DB74" s="27">
        <f t="shared" si="418"/>
        <v>149315.30502496925</v>
      </c>
      <c r="DC74" s="27">
        <f t="shared" si="419"/>
        <v>105570.34779107725</v>
      </c>
      <c r="DD74" s="27">
        <f t="shared" si="420"/>
        <v>64515.480850411361</v>
      </c>
      <c r="DE74" s="27">
        <f t="shared" si="421"/>
        <v>134585.00808719665</v>
      </c>
      <c r="DF74" s="27">
        <f t="shared" si="422"/>
        <v>51314.559004537914</v>
      </c>
      <c r="DG74" s="27">
        <f t="shared" si="423"/>
        <v>69184.09955200064</v>
      </c>
      <c r="DH74" s="27">
        <f t="shared" si="424"/>
        <v>108505.13809900737</v>
      </c>
      <c r="DI74" s="27">
        <f t="shared" si="425"/>
        <v>86726.040710369896</v>
      </c>
      <c r="DJ74" s="27">
        <f t="shared" si="426"/>
        <v>64958.19469280311</v>
      </c>
      <c r="DK74" s="27">
        <f t="shared" si="427"/>
        <v>0</v>
      </c>
      <c r="DL74" s="27">
        <f t="shared" si="428"/>
        <v>17595.057965179574</v>
      </c>
      <c r="DM74" s="27">
        <f t="shared" si="429"/>
        <v>0</v>
      </c>
      <c r="DN74" s="110">
        <f t="shared" si="430"/>
        <v>0.99999616222151044</v>
      </c>
      <c r="DO74" s="28">
        <f t="shared" si="211"/>
        <v>28152.092744287234</v>
      </c>
      <c r="DP74" s="28">
        <f t="shared" si="212"/>
        <v>42228.139116430888</v>
      </c>
      <c r="DQ74" s="28">
        <f t="shared" si="213"/>
        <v>10557.034779107704</v>
      </c>
      <c r="DR74" s="28">
        <f t="shared" si="214"/>
        <v>14076.04637214361</v>
      </c>
      <c r="DS74" s="28">
        <f t="shared" si="215"/>
        <v>21234.165749642532</v>
      </c>
      <c r="DT74" s="28">
        <f t="shared" si="216"/>
        <v>31671.104337323151</v>
      </c>
      <c r="DU74" s="28">
        <f t="shared" si="217"/>
        <v>15483.651009357949</v>
      </c>
      <c r="DV74" s="28">
        <f t="shared" si="218"/>
        <v>15483.651009357964</v>
      </c>
      <c r="DW74" s="28">
        <f t="shared" si="219"/>
        <v>41582.903814500809</v>
      </c>
      <c r="DX74" s="28">
        <f t="shared" si="220"/>
        <v>45747.150709466834</v>
      </c>
      <c r="DY74" s="28">
        <f t="shared" si="221"/>
        <v>28152.092744287293</v>
      </c>
      <c r="DZ74" s="28">
        <f t="shared" si="222"/>
        <v>24633.081151251325</v>
      </c>
      <c r="EA74" s="28">
        <f t="shared" si="223"/>
        <v>14076.046372143581</v>
      </c>
      <c r="EB74" s="28">
        <f t="shared" si="224"/>
        <v>29814.76494946031</v>
      </c>
      <c r="EC74" s="28">
        <f t="shared" si="225"/>
        <v>59726.12200998771</v>
      </c>
      <c r="ED74" s="28">
        <f t="shared" si="226"/>
        <v>42228.139116430888</v>
      </c>
      <c r="EE74" s="28">
        <f t="shared" si="227"/>
        <v>25806.192340164533</v>
      </c>
      <c r="EF74" s="28">
        <f t="shared" si="228"/>
        <v>53834.003234878619</v>
      </c>
      <c r="EG74" s="28">
        <f t="shared" si="229"/>
        <v>20525.823601815158</v>
      </c>
      <c r="EH74" s="28">
        <f t="shared" si="230"/>
        <v>27673.639820800236</v>
      </c>
      <c r="EI74" s="28">
        <f t="shared" si="231"/>
        <v>43402.055239602923</v>
      </c>
      <c r="EJ74" s="28">
        <f t="shared" si="232"/>
        <v>34690.416284147956</v>
      </c>
      <c r="EK74" s="28">
        <f t="shared" si="233"/>
        <v>25983.277877121232</v>
      </c>
      <c r="EL74" s="28">
        <f t="shared" si="234"/>
        <v>0</v>
      </c>
      <c r="EM74" s="28">
        <f t="shared" si="235"/>
        <v>7038.0231860718304</v>
      </c>
      <c r="EN74" s="28">
        <f t="shared" si="236"/>
        <v>0</v>
      </c>
      <c r="EQ74" s="144">
        <v>3.0000000000000006E-2</v>
      </c>
      <c r="ER74" s="144">
        <v>4.9999999999999996E-2</v>
      </c>
      <c r="ES74" s="144">
        <v>0.08</v>
      </c>
      <c r="ET74" s="144">
        <v>0.11</v>
      </c>
      <c r="EU74" s="144">
        <v>0.12000000000000002</v>
      </c>
      <c r="EV74" s="144">
        <v>0.15</v>
      </c>
      <c r="EW74" s="144">
        <v>0.13</v>
      </c>
      <c r="EX74" s="144">
        <v>0.08</v>
      </c>
      <c r="EY74" s="144">
        <v>6.9999999999999993E-2</v>
      </c>
      <c r="EZ74" s="144">
        <v>6.0000000000000012E-2</v>
      </c>
      <c r="FA74" s="144">
        <v>6.0000000000000012E-2</v>
      </c>
      <c r="FB74" s="144">
        <v>6.0000000000000012E-2</v>
      </c>
      <c r="FC74" s="145">
        <f t="shared" si="237"/>
        <v>1</v>
      </c>
      <c r="FD74" s="146">
        <f t="shared" si="238"/>
        <v>0.16</v>
      </c>
      <c r="FE74" s="146">
        <f t="shared" si="239"/>
        <v>0.38</v>
      </c>
      <c r="FF74" s="146">
        <f t="shared" si="240"/>
        <v>0.28000000000000003</v>
      </c>
      <c r="FG74" s="146">
        <f t="shared" si="241"/>
        <v>0.18000000000000005</v>
      </c>
      <c r="FH74" s="145">
        <f t="shared" si="375"/>
        <v>1</v>
      </c>
      <c r="FJ74" s="52">
        <f t="shared" si="243"/>
        <v>15765.171936800853</v>
      </c>
      <c r="FK74" s="52">
        <f t="shared" si="244"/>
        <v>23647.757905201302</v>
      </c>
      <c r="FL74" s="52">
        <f t="shared" si="245"/>
        <v>5911.9394763003165</v>
      </c>
      <c r="FM74" s="52">
        <f t="shared" si="246"/>
        <v>7882.5859684004226</v>
      </c>
      <c r="FN74" s="52">
        <f t="shared" si="247"/>
        <v>11891.132819799823</v>
      </c>
      <c r="FO74" s="52">
        <f t="shared" si="248"/>
        <v>17735.81842890097</v>
      </c>
      <c r="FP74" s="52">
        <f t="shared" si="249"/>
        <v>8670.8445652404516</v>
      </c>
      <c r="FQ74" s="52">
        <f t="shared" si="250"/>
        <v>8670.8445652404607</v>
      </c>
      <c r="FR74" s="52">
        <f t="shared" si="251"/>
        <v>23286.426136120459</v>
      </c>
      <c r="FS74" s="52">
        <f t="shared" si="252"/>
        <v>25618.404397301434</v>
      </c>
      <c r="FT74" s="52">
        <f t="shared" si="253"/>
        <v>15765.171936800891</v>
      </c>
      <c r="FU74" s="52">
        <f t="shared" si="254"/>
        <v>13794.525444700746</v>
      </c>
      <c r="FV74" s="52">
        <f t="shared" si="255"/>
        <v>7882.5859684004081</v>
      </c>
      <c r="FW74" s="52">
        <f t="shared" si="256"/>
        <v>16696.268371697777</v>
      </c>
      <c r="FX74" s="52">
        <f t="shared" si="257"/>
        <v>33446.628325593112</v>
      </c>
      <c r="FY74" s="52">
        <f t="shared" si="258"/>
        <v>23647.757905201302</v>
      </c>
      <c r="FZ74" s="52">
        <f t="shared" si="259"/>
        <v>14451.467710492143</v>
      </c>
      <c r="GA74" s="52">
        <f t="shared" si="260"/>
        <v>30147.041811532043</v>
      </c>
      <c r="GB74" s="52">
        <f t="shared" si="261"/>
        <v>11494.461217016491</v>
      </c>
      <c r="GC74" s="52">
        <f t="shared" si="262"/>
        <v>15497.238299648141</v>
      </c>
      <c r="GD74" s="52">
        <f t="shared" si="263"/>
        <v>24305.150934177647</v>
      </c>
      <c r="GE74" s="52">
        <f t="shared" si="264"/>
        <v>19426.633119122856</v>
      </c>
      <c r="GF74" s="52">
        <f t="shared" si="265"/>
        <v>14550.635611187896</v>
      </c>
      <c r="GG74" s="52">
        <f t="shared" si="266"/>
        <v>0</v>
      </c>
      <c r="GH74" s="52">
        <f t="shared" si="267"/>
        <v>3941.292984200225</v>
      </c>
      <c r="GI74" s="52">
        <f t="shared" si="268"/>
        <v>0</v>
      </c>
      <c r="GJ74" s="26"/>
      <c r="GL74" s="150">
        <f t="shared" si="269"/>
        <v>37442.283349902027</v>
      </c>
      <c r="GM74" s="150">
        <f t="shared" si="270"/>
        <v>56163.425024853095</v>
      </c>
      <c r="GN74" s="150">
        <f t="shared" si="271"/>
        <v>14040.85625621325</v>
      </c>
      <c r="GO74" s="150">
        <f t="shared" si="272"/>
        <v>18721.141674951003</v>
      </c>
      <c r="GP74" s="150">
        <f t="shared" si="273"/>
        <v>28241.440447024579</v>
      </c>
      <c r="GQ74" s="150">
        <f t="shared" si="274"/>
        <v>42122.568768639801</v>
      </c>
      <c r="GR74" s="150">
        <f t="shared" si="275"/>
        <v>20593.255842446073</v>
      </c>
      <c r="GS74" s="150">
        <f t="shared" si="276"/>
        <v>20593.255842446095</v>
      </c>
      <c r="GT74" s="150">
        <f t="shared" si="277"/>
        <v>55305.262073286096</v>
      </c>
      <c r="GU74" s="150">
        <f t="shared" si="278"/>
        <v>60843.710443590899</v>
      </c>
      <c r="GV74" s="150">
        <f t="shared" si="279"/>
        <v>37442.283349902114</v>
      </c>
      <c r="GW74" s="150">
        <f t="shared" si="280"/>
        <v>32761.997931164271</v>
      </c>
      <c r="GX74" s="150">
        <f t="shared" si="281"/>
        <v>18721.14167495097</v>
      </c>
      <c r="GY74" s="150">
        <f t="shared" si="282"/>
        <v>39653.637382782224</v>
      </c>
      <c r="GZ74" s="150">
        <f t="shared" si="283"/>
        <v>79435.742273283642</v>
      </c>
      <c r="HA74" s="150">
        <f t="shared" si="284"/>
        <v>56163.425024853095</v>
      </c>
      <c r="HB74" s="150">
        <f t="shared" si="285"/>
        <v>34322.235812418839</v>
      </c>
      <c r="HC74" s="150">
        <f t="shared" si="286"/>
        <v>71599.224302388597</v>
      </c>
      <c r="HD74" s="150">
        <f t="shared" si="287"/>
        <v>27299.345390414168</v>
      </c>
      <c r="HE74" s="150">
        <f t="shared" si="288"/>
        <v>36805.940961664332</v>
      </c>
      <c r="HF74" s="150">
        <f t="shared" si="289"/>
        <v>57724.733468671911</v>
      </c>
      <c r="HG74" s="150">
        <f t="shared" si="290"/>
        <v>46138.253657916786</v>
      </c>
      <c r="HH74" s="150">
        <f t="shared" si="291"/>
        <v>34557.759576571254</v>
      </c>
      <c r="HI74" s="150">
        <f t="shared" si="292"/>
        <v>0</v>
      </c>
      <c r="HJ74" s="150">
        <f t="shared" si="293"/>
        <v>9360.5708374755341</v>
      </c>
      <c r="HK74" s="150">
        <f t="shared" si="294"/>
        <v>0</v>
      </c>
      <c r="HL74" s="26"/>
      <c r="HN74" s="147">
        <f t="shared" si="295"/>
        <v>27589.050889401493</v>
      </c>
      <c r="HO74" s="147">
        <f t="shared" si="296"/>
        <v>41383.576334102283</v>
      </c>
      <c r="HP74" s="147">
        <f t="shared" si="297"/>
        <v>10345.894083525554</v>
      </c>
      <c r="HQ74" s="147">
        <f t="shared" si="298"/>
        <v>13794.525444700741</v>
      </c>
      <c r="HR74" s="147">
        <f t="shared" si="299"/>
        <v>20809.482434649693</v>
      </c>
      <c r="HS74" s="147">
        <f t="shared" si="300"/>
        <v>31037.682250576698</v>
      </c>
      <c r="HT74" s="147">
        <f t="shared" si="301"/>
        <v>15173.977989170793</v>
      </c>
      <c r="HU74" s="147">
        <f t="shared" si="302"/>
        <v>15173.977989170808</v>
      </c>
      <c r="HV74" s="147">
        <f t="shared" si="303"/>
        <v>40751.245738210811</v>
      </c>
      <c r="HW74" s="147">
        <f t="shared" si="304"/>
        <v>44832.20769527751</v>
      </c>
      <c r="HX74" s="147">
        <f t="shared" si="305"/>
        <v>27589.050889401558</v>
      </c>
      <c r="HY74" s="147">
        <f t="shared" si="306"/>
        <v>24140.419528226306</v>
      </c>
      <c r="HZ74" s="147">
        <f t="shared" si="307"/>
        <v>13794.525444700714</v>
      </c>
      <c r="IA74" s="147">
        <f t="shared" si="308"/>
        <v>29218.469650471114</v>
      </c>
      <c r="IB74" s="147">
        <f t="shared" si="309"/>
        <v>58531.599569787955</v>
      </c>
      <c r="IC74" s="147">
        <f t="shared" si="310"/>
        <v>41383.576334102283</v>
      </c>
      <c r="ID74" s="147">
        <f t="shared" si="311"/>
        <v>25290.068493361254</v>
      </c>
      <c r="IE74" s="147">
        <f t="shared" si="312"/>
        <v>52757.32317018108</v>
      </c>
      <c r="IF74" s="147">
        <f t="shared" si="313"/>
        <v>20115.307129778863</v>
      </c>
      <c r="IG74" s="147">
        <f t="shared" si="314"/>
        <v>27120.167024384249</v>
      </c>
      <c r="IH74" s="147">
        <f t="shared" si="315"/>
        <v>42534.014134810888</v>
      </c>
      <c r="II74" s="147">
        <f t="shared" si="316"/>
        <v>33996.607958465</v>
      </c>
      <c r="IJ74" s="147">
        <f t="shared" si="317"/>
        <v>25463.612319578817</v>
      </c>
      <c r="IK74" s="147">
        <f t="shared" si="318"/>
        <v>0</v>
      </c>
      <c r="IL74" s="147">
        <f t="shared" si="319"/>
        <v>6897.2627223503941</v>
      </c>
      <c r="IM74" s="147">
        <f t="shared" si="320"/>
        <v>0</v>
      </c>
      <c r="IN74" s="26"/>
      <c r="IP74" s="61">
        <f t="shared" si="321"/>
        <v>17735.818428900962</v>
      </c>
      <c r="IQ74" s="61">
        <f t="shared" si="322"/>
        <v>26603.727643351471</v>
      </c>
      <c r="IR74" s="61">
        <f t="shared" si="323"/>
        <v>6650.9319108378577</v>
      </c>
      <c r="IS74" s="61">
        <f t="shared" si="324"/>
        <v>8867.9092144504775</v>
      </c>
      <c r="IT74" s="61">
        <f t="shared" si="325"/>
        <v>13377.524422274804</v>
      </c>
      <c r="IU74" s="61">
        <f t="shared" si="326"/>
        <v>19952.795732513594</v>
      </c>
      <c r="IV74" s="61">
        <f t="shared" si="327"/>
        <v>9754.7001358955113</v>
      </c>
      <c r="IW74" s="61">
        <f t="shared" si="328"/>
        <v>9754.7001358955204</v>
      </c>
      <c r="IX74" s="61">
        <f t="shared" si="329"/>
        <v>26197.229403135523</v>
      </c>
      <c r="IY74" s="61">
        <f t="shared" si="330"/>
        <v>28820.704946964117</v>
      </c>
      <c r="IZ74" s="61">
        <f t="shared" si="331"/>
        <v>17735.818428901006</v>
      </c>
      <c r="JA74" s="61">
        <f t="shared" si="332"/>
        <v>15518.841125288343</v>
      </c>
      <c r="JB74" s="61">
        <f t="shared" si="333"/>
        <v>8867.9092144504611</v>
      </c>
      <c r="JC74" s="61">
        <f t="shared" si="334"/>
        <v>18783.301918160007</v>
      </c>
      <c r="JD74" s="61">
        <f t="shared" si="335"/>
        <v>37627.456866292261</v>
      </c>
      <c r="JE74" s="61">
        <f t="shared" si="336"/>
        <v>26603.727643351471</v>
      </c>
      <c r="JF74" s="61">
        <f t="shared" si="337"/>
        <v>16257.901174303664</v>
      </c>
      <c r="JG74" s="61">
        <f t="shared" si="338"/>
        <v>33915.422037973556</v>
      </c>
      <c r="JH74" s="61">
        <f t="shared" si="339"/>
        <v>12931.268869143556</v>
      </c>
      <c r="JI74" s="61">
        <f t="shared" si="340"/>
        <v>17434.393087104163</v>
      </c>
      <c r="JJ74" s="61">
        <f t="shared" si="341"/>
        <v>27343.294800949861</v>
      </c>
      <c r="JK74" s="61">
        <f t="shared" si="342"/>
        <v>21854.96225901322</v>
      </c>
      <c r="JL74" s="61">
        <f t="shared" si="343"/>
        <v>16369.465062586387</v>
      </c>
      <c r="JM74" s="61">
        <f t="shared" si="344"/>
        <v>0</v>
      </c>
      <c r="JN74" s="61">
        <f t="shared" si="345"/>
        <v>4433.9546072252542</v>
      </c>
      <c r="JO74" s="61">
        <f t="shared" si="346"/>
        <v>0</v>
      </c>
      <c r="JQ74" s="26">
        <f t="shared" si="431"/>
        <v>2463298.6614942397</v>
      </c>
      <c r="JR74" s="156">
        <f t="shared" si="432"/>
        <v>0.99999616222151089</v>
      </c>
      <c r="JT74" s="157">
        <f t="shared" si="347"/>
        <v>98532.324605005328</v>
      </c>
      <c r="JU74" s="29">
        <f t="shared" si="348"/>
        <v>1</v>
      </c>
    </row>
    <row r="75" spans="1:281" ht="18.75" x14ac:dyDescent="0.3">
      <c r="A75" t="s">
        <v>234</v>
      </c>
      <c r="B75" t="s">
        <v>155</v>
      </c>
      <c r="C75" t="s">
        <v>74</v>
      </c>
      <c r="D75" t="s">
        <v>29</v>
      </c>
      <c r="E75" s="11" t="s">
        <v>239</v>
      </c>
      <c r="F75" s="114">
        <v>7272</v>
      </c>
      <c r="G75" s="17">
        <v>1638891</v>
      </c>
      <c r="H75" s="21">
        <v>1164974</v>
      </c>
      <c r="I75" s="25">
        <f t="shared" si="434"/>
        <v>1.4068047870596254</v>
      </c>
      <c r="J75" s="13">
        <v>4.0000000000000042E-2</v>
      </c>
      <c r="K75" s="13">
        <v>6.000000000000006E-2</v>
      </c>
      <c r="L75" s="13">
        <v>1.4999999999999994E-2</v>
      </c>
      <c r="M75" s="13">
        <v>2.0000000000000025E-2</v>
      </c>
      <c r="N75" s="13">
        <v>3.0170639096024535E-2</v>
      </c>
      <c r="O75" s="13">
        <v>4.4999999999999984E-2</v>
      </c>
      <c r="P75" s="13">
        <v>2.1999999999999971E-2</v>
      </c>
      <c r="Q75" s="13">
        <v>2.2000000000000013E-2</v>
      </c>
      <c r="R75" s="13">
        <v>5.9083215151653753E-2</v>
      </c>
      <c r="S75" s="13">
        <v>6.5000000000000072E-2</v>
      </c>
      <c r="T75" s="13">
        <v>3.9999999999999952E-2</v>
      </c>
      <c r="U75" s="13">
        <v>3.5000000000000031E-2</v>
      </c>
      <c r="V75" s="13">
        <v>1.9999999999999993E-2</v>
      </c>
      <c r="W75" s="13">
        <v>4.2362413651127535E-2</v>
      </c>
      <c r="X75" s="13">
        <v>8.486207054302583E-2</v>
      </c>
      <c r="Y75" s="13">
        <v>5.9999999999999852E-2</v>
      </c>
      <c r="Z75" s="13">
        <v>3.6666819159156289E-2</v>
      </c>
      <c r="AA75" s="13">
        <v>7.6490232856031695E-2</v>
      </c>
      <c r="AB75" s="13">
        <v>2.9164188663708207E-2</v>
      </c>
      <c r="AC75" s="13">
        <v>3.932018848071734E-2</v>
      </c>
      <c r="AD75" s="13">
        <v>6.166796285282964E-2</v>
      </c>
      <c r="AE75" s="13">
        <v>4.9289999999999931E-2</v>
      </c>
      <c r="AF75" s="13">
        <v>3.6918431767235436E-2</v>
      </c>
      <c r="AG75" s="9">
        <v>0</v>
      </c>
      <c r="AH75" s="13">
        <v>1.0000000000000012E-2</v>
      </c>
      <c r="AJ75" s="8">
        <f t="shared" si="376"/>
        <v>0.99999616222151022</v>
      </c>
      <c r="AK75" s="141">
        <f t="shared" si="435"/>
        <v>290.88000000000034</v>
      </c>
      <c r="AL75" s="141">
        <f t="shared" si="436"/>
        <v>436.32000000000045</v>
      </c>
      <c r="AM75" s="141">
        <f t="shared" si="437"/>
        <v>109.07999999999996</v>
      </c>
      <c r="AN75" s="141">
        <f t="shared" si="438"/>
        <v>145.44000000000017</v>
      </c>
      <c r="AO75" s="141">
        <f t="shared" si="439"/>
        <v>219.40088750629042</v>
      </c>
      <c r="AP75" s="141">
        <f t="shared" si="440"/>
        <v>327.2399999999999</v>
      </c>
      <c r="AQ75" s="141">
        <f t="shared" si="441"/>
        <v>159.98399999999978</v>
      </c>
      <c r="AR75" s="141">
        <f t="shared" si="442"/>
        <v>159.98400000000009</v>
      </c>
      <c r="AS75" s="141">
        <f t="shared" si="443"/>
        <v>429.6531405828261</v>
      </c>
      <c r="AT75" s="141">
        <f t="shared" si="444"/>
        <v>472.68000000000052</v>
      </c>
      <c r="AU75" s="141">
        <f t="shared" si="445"/>
        <v>290.87999999999965</v>
      </c>
      <c r="AV75" s="141">
        <f t="shared" si="446"/>
        <v>254.52000000000024</v>
      </c>
      <c r="AW75" s="141">
        <f t="shared" si="447"/>
        <v>145.43999999999994</v>
      </c>
      <c r="AX75" s="141">
        <f t="shared" si="448"/>
        <v>308.05947207099945</v>
      </c>
      <c r="AY75" s="141">
        <f t="shared" si="449"/>
        <v>617.11697698888383</v>
      </c>
      <c r="AZ75" s="141">
        <f t="shared" si="450"/>
        <v>436.31999999999891</v>
      </c>
      <c r="BA75" s="141">
        <f t="shared" si="451"/>
        <v>266.64110892538451</v>
      </c>
      <c r="BB75" s="141">
        <f t="shared" si="452"/>
        <v>556.23697332906249</v>
      </c>
      <c r="BC75" s="141">
        <f t="shared" si="453"/>
        <v>212.08197996248609</v>
      </c>
      <c r="BD75" s="141">
        <f t="shared" si="454"/>
        <v>285.93641063177648</v>
      </c>
      <c r="BE75" s="141">
        <f t="shared" si="455"/>
        <v>448.44942586577713</v>
      </c>
      <c r="BF75" s="141">
        <f t="shared" si="456"/>
        <v>358.43687999999952</v>
      </c>
      <c r="BG75" s="141">
        <f t="shared" si="457"/>
        <v>268.47083581133609</v>
      </c>
      <c r="BH75" s="141">
        <f t="shared" si="458"/>
        <v>0</v>
      </c>
      <c r="BI75" s="141">
        <f t="shared" si="459"/>
        <v>72.720000000000084</v>
      </c>
      <c r="BJ75" s="141">
        <f t="shared" si="460"/>
        <v>0</v>
      </c>
      <c r="BM75" s="26">
        <f t="shared" si="377"/>
        <v>65555.640000000072</v>
      </c>
      <c r="BN75" s="26">
        <f t="shared" si="378"/>
        <v>98333.460000000094</v>
      </c>
      <c r="BO75" s="26">
        <f t="shared" si="379"/>
        <v>24583.364999999991</v>
      </c>
      <c r="BP75" s="26">
        <f t="shared" si="380"/>
        <v>32777.820000000043</v>
      </c>
      <c r="BQ75" s="26">
        <f t="shared" si="381"/>
        <v>49446.388878722748</v>
      </c>
      <c r="BR75" s="26">
        <f t="shared" si="382"/>
        <v>73750.094999999972</v>
      </c>
      <c r="BS75" s="26">
        <f t="shared" si="383"/>
        <v>36055.601999999955</v>
      </c>
      <c r="BT75" s="26">
        <f t="shared" si="384"/>
        <v>36055.602000000021</v>
      </c>
      <c r="BU75" s="26">
        <f t="shared" si="385"/>
        <v>96830.949563108967</v>
      </c>
      <c r="BV75" s="26">
        <f t="shared" si="386"/>
        <v>106527.91500000012</v>
      </c>
      <c r="BW75" s="26">
        <f t="shared" si="387"/>
        <v>65555.639999999927</v>
      </c>
      <c r="BX75" s="26">
        <f t="shared" si="388"/>
        <v>57361.185000000049</v>
      </c>
      <c r="BY75" s="26">
        <f t="shared" si="389"/>
        <v>32777.819999999992</v>
      </c>
      <c r="BZ75" s="26">
        <f t="shared" si="390"/>
        <v>69427.37847111006</v>
      </c>
      <c r="CA75" s="26">
        <f t="shared" si="391"/>
        <v>139079.68365433015</v>
      </c>
      <c r="CB75" s="26">
        <f t="shared" si="392"/>
        <v>98333.459999999759</v>
      </c>
      <c r="CC75" s="26">
        <f t="shared" si="393"/>
        <v>60092.919918568812</v>
      </c>
      <c r="CD75" s="26">
        <f t="shared" si="394"/>
        <v>125359.15421565463</v>
      </c>
      <c r="CE75" s="26">
        <f t="shared" si="395"/>
        <v>47796.926323253407</v>
      </c>
      <c r="CF75" s="26">
        <f t="shared" si="396"/>
        <v>64441.503019351323</v>
      </c>
      <c r="CG75" s="26">
        <f t="shared" si="397"/>
        <v>101067.06930783682</v>
      </c>
      <c r="CH75" s="26">
        <f t="shared" si="398"/>
        <v>80780.93738999989</v>
      </c>
      <c r="CI75" s="26">
        <f t="shared" si="399"/>
        <v>60505.285557436255</v>
      </c>
      <c r="CJ75" s="26">
        <f t="shared" si="400"/>
        <v>0</v>
      </c>
      <c r="CK75" s="26">
        <f t="shared" si="401"/>
        <v>16388.910000000022</v>
      </c>
      <c r="CL75" s="26">
        <f t="shared" si="402"/>
        <v>0</v>
      </c>
      <c r="CM75" s="110">
        <f t="shared" si="403"/>
        <v>0.99999616222151</v>
      </c>
      <c r="CN75" s="27">
        <f t="shared" si="404"/>
        <v>46598.96000000005</v>
      </c>
      <c r="CO75" s="27">
        <f t="shared" si="405"/>
        <v>69898.440000000075</v>
      </c>
      <c r="CP75" s="27">
        <f t="shared" si="406"/>
        <v>17474.609999999993</v>
      </c>
      <c r="CQ75" s="27">
        <f t="shared" si="407"/>
        <v>23299.480000000029</v>
      </c>
      <c r="CR75" s="27">
        <f t="shared" si="408"/>
        <v>35148.010110252086</v>
      </c>
      <c r="CS75" s="27">
        <f t="shared" si="409"/>
        <v>52423.82999999998</v>
      </c>
      <c r="CT75" s="27">
        <f t="shared" si="410"/>
        <v>25629.427999999967</v>
      </c>
      <c r="CU75" s="27">
        <f t="shared" si="411"/>
        <v>25629.428000000014</v>
      </c>
      <c r="CV75" s="27">
        <f t="shared" si="412"/>
        <v>68830.409488082674</v>
      </c>
      <c r="CW75" s="27">
        <f t="shared" si="413"/>
        <v>75723.310000000085</v>
      </c>
      <c r="CX75" s="27">
        <f t="shared" si="414"/>
        <v>46598.959999999941</v>
      </c>
      <c r="CY75" s="27">
        <f t="shared" si="415"/>
        <v>40774.090000000033</v>
      </c>
      <c r="CZ75" s="27">
        <f t="shared" si="416"/>
        <v>23299.479999999992</v>
      </c>
      <c r="DA75" s="27">
        <f t="shared" si="417"/>
        <v>49351.110480808653</v>
      </c>
      <c r="DB75" s="27">
        <f t="shared" si="418"/>
        <v>98862.105768790978</v>
      </c>
      <c r="DC75" s="27">
        <f t="shared" si="419"/>
        <v>69898.439999999828</v>
      </c>
      <c r="DD75" s="27">
        <f t="shared" si="420"/>
        <v>42715.890983118938</v>
      </c>
      <c r="DE75" s="27">
        <f t="shared" si="421"/>
        <v>89109.132531222669</v>
      </c>
      <c r="DF75" s="27">
        <f t="shared" si="422"/>
        <v>33975.521524314805</v>
      </c>
      <c r="DG75" s="27">
        <f t="shared" si="423"/>
        <v>45806.997255135204</v>
      </c>
      <c r="DH75" s="27">
        <f t="shared" si="424"/>
        <v>71841.573356512352</v>
      </c>
      <c r="DI75" s="27">
        <f t="shared" si="425"/>
        <v>57421.568459999922</v>
      </c>
      <c r="DJ75" s="27">
        <f t="shared" si="426"/>
        <v>43009.013129603336</v>
      </c>
      <c r="DK75" s="27">
        <f t="shared" si="427"/>
        <v>0</v>
      </c>
      <c r="DL75" s="27">
        <f t="shared" si="428"/>
        <v>11649.740000000014</v>
      </c>
      <c r="DM75" s="27">
        <f t="shared" si="429"/>
        <v>0</v>
      </c>
      <c r="DN75" s="110">
        <f t="shared" si="430"/>
        <v>0.99999616222151033</v>
      </c>
      <c r="DO75" s="28">
        <f t="shared" si="211"/>
        <v>18956.680000000022</v>
      </c>
      <c r="DP75" s="28">
        <f t="shared" si="212"/>
        <v>28435.020000000019</v>
      </c>
      <c r="DQ75" s="28">
        <f t="shared" si="213"/>
        <v>7108.7549999999974</v>
      </c>
      <c r="DR75" s="28">
        <f t="shared" si="214"/>
        <v>9478.3400000000147</v>
      </c>
      <c r="DS75" s="28">
        <f t="shared" si="215"/>
        <v>14298.378768470662</v>
      </c>
      <c r="DT75" s="28">
        <f t="shared" si="216"/>
        <v>21326.264999999992</v>
      </c>
      <c r="DU75" s="28">
        <f t="shared" si="217"/>
        <v>10426.173999999988</v>
      </c>
      <c r="DV75" s="28">
        <f t="shared" si="218"/>
        <v>10426.174000000006</v>
      </c>
      <c r="DW75" s="28">
        <f t="shared" si="219"/>
        <v>28000.540075026292</v>
      </c>
      <c r="DX75" s="28">
        <f t="shared" si="220"/>
        <v>30804.60500000004</v>
      </c>
      <c r="DY75" s="28">
        <f t="shared" si="221"/>
        <v>18956.679999999986</v>
      </c>
      <c r="DZ75" s="28">
        <f t="shared" si="222"/>
        <v>16587.095000000016</v>
      </c>
      <c r="EA75" s="28">
        <f t="shared" si="223"/>
        <v>9478.34</v>
      </c>
      <c r="EB75" s="28">
        <f t="shared" si="224"/>
        <v>20076.267990301407</v>
      </c>
      <c r="EC75" s="28">
        <f t="shared" si="225"/>
        <v>40217.577885539169</v>
      </c>
      <c r="ED75" s="28">
        <f t="shared" si="226"/>
        <v>28435.019999999931</v>
      </c>
      <c r="EE75" s="28">
        <f t="shared" si="227"/>
        <v>17377.028935449875</v>
      </c>
      <c r="EF75" s="28">
        <f t="shared" si="228"/>
        <v>36250.021684431966</v>
      </c>
      <c r="EG75" s="28">
        <f t="shared" si="229"/>
        <v>13821.404798938602</v>
      </c>
      <c r="EH75" s="28">
        <f t="shared" si="230"/>
        <v>18634.505764216119</v>
      </c>
      <c r="EI75" s="28">
        <f t="shared" si="231"/>
        <v>29225.495951324468</v>
      </c>
      <c r="EJ75" s="28">
        <f t="shared" si="232"/>
        <v>23359.368929999968</v>
      </c>
      <c r="EK75" s="28">
        <f t="shared" si="233"/>
        <v>17496.272427832919</v>
      </c>
      <c r="EL75" s="28">
        <f t="shared" si="234"/>
        <v>0</v>
      </c>
      <c r="EM75" s="28">
        <f t="shared" si="235"/>
        <v>4739.1700000000073</v>
      </c>
      <c r="EN75" s="28">
        <f t="shared" si="236"/>
        <v>0</v>
      </c>
      <c r="EQ75" s="144">
        <v>3.0000000935383932E-2</v>
      </c>
      <c r="ER75" s="144">
        <v>4.9999999331868626E-2</v>
      </c>
      <c r="ES75" s="144">
        <v>8.0000000267252541E-2</v>
      </c>
      <c r="ET75" s="144">
        <v>0.11000000120263649</v>
      </c>
      <c r="EU75" s="144">
        <v>0.11999999706022195</v>
      </c>
      <c r="EV75" s="144">
        <v>0.14999999799560584</v>
      </c>
      <c r="EW75" s="144">
        <v>0.12999999959912117</v>
      </c>
      <c r="EX75" s="144">
        <v>8.0000000267252541E-2</v>
      </c>
      <c r="EY75" s="144">
        <v>6.9999997728353303E-2</v>
      </c>
      <c r="EZ75" s="144">
        <v>6.0000001870767865E-2</v>
      </c>
      <c r="FA75" s="144">
        <v>6.0000001870767865E-2</v>
      </c>
      <c r="FB75" s="144">
        <v>6.0000001870767865E-2</v>
      </c>
      <c r="FC75" s="145">
        <f t="shared" si="237"/>
        <v>0.99999999999999989</v>
      </c>
      <c r="FD75" s="146">
        <f t="shared" si="238"/>
        <v>0.16000000053450508</v>
      </c>
      <c r="FE75" s="146">
        <f t="shared" si="239"/>
        <v>0.37999999625846426</v>
      </c>
      <c r="FF75" s="146">
        <f t="shared" si="240"/>
        <v>0.27999999759472705</v>
      </c>
      <c r="FG75" s="146">
        <f t="shared" si="241"/>
        <v>0.18000000561230359</v>
      </c>
      <c r="FH75" s="145">
        <f t="shared" si="375"/>
        <v>1</v>
      </c>
      <c r="FJ75" s="52">
        <f t="shared" si="243"/>
        <v>10488.902435039834</v>
      </c>
      <c r="FK75" s="52">
        <f t="shared" si="244"/>
        <v>15733.353652559748</v>
      </c>
      <c r="FL75" s="52">
        <f t="shared" si="245"/>
        <v>3933.3384131399321</v>
      </c>
      <c r="FM75" s="52">
        <f t="shared" si="246"/>
        <v>5244.4512175199179</v>
      </c>
      <c r="FN75" s="52">
        <f t="shared" si="247"/>
        <v>7911.4222470249861</v>
      </c>
      <c r="FO75" s="52">
        <f t="shared" si="248"/>
        <v>11800.015239419796</v>
      </c>
      <c r="FP75" s="52">
        <f t="shared" si="249"/>
        <v>5768.8963392718952</v>
      </c>
      <c r="FQ75" s="52">
        <f t="shared" si="250"/>
        <v>5768.8963392719061</v>
      </c>
      <c r="FR75" s="52">
        <f t="shared" si="251"/>
        <v>15492.95198185407</v>
      </c>
      <c r="FS75" s="52">
        <f t="shared" si="252"/>
        <v>17044.466456939732</v>
      </c>
      <c r="FT75" s="52">
        <f t="shared" si="253"/>
        <v>10488.90243503981</v>
      </c>
      <c r="FU75" s="52">
        <f t="shared" si="254"/>
        <v>9177.7896306598523</v>
      </c>
      <c r="FV75" s="52">
        <f t="shared" si="255"/>
        <v>5244.4512175199097</v>
      </c>
      <c r="FW75" s="52">
        <f t="shared" si="256"/>
        <v>11108.380592486896</v>
      </c>
      <c r="FX75" s="52">
        <f t="shared" si="257"/>
        <v>22252.74945903162</v>
      </c>
      <c r="FY75" s="52">
        <f t="shared" si="258"/>
        <v>15733.353652559696</v>
      </c>
      <c r="FZ75" s="52">
        <f t="shared" si="259"/>
        <v>9614.867219090982</v>
      </c>
      <c r="GA75" s="52">
        <f t="shared" si="260"/>
        <v>20057.464741509848</v>
      </c>
      <c r="GB75" s="52">
        <f t="shared" si="261"/>
        <v>7647.5082372682455</v>
      </c>
      <c r="GC75" s="52">
        <f t="shared" si="262"/>
        <v>10310.640517540523</v>
      </c>
      <c r="GD75" s="52">
        <f t="shared" si="263"/>
        <v>16170.731143274754</v>
      </c>
      <c r="GE75" s="52">
        <f t="shared" si="264"/>
        <v>12924.950025577804</v>
      </c>
      <c r="GF75" s="52">
        <f t="shared" si="265"/>
        <v>9680.8457215301842</v>
      </c>
      <c r="GG75" s="52">
        <f t="shared" si="266"/>
        <v>0</v>
      </c>
      <c r="GH75" s="52">
        <f t="shared" si="267"/>
        <v>2622.225608759959</v>
      </c>
      <c r="GI75" s="52">
        <f t="shared" si="268"/>
        <v>0</v>
      </c>
      <c r="GJ75" s="26"/>
      <c r="GL75" s="150">
        <f t="shared" si="269"/>
        <v>24911.142954721257</v>
      </c>
      <c r="GM75" s="150">
        <f t="shared" si="270"/>
        <v>37366.714432081877</v>
      </c>
      <c r="GN75" s="150">
        <f t="shared" si="271"/>
        <v>9341.6786080204583</v>
      </c>
      <c r="GO75" s="150">
        <f t="shared" si="272"/>
        <v>12455.571477360631</v>
      </c>
      <c r="GP75" s="150">
        <f t="shared" si="273"/>
        <v>18789.627588909214</v>
      </c>
      <c r="GQ75" s="150">
        <f t="shared" si="274"/>
        <v>28025.035824061371</v>
      </c>
      <c r="GR75" s="150">
        <f t="shared" si="275"/>
        <v>13701.128625096659</v>
      </c>
      <c r="GS75" s="150">
        <f t="shared" si="276"/>
        <v>13701.128625096684</v>
      </c>
      <c r="GT75" s="150">
        <f t="shared" si="277"/>
        <v>36795.760471684946</v>
      </c>
      <c r="GU75" s="150">
        <f t="shared" si="278"/>
        <v>40480.607301422046</v>
      </c>
      <c r="GV75" s="150">
        <f t="shared" si="279"/>
        <v>24911.142954721203</v>
      </c>
      <c r="GW75" s="150">
        <f t="shared" si="280"/>
        <v>21797.250085381096</v>
      </c>
      <c r="GX75" s="150">
        <f t="shared" si="281"/>
        <v>12455.571477360612</v>
      </c>
      <c r="GY75" s="150">
        <f t="shared" si="282"/>
        <v>26382.403559256803</v>
      </c>
      <c r="GZ75" s="150">
        <f t="shared" si="283"/>
        <v>52850.279268273851</v>
      </c>
      <c r="HA75" s="150">
        <f t="shared" si="284"/>
        <v>37366.714432081753</v>
      </c>
      <c r="HB75" s="150">
        <f t="shared" si="285"/>
        <v>22835.309344216341</v>
      </c>
      <c r="HC75" s="150">
        <f t="shared" si="286"/>
        <v>47636.478132913006</v>
      </c>
      <c r="HD75" s="150">
        <f t="shared" si="287"/>
        <v>18162.831824002387</v>
      </c>
      <c r="HE75" s="150">
        <f t="shared" si="288"/>
        <v>24487.770906243317</v>
      </c>
      <c r="HF75" s="150">
        <f t="shared" si="289"/>
        <v>38405.485958831938</v>
      </c>
      <c r="HG75" s="150">
        <f t="shared" si="290"/>
        <v>30696.755905955193</v>
      </c>
      <c r="HH75" s="150">
        <f t="shared" si="291"/>
        <v>22992.008285443088</v>
      </c>
      <c r="HI75" s="150">
        <f t="shared" si="292"/>
        <v>0</v>
      </c>
      <c r="HJ75" s="150">
        <f t="shared" si="293"/>
        <v>6227.7857386803153</v>
      </c>
      <c r="HK75" s="150">
        <f t="shared" si="294"/>
        <v>0</v>
      </c>
      <c r="HL75" s="26"/>
      <c r="HN75" s="147">
        <f t="shared" si="295"/>
        <v>18355.579042320813</v>
      </c>
      <c r="HO75" s="147">
        <f t="shared" si="296"/>
        <v>27533.368563481214</v>
      </c>
      <c r="HP75" s="147">
        <f t="shared" si="297"/>
        <v>6883.3421408702943</v>
      </c>
      <c r="HQ75" s="147">
        <f t="shared" si="298"/>
        <v>9177.7895211604082</v>
      </c>
      <c r="HR75" s="147">
        <f t="shared" si="299"/>
        <v>13844.988767110308</v>
      </c>
      <c r="HS75" s="147">
        <f t="shared" si="300"/>
        <v>20650.026422610885</v>
      </c>
      <c r="HT75" s="147">
        <f t="shared" si="301"/>
        <v>10095.568473276424</v>
      </c>
      <c r="HU75" s="147">
        <f t="shared" si="302"/>
        <v>10095.568473276442</v>
      </c>
      <c r="HV75" s="147">
        <f t="shared" si="303"/>
        <v>27112.665644765646</v>
      </c>
      <c r="HW75" s="147">
        <f t="shared" si="304"/>
        <v>29827.815943771322</v>
      </c>
      <c r="HX75" s="147">
        <f t="shared" si="305"/>
        <v>18355.579042320773</v>
      </c>
      <c r="HY75" s="147">
        <f t="shared" si="306"/>
        <v>16061.131662030706</v>
      </c>
      <c r="HZ75" s="147">
        <f t="shared" si="307"/>
        <v>9177.7895211603936</v>
      </c>
      <c r="IA75" s="147">
        <f t="shared" si="308"/>
        <v>19439.665804919023</v>
      </c>
      <c r="IB75" s="147">
        <f t="shared" si="309"/>
        <v>38942.311088687842</v>
      </c>
      <c r="IC75" s="147">
        <f t="shared" si="310"/>
        <v>27533.368563481119</v>
      </c>
      <c r="ID75" s="147">
        <f t="shared" si="311"/>
        <v>16826.017432659391</v>
      </c>
      <c r="IE75" s="147">
        <f t="shared" si="312"/>
        <v>35100.562878860314</v>
      </c>
      <c r="IF75" s="147">
        <f t="shared" si="313"/>
        <v>13383.139255546299</v>
      </c>
      <c r="IG75" s="147">
        <f t="shared" si="314"/>
        <v>18043.620690418968</v>
      </c>
      <c r="IH75" s="147">
        <f t="shared" si="315"/>
        <v>28298.779163100422</v>
      </c>
      <c r="II75" s="147">
        <f t="shared" si="316"/>
        <v>22618.662274899765</v>
      </c>
      <c r="IJ75" s="147">
        <f t="shared" si="317"/>
        <v>16941.479810550423</v>
      </c>
      <c r="IK75" s="147">
        <f t="shared" si="318"/>
        <v>0</v>
      </c>
      <c r="IL75" s="147">
        <f t="shared" si="319"/>
        <v>4588.8947605802041</v>
      </c>
      <c r="IM75" s="147">
        <f t="shared" si="320"/>
        <v>0</v>
      </c>
      <c r="IN75" s="26"/>
      <c r="IP75" s="61">
        <f t="shared" si="321"/>
        <v>11800.015567918166</v>
      </c>
      <c r="IQ75" s="61">
        <f t="shared" si="322"/>
        <v>17700.023351877247</v>
      </c>
      <c r="IR75" s="61">
        <f t="shared" si="323"/>
        <v>4425.0058379693055</v>
      </c>
      <c r="IS75" s="61">
        <f t="shared" si="324"/>
        <v>5900.0077839590849</v>
      </c>
      <c r="IT75" s="61">
        <f t="shared" si="325"/>
        <v>8900.35027567824</v>
      </c>
      <c r="IU75" s="61">
        <f t="shared" si="326"/>
        <v>13275.017513907918</v>
      </c>
      <c r="IV75" s="61">
        <f t="shared" si="327"/>
        <v>6490.0085623549767</v>
      </c>
      <c r="IW75" s="61">
        <f t="shared" si="328"/>
        <v>6490.0085623549885</v>
      </c>
      <c r="IX75" s="61">
        <f t="shared" si="329"/>
        <v>17429.571464804299</v>
      </c>
      <c r="IY75" s="61">
        <f t="shared" si="330"/>
        <v>19175.025297867021</v>
      </c>
      <c r="IZ75" s="61">
        <f t="shared" si="331"/>
        <v>11800.015567918141</v>
      </c>
      <c r="JA75" s="61">
        <f t="shared" si="332"/>
        <v>10325.013621928392</v>
      </c>
      <c r="JB75" s="61">
        <f t="shared" si="333"/>
        <v>5900.0077839590758</v>
      </c>
      <c r="JC75" s="61">
        <f t="shared" si="334"/>
        <v>12496.928514447336</v>
      </c>
      <c r="JD75" s="61">
        <f t="shared" si="335"/>
        <v>25034.343838336834</v>
      </c>
      <c r="JE75" s="61">
        <f t="shared" si="336"/>
        <v>17700.023351877186</v>
      </c>
      <c r="JF75" s="61">
        <f t="shared" si="337"/>
        <v>10816.725922602096</v>
      </c>
      <c r="JG75" s="61">
        <f t="shared" si="338"/>
        <v>22564.648462371464</v>
      </c>
      <c r="JH75" s="61">
        <f t="shared" si="339"/>
        <v>8603.4470064364741</v>
      </c>
      <c r="JI75" s="61">
        <f t="shared" si="340"/>
        <v>11599.470905148517</v>
      </c>
      <c r="JJ75" s="61">
        <f t="shared" si="341"/>
        <v>18192.073042629705</v>
      </c>
      <c r="JK75" s="61">
        <f t="shared" si="342"/>
        <v>14540.569183567124</v>
      </c>
      <c r="JL75" s="61">
        <f t="shared" si="343"/>
        <v>10890.951739912556</v>
      </c>
      <c r="JM75" s="61">
        <f t="shared" si="344"/>
        <v>0</v>
      </c>
      <c r="JN75" s="61">
        <f t="shared" si="345"/>
        <v>2950.0038919795425</v>
      </c>
      <c r="JO75" s="61">
        <f t="shared" si="346"/>
        <v>0</v>
      </c>
      <c r="JQ75" s="26">
        <f t="shared" si="431"/>
        <v>1638884.7102993727</v>
      </c>
      <c r="JR75" s="156">
        <f t="shared" si="432"/>
        <v>0.99999616222151</v>
      </c>
      <c r="JT75" s="157">
        <f t="shared" si="347"/>
        <v>65555.640000000072</v>
      </c>
      <c r="JU75" s="29">
        <f t="shared" si="348"/>
        <v>1</v>
      </c>
    </row>
    <row r="76" spans="1:281" ht="18.75" x14ac:dyDescent="0.3">
      <c r="A76" t="s">
        <v>234</v>
      </c>
      <c r="B76" t="s">
        <v>156</v>
      </c>
      <c r="C76" t="s">
        <v>74</v>
      </c>
      <c r="D76" t="s">
        <v>29</v>
      </c>
      <c r="E76" s="11" t="s">
        <v>240</v>
      </c>
      <c r="F76" s="114">
        <v>31662.000000000004</v>
      </c>
      <c r="G76" s="17">
        <v>6687331</v>
      </c>
      <c r="H76" s="21">
        <v>4753416</v>
      </c>
      <c r="I76" s="25">
        <f t="shared" si="434"/>
        <v>1.4068474124713679</v>
      </c>
      <c r="J76" s="13">
        <v>4.0000000000000029E-2</v>
      </c>
      <c r="K76" s="13">
        <v>5.9999999999999915E-2</v>
      </c>
      <c r="L76" s="13">
        <v>1.4999999999999996E-2</v>
      </c>
      <c r="M76" s="13">
        <v>1.9999999999999993E-2</v>
      </c>
      <c r="N76" s="13">
        <v>3.0170639096024583E-2</v>
      </c>
      <c r="O76" s="13">
        <v>4.4999999999999936E-2</v>
      </c>
      <c r="P76" s="13">
        <v>2.200000000000002E-2</v>
      </c>
      <c r="Q76" s="13">
        <v>2.1999999999999967E-2</v>
      </c>
      <c r="R76" s="13">
        <v>5.9083215151653858E-2</v>
      </c>
      <c r="S76" s="13">
        <v>6.4999999999999947E-2</v>
      </c>
      <c r="T76" s="13">
        <v>3.9999999999999987E-2</v>
      </c>
      <c r="U76" s="13">
        <v>3.4999999999999989E-2</v>
      </c>
      <c r="V76" s="13">
        <v>2.0000000000000018E-2</v>
      </c>
      <c r="W76" s="13">
        <v>4.2362413651127577E-2</v>
      </c>
      <c r="X76" s="13">
        <v>8.4862070543025608E-2</v>
      </c>
      <c r="Y76" s="13">
        <v>6.0000000000000053E-2</v>
      </c>
      <c r="Z76" s="13">
        <v>3.6666819159156372E-2</v>
      </c>
      <c r="AA76" s="13">
        <v>7.6490232856031834E-2</v>
      </c>
      <c r="AB76" s="13">
        <v>2.9164188663708256E-2</v>
      </c>
      <c r="AC76" s="13">
        <v>3.9320188480717312E-2</v>
      </c>
      <c r="AD76" s="13">
        <v>6.166796285282948E-2</v>
      </c>
      <c r="AE76" s="13">
        <v>4.9289999999999938E-2</v>
      </c>
      <c r="AF76" s="13">
        <v>3.6918431767235416E-2</v>
      </c>
      <c r="AG76" s="9">
        <v>0</v>
      </c>
      <c r="AH76" s="13">
        <v>1.0000000000000005E-2</v>
      </c>
      <c r="AJ76" s="8">
        <f t="shared" si="376"/>
        <v>0.99999616222151011</v>
      </c>
      <c r="AK76" s="141">
        <f t="shared" si="435"/>
        <v>1266.4800000000012</v>
      </c>
      <c r="AL76" s="141">
        <f t="shared" si="436"/>
        <v>1899.7199999999975</v>
      </c>
      <c r="AM76" s="141">
        <f t="shared" si="437"/>
        <v>474.92999999999995</v>
      </c>
      <c r="AN76" s="141">
        <f t="shared" si="438"/>
        <v>633.2399999999999</v>
      </c>
      <c r="AO76" s="141">
        <f t="shared" si="439"/>
        <v>955.26277505833048</v>
      </c>
      <c r="AP76" s="141">
        <f t="shared" si="440"/>
        <v>1424.7899999999981</v>
      </c>
      <c r="AQ76" s="141">
        <f t="shared" si="441"/>
        <v>696.56400000000065</v>
      </c>
      <c r="AR76" s="141">
        <f t="shared" si="442"/>
        <v>696.56399999999906</v>
      </c>
      <c r="AS76" s="141">
        <f t="shared" si="443"/>
        <v>1870.6927581316647</v>
      </c>
      <c r="AT76" s="141">
        <f t="shared" si="444"/>
        <v>2058.0299999999984</v>
      </c>
      <c r="AU76" s="141">
        <f t="shared" si="445"/>
        <v>1266.4799999999998</v>
      </c>
      <c r="AV76" s="141">
        <f t="shared" si="446"/>
        <v>1108.1699999999998</v>
      </c>
      <c r="AW76" s="141">
        <f t="shared" si="447"/>
        <v>633.24000000000069</v>
      </c>
      <c r="AX76" s="141">
        <f t="shared" si="448"/>
        <v>1341.2787410220014</v>
      </c>
      <c r="AY76" s="141">
        <f t="shared" si="449"/>
        <v>2686.9028775332772</v>
      </c>
      <c r="AZ76" s="141">
        <f t="shared" si="450"/>
        <v>1899.7200000000018</v>
      </c>
      <c r="BA76" s="141">
        <f t="shared" si="451"/>
        <v>1160.9448282172091</v>
      </c>
      <c r="BB76" s="141">
        <f t="shared" si="452"/>
        <v>2421.8337526876803</v>
      </c>
      <c r="BC76" s="141">
        <f t="shared" si="453"/>
        <v>923.39654147033093</v>
      </c>
      <c r="BD76" s="141">
        <f t="shared" si="454"/>
        <v>1244.9558076764717</v>
      </c>
      <c r="BE76" s="141">
        <f t="shared" si="455"/>
        <v>1952.5310398462873</v>
      </c>
      <c r="BF76" s="141">
        <f t="shared" si="456"/>
        <v>1560.6199799999981</v>
      </c>
      <c r="BG76" s="141">
        <f t="shared" si="457"/>
        <v>1168.9113866142079</v>
      </c>
      <c r="BH76" s="141">
        <f t="shared" si="458"/>
        <v>0</v>
      </c>
      <c r="BI76" s="141">
        <f t="shared" si="459"/>
        <v>316.62000000000023</v>
      </c>
      <c r="BJ76" s="141">
        <f t="shared" si="460"/>
        <v>0</v>
      </c>
      <c r="BM76" s="26">
        <f t="shared" si="377"/>
        <v>267493.24000000017</v>
      </c>
      <c r="BN76" s="26">
        <f t="shared" si="378"/>
        <v>401239.8599999994</v>
      </c>
      <c r="BO76" s="26">
        <f t="shared" si="379"/>
        <v>100309.96499999997</v>
      </c>
      <c r="BP76" s="26">
        <f t="shared" si="380"/>
        <v>133746.61999999997</v>
      </c>
      <c r="BQ76" s="26">
        <f t="shared" si="381"/>
        <v>201761.05011665716</v>
      </c>
      <c r="BR76" s="26">
        <f t="shared" si="382"/>
        <v>300929.89499999955</v>
      </c>
      <c r="BS76" s="26">
        <f t="shared" si="383"/>
        <v>147121.28200000012</v>
      </c>
      <c r="BT76" s="26">
        <f t="shared" si="384"/>
        <v>147121.28199999977</v>
      </c>
      <c r="BU76" s="26">
        <f t="shared" si="385"/>
        <v>395109.01626332453</v>
      </c>
      <c r="BV76" s="26">
        <f t="shared" si="386"/>
        <v>434676.51499999966</v>
      </c>
      <c r="BW76" s="26">
        <f t="shared" si="387"/>
        <v>267493.23999999993</v>
      </c>
      <c r="BX76" s="26">
        <f t="shared" si="388"/>
        <v>234056.58499999993</v>
      </c>
      <c r="BY76" s="26">
        <f t="shared" si="389"/>
        <v>133746.62000000011</v>
      </c>
      <c r="BZ76" s="26">
        <f t="shared" si="390"/>
        <v>283291.48204400862</v>
      </c>
      <c r="CA76" s="26">
        <f t="shared" si="391"/>
        <v>567500.75506656198</v>
      </c>
      <c r="CB76" s="26">
        <f t="shared" si="392"/>
        <v>401239.86000000034</v>
      </c>
      <c r="CC76" s="26">
        <f t="shared" si="393"/>
        <v>245203.15643442035</v>
      </c>
      <c r="CD76" s="26">
        <f t="shared" si="394"/>
        <v>511515.5053753602</v>
      </c>
      <c r="CE76" s="26">
        <f t="shared" si="395"/>
        <v>195030.58294066478</v>
      </c>
      <c r="CF76" s="26">
        <f t="shared" si="396"/>
        <v>262947.11535294377</v>
      </c>
      <c r="CG76" s="26">
        <f t="shared" si="397"/>
        <v>412394.07969257503</v>
      </c>
      <c r="CH76" s="26">
        <f t="shared" si="398"/>
        <v>329618.54498999956</v>
      </c>
      <c r="CI76" s="26">
        <f t="shared" si="399"/>
        <v>246885.77322841817</v>
      </c>
      <c r="CJ76" s="26">
        <f t="shared" si="400"/>
        <v>0</v>
      </c>
      <c r="CK76" s="26">
        <f t="shared" si="401"/>
        <v>66873.310000000041</v>
      </c>
      <c r="CL76" s="26">
        <f t="shared" si="402"/>
        <v>0</v>
      </c>
      <c r="CM76" s="110">
        <f t="shared" si="403"/>
        <v>0.99999616222151</v>
      </c>
      <c r="CN76" s="27">
        <f t="shared" si="404"/>
        <v>190136.64000000013</v>
      </c>
      <c r="CO76" s="27">
        <f t="shared" si="405"/>
        <v>285204.95999999961</v>
      </c>
      <c r="CP76" s="27">
        <f t="shared" si="406"/>
        <v>71301.239999999976</v>
      </c>
      <c r="CQ76" s="27">
        <f t="shared" si="407"/>
        <v>95068.319999999963</v>
      </c>
      <c r="CR76" s="27">
        <f t="shared" si="408"/>
        <v>143413.59860926878</v>
      </c>
      <c r="CS76" s="27">
        <f t="shared" si="409"/>
        <v>213903.71999999968</v>
      </c>
      <c r="CT76" s="27">
        <f t="shared" si="410"/>
        <v>104575.15200000009</v>
      </c>
      <c r="CU76" s="27">
        <f t="shared" si="411"/>
        <v>104575.15199999984</v>
      </c>
      <c r="CV76" s="27">
        <f t="shared" si="412"/>
        <v>280847.10023331386</v>
      </c>
      <c r="CW76" s="27">
        <f t="shared" si="413"/>
        <v>308972.03999999975</v>
      </c>
      <c r="CX76" s="27">
        <f t="shared" si="414"/>
        <v>190136.63999999993</v>
      </c>
      <c r="CY76" s="27">
        <f t="shared" si="415"/>
        <v>166369.55999999994</v>
      </c>
      <c r="CZ76" s="27">
        <f t="shared" si="416"/>
        <v>95068.32000000008</v>
      </c>
      <c r="DA76" s="27">
        <f t="shared" si="417"/>
        <v>201366.17484788824</v>
      </c>
      <c r="DB76" s="27">
        <f t="shared" si="418"/>
        <v>403384.72391234664</v>
      </c>
      <c r="DC76" s="27">
        <f t="shared" si="419"/>
        <v>285204.96000000025</v>
      </c>
      <c r="DD76" s="27">
        <f t="shared" si="420"/>
        <v>174292.64486024046</v>
      </c>
      <c r="DE76" s="27">
        <f t="shared" si="421"/>
        <v>363589.89670158742</v>
      </c>
      <c r="DF76" s="27">
        <f t="shared" si="422"/>
        <v>138629.52102108943</v>
      </c>
      <c r="DG76" s="27">
        <f t="shared" si="423"/>
        <v>186905.21304725736</v>
      </c>
      <c r="DH76" s="27">
        <f t="shared" si="424"/>
        <v>293133.4813120453</v>
      </c>
      <c r="DI76" s="27">
        <f t="shared" si="425"/>
        <v>234295.8746399997</v>
      </c>
      <c r="DJ76" s="27">
        <f t="shared" si="426"/>
        <v>175488.6642572851</v>
      </c>
      <c r="DK76" s="27">
        <f t="shared" si="427"/>
        <v>0</v>
      </c>
      <c r="DL76" s="27">
        <f t="shared" si="428"/>
        <v>47534.160000000025</v>
      </c>
      <c r="DM76" s="27">
        <f t="shared" si="429"/>
        <v>0</v>
      </c>
      <c r="DN76" s="110">
        <f t="shared" si="430"/>
        <v>0.99999616222151033</v>
      </c>
      <c r="DO76" s="28">
        <f t="shared" si="211"/>
        <v>77356.600000000035</v>
      </c>
      <c r="DP76" s="28">
        <f t="shared" si="212"/>
        <v>116034.89999999979</v>
      </c>
      <c r="DQ76" s="28">
        <f t="shared" si="213"/>
        <v>29008.724999999991</v>
      </c>
      <c r="DR76" s="28">
        <f t="shared" si="214"/>
        <v>38678.300000000003</v>
      </c>
      <c r="DS76" s="28">
        <f t="shared" si="215"/>
        <v>58347.451507388381</v>
      </c>
      <c r="DT76" s="28">
        <f t="shared" si="216"/>
        <v>87026.174999999872</v>
      </c>
      <c r="DU76" s="28">
        <f t="shared" si="217"/>
        <v>42546.130000000034</v>
      </c>
      <c r="DV76" s="28">
        <f t="shared" si="218"/>
        <v>42546.129999999932</v>
      </c>
      <c r="DW76" s="28">
        <f t="shared" si="219"/>
        <v>114261.91603001067</v>
      </c>
      <c r="DX76" s="28">
        <f t="shared" si="220"/>
        <v>125704.47499999992</v>
      </c>
      <c r="DY76" s="28">
        <f t="shared" si="221"/>
        <v>77356.600000000006</v>
      </c>
      <c r="DZ76" s="28">
        <f t="shared" si="222"/>
        <v>67687.024999999994</v>
      </c>
      <c r="EA76" s="28">
        <f t="shared" si="223"/>
        <v>38678.300000000032</v>
      </c>
      <c r="EB76" s="28">
        <f t="shared" si="224"/>
        <v>81925.307196120382</v>
      </c>
      <c r="EC76" s="28">
        <f t="shared" si="225"/>
        <v>164116.03115421534</v>
      </c>
      <c r="ED76" s="28">
        <f t="shared" si="226"/>
        <v>116034.90000000008</v>
      </c>
      <c r="EE76" s="28">
        <f t="shared" si="227"/>
        <v>70910.511574179895</v>
      </c>
      <c r="EF76" s="28">
        <f t="shared" si="228"/>
        <v>147925.60867377277</v>
      </c>
      <c r="EG76" s="28">
        <f t="shared" si="229"/>
        <v>56401.061919575353</v>
      </c>
      <c r="EH76" s="28">
        <f t="shared" si="230"/>
        <v>76041.90230568641</v>
      </c>
      <c r="EI76" s="28">
        <f t="shared" si="231"/>
        <v>119260.59838052973</v>
      </c>
      <c r="EJ76" s="28">
        <f t="shared" si="232"/>
        <v>95322.670349999855</v>
      </c>
      <c r="EK76" s="28">
        <f t="shared" si="233"/>
        <v>71397.108971133071</v>
      </c>
      <c r="EL76" s="28">
        <f t="shared" si="234"/>
        <v>0</v>
      </c>
      <c r="EM76" s="28">
        <f t="shared" si="235"/>
        <v>19339.150000000016</v>
      </c>
      <c r="EN76" s="28">
        <f t="shared" si="236"/>
        <v>0</v>
      </c>
      <c r="EQ76" s="144">
        <v>3.2645657158738565E-2</v>
      </c>
      <c r="ER76" s="144">
        <v>5.4409429773332796E-2</v>
      </c>
      <c r="ES76" s="144">
        <v>8.7055086932071368E-2</v>
      </c>
      <c r="ET76" s="144">
        <v>0.10815223928855719</v>
      </c>
      <c r="EU76" s="144">
        <v>0.11798426133170732</v>
      </c>
      <c r="EV76" s="144">
        <v>0.14748032586811061</v>
      </c>
      <c r="EW76" s="144">
        <v>0.12781628178181037</v>
      </c>
      <c r="EX76" s="144">
        <v>7.8656173159106835E-2</v>
      </c>
      <c r="EY76" s="144">
        <v>6.8824152709003772E-2</v>
      </c>
      <c r="EZ76" s="144">
        <v>5.8992130665853661E-2</v>
      </c>
      <c r="FA76" s="144">
        <v>5.8992130665853661E-2</v>
      </c>
      <c r="FB76" s="144">
        <v>5.8992130665853661E-2</v>
      </c>
      <c r="FC76" s="145">
        <f t="shared" si="237"/>
        <v>0.99999999999999967</v>
      </c>
      <c r="FD76" s="146">
        <f t="shared" si="238"/>
        <v>0.17411017386414274</v>
      </c>
      <c r="FE76" s="146">
        <f t="shared" si="239"/>
        <v>0.37361682648837513</v>
      </c>
      <c r="FF76" s="146">
        <f t="shared" si="240"/>
        <v>0.27529660764992098</v>
      </c>
      <c r="FG76" s="146">
        <f t="shared" si="241"/>
        <v>0.17697639199756099</v>
      </c>
      <c r="FH76" s="145">
        <f t="shared" si="375"/>
        <v>0.99999999999999989</v>
      </c>
      <c r="FJ76" s="52">
        <f t="shared" si="243"/>
        <v>46573.294523882891</v>
      </c>
      <c r="FK76" s="52">
        <f t="shared" si="244"/>
        <v>69859.941785824194</v>
      </c>
      <c r="FL76" s="52">
        <f t="shared" si="245"/>
        <v>17464.985446456067</v>
      </c>
      <c r="FM76" s="52">
        <f t="shared" si="246"/>
        <v>23286.647261941423</v>
      </c>
      <c r="FN76" s="52">
        <f t="shared" si="247"/>
        <v>35128.651514823192</v>
      </c>
      <c r="FO76" s="52">
        <f t="shared" si="248"/>
        <v>52394.956339368138</v>
      </c>
      <c r="FP76" s="52">
        <f t="shared" si="249"/>
        <v>25615.311988135596</v>
      </c>
      <c r="FQ76" s="52">
        <f t="shared" si="250"/>
        <v>25615.311988135534</v>
      </c>
      <c r="FR76" s="52">
        <f t="shared" si="251"/>
        <v>68792.499516897835</v>
      </c>
      <c r="FS76" s="52">
        <f t="shared" si="252"/>
        <v>75681.603601309587</v>
      </c>
      <c r="FT76" s="52">
        <f t="shared" si="253"/>
        <v>46573.294523882847</v>
      </c>
      <c r="FU76" s="52">
        <f t="shared" si="254"/>
        <v>40751.63270839749</v>
      </c>
      <c r="FV76" s="52">
        <f t="shared" si="255"/>
        <v>23286.647261941449</v>
      </c>
      <c r="FW76" s="52">
        <f t="shared" si="256"/>
        <v>49323.929192913012</v>
      </c>
      <c r="FX76" s="52">
        <f t="shared" si="257"/>
        <v>98807.655132671382</v>
      </c>
      <c r="FY76" s="52">
        <f t="shared" si="258"/>
        <v>69859.941785824354</v>
      </c>
      <c r="FZ76" s="52">
        <f t="shared" si="259"/>
        <v>42692.364198833515</v>
      </c>
      <c r="GA76" s="52">
        <f t="shared" si="260"/>
        <v>89060.053575108803</v>
      </c>
      <c r="GB76" s="52">
        <f t="shared" si="261"/>
        <v>33956.808704624258</v>
      </c>
      <c r="GC76" s="52">
        <f t="shared" si="262"/>
        <v>45781.767971175839</v>
      </c>
      <c r="GD76" s="52">
        <f t="shared" si="263"/>
        <v>71802.004915817379</v>
      </c>
      <c r="GE76" s="52">
        <f t="shared" si="264"/>
        <v>57389.942177054581</v>
      </c>
      <c r="GF76" s="52">
        <f t="shared" si="265"/>
        <v>42985.324901383203</v>
      </c>
      <c r="GG76" s="52">
        <f t="shared" si="266"/>
        <v>0</v>
      </c>
      <c r="GH76" s="52">
        <f t="shared" si="267"/>
        <v>11643.323630970723</v>
      </c>
      <c r="GI76" s="52">
        <f t="shared" si="268"/>
        <v>0</v>
      </c>
      <c r="GJ76" s="26"/>
      <c r="GL76" s="150">
        <f t="shared" si="269"/>
        <v>99939.975435893342</v>
      </c>
      <c r="GM76" s="150">
        <f t="shared" si="270"/>
        <v>149909.96315383969</v>
      </c>
      <c r="GN76" s="150">
        <f t="shared" si="271"/>
        <v>37477.490788459967</v>
      </c>
      <c r="GO76" s="150">
        <f t="shared" si="272"/>
        <v>49969.987717946628</v>
      </c>
      <c r="GP76" s="150">
        <f t="shared" si="273"/>
        <v>75381.323253547453</v>
      </c>
      <c r="GQ76" s="150">
        <f t="shared" si="274"/>
        <v>112432.47236537978</v>
      </c>
      <c r="GR76" s="150">
        <f t="shared" si="275"/>
        <v>54966.98648974135</v>
      </c>
      <c r="GS76" s="150">
        <f t="shared" si="276"/>
        <v>54966.986489741226</v>
      </c>
      <c r="GT76" s="150">
        <f t="shared" si="277"/>
        <v>147619.37677324712</v>
      </c>
      <c r="GU76" s="150">
        <f t="shared" si="278"/>
        <v>162402.46008332647</v>
      </c>
      <c r="GV76" s="150">
        <f t="shared" si="279"/>
        <v>99939.975435893255</v>
      </c>
      <c r="GW76" s="150">
        <f t="shared" si="280"/>
        <v>87447.478506406595</v>
      </c>
      <c r="GX76" s="150">
        <f t="shared" si="281"/>
        <v>49969.987717946686</v>
      </c>
      <c r="GY76" s="150">
        <f t="shared" si="282"/>
        <v>105842.464492471</v>
      </c>
      <c r="GZ76" s="150">
        <f t="shared" si="283"/>
        <v>212027.83113772556</v>
      </c>
      <c r="HA76" s="150">
        <f t="shared" si="284"/>
        <v>149909.96315384004</v>
      </c>
      <c r="HB76" s="150">
        <f t="shared" si="285"/>
        <v>91612.025151960726</v>
      </c>
      <c r="HC76" s="150">
        <f t="shared" si="286"/>
        <v>191110.79981793946</v>
      </c>
      <c r="HD76" s="150">
        <f t="shared" si="287"/>
        <v>72866.707466469015</v>
      </c>
      <c r="HE76" s="150">
        <f t="shared" si="288"/>
        <v>98241.466772439555</v>
      </c>
      <c r="HF76" s="150">
        <f t="shared" si="289"/>
        <v>154077.36731733396</v>
      </c>
      <c r="HG76" s="150">
        <f t="shared" si="290"/>
        <v>123151.03473087934</v>
      </c>
      <c r="HH76" s="150">
        <f t="shared" si="291"/>
        <v>92240.679098730237</v>
      </c>
      <c r="HI76" s="150">
        <f t="shared" si="292"/>
        <v>0</v>
      </c>
      <c r="HJ76" s="150">
        <f t="shared" si="293"/>
        <v>24984.993858973336</v>
      </c>
      <c r="HK76" s="150">
        <f t="shared" si="294"/>
        <v>0</v>
      </c>
      <c r="HL76" s="26"/>
      <c r="HN76" s="147">
        <f t="shared" si="295"/>
        <v>73639.981541286194</v>
      </c>
      <c r="HO76" s="147">
        <f t="shared" si="296"/>
        <v>110459.97231192906</v>
      </c>
      <c r="HP76" s="147">
        <f t="shared" si="297"/>
        <v>27614.993077982297</v>
      </c>
      <c r="HQ76" s="147">
        <f t="shared" si="298"/>
        <v>36819.990770643068</v>
      </c>
      <c r="HR76" s="147">
        <f t="shared" si="299"/>
        <v>55544.132653001412</v>
      </c>
      <c r="HS76" s="147">
        <f t="shared" si="300"/>
        <v>82844.979233946797</v>
      </c>
      <c r="HT76" s="147">
        <f t="shared" si="301"/>
        <v>40501.989847707417</v>
      </c>
      <c r="HU76" s="147">
        <f t="shared" si="302"/>
        <v>40501.989847707322</v>
      </c>
      <c r="HV76" s="147">
        <f t="shared" si="303"/>
        <v>108772.1718291907</v>
      </c>
      <c r="HW76" s="147">
        <f t="shared" si="304"/>
        <v>119664.97000458989</v>
      </c>
      <c r="HX76" s="147">
        <f t="shared" si="305"/>
        <v>73639.981541286135</v>
      </c>
      <c r="HY76" s="147">
        <f t="shared" si="306"/>
        <v>64434.983848625357</v>
      </c>
      <c r="HZ76" s="147">
        <f t="shared" si="307"/>
        <v>36819.990770643104</v>
      </c>
      <c r="IA76" s="147">
        <f t="shared" si="308"/>
        <v>77989.183982834074</v>
      </c>
      <c r="IB76" s="147">
        <f t="shared" si="309"/>
        <v>156231.03270859321</v>
      </c>
      <c r="IC76" s="147">
        <f t="shared" si="310"/>
        <v>110459.97231192932</v>
      </c>
      <c r="ID76" s="147">
        <f t="shared" si="311"/>
        <v>67503.597151448819</v>
      </c>
      <c r="IE76" s="147">
        <f t="shared" si="312"/>
        <v>140818.48339017158</v>
      </c>
      <c r="IF76" s="147">
        <f t="shared" si="313"/>
        <v>53691.257871551563</v>
      </c>
      <c r="IG76" s="147">
        <f t="shared" si="314"/>
        <v>72388.448847997875</v>
      </c>
      <c r="IH76" s="147">
        <f t="shared" si="315"/>
        <v>113530.69115427707</v>
      </c>
      <c r="II76" s="147">
        <f t="shared" si="316"/>
        <v>90742.867254249737</v>
      </c>
      <c r="IJ76" s="147">
        <f t="shared" si="317"/>
        <v>67966.815846811194</v>
      </c>
      <c r="IK76" s="147">
        <f t="shared" si="318"/>
        <v>0</v>
      </c>
      <c r="IL76" s="147">
        <f t="shared" si="319"/>
        <v>18409.995385321548</v>
      </c>
      <c r="IM76" s="147">
        <f t="shared" si="320"/>
        <v>0</v>
      </c>
      <c r="IN76" s="26"/>
      <c r="IP76" s="61">
        <f t="shared" si="321"/>
        <v>47339.988498937688</v>
      </c>
      <c r="IQ76" s="61">
        <f t="shared" si="322"/>
        <v>71009.982748406386</v>
      </c>
      <c r="IR76" s="61">
        <f t="shared" si="323"/>
        <v>17752.495687101618</v>
      </c>
      <c r="IS76" s="61">
        <f t="shared" si="324"/>
        <v>23669.994249468826</v>
      </c>
      <c r="IT76" s="61">
        <f t="shared" si="325"/>
        <v>35706.94269528507</v>
      </c>
      <c r="IU76" s="61">
        <f t="shared" si="326"/>
        <v>53257.48706130479</v>
      </c>
      <c r="IV76" s="61">
        <f t="shared" si="327"/>
        <v>26036.993674415735</v>
      </c>
      <c r="IW76" s="61">
        <f t="shared" si="328"/>
        <v>26036.993674415673</v>
      </c>
      <c r="IX76" s="61">
        <f t="shared" si="329"/>
        <v>69924.968143988823</v>
      </c>
      <c r="IY76" s="61">
        <f t="shared" si="330"/>
        <v>76927.481310773641</v>
      </c>
      <c r="IZ76" s="61">
        <f t="shared" si="331"/>
        <v>47339.988498937651</v>
      </c>
      <c r="JA76" s="61">
        <f t="shared" si="332"/>
        <v>41422.48993657044</v>
      </c>
      <c r="JB76" s="61">
        <f t="shared" si="333"/>
        <v>23669.994249468851</v>
      </c>
      <c r="JC76" s="61">
        <f t="shared" si="334"/>
        <v>50135.90437579048</v>
      </c>
      <c r="JD76" s="61">
        <f t="shared" si="335"/>
        <v>100434.23608757171</v>
      </c>
      <c r="JE76" s="61">
        <f t="shared" si="336"/>
        <v>71009.982748406546</v>
      </c>
      <c r="JF76" s="61">
        <f t="shared" si="337"/>
        <v>43395.169932177247</v>
      </c>
      <c r="JG76" s="61">
        <f t="shared" si="338"/>
        <v>90526.168592140268</v>
      </c>
      <c r="JH76" s="61">
        <f t="shared" si="339"/>
        <v>34515.808898019925</v>
      </c>
      <c r="JI76" s="61">
        <f t="shared" si="340"/>
        <v>46535.431761330467</v>
      </c>
      <c r="JJ76" s="61">
        <f t="shared" si="341"/>
        <v>72984.016305146564</v>
      </c>
      <c r="JK76" s="61">
        <f t="shared" si="342"/>
        <v>58334.700827815854</v>
      </c>
      <c r="JL76" s="61">
        <f t="shared" si="343"/>
        <v>43692.953381493484</v>
      </c>
      <c r="JM76" s="61">
        <f t="shared" si="344"/>
        <v>0</v>
      </c>
      <c r="JN76" s="61">
        <f t="shared" si="345"/>
        <v>11834.997124734422</v>
      </c>
      <c r="JO76" s="61">
        <f t="shared" si="346"/>
        <v>0</v>
      </c>
      <c r="JQ76" s="26">
        <f t="shared" si="431"/>
        <v>6687305.3355049333</v>
      </c>
      <c r="JR76" s="156">
        <f t="shared" si="432"/>
        <v>0.99999616222151011</v>
      </c>
      <c r="JT76" s="157">
        <f t="shared" si="347"/>
        <v>267493.24000000011</v>
      </c>
      <c r="JU76" s="29">
        <f t="shared" si="348"/>
        <v>0.99999999999999978</v>
      </c>
    </row>
    <row r="77" spans="1:281" ht="18.75" x14ac:dyDescent="0.3">
      <c r="A77" t="s">
        <v>234</v>
      </c>
      <c r="B77" t="s">
        <v>157</v>
      </c>
      <c r="C77" t="s">
        <v>74</v>
      </c>
      <c r="D77" t="s">
        <v>29</v>
      </c>
      <c r="E77" s="11" t="s">
        <v>241</v>
      </c>
      <c r="F77" s="114">
        <v>3434</v>
      </c>
      <c r="G77" s="17">
        <v>1022749</v>
      </c>
      <c r="H77" s="21">
        <v>796242</v>
      </c>
      <c r="I77" s="25">
        <f t="shared" si="434"/>
        <v>1.2844700480507183</v>
      </c>
      <c r="J77" s="13">
        <v>9.999999999999995E-3</v>
      </c>
      <c r="K77" s="13">
        <v>5.5922724961870824E-3</v>
      </c>
      <c r="L77" s="13">
        <v>0</v>
      </c>
      <c r="M77" s="13">
        <v>0</v>
      </c>
      <c r="N77" s="13">
        <v>0</v>
      </c>
      <c r="O77" s="13">
        <v>3.3045246568378307E-3</v>
      </c>
      <c r="P77" s="13">
        <v>0</v>
      </c>
      <c r="Q77" s="13">
        <v>0</v>
      </c>
      <c r="R77" s="13">
        <v>0</v>
      </c>
      <c r="S77" s="13">
        <v>0.22000000000000033</v>
      </c>
      <c r="T77" s="13">
        <v>0</v>
      </c>
      <c r="U77" s="13">
        <v>0</v>
      </c>
      <c r="V77" s="13">
        <v>0</v>
      </c>
      <c r="W77" s="13">
        <v>0</v>
      </c>
      <c r="X77" s="13">
        <v>0.44999999999999979</v>
      </c>
      <c r="Y77" s="13">
        <v>0</v>
      </c>
      <c r="Z77" s="13">
        <v>1.0167768174885612E-2</v>
      </c>
      <c r="AA77" s="13">
        <v>0.11283</v>
      </c>
      <c r="AB77" s="13">
        <v>1.5251652262328404E-3</v>
      </c>
      <c r="AC77" s="13">
        <v>0</v>
      </c>
      <c r="AD77" s="13">
        <v>0</v>
      </c>
      <c r="AE77" s="13">
        <v>0</v>
      </c>
      <c r="AF77" s="13">
        <v>0.18657854600915089</v>
      </c>
      <c r="AG77" s="9">
        <v>0</v>
      </c>
      <c r="AH77" s="13">
        <v>0</v>
      </c>
      <c r="AJ77" s="8">
        <f t="shared" si="376"/>
        <v>0.99999827656329443</v>
      </c>
      <c r="AK77" s="141">
        <f t="shared" si="435"/>
        <v>34.339999999999982</v>
      </c>
      <c r="AL77" s="141">
        <f t="shared" si="436"/>
        <v>19.203863751906439</v>
      </c>
      <c r="AM77" s="141">
        <f t="shared" si="437"/>
        <v>0</v>
      </c>
      <c r="AN77" s="141">
        <f t="shared" si="438"/>
        <v>0</v>
      </c>
      <c r="AO77" s="141">
        <f t="shared" si="439"/>
        <v>0</v>
      </c>
      <c r="AP77" s="141">
        <f t="shared" si="440"/>
        <v>11.347737671581111</v>
      </c>
      <c r="AQ77" s="141">
        <f t="shared" si="441"/>
        <v>0</v>
      </c>
      <c r="AR77" s="141">
        <f t="shared" si="442"/>
        <v>0</v>
      </c>
      <c r="AS77" s="141">
        <f t="shared" si="443"/>
        <v>0</v>
      </c>
      <c r="AT77" s="141">
        <f t="shared" si="444"/>
        <v>755.48000000000116</v>
      </c>
      <c r="AU77" s="141">
        <f t="shared" si="445"/>
        <v>0</v>
      </c>
      <c r="AV77" s="141">
        <f t="shared" si="446"/>
        <v>0</v>
      </c>
      <c r="AW77" s="141">
        <f t="shared" si="447"/>
        <v>0</v>
      </c>
      <c r="AX77" s="141">
        <f t="shared" si="448"/>
        <v>0</v>
      </c>
      <c r="AY77" s="141">
        <f t="shared" si="449"/>
        <v>1545.2999999999993</v>
      </c>
      <c r="AZ77" s="141">
        <f t="shared" si="450"/>
        <v>0</v>
      </c>
      <c r="BA77" s="141">
        <f t="shared" si="451"/>
        <v>34.916115912557188</v>
      </c>
      <c r="BB77" s="141">
        <f t="shared" si="452"/>
        <v>387.45821999999998</v>
      </c>
      <c r="BC77" s="141">
        <f t="shared" si="453"/>
        <v>5.2374173868835738</v>
      </c>
      <c r="BD77" s="141">
        <f t="shared" si="454"/>
        <v>0</v>
      </c>
      <c r="BE77" s="141">
        <f t="shared" si="455"/>
        <v>0</v>
      </c>
      <c r="BF77" s="141">
        <f t="shared" si="456"/>
        <v>0</v>
      </c>
      <c r="BG77" s="141">
        <f t="shared" si="457"/>
        <v>640.71072699542412</v>
      </c>
      <c r="BH77" s="141">
        <f t="shared" si="458"/>
        <v>0</v>
      </c>
      <c r="BI77" s="141">
        <f t="shared" si="459"/>
        <v>0</v>
      </c>
      <c r="BJ77" s="141">
        <f t="shared" si="460"/>
        <v>0</v>
      </c>
      <c r="BM77" s="26">
        <f t="shared" si="377"/>
        <v>10227.489999999994</v>
      </c>
      <c r="BN77" s="26">
        <f t="shared" si="378"/>
        <v>5719.4911032028422</v>
      </c>
      <c r="BO77" s="26">
        <f t="shared" si="379"/>
        <v>0</v>
      </c>
      <c r="BP77" s="26">
        <f t="shared" si="380"/>
        <v>0</v>
      </c>
      <c r="BQ77" s="26">
        <f t="shared" si="381"/>
        <v>0</v>
      </c>
      <c r="BR77" s="26">
        <f t="shared" si="382"/>
        <v>3379.6992882562345</v>
      </c>
      <c r="BS77" s="26">
        <f t="shared" si="383"/>
        <v>0</v>
      </c>
      <c r="BT77" s="26">
        <f t="shared" si="384"/>
        <v>0</v>
      </c>
      <c r="BU77" s="26">
        <f t="shared" si="385"/>
        <v>0</v>
      </c>
      <c r="BV77" s="26">
        <f t="shared" si="386"/>
        <v>225004.78000000035</v>
      </c>
      <c r="BW77" s="26">
        <f t="shared" si="387"/>
        <v>0</v>
      </c>
      <c r="BX77" s="26">
        <f t="shared" si="388"/>
        <v>0</v>
      </c>
      <c r="BY77" s="26">
        <f t="shared" si="389"/>
        <v>0</v>
      </c>
      <c r="BZ77" s="26">
        <f t="shared" si="390"/>
        <v>0</v>
      </c>
      <c r="CA77" s="26">
        <f t="shared" si="391"/>
        <v>460237.04999999976</v>
      </c>
      <c r="CB77" s="26">
        <f t="shared" si="392"/>
        <v>0</v>
      </c>
      <c r="CC77" s="26">
        <f t="shared" si="393"/>
        <v>10399.074733096084</v>
      </c>
      <c r="CD77" s="26">
        <f t="shared" si="394"/>
        <v>115396.76966999999</v>
      </c>
      <c r="CE77" s="26">
        <f t="shared" si="395"/>
        <v>1559.8612099644113</v>
      </c>
      <c r="CF77" s="26">
        <f t="shared" si="396"/>
        <v>0</v>
      </c>
      <c r="CG77" s="26">
        <f t="shared" si="397"/>
        <v>0</v>
      </c>
      <c r="CH77" s="26">
        <f t="shared" si="398"/>
        <v>0</v>
      </c>
      <c r="CI77" s="26">
        <f t="shared" si="399"/>
        <v>190823.02135231305</v>
      </c>
      <c r="CJ77" s="26">
        <f t="shared" si="400"/>
        <v>0</v>
      </c>
      <c r="CK77" s="26">
        <f t="shared" si="401"/>
        <v>0</v>
      </c>
      <c r="CL77" s="26">
        <f t="shared" si="402"/>
        <v>0</v>
      </c>
      <c r="CM77" s="110">
        <f t="shared" si="403"/>
        <v>0.9999982765632941</v>
      </c>
      <c r="CN77" s="27">
        <f t="shared" si="404"/>
        <v>7962.4199999999964</v>
      </c>
      <c r="CO77" s="27">
        <f t="shared" si="405"/>
        <v>4452.8022369089949</v>
      </c>
      <c r="CP77" s="27">
        <f t="shared" si="406"/>
        <v>0</v>
      </c>
      <c r="CQ77" s="27">
        <f t="shared" si="407"/>
        <v>0</v>
      </c>
      <c r="CR77" s="27">
        <f t="shared" si="408"/>
        <v>0</v>
      </c>
      <c r="CS77" s="27">
        <f t="shared" si="409"/>
        <v>2631.2013218098682</v>
      </c>
      <c r="CT77" s="27">
        <f t="shared" si="410"/>
        <v>0</v>
      </c>
      <c r="CU77" s="27">
        <f t="shared" si="411"/>
        <v>0</v>
      </c>
      <c r="CV77" s="27">
        <f t="shared" si="412"/>
        <v>0</v>
      </c>
      <c r="CW77" s="27">
        <f t="shared" si="413"/>
        <v>175173.24000000025</v>
      </c>
      <c r="CX77" s="27">
        <f t="shared" si="414"/>
        <v>0</v>
      </c>
      <c r="CY77" s="27">
        <f t="shared" si="415"/>
        <v>0</v>
      </c>
      <c r="CZ77" s="27">
        <f t="shared" si="416"/>
        <v>0</v>
      </c>
      <c r="DA77" s="27">
        <f t="shared" si="417"/>
        <v>0</v>
      </c>
      <c r="DB77" s="27">
        <f t="shared" si="418"/>
        <v>358308.89999999985</v>
      </c>
      <c r="DC77" s="27">
        <f t="shared" si="419"/>
        <v>0</v>
      </c>
      <c r="DD77" s="27">
        <f t="shared" si="420"/>
        <v>8096.0040671072693</v>
      </c>
      <c r="DE77" s="27">
        <f t="shared" si="421"/>
        <v>89839.984859999997</v>
      </c>
      <c r="DF77" s="27">
        <f t="shared" si="422"/>
        <v>1214.4006100660893</v>
      </c>
      <c r="DG77" s="27">
        <f t="shared" si="423"/>
        <v>0</v>
      </c>
      <c r="DH77" s="27">
        <f t="shared" si="424"/>
        <v>0</v>
      </c>
      <c r="DI77" s="27">
        <f t="shared" si="425"/>
        <v>0</v>
      </c>
      <c r="DJ77" s="27">
        <f t="shared" si="426"/>
        <v>148561.67463141831</v>
      </c>
      <c r="DK77" s="27">
        <f t="shared" si="427"/>
        <v>0</v>
      </c>
      <c r="DL77" s="27">
        <f t="shared" si="428"/>
        <v>0</v>
      </c>
      <c r="DM77" s="27">
        <f t="shared" si="429"/>
        <v>0</v>
      </c>
      <c r="DN77" s="110">
        <f t="shared" si="430"/>
        <v>0.99999827656329421</v>
      </c>
      <c r="DO77" s="28">
        <f t="shared" si="211"/>
        <v>2265.0699999999979</v>
      </c>
      <c r="DP77" s="28">
        <f t="shared" si="212"/>
        <v>1266.6888662938472</v>
      </c>
      <c r="DQ77" s="28">
        <f t="shared" si="213"/>
        <v>0</v>
      </c>
      <c r="DR77" s="28">
        <f t="shared" si="214"/>
        <v>0</v>
      </c>
      <c r="DS77" s="28">
        <f t="shared" si="215"/>
        <v>0</v>
      </c>
      <c r="DT77" s="28">
        <f t="shared" si="216"/>
        <v>748.49796644636626</v>
      </c>
      <c r="DU77" s="28">
        <f t="shared" si="217"/>
        <v>0</v>
      </c>
      <c r="DV77" s="28">
        <f t="shared" si="218"/>
        <v>0</v>
      </c>
      <c r="DW77" s="28">
        <f t="shared" si="219"/>
        <v>0</v>
      </c>
      <c r="DX77" s="28">
        <f t="shared" si="220"/>
        <v>49831.540000000095</v>
      </c>
      <c r="DY77" s="28">
        <f t="shared" si="221"/>
        <v>0</v>
      </c>
      <c r="DZ77" s="28">
        <f t="shared" si="222"/>
        <v>0</v>
      </c>
      <c r="EA77" s="28">
        <f t="shared" si="223"/>
        <v>0</v>
      </c>
      <c r="EB77" s="28">
        <f t="shared" si="224"/>
        <v>0</v>
      </c>
      <c r="EC77" s="28">
        <f t="shared" si="225"/>
        <v>101928.14999999991</v>
      </c>
      <c r="ED77" s="28">
        <f t="shared" si="226"/>
        <v>0</v>
      </c>
      <c r="EE77" s="28">
        <f t="shared" si="227"/>
        <v>2303.0706659888147</v>
      </c>
      <c r="EF77" s="28">
        <f t="shared" si="228"/>
        <v>25556.784809999997</v>
      </c>
      <c r="EG77" s="28">
        <f t="shared" si="229"/>
        <v>345.46059989832202</v>
      </c>
      <c r="EH77" s="28">
        <f t="shared" si="230"/>
        <v>0</v>
      </c>
      <c r="EI77" s="28">
        <f t="shared" si="231"/>
        <v>0</v>
      </c>
      <c r="EJ77" s="28">
        <f t="shared" si="232"/>
        <v>0</v>
      </c>
      <c r="EK77" s="28">
        <f t="shared" si="233"/>
        <v>42261.34672089474</v>
      </c>
      <c r="EL77" s="28">
        <f t="shared" si="234"/>
        <v>0</v>
      </c>
      <c r="EM77" s="28">
        <f t="shared" si="235"/>
        <v>0</v>
      </c>
      <c r="EN77" s="28">
        <f t="shared" si="236"/>
        <v>0</v>
      </c>
      <c r="EQ77" s="144">
        <v>3.0000147407519277E-2</v>
      </c>
      <c r="ER77" s="144">
        <v>5.0000142829027788E-2</v>
      </c>
      <c r="ES77" s="144">
        <v>8.0000001592518785E-2</v>
      </c>
      <c r="ET77" s="144">
        <v>0.11000014900003804</v>
      </c>
      <c r="EU77" s="144">
        <v>0.11999971374474989</v>
      </c>
      <c r="EV77" s="144">
        <v>0.14999985119902678</v>
      </c>
      <c r="EW77" s="144">
        <v>0.12999985577751827</v>
      </c>
      <c r="EX77" s="144">
        <v>8.0000001592518785E-2</v>
      </c>
      <c r="EY77" s="144">
        <v>7.0000148203778673E-2</v>
      </c>
      <c r="EZ77" s="144">
        <v>5.9999996217767908E-2</v>
      </c>
      <c r="FA77" s="144">
        <v>5.9999996217767908E-2</v>
      </c>
      <c r="FB77" s="144">
        <v>5.9999996217767908E-2</v>
      </c>
      <c r="FC77" s="145">
        <f t="shared" si="237"/>
        <v>0.99999999999999978</v>
      </c>
      <c r="FD77" s="146">
        <f t="shared" si="238"/>
        <v>0.16000029182906583</v>
      </c>
      <c r="FE77" s="146">
        <f t="shared" si="239"/>
        <v>0.37999971394381471</v>
      </c>
      <c r="FF77" s="146">
        <f t="shared" si="240"/>
        <v>0.28000000557381577</v>
      </c>
      <c r="FG77" s="146">
        <f t="shared" si="241"/>
        <v>0.17999998865330372</v>
      </c>
      <c r="FH77" s="145">
        <f t="shared" si="375"/>
        <v>1</v>
      </c>
      <c r="FJ77" s="52">
        <f t="shared" si="243"/>
        <v>1636.4013846788516</v>
      </c>
      <c r="FK77" s="52">
        <f t="shared" si="244"/>
        <v>915.12024562620047</v>
      </c>
      <c r="FL77" s="52">
        <f t="shared" si="245"/>
        <v>0</v>
      </c>
      <c r="FM77" s="52">
        <f t="shared" si="246"/>
        <v>0</v>
      </c>
      <c r="FN77" s="52">
        <f t="shared" si="247"/>
        <v>0</v>
      </c>
      <c r="FO77" s="52">
        <f t="shared" si="248"/>
        <v>540.75287241548358</v>
      </c>
      <c r="FP77" s="52">
        <f t="shared" si="249"/>
        <v>0</v>
      </c>
      <c r="FQ77" s="52">
        <f t="shared" si="250"/>
        <v>0</v>
      </c>
      <c r="FR77" s="52">
        <f t="shared" si="251"/>
        <v>0</v>
      </c>
      <c r="FS77" s="52">
        <f t="shared" si="252"/>
        <v>36000.830462934813</v>
      </c>
      <c r="FT77" s="52">
        <f t="shared" si="253"/>
        <v>0</v>
      </c>
      <c r="FU77" s="52">
        <f t="shared" si="254"/>
        <v>0</v>
      </c>
      <c r="FV77" s="52">
        <f t="shared" si="255"/>
        <v>0</v>
      </c>
      <c r="FW77" s="52">
        <f t="shared" si="256"/>
        <v>0</v>
      </c>
      <c r="FX77" s="52">
        <f t="shared" si="257"/>
        <v>73638.062310548325</v>
      </c>
      <c r="FY77" s="52">
        <f t="shared" si="258"/>
        <v>0</v>
      </c>
      <c r="FZ77" s="52">
        <f t="shared" si="259"/>
        <v>1663.8549920476382</v>
      </c>
      <c r="GA77" s="52">
        <f t="shared" si="260"/>
        <v>18463.516823331491</v>
      </c>
      <c r="GB77" s="52">
        <f t="shared" si="261"/>
        <v>249.57824880714554</v>
      </c>
      <c r="GC77" s="52">
        <f t="shared" si="262"/>
        <v>0</v>
      </c>
      <c r="GD77" s="52">
        <f t="shared" si="263"/>
        <v>0</v>
      </c>
      <c r="GE77" s="52">
        <f t="shared" si="264"/>
        <v>0</v>
      </c>
      <c r="GF77" s="52">
        <f t="shared" si="265"/>
        <v>30531.73910407415</v>
      </c>
      <c r="GG77" s="52">
        <f t="shared" si="266"/>
        <v>0</v>
      </c>
      <c r="GH77" s="52">
        <f t="shared" si="267"/>
        <v>0</v>
      </c>
      <c r="GI77" s="52">
        <f t="shared" si="268"/>
        <v>0</v>
      </c>
      <c r="GJ77" s="26"/>
      <c r="GL77" s="150">
        <f t="shared" si="269"/>
        <v>3886.4432743632233</v>
      </c>
      <c r="GM77" s="150">
        <f t="shared" si="270"/>
        <v>2173.4049831212733</v>
      </c>
      <c r="GN77" s="150">
        <f t="shared" si="271"/>
        <v>0</v>
      </c>
      <c r="GO77" s="150">
        <f t="shared" si="272"/>
        <v>0</v>
      </c>
      <c r="GP77" s="150">
        <f t="shared" si="273"/>
        <v>0</v>
      </c>
      <c r="GQ77" s="150">
        <f t="shared" si="274"/>
        <v>1284.2847627534832</v>
      </c>
      <c r="GR77" s="150">
        <f t="shared" si="275"/>
        <v>0</v>
      </c>
      <c r="GS77" s="150">
        <f t="shared" si="276"/>
        <v>0</v>
      </c>
      <c r="GT77" s="150">
        <f t="shared" si="277"/>
        <v>0</v>
      </c>
      <c r="GU77" s="150">
        <f t="shared" si="278"/>
        <v>85501.7520359911</v>
      </c>
      <c r="GV77" s="150">
        <f t="shared" si="279"/>
        <v>0</v>
      </c>
      <c r="GW77" s="150">
        <f t="shared" si="280"/>
        <v>0</v>
      </c>
      <c r="GX77" s="150">
        <f t="shared" si="281"/>
        <v>0</v>
      </c>
      <c r="GY77" s="150">
        <f t="shared" si="282"/>
        <v>0</v>
      </c>
      <c r="GZ77" s="150">
        <f t="shared" si="283"/>
        <v>174889.94734634506</v>
      </c>
      <c r="HA77" s="150">
        <f t="shared" si="284"/>
        <v>0</v>
      </c>
      <c r="HB77" s="150">
        <f t="shared" si="285"/>
        <v>3951.6454238568631</v>
      </c>
      <c r="HC77" s="150">
        <f t="shared" si="286"/>
        <v>43850.739464640268</v>
      </c>
      <c r="HD77" s="150">
        <f t="shared" si="287"/>
        <v>592.74681357852899</v>
      </c>
      <c r="HE77" s="150">
        <f t="shared" si="288"/>
        <v>0</v>
      </c>
      <c r="HF77" s="150">
        <f t="shared" si="289"/>
        <v>0</v>
      </c>
      <c r="HG77" s="150">
        <f t="shared" si="290"/>
        <v>0</v>
      </c>
      <c r="HH77" s="150">
        <f t="shared" si="291"/>
        <v>72512.693527773401</v>
      </c>
      <c r="HI77" s="150">
        <f t="shared" si="292"/>
        <v>0</v>
      </c>
      <c r="HJ77" s="150">
        <f t="shared" si="293"/>
        <v>0</v>
      </c>
      <c r="HK77" s="150">
        <f t="shared" si="294"/>
        <v>0</v>
      </c>
      <c r="HL77" s="26"/>
      <c r="HN77" s="147">
        <f t="shared" si="295"/>
        <v>2863.6972570061434</v>
      </c>
      <c r="HO77" s="147">
        <f t="shared" si="296"/>
        <v>1601.4575407761854</v>
      </c>
      <c r="HP77" s="147">
        <f t="shared" si="297"/>
        <v>0</v>
      </c>
      <c r="HQ77" s="147">
        <f t="shared" si="298"/>
        <v>0</v>
      </c>
      <c r="HR77" s="147">
        <f t="shared" si="299"/>
        <v>0</v>
      </c>
      <c r="HS77" s="147">
        <f t="shared" si="300"/>
        <v>946.31581954956687</v>
      </c>
      <c r="HT77" s="147">
        <f t="shared" si="301"/>
        <v>0</v>
      </c>
      <c r="HU77" s="147">
        <f t="shared" si="302"/>
        <v>0</v>
      </c>
      <c r="HV77" s="147">
        <f t="shared" si="303"/>
        <v>0</v>
      </c>
      <c r="HW77" s="147">
        <f t="shared" si="304"/>
        <v>63001.339654135285</v>
      </c>
      <c r="HX77" s="147">
        <f t="shared" si="305"/>
        <v>0</v>
      </c>
      <c r="HY77" s="147">
        <f t="shared" si="306"/>
        <v>0</v>
      </c>
      <c r="HZ77" s="147">
        <f t="shared" si="307"/>
        <v>0</v>
      </c>
      <c r="IA77" s="147">
        <f t="shared" si="308"/>
        <v>0</v>
      </c>
      <c r="IB77" s="147">
        <f t="shared" si="309"/>
        <v>128866.37656527646</v>
      </c>
      <c r="IC77" s="147">
        <f t="shared" si="310"/>
        <v>0</v>
      </c>
      <c r="ID77" s="147">
        <f t="shared" si="311"/>
        <v>2911.7409832294302</v>
      </c>
      <c r="IE77" s="147">
        <f t="shared" si="312"/>
        <v>32311.096150800331</v>
      </c>
      <c r="IF77" s="147">
        <f t="shared" si="313"/>
        <v>436.76114748441415</v>
      </c>
      <c r="IG77" s="147">
        <f t="shared" si="314"/>
        <v>0</v>
      </c>
      <c r="IH77" s="147">
        <f t="shared" si="315"/>
        <v>0</v>
      </c>
      <c r="II77" s="147">
        <f t="shared" si="316"/>
        <v>0</v>
      </c>
      <c r="IJ77" s="147">
        <f t="shared" si="317"/>
        <v>53430.447042260021</v>
      </c>
      <c r="IK77" s="147">
        <f t="shared" si="318"/>
        <v>0</v>
      </c>
      <c r="IL77" s="147">
        <f t="shared" si="319"/>
        <v>0</v>
      </c>
      <c r="IM77" s="147">
        <f t="shared" si="320"/>
        <v>0</v>
      </c>
      <c r="IN77" s="26"/>
      <c r="IP77" s="61">
        <f t="shared" si="321"/>
        <v>1840.9480839517762</v>
      </c>
      <c r="IQ77" s="61">
        <f t="shared" si="322"/>
        <v>1029.5083336791831</v>
      </c>
      <c r="IR77" s="61">
        <f t="shared" si="323"/>
        <v>0</v>
      </c>
      <c r="IS77" s="61">
        <f t="shared" si="324"/>
        <v>0</v>
      </c>
      <c r="IT77" s="61">
        <f t="shared" si="325"/>
        <v>0</v>
      </c>
      <c r="IU77" s="61">
        <f t="shared" si="326"/>
        <v>608.34583353770086</v>
      </c>
      <c r="IV77" s="61">
        <f t="shared" si="327"/>
        <v>0</v>
      </c>
      <c r="IW77" s="61">
        <f t="shared" si="328"/>
        <v>0</v>
      </c>
      <c r="IX77" s="61">
        <f t="shared" si="329"/>
        <v>0</v>
      </c>
      <c r="IY77" s="61">
        <f t="shared" si="330"/>
        <v>40500.857846939165</v>
      </c>
      <c r="IZ77" s="61">
        <f t="shared" si="331"/>
        <v>0</v>
      </c>
      <c r="JA77" s="61">
        <f t="shared" si="332"/>
        <v>0</v>
      </c>
      <c r="JB77" s="61">
        <f t="shared" si="333"/>
        <v>0</v>
      </c>
      <c r="JC77" s="61">
        <f t="shared" si="334"/>
        <v>0</v>
      </c>
      <c r="JD77" s="61">
        <f t="shared" si="335"/>
        <v>82842.663777829934</v>
      </c>
      <c r="JE77" s="61">
        <f t="shared" si="336"/>
        <v>0</v>
      </c>
      <c r="JF77" s="61">
        <f t="shared" si="337"/>
        <v>1871.8333339621524</v>
      </c>
      <c r="JG77" s="61">
        <f t="shared" si="338"/>
        <v>20771.417231227901</v>
      </c>
      <c r="JH77" s="61">
        <f t="shared" si="339"/>
        <v>280.77500009432265</v>
      </c>
      <c r="JI77" s="61">
        <f t="shared" si="340"/>
        <v>0</v>
      </c>
      <c r="JJ77" s="61">
        <f t="shared" si="341"/>
        <v>0</v>
      </c>
      <c r="JK77" s="61">
        <f t="shared" si="342"/>
        <v>0</v>
      </c>
      <c r="JL77" s="61">
        <f t="shared" si="343"/>
        <v>34348.14167820548</v>
      </c>
      <c r="JM77" s="61">
        <f t="shared" si="344"/>
        <v>0</v>
      </c>
      <c r="JN77" s="61">
        <f t="shared" si="345"/>
        <v>0</v>
      </c>
      <c r="JO77" s="61">
        <f t="shared" si="346"/>
        <v>0</v>
      </c>
      <c r="JQ77" s="26">
        <f t="shared" si="431"/>
        <v>1022747.2373568327</v>
      </c>
      <c r="JR77" s="156">
        <f t="shared" si="432"/>
        <v>0.99999827656329432</v>
      </c>
      <c r="JT77" s="157">
        <f t="shared" si="347"/>
        <v>10227.489999999994</v>
      </c>
      <c r="JU77" s="29">
        <f t="shared" si="348"/>
        <v>1</v>
      </c>
    </row>
    <row r="78" spans="1:281" ht="18.75" x14ac:dyDescent="0.3">
      <c r="A78" t="s">
        <v>234</v>
      </c>
      <c r="B78" t="s">
        <v>158</v>
      </c>
      <c r="C78" t="s">
        <v>74</v>
      </c>
      <c r="D78" t="s">
        <v>29</v>
      </c>
      <c r="E78" s="11" t="s">
        <v>242</v>
      </c>
      <c r="F78" s="114">
        <v>3794</v>
      </c>
      <c r="G78" s="17">
        <v>760318</v>
      </c>
      <c r="H78" s="21">
        <v>611327</v>
      </c>
      <c r="I78" s="25">
        <f t="shared" si="434"/>
        <v>1.2437173558504695</v>
      </c>
      <c r="J78" s="13">
        <v>9.9999999999999898E-3</v>
      </c>
      <c r="K78" s="13">
        <v>5.5922724961870859E-3</v>
      </c>
      <c r="L78" s="13">
        <v>0</v>
      </c>
      <c r="M78" s="13">
        <v>0</v>
      </c>
      <c r="N78" s="13">
        <v>0</v>
      </c>
      <c r="O78" s="13">
        <v>3.3045246568378242E-3</v>
      </c>
      <c r="P78" s="13">
        <v>0</v>
      </c>
      <c r="Q78" s="13">
        <v>0</v>
      </c>
      <c r="R78" s="13">
        <v>0</v>
      </c>
      <c r="S78" s="13">
        <v>0.2200000000000002</v>
      </c>
      <c r="T78" s="13">
        <v>0</v>
      </c>
      <c r="U78" s="13">
        <v>0</v>
      </c>
      <c r="V78" s="13">
        <v>0</v>
      </c>
      <c r="W78" s="13">
        <v>0</v>
      </c>
      <c r="X78" s="13">
        <v>0.44999999999999979</v>
      </c>
      <c r="Y78" s="13">
        <v>0</v>
      </c>
      <c r="Z78" s="13">
        <v>1.0167768174885594E-2</v>
      </c>
      <c r="AA78" s="13">
        <v>0.11282999999999976</v>
      </c>
      <c r="AB78" s="13">
        <v>1.5251652262328319E-3</v>
      </c>
      <c r="AC78" s="13">
        <v>0</v>
      </c>
      <c r="AD78" s="13">
        <v>0</v>
      </c>
      <c r="AE78" s="13">
        <v>0</v>
      </c>
      <c r="AF78" s="13">
        <v>0.18657854600915103</v>
      </c>
      <c r="AG78" s="9">
        <v>0</v>
      </c>
      <c r="AH78" s="13">
        <v>0</v>
      </c>
      <c r="AJ78" s="8">
        <f t="shared" si="376"/>
        <v>0.9999982765632941</v>
      </c>
      <c r="AK78" s="141">
        <f t="shared" si="435"/>
        <v>37.939999999999962</v>
      </c>
      <c r="AL78" s="141">
        <f t="shared" si="436"/>
        <v>21.217081850533805</v>
      </c>
      <c r="AM78" s="141">
        <f t="shared" si="437"/>
        <v>0</v>
      </c>
      <c r="AN78" s="141">
        <f t="shared" si="438"/>
        <v>0</v>
      </c>
      <c r="AO78" s="141">
        <f t="shared" si="439"/>
        <v>0</v>
      </c>
      <c r="AP78" s="141">
        <f t="shared" si="440"/>
        <v>12.537366548042705</v>
      </c>
      <c r="AQ78" s="141">
        <f t="shared" si="441"/>
        <v>0</v>
      </c>
      <c r="AR78" s="141">
        <f t="shared" si="442"/>
        <v>0</v>
      </c>
      <c r="AS78" s="141">
        <f t="shared" si="443"/>
        <v>0</v>
      </c>
      <c r="AT78" s="141">
        <f t="shared" si="444"/>
        <v>834.68000000000075</v>
      </c>
      <c r="AU78" s="141">
        <f t="shared" si="445"/>
        <v>0</v>
      </c>
      <c r="AV78" s="141">
        <f t="shared" si="446"/>
        <v>0</v>
      </c>
      <c r="AW78" s="141">
        <f t="shared" si="447"/>
        <v>0</v>
      </c>
      <c r="AX78" s="141">
        <f t="shared" si="448"/>
        <v>0</v>
      </c>
      <c r="AY78" s="141">
        <f t="shared" si="449"/>
        <v>1707.2999999999993</v>
      </c>
      <c r="AZ78" s="141">
        <f t="shared" si="450"/>
        <v>0</v>
      </c>
      <c r="BA78" s="141">
        <f t="shared" si="451"/>
        <v>38.576512455515946</v>
      </c>
      <c r="BB78" s="141">
        <f t="shared" si="452"/>
        <v>428.0770199999991</v>
      </c>
      <c r="BC78" s="141">
        <f t="shared" si="453"/>
        <v>5.7864768683273642</v>
      </c>
      <c r="BD78" s="141">
        <f t="shared" si="454"/>
        <v>0</v>
      </c>
      <c r="BE78" s="141">
        <f t="shared" si="455"/>
        <v>0</v>
      </c>
      <c r="BF78" s="141">
        <f t="shared" si="456"/>
        <v>0</v>
      </c>
      <c r="BG78" s="141">
        <f t="shared" si="457"/>
        <v>707.87900355871898</v>
      </c>
      <c r="BH78" s="141">
        <f t="shared" si="458"/>
        <v>0</v>
      </c>
      <c r="BI78" s="141">
        <f t="shared" si="459"/>
        <v>0</v>
      </c>
      <c r="BJ78" s="141">
        <f t="shared" si="460"/>
        <v>0</v>
      </c>
      <c r="BM78" s="26">
        <f t="shared" si="377"/>
        <v>7603.1799999999921</v>
      </c>
      <c r="BN78" s="26">
        <f t="shared" si="378"/>
        <v>4251.905439755973</v>
      </c>
      <c r="BO78" s="26">
        <f t="shared" si="379"/>
        <v>0</v>
      </c>
      <c r="BP78" s="26">
        <f t="shared" si="380"/>
        <v>0</v>
      </c>
      <c r="BQ78" s="26">
        <f t="shared" si="381"/>
        <v>0</v>
      </c>
      <c r="BR78" s="26">
        <f t="shared" si="382"/>
        <v>2512.489578037621</v>
      </c>
      <c r="BS78" s="26">
        <f t="shared" si="383"/>
        <v>0</v>
      </c>
      <c r="BT78" s="26">
        <f t="shared" si="384"/>
        <v>0</v>
      </c>
      <c r="BU78" s="26">
        <f t="shared" si="385"/>
        <v>0</v>
      </c>
      <c r="BV78" s="26">
        <f t="shared" si="386"/>
        <v>167269.96000000014</v>
      </c>
      <c r="BW78" s="26">
        <f t="shared" si="387"/>
        <v>0</v>
      </c>
      <c r="BX78" s="26">
        <f t="shared" si="388"/>
        <v>0</v>
      </c>
      <c r="BY78" s="26">
        <f t="shared" si="389"/>
        <v>0</v>
      </c>
      <c r="BZ78" s="26">
        <f t="shared" si="390"/>
        <v>0</v>
      </c>
      <c r="CA78" s="26">
        <f t="shared" si="391"/>
        <v>342143.09999999986</v>
      </c>
      <c r="CB78" s="26">
        <f t="shared" si="392"/>
        <v>0</v>
      </c>
      <c r="CC78" s="26">
        <f t="shared" si="393"/>
        <v>7730.7371631926653</v>
      </c>
      <c r="CD78" s="26">
        <f t="shared" si="394"/>
        <v>85786.679939999827</v>
      </c>
      <c r="CE78" s="26">
        <f t="shared" si="395"/>
        <v>1159.6105744788943</v>
      </c>
      <c r="CF78" s="26">
        <f t="shared" si="396"/>
        <v>0</v>
      </c>
      <c r="CG78" s="26">
        <f t="shared" si="397"/>
        <v>0</v>
      </c>
      <c r="CH78" s="26">
        <f t="shared" si="398"/>
        <v>0</v>
      </c>
      <c r="CI78" s="26">
        <f t="shared" si="399"/>
        <v>141859.0269445857</v>
      </c>
      <c r="CJ78" s="26">
        <f t="shared" si="400"/>
        <v>0</v>
      </c>
      <c r="CK78" s="26">
        <f t="shared" si="401"/>
        <v>0</v>
      </c>
      <c r="CL78" s="26">
        <f t="shared" si="402"/>
        <v>0</v>
      </c>
      <c r="CM78" s="110">
        <f t="shared" si="403"/>
        <v>0.99999827656329421</v>
      </c>
      <c r="CN78" s="27">
        <f t="shared" si="404"/>
        <v>6113.2699999999941</v>
      </c>
      <c r="CO78" s="27">
        <f t="shared" si="405"/>
        <v>3418.7071682765627</v>
      </c>
      <c r="CP78" s="27">
        <f t="shared" si="406"/>
        <v>0</v>
      </c>
      <c r="CQ78" s="27">
        <f t="shared" si="407"/>
        <v>0</v>
      </c>
      <c r="CR78" s="27">
        <f t="shared" si="408"/>
        <v>0</v>
      </c>
      <c r="CS78" s="27">
        <f t="shared" si="409"/>
        <v>2020.1451448906967</v>
      </c>
      <c r="CT78" s="27">
        <f t="shared" si="410"/>
        <v>0</v>
      </c>
      <c r="CU78" s="27">
        <f t="shared" si="411"/>
        <v>0</v>
      </c>
      <c r="CV78" s="27">
        <f t="shared" si="412"/>
        <v>0</v>
      </c>
      <c r="CW78" s="27">
        <f t="shared" si="413"/>
        <v>134491.94000000012</v>
      </c>
      <c r="CX78" s="27">
        <f t="shared" si="414"/>
        <v>0</v>
      </c>
      <c r="CY78" s="27">
        <f t="shared" si="415"/>
        <v>0</v>
      </c>
      <c r="CZ78" s="27">
        <f t="shared" si="416"/>
        <v>0</v>
      </c>
      <c r="DA78" s="27">
        <f t="shared" si="417"/>
        <v>0</v>
      </c>
      <c r="DB78" s="27">
        <f t="shared" si="418"/>
        <v>275097.14999999985</v>
      </c>
      <c r="DC78" s="27">
        <f t="shared" si="419"/>
        <v>0</v>
      </c>
      <c r="DD78" s="27">
        <f t="shared" si="420"/>
        <v>6215.8312150482861</v>
      </c>
      <c r="DE78" s="27">
        <f t="shared" si="421"/>
        <v>68976.025409999856</v>
      </c>
      <c r="DF78" s="27">
        <f t="shared" si="422"/>
        <v>932.37468225723842</v>
      </c>
      <c r="DG78" s="27">
        <f t="shared" si="423"/>
        <v>0</v>
      </c>
      <c r="DH78" s="27">
        <f t="shared" si="424"/>
        <v>0</v>
      </c>
      <c r="DI78" s="27">
        <f t="shared" si="425"/>
        <v>0</v>
      </c>
      <c r="DJ78" s="27">
        <f t="shared" si="426"/>
        <v>114060.50279613626</v>
      </c>
      <c r="DK78" s="27">
        <f t="shared" si="427"/>
        <v>0</v>
      </c>
      <c r="DL78" s="27">
        <f t="shared" si="428"/>
        <v>0</v>
      </c>
      <c r="DM78" s="27">
        <f t="shared" si="429"/>
        <v>0</v>
      </c>
      <c r="DN78" s="110">
        <f t="shared" si="430"/>
        <v>0.9999982765632941</v>
      </c>
      <c r="DO78" s="28">
        <f t="shared" si="211"/>
        <v>1489.909999999998</v>
      </c>
      <c r="DP78" s="28">
        <f t="shared" si="212"/>
        <v>833.19827147941032</v>
      </c>
      <c r="DQ78" s="28">
        <f t="shared" si="213"/>
        <v>0</v>
      </c>
      <c r="DR78" s="28">
        <f t="shared" si="214"/>
        <v>0</v>
      </c>
      <c r="DS78" s="28">
        <f t="shared" si="215"/>
        <v>0</v>
      </c>
      <c r="DT78" s="28">
        <f t="shared" si="216"/>
        <v>492.3444331469243</v>
      </c>
      <c r="DU78" s="28">
        <f t="shared" si="217"/>
        <v>0</v>
      </c>
      <c r="DV78" s="28">
        <f t="shared" si="218"/>
        <v>0</v>
      </c>
      <c r="DW78" s="28">
        <f t="shared" si="219"/>
        <v>0</v>
      </c>
      <c r="DX78" s="28">
        <f t="shared" si="220"/>
        <v>32778.020000000019</v>
      </c>
      <c r="DY78" s="28">
        <f t="shared" si="221"/>
        <v>0</v>
      </c>
      <c r="DZ78" s="28">
        <f t="shared" si="222"/>
        <v>0</v>
      </c>
      <c r="EA78" s="28">
        <f t="shared" si="223"/>
        <v>0</v>
      </c>
      <c r="EB78" s="28">
        <f t="shared" si="224"/>
        <v>0</v>
      </c>
      <c r="EC78" s="28">
        <f t="shared" si="225"/>
        <v>67045.950000000012</v>
      </c>
      <c r="ED78" s="28">
        <f t="shared" si="226"/>
        <v>0</v>
      </c>
      <c r="EE78" s="28">
        <f t="shared" si="227"/>
        <v>1514.9059481443792</v>
      </c>
      <c r="EF78" s="28">
        <f t="shared" si="228"/>
        <v>16810.654529999971</v>
      </c>
      <c r="EG78" s="28">
        <f t="shared" si="229"/>
        <v>227.23589222165583</v>
      </c>
      <c r="EH78" s="28">
        <f t="shared" si="230"/>
        <v>0</v>
      </c>
      <c r="EI78" s="28">
        <f t="shared" si="231"/>
        <v>0</v>
      </c>
      <c r="EJ78" s="28">
        <f t="shared" si="232"/>
        <v>0</v>
      </c>
      <c r="EK78" s="28">
        <f t="shared" si="233"/>
        <v>27798.524148449433</v>
      </c>
      <c r="EL78" s="28">
        <f t="shared" si="234"/>
        <v>0</v>
      </c>
      <c r="EM78" s="28">
        <f t="shared" si="235"/>
        <v>0</v>
      </c>
      <c r="EN78" s="28">
        <f t="shared" si="236"/>
        <v>0</v>
      </c>
      <c r="EQ78" s="144">
        <v>3.0000150548504041E-2</v>
      </c>
      <c r="ER78" s="144">
        <v>5.0000142570467518E-2</v>
      </c>
      <c r="ES78" s="144">
        <v>7.9999997636137327E-2</v>
      </c>
      <c r="ET78" s="144">
        <v>0.11000014818464135</v>
      </c>
      <c r="EU78" s="144">
        <v>0.11999970097137172</v>
      </c>
      <c r="EV78" s="144">
        <v>0.1499998515198758</v>
      </c>
      <c r="EW78" s="144">
        <v>0.12999984472377057</v>
      </c>
      <c r="EX78" s="144">
        <v>7.9999997636137327E-2</v>
      </c>
      <c r="EY78" s="144">
        <v>7.00001493665727E-2</v>
      </c>
      <c r="EZ78" s="144">
        <v>6.0000005614173839E-2</v>
      </c>
      <c r="FA78" s="144">
        <v>6.0000005614173839E-2</v>
      </c>
      <c r="FB78" s="144">
        <v>6.0000005614173839E-2</v>
      </c>
      <c r="FC78" s="145">
        <f t="shared" si="237"/>
        <v>0.99999999999999989</v>
      </c>
      <c r="FD78" s="146">
        <f t="shared" si="238"/>
        <v>0.16000029075510888</v>
      </c>
      <c r="FE78" s="146">
        <f t="shared" si="239"/>
        <v>0.37999970067588884</v>
      </c>
      <c r="FF78" s="146">
        <f t="shared" si="240"/>
        <v>0.2799999917264806</v>
      </c>
      <c r="FG78" s="146">
        <f t="shared" si="241"/>
        <v>0.18000001684252151</v>
      </c>
      <c r="FH78" s="145">
        <f t="shared" si="375"/>
        <v>0.99999999999999989</v>
      </c>
      <c r="FJ78" s="52">
        <f t="shared" si="243"/>
        <v>1216.5110106634274</v>
      </c>
      <c r="FK78" s="52">
        <f t="shared" si="244"/>
        <v>680.30610662418474</v>
      </c>
      <c r="FL78" s="52">
        <f t="shared" si="245"/>
        <v>0</v>
      </c>
      <c r="FM78" s="52">
        <f t="shared" si="246"/>
        <v>0</v>
      </c>
      <c r="FN78" s="52">
        <f t="shared" si="247"/>
        <v>0</v>
      </c>
      <c r="FO78" s="52">
        <f t="shared" si="248"/>
        <v>401.99906300520018</v>
      </c>
      <c r="FP78" s="52">
        <f t="shared" si="249"/>
        <v>0</v>
      </c>
      <c r="FQ78" s="52">
        <f t="shared" si="250"/>
        <v>0</v>
      </c>
      <c r="FR78" s="52">
        <f t="shared" si="251"/>
        <v>0</v>
      </c>
      <c r="FS78" s="52">
        <f t="shared" si="252"/>
        <v>26763.242234595455</v>
      </c>
      <c r="FT78" s="52">
        <f t="shared" si="253"/>
        <v>0</v>
      </c>
      <c r="FU78" s="52">
        <f t="shared" si="254"/>
        <v>0</v>
      </c>
      <c r="FV78" s="52">
        <f t="shared" si="255"/>
        <v>0</v>
      </c>
      <c r="FW78" s="52">
        <f t="shared" si="256"/>
        <v>0</v>
      </c>
      <c r="FX78" s="52">
        <f t="shared" si="257"/>
        <v>54742.995479854268</v>
      </c>
      <c r="FY78" s="52">
        <f t="shared" si="258"/>
        <v>0</v>
      </c>
      <c r="FZ78" s="52">
        <f t="shared" si="259"/>
        <v>1236.920193862152</v>
      </c>
      <c r="GA78" s="52">
        <f t="shared" si="260"/>
        <v>13725.893733315439</v>
      </c>
      <c r="GB78" s="52">
        <f t="shared" si="261"/>
        <v>185.53802907932192</v>
      </c>
      <c r="GC78" s="52">
        <f t="shared" si="262"/>
        <v>0</v>
      </c>
      <c r="GD78" s="52">
        <f t="shared" si="263"/>
        <v>0</v>
      </c>
      <c r="GE78" s="52">
        <f t="shared" si="264"/>
        <v>0</v>
      </c>
      <c r="GF78" s="52">
        <f t="shared" si="265"/>
        <v>22697.485557370535</v>
      </c>
      <c r="GG78" s="52">
        <f t="shared" si="266"/>
        <v>0</v>
      </c>
      <c r="GH78" s="52">
        <f t="shared" si="267"/>
        <v>0</v>
      </c>
      <c r="GI78" s="52">
        <f t="shared" si="268"/>
        <v>0</v>
      </c>
      <c r="GJ78" s="26"/>
      <c r="GL78" s="150">
        <f t="shared" si="269"/>
        <v>2889.2061241849015</v>
      </c>
      <c r="GM78" s="150">
        <f t="shared" si="270"/>
        <v>1615.7227944094532</v>
      </c>
      <c r="GN78" s="150">
        <f t="shared" si="271"/>
        <v>0</v>
      </c>
      <c r="GO78" s="150">
        <f t="shared" si="272"/>
        <v>0</v>
      </c>
      <c r="GP78" s="150">
        <f t="shared" si="273"/>
        <v>0</v>
      </c>
      <c r="GQ78" s="150">
        <f t="shared" si="274"/>
        <v>954.74528760558621</v>
      </c>
      <c r="GR78" s="150">
        <f t="shared" si="275"/>
        <v>0</v>
      </c>
      <c r="GS78" s="150">
        <f t="shared" si="276"/>
        <v>0</v>
      </c>
      <c r="GT78" s="150">
        <f t="shared" si="277"/>
        <v>0</v>
      </c>
      <c r="GU78" s="150">
        <f t="shared" si="278"/>
        <v>63562.53473206795</v>
      </c>
      <c r="GV78" s="150">
        <f t="shared" si="279"/>
        <v>0</v>
      </c>
      <c r="GW78" s="150">
        <f t="shared" si="280"/>
        <v>0</v>
      </c>
      <c r="GX78" s="150">
        <f t="shared" si="281"/>
        <v>0</v>
      </c>
      <c r="GY78" s="150">
        <f t="shared" si="282"/>
        <v>0</v>
      </c>
      <c r="GZ78" s="150">
        <f t="shared" si="283"/>
        <v>130014.27558832066</v>
      </c>
      <c r="HA78" s="150">
        <f t="shared" si="284"/>
        <v>0</v>
      </c>
      <c r="HB78" s="150">
        <f t="shared" si="285"/>
        <v>2937.677808017183</v>
      </c>
      <c r="HC78" s="150">
        <f t="shared" si="286"/>
        <v>32598.91269917821</v>
      </c>
      <c r="HD78" s="150">
        <f t="shared" si="287"/>
        <v>440.6516712025753</v>
      </c>
      <c r="HE78" s="150">
        <f t="shared" si="288"/>
        <v>0</v>
      </c>
      <c r="HF78" s="150">
        <f t="shared" si="289"/>
        <v>0</v>
      </c>
      <c r="HG78" s="150">
        <f t="shared" si="290"/>
        <v>0</v>
      </c>
      <c r="HH78" s="150">
        <f t="shared" si="291"/>
        <v>53906.387777115415</v>
      </c>
      <c r="HI78" s="150">
        <f t="shared" si="292"/>
        <v>0</v>
      </c>
      <c r="HJ78" s="150">
        <f t="shared" si="293"/>
        <v>0</v>
      </c>
      <c r="HK78" s="150">
        <f t="shared" si="294"/>
        <v>0</v>
      </c>
      <c r="HL78" s="26"/>
      <c r="HN78" s="147">
        <f t="shared" si="295"/>
        <v>2128.8903370949406</v>
      </c>
      <c r="HO78" s="147">
        <f t="shared" si="296"/>
        <v>1190.5334879534503</v>
      </c>
      <c r="HP78" s="147">
        <f t="shared" si="297"/>
        <v>0</v>
      </c>
      <c r="HQ78" s="147">
        <f t="shared" si="298"/>
        <v>0</v>
      </c>
      <c r="HR78" s="147">
        <f t="shared" si="299"/>
        <v>0</v>
      </c>
      <c r="HS78" s="147">
        <f t="shared" si="300"/>
        <v>703.49706106340261</v>
      </c>
      <c r="HT78" s="147">
        <f t="shared" si="301"/>
        <v>0</v>
      </c>
      <c r="HU78" s="147">
        <f t="shared" si="302"/>
        <v>0</v>
      </c>
      <c r="HV78" s="147">
        <f t="shared" si="303"/>
        <v>0</v>
      </c>
      <c r="HW78" s="147">
        <f t="shared" si="304"/>
        <v>46835.587416088776</v>
      </c>
      <c r="HX78" s="147">
        <f t="shared" si="305"/>
        <v>0</v>
      </c>
      <c r="HY78" s="147">
        <f t="shared" si="306"/>
        <v>0</v>
      </c>
      <c r="HZ78" s="147">
        <f t="shared" si="307"/>
        <v>0</v>
      </c>
      <c r="IA78" s="147">
        <f t="shared" si="308"/>
        <v>0</v>
      </c>
      <c r="IB78" s="147">
        <f t="shared" si="309"/>
        <v>95800.065169272391</v>
      </c>
      <c r="IC78" s="147">
        <f t="shared" si="310"/>
        <v>0</v>
      </c>
      <c r="ID78" s="147">
        <f t="shared" si="311"/>
        <v>2164.6063417335422</v>
      </c>
      <c r="IE78" s="147">
        <f t="shared" si="312"/>
        <v>24020.269673442192</v>
      </c>
      <c r="IF78" s="147">
        <f t="shared" si="313"/>
        <v>324.69095126002981</v>
      </c>
      <c r="IG78" s="147">
        <f t="shared" si="314"/>
        <v>0</v>
      </c>
      <c r="IH78" s="147">
        <f t="shared" si="315"/>
        <v>0</v>
      </c>
      <c r="II78" s="147">
        <f t="shared" si="316"/>
        <v>0</v>
      </c>
      <c r="IJ78" s="147">
        <f t="shared" si="317"/>
        <v>39720.526370810585</v>
      </c>
      <c r="IK78" s="147">
        <f t="shared" si="318"/>
        <v>0</v>
      </c>
      <c r="IL78" s="147">
        <f t="shared" si="319"/>
        <v>0</v>
      </c>
      <c r="IM78" s="147">
        <f t="shared" si="320"/>
        <v>0</v>
      </c>
      <c r="IN78" s="26"/>
      <c r="IP78" s="61">
        <f t="shared" si="321"/>
        <v>1368.5725280567212</v>
      </c>
      <c r="IQ78" s="61">
        <f t="shared" si="322"/>
        <v>765.34305076888393</v>
      </c>
      <c r="IR78" s="61">
        <f t="shared" si="323"/>
        <v>0</v>
      </c>
      <c r="IS78" s="61">
        <f t="shared" si="324"/>
        <v>0</v>
      </c>
      <c r="IT78" s="61">
        <f t="shared" si="325"/>
        <v>0</v>
      </c>
      <c r="IU78" s="61">
        <f t="shared" si="326"/>
        <v>452.24816636343155</v>
      </c>
      <c r="IV78" s="61">
        <f t="shared" si="327"/>
        <v>0</v>
      </c>
      <c r="IW78" s="61">
        <f t="shared" si="328"/>
        <v>0</v>
      </c>
      <c r="IX78" s="61">
        <f t="shared" si="329"/>
        <v>0</v>
      </c>
      <c r="IY78" s="61">
        <f t="shared" si="330"/>
        <v>30108.595617247924</v>
      </c>
      <c r="IZ78" s="61">
        <f t="shared" si="331"/>
        <v>0</v>
      </c>
      <c r="JA78" s="61">
        <f t="shared" si="332"/>
        <v>0</v>
      </c>
      <c r="JB78" s="61">
        <f t="shared" si="333"/>
        <v>0</v>
      </c>
      <c r="JC78" s="61">
        <f t="shared" si="334"/>
        <v>0</v>
      </c>
      <c r="JD78" s="61">
        <f t="shared" si="335"/>
        <v>61585.763762552495</v>
      </c>
      <c r="JE78" s="61">
        <f t="shared" si="336"/>
        <v>0</v>
      </c>
      <c r="JF78" s="61">
        <f t="shared" si="337"/>
        <v>1391.5328195797867</v>
      </c>
      <c r="JG78" s="61">
        <f t="shared" si="338"/>
        <v>15441.603834063972</v>
      </c>
      <c r="JH78" s="61">
        <f t="shared" si="339"/>
        <v>208.729922936967</v>
      </c>
      <c r="JI78" s="61">
        <f t="shared" si="340"/>
        <v>0</v>
      </c>
      <c r="JJ78" s="61">
        <f t="shared" si="341"/>
        <v>0</v>
      </c>
      <c r="JK78" s="61">
        <f t="shared" si="342"/>
        <v>0</v>
      </c>
      <c r="JL78" s="61">
        <f t="shared" si="343"/>
        <v>25534.627239289137</v>
      </c>
      <c r="JM78" s="61">
        <f t="shared" si="344"/>
        <v>0</v>
      </c>
      <c r="JN78" s="61">
        <f t="shared" si="345"/>
        <v>0</v>
      </c>
      <c r="JO78" s="61">
        <f t="shared" si="346"/>
        <v>0</v>
      </c>
      <c r="JQ78" s="26">
        <f t="shared" si="431"/>
        <v>760316.68964005064</v>
      </c>
      <c r="JR78" s="156">
        <f t="shared" si="432"/>
        <v>0.9999982765632941</v>
      </c>
      <c r="JT78" s="157">
        <f t="shared" si="347"/>
        <v>7603.1799999999912</v>
      </c>
      <c r="JU78" s="29">
        <f t="shared" si="348"/>
        <v>0.99999999999999989</v>
      </c>
    </row>
    <row r="79" spans="1:281" ht="18.75" x14ac:dyDescent="0.3">
      <c r="A79" t="s">
        <v>234</v>
      </c>
      <c r="B79" t="s">
        <v>159</v>
      </c>
      <c r="C79" t="s">
        <v>74</v>
      </c>
      <c r="D79" t="s">
        <v>29</v>
      </c>
      <c r="E79" s="11" t="s">
        <v>243</v>
      </c>
      <c r="F79" s="114">
        <v>1130</v>
      </c>
      <c r="G79" s="17">
        <v>358435.98237196507</v>
      </c>
      <c r="H79" s="21">
        <v>256025.70169426079</v>
      </c>
      <c r="I79" s="25">
        <f t="shared" si="434"/>
        <v>1.4</v>
      </c>
      <c r="J79" s="13">
        <v>4.0000000000000063E-2</v>
      </c>
      <c r="K79" s="13">
        <v>1.7500847656555685E-2</v>
      </c>
      <c r="L79" s="13">
        <v>7.9288490128061277E-3</v>
      </c>
      <c r="M79" s="13">
        <v>2.9999999999999978E-2</v>
      </c>
      <c r="N79" s="13">
        <v>3.5079940533632427E-2</v>
      </c>
      <c r="O79" s="13">
        <v>6.3639446023838697E-2</v>
      </c>
      <c r="P79" s="13">
        <v>8.6591377376698669E-3</v>
      </c>
      <c r="Q79" s="13">
        <v>1.5000000000000001E-2</v>
      </c>
      <c r="R79" s="13">
        <v>1.8518035523330114E-2</v>
      </c>
      <c r="S79" s="13">
        <v>0.17000000000000021</v>
      </c>
      <c r="T79" s="13">
        <v>6.4710000000000073E-2</v>
      </c>
      <c r="U79" s="13">
        <v>4.9999999999999878E-2</v>
      </c>
      <c r="V79" s="13">
        <v>1.3953730992931875E-2</v>
      </c>
      <c r="W79" s="13">
        <v>5.3806629978352213E-2</v>
      </c>
      <c r="X79" s="13">
        <v>5.1276701181502918E-2</v>
      </c>
      <c r="Y79" s="13">
        <v>4.8329464541874124E-2</v>
      </c>
      <c r="Z79" s="13">
        <v>1.1528129156777365E-2</v>
      </c>
      <c r="AA79" s="13">
        <v>4.825121932135313E-2</v>
      </c>
      <c r="AB79" s="13">
        <v>1.7631256357424099E-2</v>
      </c>
      <c r="AC79" s="13">
        <v>1.6014188466654478E-2</v>
      </c>
      <c r="AD79" s="13">
        <v>6.872538535771118E-2</v>
      </c>
      <c r="AE79" s="13">
        <v>1.7396520695860857E-2</v>
      </c>
      <c r="AF79" s="13">
        <v>0.13205185049946505</v>
      </c>
      <c r="AG79" s="9">
        <v>0</v>
      </c>
      <c r="AH79" s="13">
        <v>0</v>
      </c>
      <c r="AJ79" s="8">
        <f t="shared" si="376"/>
        <v>1.0000013330377404</v>
      </c>
      <c r="AK79" s="141">
        <f t="shared" si="435"/>
        <v>45.200000000000074</v>
      </c>
      <c r="AL79" s="141">
        <f t="shared" si="436"/>
        <v>19.775957851907926</v>
      </c>
      <c r="AM79" s="141">
        <f t="shared" si="437"/>
        <v>8.9595993844709234</v>
      </c>
      <c r="AN79" s="141">
        <f t="shared" si="438"/>
        <v>33.899999999999977</v>
      </c>
      <c r="AO79" s="141">
        <f t="shared" si="439"/>
        <v>39.64033280300464</v>
      </c>
      <c r="AP79" s="141">
        <f t="shared" si="440"/>
        <v>71.912574006937731</v>
      </c>
      <c r="AQ79" s="141">
        <f t="shared" si="441"/>
        <v>9.7848256435669505</v>
      </c>
      <c r="AR79" s="141">
        <f t="shared" si="442"/>
        <v>16.950000000000003</v>
      </c>
      <c r="AS79" s="141">
        <f t="shared" si="443"/>
        <v>20.925380141363028</v>
      </c>
      <c r="AT79" s="141">
        <f t="shared" si="444"/>
        <v>192.10000000000022</v>
      </c>
      <c r="AU79" s="141">
        <f t="shared" si="445"/>
        <v>73.122300000000081</v>
      </c>
      <c r="AV79" s="141">
        <f t="shared" si="446"/>
        <v>56.499999999999865</v>
      </c>
      <c r="AW79" s="141">
        <f t="shared" si="447"/>
        <v>15.767716022013019</v>
      </c>
      <c r="AX79" s="141">
        <f t="shared" si="448"/>
        <v>60.801491875537998</v>
      </c>
      <c r="AY79" s="141">
        <f t="shared" si="449"/>
        <v>57.942672335098294</v>
      </c>
      <c r="AZ79" s="141">
        <f t="shared" si="450"/>
        <v>54.612294932317759</v>
      </c>
      <c r="BA79" s="141">
        <f t="shared" si="451"/>
        <v>13.026785947158423</v>
      </c>
      <c r="BB79" s="141">
        <f t="shared" si="452"/>
        <v>54.523877833129035</v>
      </c>
      <c r="BC79" s="141">
        <f t="shared" si="453"/>
        <v>19.923319683889233</v>
      </c>
      <c r="BD79" s="141">
        <f t="shared" si="454"/>
        <v>18.096032967319559</v>
      </c>
      <c r="BE79" s="141">
        <f t="shared" si="455"/>
        <v>77.65968545421363</v>
      </c>
      <c r="BF79" s="141">
        <f t="shared" si="456"/>
        <v>19.658068386322768</v>
      </c>
      <c r="BG79" s="141">
        <f t="shared" si="457"/>
        <v>149.2185910643955</v>
      </c>
      <c r="BH79" s="141">
        <f t="shared" si="458"/>
        <v>0</v>
      </c>
      <c r="BI79" s="141">
        <f t="shared" si="459"/>
        <v>0</v>
      </c>
      <c r="BJ79" s="141">
        <f t="shared" si="460"/>
        <v>0</v>
      </c>
      <c r="BM79" s="26">
        <f t="shared" si="377"/>
        <v>14337.439294878626</v>
      </c>
      <c r="BN79" s="26">
        <f t="shared" si="378"/>
        <v>6272.9335221196397</v>
      </c>
      <c r="BO79" s="26">
        <f t="shared" si="379"/>
        <v>2841.9847849841499</v>
      </c>
      <c r="BP79" s="26">
        <f t="shared" si="380"/>
        <v>10753.079471158944</v>
      </c>
      <c r="BQ79" s="26">
        <f t="shared" si="381"/>
        <v>12573.912946722656</v>
      </c>
      <c r="BR79" s="26">
        <f t="shared" si="382"/>
        <v>22810.667353162269</v>
      </c>
      <c r="BS79" s="26">
        <f t="shared" si="383"/>
        <v>3103.7465414958538</v>
      </c>
      <c r="BT79" s="26">
        <f t="shared" si="384"/>
        <v>5376.5397355794767</v>
      </c>
      <c r="BU79" s="26">
        <f t="shared" si="385"/>
        <v>6637.5302544037759</v>
      </c>
      <c r="BV79" s="26">
        <f t="shared" si="386"/>
        <v>60934.11700323414</v>
      </c>
      <c r="BW79" s="26">
        <f t="shared" si="387"/>
        <v>23194.392419289885</v>
      </c>
      <c r="BX79" s="26">
        <f t="shared" si="388"/>
        <v>17921.79911859821</v>
      </c>
      <c r="BY79" s="26">
        <f t="shared" si="389"/>
        <v>5001.5192762056722</v>
      </c>
      <c r="BZ79" s="26">
        <f t="shared" si="390"/>
        <v>19286.232274415503</v>
      </c>
      <c r="CA79" s="26">
        <f t="shared" si="391"/>
        <v>18379.414760785701</v>
      </c>
      <c r="CB79" s="26">
        <f t="shared" si="392"/>
        <v>17323.019100577705</v>
      </c>
      <c r="CC79" s="26">
        <f t="shared" si="393"/>
        <v>4132.0962992203886</v>
      </c>
      <c r="CD79" s="26">
        <f t="shared" si="394"/>
        <v>17294.973198094351</v>
      </c>
      <c r="CE79" s="26">
        <f t="shared" si="395"/>
        <v>6319.6766929252617</v>
      </c>
      <c r="CF79" s="26">
        <f t="shared" si="396"/>
        <v>5740.0613749350905</v>
      </c>
      <c r="CG79" s="26">
        <f t="shared" si="397"/>
        <v>24633.651014583073</v>
      </c>
      <c r="CH79" s="26">
        <f t="shared" si="398"/>
        <v>6235.5389854751074</v>
      </c>
      <c r="CI79" s="26">
        <f t="shared" si="399"/>
        <v>47332.134757811626</v>
      </c>
      <c r="CJ79" s="26">
        <f t="shared" si="400"/>
        <v>0</v>
      </c>
      <c r="CK79" s="26">
        <f t="shared" si="401"/>
        <v>0</v>
      </c>
      <c r="CL79" s="26">
        <f t="shared" si="402"/>
        <v>0</v>
      </c>
      <c r="CM79" s="110">
        <f t="shared" si="403"/>
        <v>1.0000013330377404</v>
      </c>
      <c r="CN79" s="27">
        <f t="shared" si="404"/>
        <v>10241.028067770449</v>
      </c>
      <c r="CO79" s="27">
        <f t="shared" si="405"/>
        <v>4480.6668015140285</v>
      </c>
      <c r="CP79" s="27">
        <f t="shared" si="406"/>
        <v>2029.9891321315358</v>
      </c>
      <c r="CQ79" s="27">
        <f t="shared" si="407"/>
        <v>7680.7710508278178</v>
      </c>
      <c r="CR79" s="27">
        <f t="shared" si="408"/>
        <v>8981.3663905161829</v>
      </c>
      <c r="CS79" s="27">
        <f t="shared" si="409"/>
        <v>16293.333823687337</v>
      </c>
      <c r="CT79" s="27">
        <f t="shared" si="410"/>
        <v>2216.9618153541815</v>
      </c>
      <c r="CU79" s="27">
        <f t="shared" si="411"/>
        <v>3840.3855254139121</v>
      </c>
      <c r="CV79" s="27">
        <f t="shared" si="412"/>
        <v>4741.0930388598399</v>
      </c>
      <c r="CW79" s="27">
        <f t="shared" si="413"/>
        <v>43524.369288024383</v>
      </c>
      <c r="CX79" s="27">
        <f t="shared" si="414"/>
        <v>16567.423156635636</v>
      </c>
      <c r="CY79" s="27">
        <f t="shared" si="415"/>
        <v>12801.285084713008</v>
      </c>
      <c r="CZ79" s="27">
        <f t="shared" si="416"/>
        <v>3572.5137687183374</v>
      </c>
      <c r="DA79" s="27">
        <f t="shared" si="417"/>
        <v>13775.880196011074</v>
      </c>
      <c r="DB79" s="27">
        <f t="shared" si="418"/>
        <v>13128.153400561216</v>
      </c>
      <c r="DC79" s="27">
        <f t="shared" si="419"/>
        <v>12373.585071841218</v>
      </c>
      <c r="DD79" s="27">
        <f t="shared" si="420"/>
        <v>2951.4973565859918</v>
      </c>
      <c r="DE79" s="27">
        <f t="shared" si="421"/>
        <v>12353.552284353109</v>
      </c>
      <c r="DF79" s="27">
        <f t="shared" si="422"/>
        <v>4514.0547806609011</v>
      </c>
      <c r="DG79" s="27">
        <f t="shared" si="423"/>
        <v>4100.0438392393507</v>
      </c>
      <c r="DH79" s="27">
        <f t="shared" si="424"/>
        <v>17595.465010416479</v>
      </c>
      <c r="DI79" s="27">
        <f t="shared" si="425"/>
        <v>4453.9564181965061</v>
      </c>
      <c r="DJ79" s="27">
        <f t="shared" si="426"/>
        <v>33808.667684151158</v>
      </c>
      <c r="DK79" s="27">
        <f t="shared" si="427"/>
        <v>0</v>
      </c>
      <c r="DL79" s="27">
        <f t="shared" si="428"/>
        <v>0</v>
      </c>
      <c r="DM79" s="27">
        <f t="shared" si="429"/>
        <v>0</v>
      </c>
      <c r="DN79" s="110">
        <f t="shared" si="430"/>
        <v>1.0000013330377404</v>
      </c>
      <c r="DO79" s="28">
        <f t="shared" si="211"/>
        <v>4096.4112271081776</v>
      </c>
      <c r="DP79" s="28">
        <f t="shared" si="212"/>
        <v>1792.2667206056112</v>
      </c>
      <c r="DQ79" s="28">
        <f t="shared" si="213"/>
        <v>811.99565285261406</v>
      </c>
      <c r="DR79" s="28">
        <f t="shared" si="214"/>
        <v>3072.3084203311264</v>
      </c>
      <c r="DS79" s="28">
        <f t="shared" si="215"/>
        <v>3592.5465562064728</v>
      </c>
      <c r="DT79" s="28">
        <f t="shared" si="216"/>
        <v>6517.3335294749322</v>
      </c>
      <c r="DU79" s="28">
        <f t="shared" si="217"/>
        <v>886.78472614167231</v>
      </c>
      <c r="DV79" s="28">
        <f t="shared" si="218"/>
        <v>1536.1542101655646</v>
      </c>
      <c r="DW79" s="28">
        <f t="shared" si="219"/>
        <v>1896.437215543936</v>
      </c>
      <c r="DX79" s="28">
        <f t="shared" si="220"/>
        <v>17409.747715209756</v>
      </c>
      <c r="DY79" s="28">
        <f t="shared" si="221"/>
        <v>6626.9692626542492</v>
      </c>
      <c r="DZ79" s="28">
        <f t="shared" si="222"/>
        <v>5120.5140338852016</v>
      </c>
      <c r="EA79" s="28">
        <f t="shared" si="223"/>
        <v>1429.0055074873349</v>
      </c>
      <c r="EB79" s="28">
        <f t="shared" si="224"/>
        <v>5510.3520784044285</v>
      </c>
      <c r="EC79" s="28">
        <f t="shared" si="225"/>
        <v>5251.2613602244855</v>
      </c>
      <c r="ED79" s="28">
        <f t="shared" si="226"/>
        <v>4949.4340287364867</v>
      </c>
      <c r="EE79" s="28">
        <f t="shared" si="227"/>
        <v>1180.5989426343967</v>
      </c>
      <c r="EF79" s="28">
        <f t="shared" si="228"/>
        <v>4941.4209137412417</v>
      </c>
      <c r="EG79" s="28">
        <f t="shared" si="229"/>
        <v>1805.6219122643606</v>
      </c>
      <c r="EH79" s="28">
        <f t="shared" si="230"/>
        <v>1640.0175356957398</v>
      </c>
      <c r="EI79" s="28">
        <f t="shared" si="231"/>
        <v>7038.1860041665932</v>
      </c>
      <c r="EJ79" s="28">
        <f t="shared" si="232"/>
        <v>1781.5825672786013</v>
      </c>
      <c r="EK79" s="28">
        <f t="shared" si="233"/>
        <v>13523.467073660468</v>
      </c>
      <c r="EL79" s="28">
        <f t="shared" si="234"/>
        <v>0</v>
      </c>
      <c r="EM79" s="28">
        <f t="shared" si="235"/>
        <v>0</v>
      </c>
      <c r="EN79" s="28">
        <f t="shared" si="236"/>
        <v>0</v>
      </c>
      <c r="EQ79" s="144">
        <v>2.9999496992093172E-2</v>
      </c>
      <c r="ER79" s="144">
        <v>5.0000012485028014E-2</v>
      </c>
      <c r="ES79" s="144">
        <v>7.9999509477121186E-2</v>
      </c>
      <c r="ET79" s="144">
        <v>0.11000025497201672</v>
      </c>
      <c r="EU79" s="144">
        <v>0.12000048497397744</v>
      </c>
      <c r="EV79" s="144">
        <v>0.15000000971057731</v>
      </c>
      <c r="EW79" s="144">
        <v>0.12999949421764248</v>
      </c>
      <c r="EX79" s="144">
        <v>7.9999509477121186E-2</v>
      </c>
      <c r="EY79" s="144">
        <v>7.000050023345615E-2</v>
      </c>
      <c r="EZ79" s="144">
        <v>6.0000242486988722E-2</v>
      </c>
      <c r="FA79" s="144">
        <v>6.0000242486988722E-2</v>
      </c>
      <c r="FB79" s="144">
        <v>6.0000242486988722E-2</v>
      </c>
      <c r="FC79" s="145">
        <f t="shared" si="237"/>
        <v>0.99999999999999989</v>
      </c>
      <c r="FD79" s="146">
        <f t="shared" si="238"/>
        <v>0.15999901895424237</v>
      </c>
      <c r="FE79" s="146">
        <f t="shared" si="239"/>
        <v>0.38000074965657149</v>
      </c>
      <c r="FF79" s="146">
        <f t="shared" si="240"/>
        <v>0.27999950392821982</v>
      </c>
      <c r="FG79" s="146">
        <f t="shared" si="241"/>
        <v>0.18000072746096618</v>
      </c>
      <c r="FH79" s="145">
        <f t="shared" si="375"/>
        <v>0.99999999999999989</v>
      </c>
      <c r="FJ79" s="52">
        <f t="shared" si="243"/>
        <v>2293.9762214965849</v>
      </c>
      <c r="FK79" s="52">
        <f t="shared" si="244"/>
        <v>1003.6632095043226</v>
      </c>
      <c r="FL79" s="52">
        <f t="shared" si="245"/>
        <v>454.71477748034744</v>
      </c>
      <c r="FM79" s="52">
        <f t="shared" si="246"/>
        <v>1720.4821661224344</v>
      </c>
      <c r="FN79" s="52">
        <f t="shared" si="247"/>
        <v>2011.8137358916717</v>
      </c>
      <c r="FO79" s="52">
        <f t="shared" si="248"/>
        <v>3649.6843981975276</v>
      </c>
      <c r="FP79" s="52">
        <f t="shared" si="249"/>
        <v>496.5964017219593</v>
      </c>
      <c r="FQ79" s="52">
        <f t="shared" si="250"/>
        <v>860.24108306121798</v>
      </c>
      <c r="FR79" s="52">
        <f t="shared" si="251"/>
        <v>1061.9983289837069</v>
      </c>
      <c r="FS79" s="52">
        <f t="shared" si="252"/>
        <v>9749.3989413604813</v>
      </c>
      <c r="FT79" s="52">
        <f t="shared" si="253"/>
        <v>3711.0800323260978</v>
      </c>
      <c r="FU79" s="52">
        <f t="shared" si="254"/>
        <v>2867.4702768707193</v>
      </c>
      <c r="FV79" s="52">
        <f t="shared" si="255"/>
        <v>800.23817747363989</v>
      </c>
      <c r="FW79" s="52">
        <f t="shared" si="256"/>
        <v>3085.7782432301269</v>
      </c>
      <c r="FX79" s="52">
        <f t="shared" si="257"/>
        <v>2940.6883306788336</v>
      </c>
      <c r="FY79" s="52">
        <f t="shared" si="258"/>
        <v>2771.666061418035</v>
      </c>
      <c r="FZ79" s="52">
        <f t="shared" si="259"/>
        <v>661.13135409971767</v>
      </c>
      <c r="GA79" s="52">
        <f t="shared" si="260"/>
        <v>2767.1787445350119</v>
      </c>
      <c r="GB79" s="52">
        <f t="shared" si="261"/>
        <v>1011.1420709760328</v>
      </c>
      <c r="GC79" s="52">
        <f t="shared" si="262"/>
        <v>918.40418872675411</v>
      </c>
      <c r="GD79" s="52">
        <f t="shared" si="263"/>
        <v>3941.3599955944687</v>
      </c>
      <c r="GE79" s="52">
        <f t="shared" si="264"/>
        <v>997.68012032694901</v>
      </c>
      <c r="GF79" s="52">
        <f t="shared" si="265"/>
        <v>7573.0951262598564</v>
      </c>
      <c r="GG79" s="52">
        <f t="shared" si="266"/>
        <v>0</v>
      </c>
      <c r="GH79" s="52">
        <f t="shared" si="267"/>
        <v>0</v>
      </c>
      <c r="GI79" s="52">
        <f t="shared" si="268"/>
        <v>0</v>
      </c>
      <c r="GJ79" s="26"/>
      <c r="GL79" s="150">
        <f t="shared" si="269"/>
        <v>5448.2376802094641</v>
      </c>
      <c r="GM79" s="150">
        <f t="shared" si="270"/>
        <v>2383.7194409513004</v>
      </c>
      <c r="GN79" s="150">
        <f t="shared" si="271"/>
        <v>1079.9563488065471</v>
      </c>
      <c r="GO79" s="150">
        <f t="shared" si="272"/>
        <v>4086.1782601570881</v>
      </c>
      <c r="GP79" s="150">
        <f t="shared" si="273"/>
        <v>4778.0963458710794</v>
      </c>
      <c r="GQ79" s="150">
        <f t="shared" si="274"/>
        <v>8668.0706943683435</v>
      </c>
      <c r="GR79" s="150">
        <f t="shared" si="275"/>
        <v>1179.4260125124156</v>
      </c>
      <c r="GS79" s="150">
        <f t="shared" si="276"/>
        <v>2043.0891300785458</v>
      </c>
      <c r="GT79" s="150">
        <f t="shared" si="277"/>
        <v>2522.2664725416084</v>
      </c>
      <c r="GU79" s="150">
        <f t="shared" si="278"/>
        <v>23155.010140890212</v>
      </c>
      <c r="GV79" s="150">
        <f t="shared" si="279"/>
        <v>8813.8865071588552</v>
      </c>
      <c r="GW79" s="150">
        <f t="shared" si="280"/>
        <v>6810.2971002618024</v>
      </c>
      <c r="GX79" s="150">
        <f t="shared" si="281"/>
        <v>1900.5810743799482</v>
      </c>
      <c r="GY79" s="150">
        <f t="shared" si="282"/>
        <v>7328.7827223286549</v>
      </c>
      <c r="GZ79" s="150">
        <f t="shared" si="283"/>
        <v>6984.1913873476224</v>
      </c>
      <c r="HA79" s="150">
        <f t="shared" si="284"/>
        <v>6582.7602445346347</v>
      </c>
      <c r="HB79" s="150">
        <f t="shared" si="285"/>
        <v>1570.1996913568923</v>
      </c>
      <c r="HC79" s="150">
        <f t="shared" si="286"/>
        <v>6572.1027805661652</v>
      </c>
      <c r="HD79" s="150">
        <f t="shared" si="287"/>
        <v>2401.481880898762</v>
      </c>
      <c r="HE79" s="150">
        <f t="shared" si="288"/>
        <v>2181.2276255500647</v>
      </c>
      <c r="HF79" s="150">
        <f t="shared" si="289"/>
        <v>9360.8058523199306</v>
      </c>
      <c r="HG79" s="150">
        <f t="shared" si="290"/>
        <v>2369.509488993318</v>
      </c>
      <c r="HH79" s="150">
        <f t="shared" si="291"/>
        <v>17986.246690814281</v>
      </c>
      <c r="HI79" s="150">
        <f t="shared" si="292"/>
        <v>0</v>
      </c>
      <c r="HJ79" s="150">
        <f t="shared" si="293"/>
        <v>0</v>
      </c>
      <c r="HK79" s="150">
        <f t="shared" si="294"/>
        <v>0</v>
      </c>
      <c r="HL79" s="26"/>
      <c r="HN79" s="147">
        <f t="shared" si="295"/>
        <v>4014.4758901669811</v>
      </c>
      <c r="HO79" s="147">
        <f t="shared" si="296"/>
        <v>1756.4182743681999</v>
      </c>
      <c r="HP79" s="147">
        <f t="shared" si="297"/>
        <v>795.75432996711038</v>
      </c>
      <c r="HQ79" s="147">
        <f t="shared" si="298"/>
        <v>3010.8569176252286</v>
      </c>
      <c r="HR79" s="147">
        <f t="shared" si="299"/>
        <v>3520.6893875189644</v>
      </c>
      <c r="HS79" s="147">
        <f t="shared" si="300"/>
        <v>6386.9755431570748</v>
      </c>
      <c r="HT79" s="147">
        <f t="shared" si="301"/>
        <v>869.04749193776695</v>
      </c>
      <c r="HU79" s="147">
        <f t="shared" si="302"/>
        <v>1505.4284588126156</v>
      </c>
      <c r="HV79" s="147">
        <f t="shared" si="303"/>
        <v>1858.5051785416078</v>
      </c>
      <c r="HW79" s="147">
        <f t="shared" si="304"/>
        <v>17061.522533209663</v>
      </c>
      <c r="HX79" s="147">
        <f t="shared" si="305"/>
        <v>6494.4183713176299</v>
      </c>
      <c r="HY79" s="147">
        <f t="shared" si="306"/>
        <v>5018.0948627087064</v>
      </c>
      <c r="HZ79" s="147">
        <f t="shared" si="307"/>
        <v>1400.4229162250172</v>
      </c>
      <c r="IA79" s="147">
        <f t="shared" si="308"/>
        <v>5400.1354694807633</v>
      </c>
      <c r="IB79" s="147">
        <f t="shared" si="309"/>
        <v>5146.2270155109973</v>
      </c>
      <c r="IC79" s="147">
        <f t="shared" si="310"/>
        <v>4850.4367547008342</v>
      </c>
      <c r="ID79" s="147">
        <f t="shared" si="311"/>
        <v>1156.9849139653418</v>
      </c>
      <c r="IE79" s="147">
        <f t="shared" si="312"/>
        <v>4842.583915918276</v>
      </c>
      <c r="IF79" s="147">
        <f t="shared" si="313"/>
        <v>1769.506339005806</v>
      </c>
      <c r="IG79" s="147">
        <f t="shared" si="314"/>
        <v>1607.2143374993607</v>
      </c>
      <c r="IH79" s="147">
        <f t="shared" si="315"/>
        <v>6897.4100640241495</v>
      </c>
      <c r="II79" s="147">
        <f t="shared" si="316"/>
        <v>1745.9478226581052</v>
      </c>
      <c r="IJ79" s="147">
        <f t="shared" si="317"/>
        <v>13252.974252050906</v>
      </c>
      <c r="IK79" s="147">
        <f t="shared" si="318"/>
        <v>0</v>
      </c>
      <c r="IL79" s="147">
        <f t="shared" si="319"/>
        <v>0</v>
      </c>
      <c r="IM79" s="147">
        <f t="shared" si="320"/>
        <v>0</v>
      </c>
      <c r="IN79" s="26"/>
      <c r="IP79" s="61">
        <f t="shared" si="321"/>
        <v>2580.7495030055948</v>
      </c>
      <c r="IQ79" s="61">
        <f t="shared" si="322"/>
        <v>1129.1325972958159</v>
      </c>
      <c r="IR79" s="61">
        <f t="shared" si="323"/>
        <v>511.55932873014456</v>
      </c>
      <c r="IS79" s="61">
        <f t="shared" si="324"/>
        <v>1935.5621272541914</v>
      </c>
      <c r="IT79" s="61">
        <f t="shared" si="325"/>
        <v>2263.3134774409391</v>
      </c>
      <c r="IU79" s="61">
        <f t="shared" si="326"/>
        <v>4105.9367174393201</v>
      </c>
      <c r="IV79" s="61">
        <f t="shared" si="327"/>
        <v>558.67663532371148</v>
      </c>
      <c r="IW79" s="61">
        <f t="shared" si="328"/>
        <v>967.7810636270965</v>
      </c>
      <c r="IX79" s="61">
        <f t="shared" si="329"/>
        <v>1194.7602743368516</v>
      </c>
      <c r="IY79" s="61">
        <f t="shared" si="330"/>
        <v>10968.185387773774</v>
      </c>
      <c r="IZ79" s="61">
        <f t="shared" si="331"/>
        <v>4175.0075084872988</v>
      </c>
      <c r="JA79" s="61">
        <f t="shared" si="332"/>
        <v>3225.9368787569801</v>
      </c>
      <c r="JB79" s="61">
        <f t="shared" si="333"/>
        <v>900.27710812706607</v>
      </c>
      <c r="JC79" s="61">
        <f t="shared" si="334"/>
        <v>3471.5358393759548</v>
      </c>
      <c r="JD79" s="61">
        <f t="shared" si="335"/>
        <v>3308.3080272482462</v>
      </c>
      <c r="JE79" s="61">
        <f t="shared" si="336"/>
        <v>3118.1560399241989</v>
      </c>
      <c r="JF79" s="61">
        <f t="shared" si="337"/>
        <v>743.7803397984361</v>
      </c>
      <c r="JG79" s="61">
        <f t="shared" si="338"/>
        <v>3113.1077570748957</v>
      </c>
      <c r="JH79" s="61">
        <f t="shared" si="339"/>
        <v>1137.54640204466</v>
      </c>
      <c r="JI79" s="61">
        <f t="shared" si="340"/>
        <v>1033.21522315891</v>
      </c>
      <c r="JJ79" s="61">
        <f t="shared" si="341"/>
        <v>4434.0751026445205</v>
      </c>
      <c r="JK79" s="61">
        <f t="shared" si="342"/>
        <v>1122.4015534967343</v>
      </c>
      <c r="JL79" s="61">
        <f t="shared" si="343"/>
        <v>8519.8186886865751</v>
      </c>
      <c r="JM79" s="61">
        <f t="shared" si="344"/>
        <v>0</v>
      </c>
      <c r="JN79" s="61">
        <f t="shared" si="345"/>
        <v>0</v>
      </c>
      <c r="JO79" s="61">
        <f t="shared" si="346"/>
        <v>0</v>
      </c>
      <c r="JQ79" s="26">
        <f t="shared" si="431"/>
        <v>358436.46018065704</v>
      </c>
      <c r="JR79" s="156">
        <f t="shared" si="432"/>
        <v>1.0000013330377402</v>
      </c>
      <c r="JT79" s="157">
        <f t="shared" si="347"/>
        <v>14337.439294878624</v>
      </c>
      <c r="JU79" s="29">
        <f t="shared" si="348"/>
        <v>0.99999999999999989</v>
      </c>
    </row>
    <row r="80" spans="1:281" ht="18.75" x14ac:dyDescent="0.3">
      <c r="A80" t="s">
        <v>234</v>
      </c>
      <c r="B80" t="s">
        <v>97</v>
      </c>
      <c r="C80" t="s">
        <v>74</v>
      </c>
      <c r="D80" t="s">
        <v>29</v>
      </c>
      <c r="E80" s="11" t="s">
        <v>124</v>
      </c>
      <c r="F80" s="114">
        <v>3100</v>
      </c>
      <c r="G80" s="17">
        <v>1069872</v>
      </c>
      <c r="H80" s="21">
        <v>699670</v>
      </c>
      <c r="I80" s="25">
        <f t="shared" si="434"/>
        <v>1.5291094373061587</v>
      </c>
      <c r="J80" s="13">
        <v>3.7533959906414074E-2</v>
      </c>
      <c r="K80" s="13">
        <v>1.7408318894169862E-2</v>
      </c>
      <c r="L80" s="13">
        <v>7.4400275237669067E-3</v>
      </c>
      <c r="M80" s="13">
        <v>2.8150469929810577E-2</v>
      </c>
      <c r="N80" s="13">
        <v>3.2917227037718724E-2</v>
      </c>
      <c r="O80" s="13">
        <v>6.3661674537866461E-2</v>
      </c>
      <c r="P80" s="13">
        <v>8.1252932167454692E-3</v>
      </c>
      <c r="Q80" s="13">
        <v>1.4075234964905311E-2</v>
      </c>
      <c r="R80" s="13">
        <v>1.7376380071955654E-2</v>
      </c>
      <c r="S80" s="13">
        <v>0.15951932960225973</v>
      </c>
      <c r="T80" s="13">
        <v>6.072056363860142E-2</v>
      </c>
      <c r="U80" s="13">
        <v>4.6917449883017631E-2</v>
      </c>
      <c r="V80" s="13">
        <v>1.3093469490839782E-2</v>
      </c>
      <c r="W80" s="13">
        <v>7.1204134093789895E-2</v>
      </c>
      <c r="X80" s="13">
        <v>4.8115441156992581E-2</v>
      </c>
      <c r="Y80" s="13">
        <v>5.0281984797501164E-2</v>
      </c>
      <c r="Z80" s="13">
        <v>1.2297032495312646E-2</v>
      </c>
      <c r="AA80" s="13">
        <v>4.9222147435818923E-2</v>
      </c>
      <c r="AB80" s="13">
        <v>1.6544271730481695E-2</v>
      </c>
      <c r="AC80" s="13">
        <v>1.502689769602919E-2</v>
      </c>
      <c r="AD80" s="13">
        <v>6.7447644576532712E-2</v>
      </c>
      <c r="AE80" s="13">
        <v>1.6324007757738512E-2</v>
      </c>
      <c r="AF80" s="13">
        <v>0.14659829041635861</v>
      </c>
      <c r="AG80" s="9">
        <v>0</v>
      </c>
      <c r="AH80" s="13">
        <v>0</v>
      </c>
      <c r="AJ80" s="8">
        <f t="shared" si="376"/>
        <v>1.0000012508546274</v>
      </c>
      <c r="AK80" s="141">
        <f t="shared" si="435"/>
        <v>116.35527570988363</v>
      </c>
      <c r="AL80" s="141">
        <f t="shared" si="436"/>
        <v>53.965788571926574</v>
      </c>
      <c r="AM80" s="141">
        <f t="shared" si="437"/>
        <v>23.064085323677411</v>
      </c>
      <c r="AN80" s="141">
        <f t="shared" si="438"/>
        <v>87.266456782412789</v>
      </c>
      <c r="AO80" s="141">
        <f t="shared" si="439"/>
        <v>102.04340381692805</v>
      </c>
      <c r="AP80" s="141">
        <f t="shared" si="440"/>
        <v>197.35119106738603</v>
      </c>
      <c r="AQ80" s="141">
        <f t="shared" si="441"/>
        <v>25.188408971910956</v>
      </c>
      <c r="AR80" s="141">
        <f t="shared" si="442"/>
        <v>43.633228391206465</v>
      </c>
      <c r="AS80" s="141">
        <f t="shared" si="443"/>
        <v>53.866778223062525</v>
      </c>
      <c r="AT80" s="141">
        <f t="shared" si="444"/>
        <v>494.50992176700515</v>
      </c>
      <c r="AU80" s="141">
        <f t="shared" si="445"/>
        <v>188.23374727966441</v>
      </c>
      <c r="AV80" s="141">
        <f t="shared" si="446"/>
        <v>145.44409463735465</v>
      </c>
      <c r="AW80" s="141">
        <f t="shared" si="447"/>
        <v>40.589755421603321</v>
      </c>
      <c r="AX80" s="141">
        <f t="shared" si="448"/>
        <v>220.73281569074868</v>
      </c>
      <c r="AY80" s="141">
        <f t="shared" si="449"/>
        <v>149.15786758667699</v>
      </c>
      <c r="AZ80" s="141">
        <f t="shared" si="450"/>
        <v>155.8741528722536</v>
      </c>
      <c r="BA80" s="141">
        <f t="shared" si="451"/>
        <v>38.120800735469203</v>
      </c>
      <c r="BB80" s="141">
        <f t="shared" si="452"/>
        <v>152.58865705103867</v>
      </c>
      <c r="BC80" s="141">
        <f t="shared" si="453"/>
        <v>51.287242364493252</v>
      </c>
      <c r="BD80" s="141">
        <f t="shared" si="454"/>
        <v>46.583382857690488</v>
      </c>
      <c r="BE80" s="141">
        <f t="shared" si="455"/>
        <v>209.08769818725142</v>
      </c>
      <c r="BF80" s="141">
        <f t="shared" si="456"/>
        <v>50.604424048989387</v>
      </c>
      <c r="BG80" s="141">
        <f t="shared" si="457"/>
        <v>454.45470029071168</v>
      </c>
      <c r="BH80" s="141">
        <f t="shared" si="458"/>
        <v>0</v>
      </c>
      <c r="BI80" s="141">
        <f t="shared" si="459"/>
        <v>0</v>
      </c>
      <c r="BJ80" s="141">
        <f t="shared" si="460"/>
        <v>0</v>
      </c>
      <c r="BM80" s="26">
        <f t="shared" si="377"/>
        <v>40156.532752995037</v>
      </c>
      <c r="BN80" s="26">
        <f t="shared" si="378"/>
        <v>18624.672951943299</v>
      </c>
      <c r="BO80" s="26">
        <f t="shared" si="379"/>
        <v>7959.8771269075478</v>
      </c>
      <c r="BP80" s="26">
        <f t="shared" si="380"/>
        <v>30117.399564746302</v>
      </c>
      <c r="BQ80" s="26">
        <f t="shared" si="381"/>
        <v>35217.219525298206</v>
      </c>
      <c r="BR80" s="26">
        <f t="shared" si="382"/>
        <v>68109.84306117626</v>
      </c>
      <c r="BS80" s="26">
        <f t="shared" si="383"/>
        <v>8693.0237043859088</v>
      </c>
      <c r="BT80" s="26">
        <f t="shared" si="384"/>
        <v>15058.699782373174</v>
      </c>
      <c r="BU80" s="26">
        <f t="shared" si="385"/>
        <v>18590.50250034334</v>
      </c>
      <c r="BV80" s="26">
        <f t="shared" si="386"/>
        <v>170665.26420022882</v>
      </c>
      <c r="BW80" s="26">
        <f t="shared" si="387"/>
        <v>64963.230861157776</v>
      </c>
      <c r="BX80" s="26">
        <f t="shared" si="388"/>
        <v>50195.665941243838</v>
      </c>
      <c r="BY80" s="26">
        <f t="shared" si="389"/>
        <v>14008.33639110374</v>
      </c>
      <c r="BZ80" s="26">
        <f t="shared" si="390"/>
        <v>76179.309351191187</v>
      </c>
      <c r="CA80" s="26">
        <f t="shared" si="391"/>
        <v>51477.363261513965</v>
      </c>
      <c r="CB80" s="26">
        <f t="shared" si="392"/>
        <v>53795.287639272166</v>
      </c>
      <c r="CC80" s="26">
        <f t="shared" si="393"/>
        <v>13156.250749825131</v>
      </c>
      <c r="CD80" s="26">
        <f t="shared" si="394"/>
        <v>52661.39732145446</v>
      </c>
      <c r="CE80" s="26">
        <f t="shared" si="395"/>
        <v>17700.253084833912</v>
      </c>
      <c r="CF80" s="26">
        <f t="shared" si="396"/>
        <v>16076.857091846141</v>
      </c>
      <c r="CG80" s="26">
        <f t="shared" si="397"/>
        <v>72160.346398384208</v>
      </c>
      <c r="CH80" s="26">
        <f t="shared" si="398"/>
        <v>17464.598827787217</v>
      </c>
      <c r="CI80" s="26">
        <f t="shared" si="399"/>
        <v>156841.4061643304</v>
      </c>
      <c r="CJ80" s="26">
        <f t="shared" si="400"/>
        <v>0</v>
      </c>
      <c r="CK80" s="26">
        <f t="shared" si="401"/>
        <v>0</v>
      </c>
      <c r="CL80" s="26">
        <f t="shared" si="402"/>
        <v>0</v>
      </c>
      <c r="CM80" s="110">
        <f t="shared" si="403"/>
        <v>1.0000012508546277</v>
      </c>
      <c r="CN80" s="27">
        <f t="shared" si="404"/>
        <v>26261.385727720735</v>
      </c>
      <c r="CO80" s="27">
        <f t="shared" si="405"/>
        <v>12180.078480683827</v>
      </c>
      <c r="CP80" s="27">
        <f t="shared" si="406"/>
        <v>5205.5640575539919</v>
      </c>
      <c r="CQ80" s="27">
        <f t="shared" si="407"/>
        <v>19696.039295790568</v>
      </c>
      <c r="CR80" s="27">
        <f t="shared" si="408"/>
        <v>23031.196241480659</v>
      </c>
      <c r="CS80" s="27">
        <f t="shared" si="409"/>
        <v>44542.163823909024</v>
      </c>
      <c r="CT80" s="27">
        <f t="shared" si="410"/>
        <v>5685.0239049603024</v>
      </c>
      <c r="CU80" s="27">
        <f t="shared" si="411"/>
        <v>9848.0196478952985</v>
      </c>
      <c r="CV80" s="27">
        <f t="shared" si="412"/>
        <v>12157.731844945212</v>
      </c>
      <c r="CW80" s="27">
        <f t="shared" si="413"/>
        <v>111610.88934281307</v>
      </c>
      <c r="CX80" s="27">
        <f t="shared" si="414"/>
        <v>42484.356761020259</v>
      </c>
      <c r="CY80" s="27">
        <f t="shared" si="415"/>
        <v>32826.732159650943</v>
      </c>
      <c r="CZ80" s="27">
        <f t="shared" si="416"/>
        <v>9161.1077986558703</v>
      </c>
      <c r="DA80" s="27">
        <f t="shared" si="417"/>
        <v>49819.396501401978</v>
      </c>
      <c r="DB80" s="27">
        <f t="shared" si="418"/>
        <v>33664.930714312999</v>
      </c>
      <c r="DC80" s="27">
        <f t="shared" si="419"/>
        <v>35180.796303267642</v>
      </c>
      <c r="DD80" s="27">
        <f t="shared" si="420"/>
        <v>8603.8647259953996</v>
      </c>
      <c r="DE80" s="27">
        <f t="shared" si="421"/>
        <v>34439.259896419426</v>
      </c>
      <c r="DF80" s="27">
        <f t="shared" si="422"/>
        <v>11575.530601666127</v>
      </c>
      <c r="DG80" s="27">
        <f t="shared" si="423"/>
        <v>10513.869510980743</v>
      </c>
      <c r="DH80" s="27">
        <f t="shared" si="424"/>
        <v>47191.093480862641</v>
      </c>
      <c r="DI80" s="27">
        <f t="shared" si="425"/>
        <v>11421.418507856904</v>
      </c>
      <c r="DJ80" s="27">
        <f t="shared" si="426"/>
        <v>102570.42585561362</v>
      </c>
      <c r="DK80" s="27">
        <f t="shared" si="427"/>
        <v>0</v>
      </c>
      <c r="DL80" s="27">
        <f t="shared" si="428"/>
        <v>0</v>
      </c>
      <c r="DM80" s="27">
        <f t="shared" si="429"/>
        <v>0</v>
      </c>
      <c r="DN80" s="110">
        <f t="shared" si="430"/>
        <v>1.0000012508546277</v>
      </c>
      <c r="DO80" s="28">
        <f t="shared" si="211"/>
        <v>13895.147025274302</v>
      </c>
      <c r="DP80" s="28">
        <f t="shared" si="212"/>
        <v>6444.5944712594719</v>
      </c>
      <c r="DQ80" s="28">
        <f t="shared" si="213"/>
        <v>2754.3130693535559</v>
      </c>
      <c r="DR80" s="28">
        <f t="shared" si="214"/>
        <v>10421.360268955734</v>
      </c>
      <c r="DS80" s="28">
        <f t="shared" si="215"/>
        <v>12186.023283817547</v>
      </c>
      <c r="DT80" s="28">
        <f t="shared" si="216"/>
        <v>23567.679237267235</v>
      </c>
      <c r="DU80" s="28">
        <f t="shared" si="217"/>
        <v>3007.9997994256064</v>
      </c>
      <c r="DV80" s="28">
        <f t="shared" si="218"/>
        <v>5210.680134477876</v>
      </c>
      <c r="DW80" s="28">
        <f t="shared" si="219"/>
        <v>6432.7706553981279</v>
      </c>
      <c r="DX80" s="28">
        <f t="shared" si="220"/>
        <v>59054.374857415751</v>
      </c>
      <c r="DY80" s="28">
        <f t="shared" si="221"/>
        <v>22478.874100137517</v>
      </c>
      <c r="DZ80" s="28">
        <f t="shared" si="222"/>
        <v>17368.933781592896</v>
      </c>
      <c r="EA80" s="28">
        <f t="shared" si="223"/>
        <v>4847.2285924478692</v>
      </c>
      <c r="EB80" s="28">
        <f t="shared" si="224"/>
        <v>26359.912849789209</v>
      </c>
      <c r="EC80" s="28">
        <f t="shared" si="225"/>
        <v>17812.432547200966</v>
      </c>
      <c r="ED80" s="28">
        <f t="shared" si="226"/>
        <v>18614.491336004525</v>
      </c>
      <c r="EE80" s="28">
        <f t="shared" si="227"/>
        <v>4552.3860238297311</v>
      </c>
      <c r="EF80" s="28">
        <f t="shared" si="228"/>
        <v>18222.137425035035</v>
      </c>
      <c r="EG80" s="28">
        <f t="shared" si="229"/>
        <v>6124.722483167785</v>
      </c>
      <c r="EH80" s="28">
        <f t="shared" si="230"/>
        <v>5562.9875808653978</v>
      </c>
      <c r="EI80" s="28">
        <f t="shared" si="231"/>
        <v>24969.252917521568</v>
      </c>
      <c r="EJ80" s="28">
        <f t="shared" si="232"/>
        <v>6043.1803199303122</v>
      </c>
      <c r="EK80" s="28">
        <f t="shared" si="233"/>
        <v>54270.980308716782</v>
      </c>
      <c r="EL80" s="28">
        <f t="shared" si="234"/>
        <v>0</v>
      </c>
      <c r="EM80" s="28">
        <f t="shared" si="235"/>
        <v>0</v>
      </c>
      <c r="EN80" s="28">
        <f t="shared" si="236"/>
        <v>0</v>
      </c>
      <c r="EQ80" s="144">
        <v>0.03</v>
      </c>
      <c r="ER80" s="144">
        <v>0.05</v>
      </c>
      <c r="ES80" s="144">
        <v>7.9999999999999988E-2</v>
      </c>
      <c r="ET80" s="144">
        <v>0.10999999999999999</v>
      </c>
      <c r="EU80" s="144">
        <v>0.12</v>
      </c>
      <c r="EV80" s="144">
        <v>0.15000000000000002</v>
      </c>
      <c r="EW80" s="144">
        <v>0.13</v>
      </c>
      <c r="EX80" s="144">
        <v>7.9999999999999988E-2</v>
      </c>
      <c r="EY80" s="144">
        <v>7.0000000000000007E-2</v>
      </c>
      <c r="EZ80" s="144">
        <v>0.06</v>
      </c>
      <c r="FA80" s="144">
        <v>0.06</v>
      </c>
      <c r="FB80" s="144">
        <v>0.06</v>
      </c>
      <c r="FC80" s="145">
        <f t="shared" si="237"/>
        <v>1.0000000000000002</v>
      </c>
      <c r="FD80" s="146">
        <f t="shared" si="238"/>
        <v>0.15999999999999998</v>
      </c>
      <c r="FE80" s="146">
        <f t="shared" si="239"/>
        <v>0.38</v>
      </c>
      <c r="FF80" s="146">
        <f t="shared" si="240"/>
        <v>0.28000000000000003</v>
      </c>
      <c r="FG80" s="146">
        <f t="shared" si="241"/>
        <v>0.18</v>
      </c>
      <c r="FH80" s="145">
        <f t="shared" si="375"/>
        <v>1</v>
      </c>
      <c r="FJ80" s="52">
        <f t="shared" si="243"/>
        <v>6425.0452404792049</v>
      </c>
      <c r="FK80" s="52">
        <f t="shared" si="244"/>
        <v>2979.9476723109274</v>
      </c>
      <c r="FL80" s="52">
        <f t="shared" si="245"/>
        <v>1273.5803403052075</v>
      </c>
      <c r="FM80" s="52">
        <f t="shared" si="246"/>
        <v>4818.7839303594073</v>
      </c>
      <c r="FN80" s="52">
        <f t="shared" si="247"/>
        <v>5634.7551240477123</v>
      </c>
      <c r="FO80" s="52">
        <f t="shared" si="248"/>
        <v>10897.5748897882</v>
      </c>
      <c r="FP80" s="52">
        <f t="shared" si="249"/>
        <v>1390.8837927017453</v>
      </c>
      <c r="FQ80" s="52">
        <f t="shared" si="250"/>
        <v>2409.3919651797078</v>
      </c>
      <c r="FR80" s="52">
        <f t="shared" si="251"/>
        <v>2974.4804000549339</v>
      </c>
      <c r="FS80" s="52">
        <f t="shared" si="252"/>
        <v>27306.442272036606</v>
      </c>
      <c r="FT80" s="52">
        <f t="shared" si="253"/>
        <v>10394.116937785242</v>
      </c>
      <c r="FU80" s="52">
        <f t="shared" si="254"/>
        <v>8031.3065505990126</v>
      </c>
      <c r="FV80" s="52">
        <f t="shared" si="255"/>
        <v>2241.3338225765979</v>
      </c>
      <c r="FW80" s="52">
        <f t="shared" si="256"/>
        <v>12188.689496190587</v>
      </c>
      <c r="FX80" s="52">
        <f t="shared" si="257"/>
        <v>8236.3781218422337</v>
      </c>
      <c r="FY80" s="52">
        <f t="shared" si="258"/>
        <v>8607.2460222835452</v>
      </c>
      <c r="FZ80" s="52">
        <f t="shared" si="259"/>
        <v>2105.0001199720205</v>
      </c>
      <c r="GA80" s="52">
        <f t="shared" si="260"/>
        <v>8425.8235714327129</v>
      </c>
      <c r="GB80" s="52">
        <f t="shared" si="261"/>
        <v>2832.0404935734255</v>
      </c>
      <c r="GC80" s="52">
        <f t="shared" si="262"/>
        <v>2572.2971346953823</v>
      </c>
      <c r="GD80" s="52">
        <f t="shared" si="263"/>
        <v>11545.655423741471</v>
      </c>
      <c r="GE80" s="52">
        <f t="shared" si="264"/>
        <v>2794.3358124459542</v>
      </c>
      <c r="GF80" s="52">
        <f t="shared" si="265"/>
        <v>25094.62498629286</v>
      </c>
      <c r="GG80" s="52">
        <f t="shared" si="266"/>
        <v>0</v>
      </c>
      <c r="GH80" s="52">
        <f t="shared" si="267"/>
        <v>0</v>
      </c>
      <c r="GI80" s="52">
        <f t="shared" si="268"/>
        <v>0</v>
      </c>
      <c r="GJ80" s="26"/>
      <c r="GL80" s="150">
        <f t="shared" si="269"/>
        <v>15259.482446138114</v>
      </c>
      <c r="GM80" s="150">
        <f t="shared" si="270"/>
        <v>7077.3757217384536</v>
      </c>
      <c r="GN80" s="150">
        <f t="shared" si="271"/>
        <v>3024.7533082248683</v>
      </c>
      <c r="GO80" s="150">
        <f t="shared" si="272"/>
        <v>11444.611834603595</v>
      </c>
      <c r="GP80" s="150">
        <f t="shared" si="273"/>
        <v>13382.543419613317</v>
      </c>
      <c r="GQ80" s="150">
        <f t="shared" si="274"/>
        <v>25881.74036324698</v>
      </c>
      <c r="GR80" s="150">
        <f t="shared" si="275"/>
        <v>3303.3490076666453</v>
      </c>
      <c r="GS80" s="150">
        <f t="shared" si="276"/>
        <v>5722.3059173018064</v>
      </c>
      <c r="GT80" s="150">
        <f t="shared" si="277"/>
        <v>7064.3909501304697</v>
      </c>
      <c r="GU80" s="150">
        <f t="shared" si="278"/>
        <v>64852.800396086954</v>
      </c>
      <c r="GV80" s="150">
        <f t="shared" si="279"/>
        <v>24686.027727239954</v>
      </c>
      <c r="GW80" s="150">
        <f t="shared" si="280"/>
        <v>19074.353057672659</v>
      </c>
      <c r="GX80" s="150">
        <f t="shared" si="281"/>
        <v>5323.167828619421</v>
      </c>
      <c r="GY80" s="150">
        <f t="shared" si="282"/>
        <v>28948.137553452652</v>
      </c>
      <c r="GZ80" s="150">
        <f t="shared" si="283"/>
        <v>19561.398039375308</v>
      </c>
      <c r="HA80" s="150">
        <f t="shared" si="284"/>
        <v>20442.209302923424</v>
      </c>
      <c r="HB80" s="150">
        <f t="shared" si="285"/>
        <v>4999.3752849335497</v>
      </c>
      <c r="HC80" s="150">
        <f t="shared" si="286"/>
        <v>20011.330982152696</v>
      </c>
      <c r="HD80" s="150">
        <f t="shared" si="287"/>
        <v>6726.0961722368866</v>
      </c>
      <c r="HE80" s="150">
        <f t="shared" si="288"/>
        <v>6109.2056949015332</v>
      </c>
      <c r="HF80" s="150">
        <f t="shared" si="289"/>
        <v>27420.931631386</v>
      </c>
      <c r="HG80" s="150">
        <f t="shared" si="290"/>
        <v>6636.5475545591426</v>
      </c>
      <c r="HH80" s="150">
        <f t="shared" si="291"/>
        <v>59599.734342445554</v>
      </c>
      <c r="HI80" s="150">
        <f t="shared" si="292"/>
        <v>0</v>
      </c>
      <c r="HJ80" s="150">
        <f t="shared" si="293"/>
        <v>0</v>
      </c>
      <c r="HK80" s="150">
        <f t="shared" si="294"/>
        <v>0</v>
      </c>
      <c r="HL80" s="26"/>
      <c r="HN80" s="147">
        <f t="shared" si="295"/>
        <v>11243.829170838611</v>
      </c>
      <c r="HO80" s="147">
        <f t="shared" si="296"/>
        <v>5214.9084265441243</v>
      </c>
      <c r="HP80" s="147">
        <f t="shared" si="297"/>
        <v>2228.7655955341138</v>
      </c>
      <c r="HQ80" s="147">
        <f t="shared" si="298"/>
        <v>8432.8718781289645</v>
      </c>
      <c r="HR80" s="147">
        <f t="shared" si="299"/>
        <v>9860.8214670834986</v>
      </c>
      <c r="HS80" s="147">
        <f t="shared" si="300"/>
        <v>19070.756057129354</v>
      </c>
      <c r="HT80" s="147">
        <f t="shared" si="301"/>
        <v>2434.0466372280548</v>
      </c>
      <c r="HU80" s="147">
        <f t="shared" si="302"/>
        <v>4216.4359390644895</v>
      </c>
      <c r="HV80" s="147">
        <f t="shared" si="303"/>
        <v>5205.3407000961361</v>
      </c>
      <c r="HW80" s="147">
        <f t="shared" si="304"/>
        <v>47786.273976064076</v>
      </c>
      <c r="HX80" s="147">
        <f t="shared" si="305"/>
        <v>18189.704641124179</v>
      </c>
      <c r="HY80" s="147">
        <f t="shared" si="306"/>
        <v>14054.786463548277</v>
      </c>
      <c r="HZ80" s="147">
        <f t="shared" si="307"/>
        <v>3922.3341895090475</v>
      </c>
      <c r="IA80" s="147">
        <f t="shared" si="308"/>
        <v>21330.206618333534</v>
      </c>
      <c r="IB80" s="147">
        <f t="shared" si="309"/>
        <v>14413.661713223912</v>
      </c>
      <c r="IC80" s="147">
        <f t="shared" si="310"/>
        <v>15062.680538996208</v>
      </c>
      <c r="ID80" s="147">
        <f t="shared" si="311"/>
        <v>3683.750209951037</v>
      </c>
      <c r="IE80" s="147">
        <f t="shared" si="312"/>
        <v>14745.19125000725</v>
      </c>
      <c r="IF80" s="147">
        <f t="shared" si="313"/>
        <v>4956.0708637534963</v>
      </c>
      <c r="IG80" s="147">
        <f t="shared" si="314"/>
        <v>4501.51998571692</v>
      </c>
      <c r="IH80" s="147">
        <f t="shared" si="315"/>
        <v>20204.896991547579</v>
      </c>
      <c r="II80" s="147">
        <f t="shared" si="316"/>
        <v>4890.0876717804213</v>
      </c>
      <c r="IJ80" s="147">
        <f t="shared" si="317"/>
        <v>43915.593726012514</v>
      </c>
      <c r="IK80" s="147">
        <f t="shared" si="318"/>
        <v>0</v>
      </c>
      <c r="IL80" s="147">
        <f t="shared" si="319"/>
        <v>0</v>
      </c>
      <c r="IM80" s="147">
        <f t="shared" si="320"/>
        <v>0</v>
      </c>
      <c r="IN80" s="26"/>
      <c r="IP80" s="61">
        <f t="shared" si="321"/>
        <v>7228.175895539106</v>
      </c>
      <c r="IQ80" s="61">
        <f t="shared" si="322"/>
        <v>3352.4411313497935</v>
      </c>
      <c r="IR80" s="61">
        <f t="shared" si="323"/>
        <v>1432.7778828433586</v>
      </c>
      <c r="IS80" s="61">
        <f t="shared" si="324"/>
        <v>5421.1319216543343</v>
      </c>
      <c r="IT80" s="61">
        <f t="shared" si="325"/>
        <v>6339.0995145536772</v>
      </c>
      <c r="IU80" s="61">
        <f t="shared" si="326"/>
        <v>12259.771751011725</v>
      </c>
      <c r="IV80" s="61">
        <f t="shared" si="327"/>
        <v>1564.7442667894636</v>
      </c>
      <c r="IW80" s="61">
        <f t="shared" si="328"/>
        <v>2710.5659608271712</v>
      </c>
      <c r="IX80" s="61">
        <f t="shared" si="329"/>
        <v>3346.290450061801</v>
      </c>
      <c r="IY80" s="61">
        <f t="shared" si="330"/>
        <v>30719.747556041188</v>
      </c>
      <c r="IZ80" s="61">
        <f t="shared" si="331"/>
        <v>11693.3815550084</v>
      </c>
      <c r="JA80" s="61">
        <f t="shared" si="332"/>
        <v>9035.2198694238905</v>
      </c>
      <c r="JB80" s="61">
        <f t="shared" si="333"/>
        <v>2521.5005503986731</v>
      </c>
      <c r="JC80" s="61">
        <f t="shared" si="334"/>
        <v>13712.275683214413</v>
      </c>
      <c r="JD80" s="61">
        <f t="shared" si="335"/>
        <v>9265.9253870725133</v>
      </c>
      <c r="JE80" s="61">
        <f t="shared" si="336"/>
        <v>9683.1517750689891</v>
      </c>
      <c r="JF80" s="61">
        <f t="shared" si="337"/>
        <v>2368.1251349685235</v>
      </c>
      <c r="JG80" s="61">
        <f t="shared" si="338"/>
        <v>9479.0515178618025</v>
      </c>
      <c r="JH80" s="61">
        <f t="shared" si="339"/>
        <v>3186.0455552701042</v>
      </c>
      <c r="JI80" s="61">
        <f t="shared" si="340"/>
        <v>2893.8342765323055</v>
      </c>
      <c r="JJ80" s="61">
        <f t="shared" si="341"/>
        <v>12988.862351709156</v>
      </c>
      <c r="JK80" s="61">
        <f t="shared" si="342"/>
        <v>3143.6277890016991</v>
      </c>
      <c r="JL80" s="61">
        <f t="shared" si="343"/>
        <v>28231.45310957947</v>
      </c>
      <c r="JM80" s="61">
        <f t="shared" si="344"/>
        <v>0</v>
      </c>
      <c r="JN80" s="61">
        <f t="shared" si="345"/>
        <v>0</v>
      </c>
      <c r="JO80" s="61">
        <f t="shared" si="346"/>
        <v>0</v>
      </c>
      <c r="JQ80" s="26">
        <f t="shared" si="431"/>
        <v>1069873.3382543421</v>
      </c>
      <c r="JR80" s="156">
        <f t="shared" si="432"/>
        <v>1.0000012508546277</v>
      </c>
      <c r="JT80" s="157">
        <f t="shared" si="347"/>
        <v>40156.53275299503</v>
      </c>
      <c r="JU80" s="29">
        <f t="shared" si="348"/>
        <v>0.99999999999999978</v>
      </c>
    </row>
    <row r="81" spans="1:281" ht="18.75" x14ac:dyDescent="0.3">
      <c r="A81" t="s">
        <v>234</v>
      </c>
      <c r="B81" t="s">
        <v>160</v>
      </c>
      <c r="C81" t="s">
        <v>74</v>
      </c>
      <c r="D81" t="s">
        <v>29</v>
      </c>
      <c r="E81" s="11" t="s">
        <v>244</v>
      </c>
      <c r="F81" s="114">
        <v>373</v>
      </c>
      <c r="G81" s="17">
        <v>357976</v>
      </c>
      <c r="H81" s="21">
        <v>234106</v>
      </c>
      <c r="I81" s="25">
        <f t="shared" si="434"/>
        <v>1.5291192878439681</v>
      </c>
      <c r="J81" s="13">
        <v>3.9999999999999959E-2</v>
      </c>
      <c r="K81" s="13">
        <v>1.7500847656555636E-2</v>
      </c>
      <c r="L81" s="13">
        <v>7.928849012806145E-3</v>
      </c>
      <c r="M81" s="13">
        <v>3.0000000000000034E-2</v>
      </c>
      <c r="N81" s="13">
        <v>3.5079940533632406E-2</v>
      </c>
      <c r="O81" s="13">
        <v>6.3639446023838836E-2</v>
      </c>
      <c r="P81" s="13">
        <v>8.6591377376698392E-3</v>
      </c>
      <c r="Q81" s="13">
        <v>1.5000000000000019E-2</v>
      </c>
      <c r="R81" s="13">
        <v>1.8518035523330093E-2</v>
      </c>
      <c r="S81" s="13">
        <v>0.17000000000000004</v>
      </c>
      <c r="T81" s="13">
        <v>6.4709999999999906E-2</v>
      </c>
      <c r="U81" s="13">
        <v>5.000000000000001E-2</v>
      </c>
      <c r="V81" s="13">
        <v>1.395373099293189E-2</v>
      </c>
      <c r="W81" s="13">
        <v>5.3806629978352137E-2</v>
      </c>
      <c r="X81" s="13">
        <v>5.1276701181502869E-2</v>
      </c>
      <c r="Y81" s="13">
        <v>4.8329464541874111E-2</v>
      </c>
      <c r="Z81" s="13">
        <v>1.1528129156777362E-2</v>
      </c>
      <c r="AA81" s="13">
        <v>4.8251219321353081E-2</v>
      </c>
      <c r="AB81" s="13">
        <v>1.763125635742421E-2</v>
      </c>
      <c r="AC81" s="13">
        <v>1.6014188466654526E-2</v>
      </c>
      <c r="AD81" s="13">
        <v>6.8725385357711125E-2</v>
      </c>
      <c r="AE81" s="13">
        <v>1.7396520695860857E-2</v>
      </c>
      <c r="AF81" s="13">
        <v>0.13205185049946533</v>
      </c>
      <c r="AG81" s="9">
        <v>0</v>
      </c>
      <c r="AH81" s="13">
        <v>0</v>
      </c>
      <c r="AJ81" s="8">
        <f t="shared" si="376"/>
        <v>1.0000013330377404</v>
      </c>
      <c r="AK81" s="141">
        <f t="shared" si="435"/>
        <v>14.919999999999984</v>
      </c>
      <c r="AL81" s="141">
        <f t="shared" si="436"/>
        <v>6.5278161758952526</v>
      </c>
      <c r="AM81" s="141">
        <f t="shared" si="437"/>
        <v>2.9574606817766922</v>
      </c>
      <c r="AN81" s="141">
        <f t="shared" si="438"/>
        <v>11.190000000000012</v>
      </c>
      <c r="AO81" s="141">
        <f t="shared" si="439"/>
        <v>13.084817819044888</v>
      </c>
      <c r="AP81" s="141">
        <f t="shared" si="440"/>
        <v>23.737513366891886</v>
      </c>
      <c r="AQ81" s="141">
        <f t="shared" si="441"/>
        <v>3.2298583761508501</v>
      </c>
      <c r="AR81" s="141">
        <f t="shared" si="442"/>
        <v>5.5950000000000069</v>
      </c>
      <c r="AS81" s="141">
        <f t="shared" si="443"/>
        <v>6.9072272502021246</v>
      </c>
      <c r="AT81" s="141">
        <f t="shared" si="444"/>
        <v>63.410000000000018</v>
      </c>
      <c r="AU81" s="141">
        <f t="shared" si="445"/>
        <v>24.136829999999964</v>
      </c>
      <c r="AV81" s="141">
        <f t="shared" si="446"/>
        <v>18.650000000000002</v>
      </c>
      <c r="AW81" s="141">
        <f t="shared" si="447"/>
        <v>5.2047416603635952</v>
      </c>
      <c r="AX81" s="141">
        <f t="shared" si="448"/>
        <v>20.069872981925347</v>
      </c>
      <c r="AY81" s="141">
        <f t="shared" si="449"/>
        <v>19.126209540700572</v>
      </c>
      <c r="AZ81" s="141">
        <f t="shared" si="450"/>
        <v>18.026890274119044</v>
      </c>
      <c r="BA81" s="141">
        <f t="shared" si="451"/>
        <v>4.2999921754779562</v>
      </c>
      <c r="BB81" s="141">
        <f t="shared" si="452"/>
        <v>17.9977048068647</v>
      </c>
      <c r="BC81" s="141">
        <f t="shared" si="453"/>
        <v>6.5764586213192304</v>
      </c>
      <c r="BD81" s="141">
        <f t="shared" si="454"/>
        <v>5.9732922980621384</v>
      </c>
      <c r="BE81" s="141">
        <f t="shared" si="455"/>
        <v>25.63456873842625</v>
      </c>
      <c r="BF81" s="141">
        <f t="shared" si="456"/>
        <v>6.4889022195560999</v>
      </c>
      <c r="BG81" s="141">
        <f t="shared" si="457"/>
        <v>49.255340236300569</v>
      </c>
      <c r="BH81" s="141">
        <f t="shared" si="458"/>
        <v>0</v>
      </c>
      <c r="BI81" s="141">
        <f t="shared" si="459"/>
        <v>0</v>
      </c>
      <c r="BJ81" s="141">
        <f t="shared" si="460"/>
        <v>0</v>
      </c>
      <c r="BM81" s="26">
        <f t="shared" si="377"/>
        <v>14319.039999999985</v>
      </c>
      <c r="BN81" s="26">
        <f t="shared" si="378"/>
        <v>6264.88344070316</v>
      </c>
      <c r="BO81" s="26">
        <f t="shared" si="379"/>
        <v>2838.3376542082924</v>
      </c>
      <c r="BP81" s="26">
        <f t="shared" si="380"/>
        <v>10739.280000000012</v>
      </c>
      <c r="BQ81" s="26">
        <f t="shared" si="381"/>
        <v>12557.776792467594</v>
      </c>
      <c r="BR81" s="26">
        <f t="shared" si="382"/>
        <v>22781.394329829731</v>
      </c>
      <c r="BS81" s="26">
        <f t="shared" si="383"/>
        <v>3099.7634907800984</v>
      </c>
      <c r="BT81" s="26">
        <f t="shared" si="384"/>
        <v>5369.6400000000067</v>
      </c>
      <c r="BU81" s="26">
        <f t="shared" si="385"/>
        <v>6629.0122844996131</v>
      </c>
      <c r="BV81" s="26">
        <f t="shared" si="386"/>
        <v>60855.920000000013</v>
      </c>
      <c r="BW81" s="26">
        <f t="shared" si="387"/>
        <v>23164.626959999965</v>
      </c>
      <c r="BX81" s="26">
        <f t="shared" si="388"/>
        <v>17898.800000000003</v>
      </c>
      <c r="BY81" s="26">
        <f t="shared" si="389"/>
        <v>4995.1008059257865</v>
      </c>
      <c r="BZ81" s="26">
        <f t="shared" si="390"/>
        <v>19261.482173130586</v>
      </c>
      <c r="CA81" s="26">
        <f t="shared" si="391"/>
        <v>18355.82838214967</v>
      </c>
      <c r="CB81" s="26">
        <f t="shared" si="392"/>
        <v>17300.788398841927</v>
      </c>
      <c r="CC81" s="26">
        <f t="shared" si="393"/>
        <v>4126.7935630265329</v>
      </c>
      <c r="CD81" s="26">
        <f t="shared" si="394"/>
        <v>17272.778487780692</v>
      </c>
      <c r="CE81" s="26">
        <f t="shared" si="395"/>
        <v>6311.5666258052888</v>
      </c>
      <c r="CF81" s="26">
        <f t="shared" si="396"/>
        <v>5732.6951305391203</v>
      </c>
      <c r="CG81" s="26">
        <f t="shared" si="397"/>
        <v>24602.038548811997</v>
      </c>
      <c r="CH81" s="26">
        <f t="shared" si="398"/>
        <v>6227.536892621486</v>
      </c>
      <c r="CI81" s="26">
        <f t="shared" si="399"/>
        <v>47271.393234396601</v>
      </c>
      <c r="CJ81" s="26">
        <f t="shared" si="400"/>
        <v>0</v>
      </c>
      <c r="CK81" s="26">
        <f t="shared" si="401"/>
        <v>0</v>
      </c>
      <c r="CL81" s="26">
        <f t="shared" si="402"/>
        <v>0</v>
      </c>
      <c r="CM81" s="110">
        <f t="shared" si="403"/>
        <v>1.0000013330377402</v>
      </c>
      <c r="CN81" s="27">
        <f t="shared" si="404"/>
        <v>9364.2399999999907</v>
      </c>
      <c r="CO81" s="27">
        <f t="shared" si="405"/>
        <v>4097.0534414856138</v>
      </c>
      <c r="CP81" s="27">
        <f t="shared" si="406"/>
        <v>1856.1911269919954</v>
      </c>
      <c r="CQ81" s="27">
        <f t="shared" si="407"/>
        <v>7023.1800000000076</v>
      </c>
      <c r="CR81" s="27">
        <f t="shared" si="408"/>
        <v>8212.4245585665485</v>
      </c>
      <c r="CS81" s="27">
        <f t="shared" si="409"/>
        <v>14898.376150856815</v>
      </c>
      <c r="CT81" s="27">
        <f t="shared" si="410"/>
        <v>2027.1560992149355</v>
      </c>
      <c r="CU81" s="27">
        <f t="shared" si="411"/>
        <v>3511.5900000000042</v>
      </c>
      <c r="CV81" s="27">
        <f t="shared" si="412"/>
        <v>4335.1832242247146</v>
      </c>
      <c r="CW81" s="27">
        <f t="shared" si="413"/>
        <v>39798.020000000011</v>
      </c>
      <c r="CX81" s="27">
        <f t="shared" si="414"/>
        <v>15148.999259999979</v>
      </c>
      <c r="CY81" s="27">
        <f t="shared" si="415"/>
        <v>11705.300000000003</v>
      </c>
      <c r="CZ81" s="27">
        <f t="shared" si="416"/>
        <v>3266.652147831313</v>
      </c>
      <c r="DA81" s="27">
        <f t="shared" si="417"/>
        <v>12596.454917712106</v>
      </c>
      <c r="DB81" s="27">
        <f t="shared" si="418"/>
        <v>12004.18340679691</v>
      </c>
      <c r="DC81" s="27">
        <f t="shared" si="419"/>
        <v>11314.217626039981</v>
      </c>
      <c r="DD81" s="27">
        <f t="shared" si="420"/>
        <v>2698.8042043765208</v>
      </c>
      <c r="DE81" s="27">
        <f t="shared" si="421"/>
        <v>11295.899950444684</v>
      </c>
      <c r="DF81" s="27">
        <f t="shared" si="422"/>
        <v>4127.5829008111523</v>
      </c>
      <c r="DG81" s="27">
        <f t="shared" si="423"/>
        <v>3749.0176051746244</v>
      </c>
      <c r="DH81" s="27">
        <f t="shared" si="424"/>
        <v>16089.025064552321</v>
      </c>
      <c r="DI81" s="27">
        <f t="shared" si="425"/>
        <v>4072.6298740252018</v>
      </c>
      <c r="DJ81" s="27">
        <f t="shared" si="426"/>
        <v>30914.130513027831</v>
      </c>
      <c r="DK81" s="27">
        <f t="shared" si="427"/>
        <v>0</v>
      </c>
      <c r="DL81" s="27">
        <f t="shared" si="428"/>
        <v>0</v>
      </c>
      <c r="DM81" s="27">
        <f t="shared" si="429"/>
        <v>0</v>
      </c>
      <c r="DN81" s="110">
        <f t="shared" si="430"/>
        <v>1.0000013330377404</v>
      </c>
      <c r="DO81" s="28">
        <f t="shared" si="211"/>
        <v>4954.7999999999938</v>
      </c>
      <c r="DP81" s="28">
        <f t="shared" si="212"/>
        <v>2167.8299992175462</v>
      </c>
      <c r="DQ81" s="28">
        <f t="shared" si="213"/>
        <v>982.14652721629705</v>
      </c>
      <c r="DR81" s="28">
        <f t="shared" si="214"/>
        <v>3716.100000000004</v>
      </c>
      <c r="DS81" s="28">
        <f t="shared" si="215"/>
        <v>4345.3522339010451</v>
      </c>
      <c r="DT81" s="28">
        <f t="shared" si="216"/>
        <v>7883.0181789729158</v>
      </c>
      <c r="DU81" s="28">
        <f t="shared" si="217"/>
        <v>1072.607391565163</v>
      </c>
      <c r="DV81" s="28">
        <f t="shared" si="218"/>
        <v>1858.0500000000025</v>
      </c>
      <c r="DW81" s="28">
        <f t="shared" si="219"/>
        <v>2293.8290602748984</v>
      </c>
      <c r="DX81" s="28">
        <f t="shared" si="220"/>
        <v>21057.9</v>
      </c>
      <c r="DY81" s="28">
        <f t="shared" si="221"/>
        <v>8015.6276999999864</v>
      </c>
      <c r="DZ81" s="28">
        <f t="shared" si="222"/>
        <v>6193.5</v>
      </c>
      <c r="EA81" s="28">
        <f t="shared" si="223"/>
        <v>1728.4486580944736</v>
      </c>
      <c r="EB81" s="28">
        <f t="shared" si="224"/>
        <v>6665.0272554184794</v>
      </c>
      <c r="EC81" s="28">
        <f t="shared" si="225"/>
        <v>6351.6449753527595</v>
      </c>
      <c r="ED81" s="28">
        <f t="shared" si="226"/>
        <v>5986.5707728019461</v>
      </c>
      <c r="EE81" s="28">
        <f t="shared" si="227"/>
        <v>1427.989358650012</v>
      </c>
      <c r="EF81" s="28">
        <f t="shared" si="228"/>
        <v>5976.8785373360079</v>
      </c>
      <c r="EG81" s="28">
        <f t="shared" si="229"/>
        <v>2183.9837249941365</v>
      </c>
      <c r="EH81" s="28">
        <f t="shared" si="230"/>
        <v>1983.677525364496</v>
      </c>
      <c r="EI81" s="28">
        <f t="shared" si="231"/>
        <v>8513.0134842596763</v>
      </c>
      <c r="EJ81" s="28">
        <f t="shared" si="232"/>
        <v>2154.9070185962842</v>
      </c>
      <c r="EK81" s="28">
        <f t="shared" si="233"/>
        <v>16357.26272136877</v>
      </c>
      <c r="EL81" s="28">
        <f t="shared" si="234"/>
        <v>0</v>
      </c>
      <c r="EM81" s="28">
        <f t="shared" si="235"/>
        <v>0</v>
      </c>
      <c r="EN81" s="28">
        <f t="shared" si="236"/>
        <v>0</v>
      </c>
      <c r="EQ81" s="144">
        <v>3.0000944135483636E-2</v>
      </c>
      <c r="ER81" s="144">
        <v>4.9999990103401629E-2</v>
      </c>
      <c r="ES81" s="144">
        <v>8.0000934238885282E-2</v>
      </c>
      <c r="ET81" s="144">
        <v>0.10999952793225816</v>
      </c>
      <c r="EU81" s="144">
        <v>0.11999907565771306</v>
      </c>
      <c r="EV81" s="144">
        <v>0.14999999505170078</v>
      </c>
      <c r="EW81" s="144">
        <v>0.13000092434228688</v>
      </c>
      <c r="EX81" s="144">
        <v>8.0000934238885282E-2</v>
      </c>
      <c r="EY81" s="144">
        <v>6.9999060812815525E-2</v>
      </c>
      <c r="EZ81" s="144">
        <v>5.9999537828856531E-2</v>
      </c>
      <c r="FA81" s="144">
        <v>5.9999537828856531E-2</v>
      </c>
      <c r="FB81" s="144">
        <v>5.9999537828856531E-2</v>
      </c>
      <c r="FC81" s="145">
        <f t="shared" si="237"/>
        <v>0.99999999999999956</v>
      </c>
      <c r="FD81" s="146">
        <f t="shared" si="238"/>
        <v>0.16000186847777054</v>
      </c>
      <c r="FE81" s="146">
        <f t="shared" si="239"/>
        <v>0.37999859864167196</v>
      </c>
      <c r="FF81" s="146">
        <f t="shared" si="240"/>
        <v>0.28000091939398769</v>
      </c>
      <c r="FG81" s="146">
        <f t="shared" si="241"/>
        <v>0.17999861348656959</v>
      </c>
      <c r="FH81" s="145">
        <f t="shared" si="375"/>
        <v>0.99999999999999978</v>
      </c>
      <c r="FJ81" s="52">
        <f t="shared" si="243"/>
        <v>2291.073154807933</v>
      </c>
      <c r="FK81" s="52">
        <f t="shared" si="244"/>
        <v>1002.3930563079496</v>
      </c>
      <c r="FL81" s="52">
        <f t="shared" si="245"/>
        <v>454.13932804413895</v>
      </c>
      <c r="FM81" s="52">
        <f t="shared" si="246"/>
        <v>1718.3048661059534</v>
      </c>
      <c r="FN81" s="52">
        <f t="shared" si="247"/>
        <v>2009.267750721599</v>
      </c>
      <c r="FO81" s="52">
        <f t="shared" si="248"/>
        <v>3645.0656593016442</v>
      </c>
      <c r="FP81" s="52">
        <f t="shared" si="249"/>
        <v>495.9679503639922</v>
      </c>
      <c r="FQ81" s="52">
        <f t="shared" si="250"/>
        <v>859.1524330529769</v>
      </c>
      <c r="FR81" s="52">
        <f t="shared" si="251"/>
        <v>1060.6543516820323</v>
      </c>
      <c r="FS81" s="52">
        <f t="shared" si="252"/>
        <v>9737.0609079337282</v>
      </c>
      <c r="FT81" s="52">
        <f t="shared" si="253"/>
        <v>3706.383596190532</v>
      </c>
      <c r="FU81" s="52">
        <f t="shared" si="254"/>
        <v>2863.8414435099198</v>
      </c>
      <c r="FV81" s="52">
        <f t="shared" si="255"/>
        <v>799.22546218294326</v>
      </c>
      <c r="FW81" s="52">
        <f t="shared" si="256"/>
        <v>3081.8731373521618</v>
      </c>
      <c r="FX81" s="52">
        <f t="shared" si="257"/>
        <v>2936.966838601239</v>
      </c>
      <c r="FY81" s="52">
        <f t="shared" si="258"/>
        <v>2768.1584699532445</v>
      </c>
      <c r="FZ81" s="52">
        <f t="shared" si="259"/>
        <v>660.29468090628131</v>
      </c>
      <c r="GA81" s="52">
        <f t="shared" si="260"/>
        <v>2763.6768318475506</v>
      </c>
      <c r="GB81" s="52">
        <f t="shared" si="261"/>
        <v>1009.8624531507838</v>
      </c>
      <c r="GC81" s="52">
        <f t="shared" si="262"/>
        <v>917.24193229967591</v>
      </c>
      <c r="GD81" s="52">
        <f t="shared" si="263"/>
        <v>3936.3721361720577</v>
      </c>
      <c r="GE81" s="52">
        <f t="shared" si="264"/>
        <v>996.41753883368688</v>
      </c>
      <c r="GF81" s="52">
        <f t="shared" si="265"/>
        <v>7563.5112430508971</v>
      </c>
      <c r="GG81" s="52">
        <f t="shared" si="266"/>
        <v>0</v>
      </c>
      <c r="GH81" s="52">
        <f t="shared" si="267"/>
        <v>0</v>
      </c>
      <c r="GI81" s="52">
        <f t="shared" si="268"/>
        <v>0</v>
      </c>
      <c r="GJ81" s="26"/>
      <c r="GL81" s="150">
        <f t="shared" si="269"/>
        <v>5441.2151338940403</v>
      </c>
      <c r="GM81" s="150">
        <f t="shared" si="270"/>
        <v>2380.6469281206168</v>
      </c>
      <c r="GN81" s="150">
        <f t="shared" si="271"/>
        <v>1078.5643310710416</v>
      </c>
      <c r="GO81" s="150">
        <f t="shared" si="272"/>
        <v>4080.9113504205393</v>
      </c>
      <c r="GP81" s="150">
        <f t="shared" si="273"/>
        <v>4771.9375831925954</v>
      </c>
      <c r="GQ81" s="150">
        <f t="shared" si="274"/>
        <v>8656.8979204386287</v>
      </c>
      <c r="GR81" s="150">
        <f t="shared" si="275"/>
        <v>1177.9057826170547</v>
      </c>
      <c r="GS81" s="150">
        <f t="shared" si="276"/>
        <v>2040.4556752102699</v>
      </c>
      <c r="GT81" s="150">
        <f t="shared" si="277"/>
        <v>2519.0153784882814</v>
      </c>
      <c r="GU81" s="150">
        <f t="shared" si="278"/>
        <v>23125.164319049702</v>
      </c>
      <c r="GV81" s="150">
        <f t="shared" si="279"/>
        <v>8802.5257828570811</v>
      </c>
      <c r="GW81" s="150">
        <f t="shared" si="280"/>
        <v>6801.518917367559</v>
      </c>
      <c r="GX81" s="150">
        <f t="shared" si="281"/>
        <v>1898.131306325685</v>
      </c>
      <c r="GY81" s="150">
        <f t="shared" si="282"/>
        <v>7319.3362335511683</v>
      </c>
      <c r="GZ81" s="150">
        <f t="shared" si="283"/>
        <v>6975.1890621239027</v>
      </c>
      <c r="HA81" s="150">
        <f t="shared" si="284"/>
        <v>6574.2753469560275</v>
      </c>
      <c r="HB81" s="150">
        <f t="shared" si="285"/>
        <v>1568.1757708335549</v>
      </c>
      <c r="HC81" s="150">
        <f t="shared" si="286"/>
        <v>6563.6316200046804</v>
      </c>
      <c r="HD81" s="150">
        <f t="shared" si="287"/>
        <v>2398.3864730395558</v>
      </c>
      <c r="HE81" s="150">
        <f t="shared" si="288"/>
        <v>2178.4161160448025</v>
      </c>
      <c r="HF81" s="150">
        <f t="shared" si="289"/>
        <v>9348.7401722769519</v>
      </c>
      <c r="HG81" s="150">
        <f t="shared" si="290"/>
        <v>2366.455292185477</v>
      </c>
      <c r="HH81" s="150">
        <f t="shared" si="291"/>
        <v>17963.063184910123</v>
      </c>
      <c r="HI81" s="150">
        <f t="shared" si="292"/>
        <v>0</v>
      </c>
      <c r="HJ81" s="150">
        <f t="shared" si="293"/>
        <v>0</v>
      </c>
      <c r="HK81" s="150">
        <f t="shared" si="294"/>
        <v>0</v>
      </c>
      <c r="HL81" s="26"/>
      <c r="HN81" s="147">
        <f t="shared" si="295"/>
        <v>4009.3443648392813</v>
      </c>
      <c r="HO81" s="147">
        <f t="shared" si="296"/>
        <v>1754.1731232930538</v>
      </c>
      <c r="HP81" s="147">
        <f t="shared" si="297"/>
        <v>794.73715272889615</v>
      </c>
      <c r="HQ81" s="147">
        <f t="shared" si="298"/>
        <v>3007.0082736294676</v>
      </c>
      <c r="HR81" s="147">
        <f t="shared" si="299"/>
        <v>3516.1890474354082</v>
      </c>
      <c r="HS81" s="147">
        <f t="shared" si="300"/>
        <v>6378.8113574293029</v>
      </c>
      <c r="HT81" s="147">
        <f t="shared" si="301"/>
        <v>867.93662732234429</v>
      </c>
      <c r="HU81" s="147">
        <f t="shared" si="302"/>
        <v>1503.504136814734</v>
      </c>
      <c r="HV81" s="147">
        <f t="shared" si="303"/>
        <v>1856.1295343339305</v>
      </c>
      <c r="HW81" s="147">
        <f t="shared" si="304"/>
        <v>17039.713550566968</v>
      </c>
      <c r="HX81" s="147">
        <f t="shared" si="305"/>
        <v>6486.1168462187443</v>
      </c>
      <c r="HY81" s="147">
        <f t="shared" si="306"/>
        <v>5011.6804560491073</v>
      </c>
      <c r="HZ81" s="147">
        <f t="shared" si="307"/>
        <v>1398.6328181248691</v>
      </c>
      <c r="IA81" s="147">
        <f t="shared" si="308"/>
        <v>5393.2327173674676</v>
      </c>
      <c r="IB81" s="147">
        <f t="shared" si="309"/>
        <v>5139.6488232401616</v>
      </c>
      <c r="IC81" s="147">
        <f t="shared" si="310"/>
        <v>4844.2366579165755</v>
      </c>
      <c r="ID81" s="147">
        <f t="shared" si="311"/>
        <v>1155.5059917966196</v>
      </c>
      <c r="IE81" s="147">
        <f t="shared" si="312"/>
        <v>4836.3938570672863</v>
      </c>
      <c r="IF81" s="147">
        <f t="shared" si="313"/>
        <v>1767.2444580418896</v>
      </c>
      <c r="IG81" s="147">
        <f t="shared" si="314"/>
        <v>1605.1599071563899</v>
      </c>
      <c r="IH81" s="147">
        <f t="shared" si="315"/>
        <v>6888.5934126336861</v>
      </c>
      <c r="II81" s="147">
        <f t="shared" si="316"/>
        <v>1743.7160554939933</v>
      </c>
      <c r="IJ81" s="147">
        <f t="shared" si="317"/>
        <v>13236.033566665777</v>
      </c>
      <c r="IK81" s="147">
        <f t="shared" si="318"/>
        <v>0</v>
      </c>
      <c r="IL81" s="147">
        <f t="shared" si="319"/>
        <v>0</v>
      </c>
      <c r="IM81" s="147">
        <f t="shared" si="320"/>
        <v>0</v>
      </c>
      <c r="IN81" s="26"/>
      <c r="IP81" s="61">
        <f t="shared" si="321"/>
        <v>2577.4073464587268</v>
      </c>
      <c r="IQ81" s="61">
        <f t="shared" si="322"/>
        <v>1127.6703329815384</v>
      </c>
      <c r="IR81" s="61">
        <f t="shared" si="323"/>
        <v>510.89684236421505</v>
      </c>
      <c r="IS81" s="61">
        <f t="shared" si="324"/>
        <v>1933.0555098440491</v>
      </c>
      <c r="IT81" s="61">
        <f t="shared" si="325"/>
        <v>2260.3824111179879</v>
      </c>
      <c r="IU81" s="61">
        <f t="shared" si="326"/>
        <v>4100.61939266015</v>
      </c>
      <c r="IV81" s="61">
        <f t="shared" si="327"/>
        <v>557.95313047670663</v>
      </c>
      <c r="IW81" s="61">
        <f t="shared" si="328"/>
        <v>966.52775492202477</v>
      </c>
      <c r="IX81" s="61">
        <f t="shared" si="329"/>
        <v>1193.2130199953676</v>
      </c>
      <c r="IY81" s="61">
        <f t="shared" si="330"/>
        <v>10953.981222449602</v>
      </c>
      <c r="IZ81" s="61">
        <f t="shared" si="331"/>
        <v>4169.6007347336035</v>
      </c>
      <c r="JA81" s="61">
        <f t="shared" si="332"/>
        <v>3221.7591830734123</v>
      </c>
      <c r="JB81" s="61">
        <f t="shared" si="333"/>
        <v>899.11121929228796</v>
      </c>
      <c r="JC81" s="61">
        <f t="shared" si="334"/>
        <v>3467.0400848597828</v>
      </c>
      <c r="JD81" s="61">
        <f t="shared" si="335"/>
        <v>3304.0236581843624</v>
      </c>
      <c r="JE81" s="61">
        <f t="shared" si="336"/>
        <v>3114.1179240160754</v>
      </c>
      <c r="JF81" s="61">
        <f t="shared" si="337"/>
        <v>742.81711949007627</v>
      </c>
      <c r="JG81" s="61">
        <f t="shared" si="338"/>
        <v>3109.0761788611708</v>
      </c>
      <c r="JH81" s="61">
        <f t="shared" si="339"/>
        <v>1136.0732415730583</v>
      </c>
      <c r="JI81" s="61">
        <f t="shared" si="340"/>
        <v>1031.8771750382507</v>
      </c>
      <c r="JJ81" s="61">
        <f t="shared" si="341"/>
        <v>4428.3328277292958</v>
      </c>
      <c r="JK81" s="61">
        <f t="shared" si="342"/>
        <v>1120.9480061083275</v>
      </c>
      <c r="JL81" s="61">
        <f t="shared" si="343"/>
        <v>8508.7852397697952</v>
      </c>
      <c r="JM81" s="61">
        <f t="shared" si="344"/>
        <v>0</v>
      </c>
      <c r="JN81" s="61">
        <f t="shared" si="345"/>
        <v>0</v>
      </c>
      <c r="JO81" s="61">
        <f t="shared" si="346"/>
        <v>0</v>
      </c>
      <c r="JQ81" s="26">
        <f t="shared" si="431"/>
        <v>357976.47719551821</v>
      </c>
      <c r="JR81" s="156">
        <f t="shared" si="432"/>
        <v>1.0000013330377406</v>
      </c>
      <c r="JT81" s="157">
        <f t="shared" si="347"/>
        <v>14319.039999999981</v>
      </c>
      <c r="JU81" s="29">
        <f t="shared" si="348"/>
        <v>0.99999999999999978</v>
      </c>
    </row>
    <row r="82" spans="1:281" ht="18.75" x14ac:dyDescent="0.3">
      <c r="A82" t="s">
        <v>234</v>
      </c>
      <c r="B82" t="s">
        <v>161</v>
      </c>
      <c r="C82" t="s">
        <v>74</v>
      </c>
      <c r="D82" t="s">
        <v>29</v>
      </c>
      <c r="E82" s="11" t="s">
        <v>245</v>
      </c>
      <c r="F82" s="114">
        <v>3370</v>
      </c>
      <c r="G82" s="17">
        <v>1251754</v>
      </c>
      <c r="H82" s="21">
        <v>813215</v>
      </c>
      <c r="I82" s="25">
        <f t="shared" si="434"/>
        <v>1.5392657538289383</v>
      </c>
      <c r="J82" s="13">
        <v>3.9999999999999786E-2</v>
      </c>
      <c r="K82" s="13">
        <v>1.7500847656555543E-2</v>
      </c>
      <c r="L82" s="13">
        <v>7.9288490128061485E-3</v>
      </c>
      <c r="M82" s="13">
        <v>0.03</v>
      </c>
      <c r="N82" s="13">
        <v>3.5079940533632309E-2</v>
      </c>
      <c r="O82" s="13">
        <v>6.3639446023838628E-2</v>
      </c>
      <c r="P82" s="13">
        <v>8.6591377376698687E-3</v>
      </c>
      <c r="Q82" s="13">
        <v>1.5000000000000003E-2</v>
      </c>
      <c r="R82" s="13">
        <v>1.8518035523330124E-2</v>
      </c>
      <c r="S82" s="13">
        <v>0.17000000000000051</v>
      </c>
      <c r="T82" s="13">
        <v>6.4709999999999865E-2</v>
      </c>
      <c r="U82" s="13">
        <v>4.9999999999999885E-2</v>
      </c>
      <c r="V82" s="13">
        <v>1.3953730992931835E-2</v>
      </c>
      <c r="W82" s="13">
        <v>5.3806629978352248E-2</v>
      </c>
      <c r="X82" s="13">
        <v>5.127670118150289E-2</v>
      </c>
      <c r="Y82" s="13">
        <v>4.8329464541874124E-2</v>
      </c>
      <c r="Z82" s="13">
        <v>1.152812915677735E-2</v>
      </c>
      <c r="AA82" s="13">
        <v>4.8251219321353005E-2</v>
      </c>
      <c r="AB82" s="13">
        <v>1.7631256357424227E-2</v>
      </c>
      <c r="AC82" s="13">
        <v>1.6014188466654523E-2</v>
      </c>
      <c r="AD82" s="13">
        <v>6.8725385357710875E-2</v>
      </c>
      <c r="AE82" s="13">
        <v>1.7396520695860816E-2</v>
      </c>
      <c r="AF82" s="13">
        <v>0.13205185049946586</v>
      </c>
      <c r="AG82" s="9">
        <v>0</v>
      </c>
      <c r="AH82" s="13">
        <v>0</v>
      </c>
      <c r="AJ82" s="8">
        <f t="shared" si="376"/>
        <v>1.0000013330377404</v>
      </c>
      <c r="AK82" s="141">
        <f t="shared" si="435"/>
        <v>134.79999999999927</v>
      </c>
      <c r="AL82" s="141">
        <f t="shared" si="436"/>
        <v>58.977856602592176</v>
      </c>
      <c r="AM82" s="141">
        <f t="shared" si="437"/>
        <v>26.72022117315672</v>
      </c>
      <c r="AN82" s="141">
        <f t="shared" si="438"/>
        <v>101.1</v>
      </c>
      <c r="AO82" s="141">
        <f t="shared" si="439"/>
        <v>118.21939959834089</v>
      </c>
      <c r="AP82" s="141">
        <f t="shared" si="440"/>
        <v>214.46493310033617</v>
      </c>
      <c r="AQ82" s="141">
        <f t="shared" si="441"/>
        <v>29.181294175947457</v>
      </c>
      <c r="AR82" s="141">
        <f t="shared" si="442"/>
        <v>50.550000000000011</v>
      </c>
      <c r="AS82" s="141">
        <f t="shared" si="443"/>
        <v>62.405779713622522</v>
      </c>
      <c r="AT82" s="141">
        <f t="shared" si="444"/>
        <v>572.90000000000168</v>
      </c>
      <c r="AU82" s="141">
        <f t="shared" si="445"/>
        <v>218.07269999999954</v>
      </c>
      <c r="AV82" s="141">
        <f t="shared" si="446"/>
        <v>168.4999999999996</v>
      </c>
      <c r="AW82" s="141">
        <f t="shared" si="447"/>
        <v>47.024073446180282</v>
      </c>
      <c r="AX82" s="141">
        <f t="shared" si="448"/>
        <v>181.32834302704708</v>
      </c>
      <c r="AY82" s="141">
        <f t="shared" si="449"/>
        <v>172.80248298166475</v>
      </c>
      <c r="AZ82" s="141">
        <f t="shared" si="450"/>
        <v>162.87029550611581</v>
      </c>
      <c r="BA82" s="141">
        <f t="shared" si="451"/>
        <v>38.849795258339668</v>
      </c>
      <c r="BB82" s="141">
        <f t="shared" si="452"/>
        <v>162.60660911295963</v>
      </c>
      <c r="BC82" s="141">
        <f t="shared" si="453"/>
        <v>59.417333924519646</v>
      </c>
      <c r="BD82" s="141">
        <f t="shared" si="454"/>
        <v>53.967815132625745</v>
      </c>
      <c r="BE82" s="141">
        <f t="shared" si="455"/>
        <v>231.60454865548564</v>
      </c>
      <c r="BF82" s="141">
        <f t="shared" si="456"/>
        <v>58.626274745050949</v>
      </c>
      <c r="BG82" s="141">
        <f t="shared" si="457"/>
        <v>445.01473618319994</v>
      </c>
      <c r="BH82" s="141">
        <f t="shared" si="458"/>
        <v>0</v>
      </c>
      <c r="BI82" s="141">
        <f t="shared" si="459"/>
        <v>0</v>
      </c>
      <c r="BJ82" s="141">
        <f t="shared" si="460"/>
        <v>0</v>
      </c>
      <c r="BM82" s="26">
        <f t="shared" si="377"/>
        <v>50070.159999999734</v>
      </c>
      <c r="BN82" s="26">
        <f t="shared" si="378"/>
        <v>21906.756057484028</v>
      </c>
      <c r="BO82" s="26">
        <f t="shared" si="379"/>
        <v>9924.9684671761479</v>
      </c>
      <c r="BP82" s="26">
        <f t="shared" si="380"/>
        <v>37552.619999999995</v>
      </c>
      <c r="BQ82" s="26">
        <f t="shared" si="381"/>
        <v>43911.45588273638</v>
      </c>
      <c r="BR82" s="26">
        <f t="shared" si="382"/>
        <v>79660.931118124092</v>
      </c>
      <c r="BS82" s="26">
        <f t="shared" si="383"/>
        <v>10839.110299679209</v>
      </c>
      <c r="BT82" s="26">
        <f t="shared" si="384"/>
        <v>18776.310000000005</v>
      </c>
      <c r="BU82" s="26">
        <f t="shared" si="385"/>
        <v>23180.025038470576</v>
      </c>
      <c r="BV82" s="26">
        <f t="shared" si="386"/>
        <v>212798.18000000063</v>
      </c>
      <c r="BW82" s="26">
        <f t="shared" si="387"/>
        <v>81001.001339999828</v>
      </c>
      <c r="BX82" s="26">
        <f t="shared" si="388"/>
        <v>62587.699999999859</v>
      </c>
      <c r="BY82" s="26">
        <f t="shared" si="389"/>
        <v>17466.638585326396</v>
      </c>
      <c r="BZ82" s="26">
        <f t="shared" si="390"/>
        <v>67352.664301922341</v>
      </c>
      <c r="CA82" s="26">
        <f t="shared" si="391"/>
        <v>64185.815810750966</v>
      </c>
      <c r="CB82" s="26">
        <f t="shared" si="392"/>
        <v>60496.600558149104</v>
      </c>
      <c r="CC82" s="26">
        <f t="shared" si="393"/>
        <v>14430.381784512674</v>
      </c>
      <c r="CD82" s="26">
        <f t="shared" si="394"/>
        <v>60398.656790380912</v>
      </c>
      <c r="CE82" s="26">
        <f t="shared" si="395"/>
        <v>22069.995670431206</v>
      </c>
      <c r="CF82" s="26">
        <f t="shared" si="396"/>
        <v>20045.824469888666</v>
      </c>
      <c r="CG82" s="26">
        <f t="shared" si="397"/>
        <v>86027.276023056023</v>
      </c>
      <c r="CH82" s="26">
        <f t="shared" si="398"/>
        <v>21776.164367126559</v>
      </c>
      <c r="CI82" s="26">
        <f t="shared" si="399"/>
        <v>165296.43207010839</v>
      </c>
      <c r="CJ82" s="26">
        <f t="shared" si="400"/>
        <v>0</v>
      </c>
      <c r="CK82" s="26">
        <f t="shared" si="401"/>
        <v>0</v>
      </c>
      <c r="CL82" s="26">
        <f t="shared" si="402"/>
        <v>0</v>
      </c>
      <c r="CM82" s="110">
        <f t="shared" si="403"/>
        <v>1.0000013330377404</v>
      </c>
      <c r="CN82" s="27">
        <f t="shared" si="404"/>
        <v>32528.599999999828</v>
      </c>
      <c r="CO82" s="27">
        <f t="shared" si="405"/>
        <v>14231.951827025816</v>
      </c>
      <c r="CP82" s="27">
        <f t="shared" si="406"/>
        <v>6447.8589499491518</v>
      </c>
      <c r="CQ82" s="27">
        <f t="shared" si="407"/>
        <v>24396.45</v>
      </c>
      <c r="CR82" s="27">
        <f t="shared" si="408"/>
        <v>28527.533841057797</v>
      </c>
      <c r="CS82" s="27">
        <f t="shared" si="409"/>
        <v>51752.552098275926</v>
      </c>
      <c r="CT82" s="27">
        <f t="shared" si="410"/>
        <v>7041.7406953392019</v>
      </c>
      <c r="CU82" s="27">
        <f t="shared" si="411"/>
        <v>12198.225000000002</v>
      </c>
      <c r="CV82" s="27">
        <f t="shared" si="412"/>
        <v>15059.144258104907</v>
      </c>
      <c r="CW82" s="27">
        <f t="shared" si="413"/>
        <v>138246.55000000042</v>
      </c>
      <c r="CX82" s="27">
        <f t="shared" si="414"/>
        <v>52623.142649999892</v>
      </c>
      <c r="CY82" s="27">
        <f t="shared" si="415"/>
        <v>40660.749999999905</v>
      </c>
      <c r="CZ82" s="27">
        <f t="shared" si="416"/>
        <v>11347.383349417063</v>
      </c>
      <c r="DA82" s="27">
        <f t="shared" si="417"/>
        <v>43756.358597845727</v>
      </c>
      <c r="DB82" s="27">
        <f t="shared" si="418"/>
        <v>41698.982551315872</v>
      </c>
      <c r="DC82" s="27">
        <f t="shared" si="419"/>
        <v>39302.245507420164</v>
      </c>
      <c r="DD82" s="27">
        <f t="shared" si="420"/>
        <v>9374.8475522286917</v>
      </c>
      <c r="DE82" s="27">
        <f t="shared" si="421"/>
        <v>39238.615320414086</v>
      </c>
      <c r="DF82" s="27">
        <f t="shared" si="422"/>
        <v>14338.002138702743</v>
      </c>
      <c r="DG82" s="27">
        <f t="shared" si="423"/>
        <v>13022.978273910458</v>
      </c>
      <c r="DH82" s="27">
        <f t="shared" si="424"/>
        <v>55888.514253670852</v>
      </c>
      <c r="DI82" s="27">
        <f t="shared" si="425"/>
        <v>14147.111577684453</v>
      </c>
      <c r="DJ82" s="27">
        <f t="shared" si="426"/>
        <v>107386.54560392312</v>
      </c>
      <c r="DK82" s="27">
        <f t="shared" si="427"/>
        <v>0</v>
      </c>
      <c r="DL82" s="27">
        <f t="shared" si="428"/>
        <v>0</v>
      </c>
      <c r="DM82" s="27">
        <f t="shared" si="429"/>
        <v>0</v>
      </c>
      <c r="DN82" s="110">
        <f t="shared" si="430"/>
        <v>1.0000013330377404</v>
      </c>
      <c r="DO82" s="28">
        <f t="shared" si="211"/>
        <v>17541.559999999907</v>
      </c>
      <c r="DP82" s="28">
        <f t="shared" si="212"/>
        <v>7674.8042304582123</v>
      </c>
      <c r="DQ82" s="28">
        <f t="shared" si="213"/>
        <v>3477.1095172269961</v>
      </c>
      <c r="DR82" s="28">
        <f t="shared" si="214"/>
        <v>13156.169999999995</v>
      </c>
      <c r="DS82" s="28">
        <f t="shared" si="215"/>
        <v>15383.922041678583</v>
      </c>
      <c r="DT82" s="28">
        <f t="shared" si="216"/>
        <v>27908.379019848166</v>
      </c>
      <c r="DU82" s="28">
        <f t="shared" si="217"/>
        <v>3797.3696043400068</v>
      </c>
      <c r="DV82" s="28">
        <f t="shared" si="218"/>
        <v>6578.0850000000028</v>
      </c>
      <c r="DW82" s="28">
        <f t="shared" si="219"/>
        <v>8120.8807803656691</v>
      </c>
      <c r="DX82" s="28">
        <f t="shared" si="220"/>
        <v>74551.630000000208</v>
      </c>
      <c r="DY82" s="28">
        <f t="shared" si="221"/>
        <v>28377.858689999935</v>
      </c>
      <c r="DZ82" s="28">
        <f t="shared" si="222"/>
        <v>21926.949999999953</v>
      </c>
      <c r="EA82" s="28">
        <f t="shared" si="223"/>
        <v>6119.2552359093334</v>
      </c>
      <c r="EB82" s="28">
        <f t="shared" si="224"/>
        <v>23596.305704076614</v>
      </c>
      <c r="EC82" s="28">
        <f t="shared" si="225"/>
        <v>22486.833259435094</v>
      </c>
      <c r="ED82" s="28">
        <f t="shared" si="226"/>
        <v>21194.35505072894</v>
      </c>
      <c r="EE82" s="28">
        <f t="shared" si="227"/>
        <v>5055.5342322839824</v>
      </c>
      <c r="EF82" s="28">
        <f t="shared" si="228"/>
        <v>21160.041469966825</v>
      </c>
      <c r="EG82" s="28">
        <f t="shared" si="229"/>
        <v>7731.9935317284635</v>
      </c>
      <c r="EH82" s="28">
        <f t="shared" si="230"/>
        <v>7022.8461959782089</v>
      </c>
      <c r="EI82" s="28">
        <f t="shared" si="231"/>
        <v>30138.761769385172</v>
      </c>
      <c r="EJ82" s="28">
        <f t="shared" si="232"/>
        <v>7629.0527894421066</v>
      </c>
      <c r="EK82" s="28">
        <f t="shared" si="233"/>
        <v>57909.886466185271</v>
      </c>
      <c r="EL82" s="28">
        <f t="shared" si="234"/>
        <v>0</v>
      </c>
      <c r="EM82" s="28">
        <f t="shared" si="235"/>
        <v>0</v>
      </c>
      <c r="EN82" s="28">
        <f t="shared" si="236"/>
        <v>0</v>
      </c>
      <c r="EQ82" s="144">
        <v>2.9999950396826781E-2</v>
      </c>
      <c r="ER82" s="144">
        <v>4.999999860665244E-2</v>
      </c>
      <c r="ES82" s="144">
        <v>7.9999949003479204E-2</v>
      </c>
      <c r="ET82" s="144">
        <v>0.10999989940030599</v>
      </c>
      <c r="EU82" s="144">
        <v>0.12000005238986834</v>
      </c>
      <c r="EV82" s="144">
        <v>0.15000050439181759</v>
      </c>
      <c r="EW82" s="144">
        <v>0.12999994761013167</v>
      </c>
      <c r="EX82" s="144">
        <v>7.9999949003479204E-2</v>
      </c>
      <c r="EY82" s="144">
        <v>7.000004681647809E-2</v>
      </c>
      <c r="EZ82" s="144">
        <v>5.9999900793653561E-2</v>
      </c>
      <c r="FA82" s="144">
        <v>5.9999900793653561E-2</v>
      </c>
      <c r="FB82" s="144">
        <v>5.9999900793653561E-2</v>
      </c>
      <c r="FC82" s="145">
        <f t="shared" si="237"/>
        <v>1</v>
      </c>
      <c r="FD82" s="146">
        <f t="shared" si="238"/>
        <v>0.15999989800695841</v>
      </c>
      <c r="FE82" s="146">
        <f t="shared" si="239"/>
        <v>0.38000045618199196</v>
      </c>
      <c r="FF82" s="146">
        <f t="shared" si="240"/>
        <v>0.27999994343008894</v>
      </c>
      <c r="FG82" s="146">
        <f t="shared" si="241"/>
        <v>0.17999970238096069</v>
      </c>
      <c r="FH82" s="145">
        <f t="shared" si="375"/>
        <v>1</v>
      </c>
      <c r="FJ82" s="52">
        <f t="shared" si="243"/>
        <v>8011.220493192046</v>
      </c>
      <c r="FK82" s="52">
        <f t="shared" si="244"/>
        <v>3505.0787348607628</v>
      </c>
      <c r="FL82" s="52">
        <f t="shared" si="245"/>
        <v>1587.9939424704619</v>
      </c>
      <c r="FM82" s="52">
        <f t="shared" si="246"/>
        <v>6008.4153698940654</v>
      </c>
      <c r="FN82" s="52">
        <f t="shared" si="247"/>
        <v>7025.8284625748747</v>
      </c>
      <c r="FO82" s="52">
        <f t="shared" si="248"/>
        <v>12745.740854039193</v>
      </c>
      <c r="FP82" s="52">
        <f t="shared" si="249"/>
        <v>1734.2565424348459</v>
      </c>
      <c r="FQ82" s="52">
        <f t="shared" si="250"/>
        <v>3004.2076849470341</v>
      </c>
      <c r="FR82" s="52">
        <f t="shared" si="251"/>
        <v>3708.8016419540345</v>
      </c>
      <c r="FS82" s="52">
        <f t="shared" si="252"/>
        <v>34047.687096066475</v>
      </c>
      <c r="FT82" s="52">
        <f t="shared" si="253"/>
        <v>12960.151952861474</v>
      </c>
      <c r="FU82" s="52">
        <f t="shared" si="254"/>
        <v>10014.025616490087</v>
      </c>
      <c r="FV82" s="52">
        <f t="shared" si="255"/>
        <v>2794.6603921766277</v>
      </c>
      <c r="FW82" s="52">
        <f t="shared" si="256"/>
        <v>10776.419418804484</v>
      </c>
      <c r="FX82" s="52">
        <f t="shared" si="257"/>
        <v>10269.723983213573</v>
      </c>
      <c r="FY82" s="52">
        <f t="shared" si="258"/>
        <v>9679.4499190715596</v>
      </c>
      <c r="FZ82" s="52">
        <f t="shared" si="259"/>
        <v>2308.8596137234981</v>
      </c>
      <c r="GA82" s="52">
        <f t="shared" si="260"/>
        <v>9663.7789262182323</v>
      </c>
      <c r="GB82" s="52">
        <f t="shared" si="261"/>
        <v>3531.1970562830065</v>
      </c>
      <c r="GC82" s="52">
        <f t="shared" si="262"/>
        <v>3207.3298706475775</v>
      </c>
      <c r="GD82" s="52">
        <f t="shared" si="263"/>
        <v>13764.355389505423</v>
      </c>
      <c r="GE82" s="52">
        <f t="shared" si="264"/>
        <v>3484.1840777230113</v>
      </c>
      <c r="GF82" s="52">
        <f t="shared" si="265"/>
        <v>26447.412272131471</v>
      </c>
      <c r="GG82" s="52">
        <f t="shared" si="266"/>
        <v>0</v>
      </c>
      <c r="GH82" s="52">
        <f t="shared" si="267"/>
        <v>0</v>
      </c>
      <c r="GI82" s="52">
        <f t="shared" si="268"/>
        <v>0</v>
      </c>
      <c r="GJ82" s="26"/>
      <c r="GL82" s="150">
        <f t="shared" si="269"/>
        <v>19026.683641105225</v>
      </c>
      <c r="GM82" s="150">
        <f t="shared" si="270"/>
        <v>8324.5772953115465</v>
      </c>
      <c r="GN82" s="150">
        <f t="shared" si="271"/>
        <v>3771.4925451188219</v>
      </c>
      <c r="GO82" s="150">
        <f t="shared" si="272"/>
        <v>14270.012730828994</v>
      </c>
      <c r="GP82" s="150">
        <f t="shared" si="273"/>
        <v>16686.373267055238</v>
      </c>
      <c r="GQ82" s="150">
        <f t="shared" si="274"/>
        <v>30271.190164769396</v>
      </c>
      <c r="GR82" s="150">
        <f t="shared" si="275"/>
        <v>4118.8668584850266</v>
      </c>
      <c r="GS82" s="150">
        <f t="shared" si="276"/>
        <v>7135.0063654144997</v>
      </c>
      <c r="GT82" s="150">
        <f t="shared" si="277"/>
        <v>8808.4200889288149</v>
      </c>
      <c r="GU82" s="150">
        <f t="shared" si="278"/>
        <v>80863.40547469788</v>
      </c>
      <c r="GV82" s="150">
        <f t="shared" si="279"/>
        <v>30780.417460398075</v>
      </c>
      <c r="GW82" s="150">
        <f t="shared" si="280"/>
        <v>23783.354551381606</v>
      </c>
      <c r="GX82" s="150">
        <f t="shared" si="281"/>
        <v>6637.3306303900135</v>
      </c>
      <c r="GY82" s="150">
        <f t="shared" si="282"/>
        <v>25594.043159803055</v>
      </c>
      <c r="GZ82" s="150">
        <f t="shared" si="283"/>
        <v>24390.639288498678</v>
      </c>
      <c r="HA82" s="150">
        <f t="shared" si="284"/>
        <v>22988.735809556409</v>
      </c>
      <c r="HB82" s="150">
        <f t="shared" si="285"/>
        <v>5483.5516609951237</v>
      </c>
      <c r="HC82" s="150">
        <f t="shared" si="286"/>
        <v>22951.517133124315</v>
      </c>
      <c r="HD82" s="150">
        <f t="shared" si="287"/>
        <v>8386.6084226984458</v>
      </c>
      <c r="HE82" s="150">
        <f t="shared" si="288"/>
        <v>7617.4224431018301</v>
      </c>
      <c r="HF82" s="150">
        <f t="shared" si="289"/>
        <v>32690.404132855427</v>
      </c>
      <c r="HG82" s="150">
        <f t="shared" si="290"/>
        <v>8274.9523934021308</v>
      </c>
      <c r="HH82" s="150">
        <f t="shared" si="291"/>
        <v>62812.719591896835</v>
      </c>
      <c r="HI82" s="150">
        <f t="shared" si="292"/>
        <v>0</v>
      </c>
      <c r="HJ82" s="150">
        <f t="shared" si="293"/>
        <v>0</v>
      </c>
      <c r="HK82" s="150">
        <f t="shared" si="294"/>
        <v>0</v>
      </c>
      <c r="HL82" s="26"/>
      <c r="HN82" s="147">
        <f t="shared" si="295"/>
        <v>14019.641967535428</v>
      </c>
      <c r="HO82" s="147">
        <f t="shared" si="296"/>
        <v>6133.890456832286</v>
      </c>
      <c r="HP82" s="147">
        <f t="shared" si="297"/>
        <v>2778.9906093547379</v>
      </c>
      <c r="HQ82" s="147">
        <f t="shared" si="298"/>
        <v>10514.731475651624</v>
      </c>
      <c r="HR82" s="147">
        <f t="shared" si="299"/>
        <v>12295.205163099032</v>
      </c>
      <c r="HS82" s="147">
        <f t="shared" si="300"/>
        <v>22305.056206662957</v>
      </c>
      <c r="HT82" s="147">
        <f t="shared" si="301"/>
        <v>3034.9502707426727</v>
      </c>
      <c r="HU82" s="147">
        <f t="shared" si="302"/>
        <v>5257.3657378258149</v>
      </c>
      <c r="HV82" s="147">
        <f t="shared" si="303"/>
        <v>6490.4056994798066</v>
      </c>
      <c r="HW82" s="147">
        <f t="shared" si="304"/>
        <v>59583.478362026064</v>
      </c>
      <c r="HX82" s="147">
        <f t="shared" si="305"/>
        <v>22680.275792980508</v>
      </c>
      <c r="HY82" s="147">
        <f t="shared" si="306"/>
        <v>17524.552459419338</v>
      </c>
      <c r="HZ82" s="147">
        <f t="shared" si="307"/>
        <v>4890.6578158051998</v>
      </c>
      <c r="IA82" s="147">
        <f t="shared" si="308"/>
        <v>18858.742194404025</v>
      </c>
      <c r="IB82" s="147">
        <f t="shared" si="309"/>
        <v>17972.02479602438</v>
      </c>
      <c r="IC82" s="147">
        <f t="shared" si="310"/>
        <v>16939.044733994437</v>
      </c>
      <c r="ID82" s="147">
        <f t="shared" si="311"/>
        <v>4040.5060833381344</v>
      </c>
      <c r="IE82" s="147">
        <f t="shared" si="312"/>
        <v>16911.620484560011</v>
      </c>
      <c r="IF82" s="147">
        <f t="shared" si="313"/>
        <v>6179.5975392230457</v>
      </c>
      <c r="IG82" s="147">
        <f t="shared" si="314"/>
        <v>5612.8297175783191</v>
      </c>
      <c r="IH82" s="147">
        <f t="shared" si="315"/>
        <v>24087.632419900332</v>
      </c>
      <c r="II82" s="147">
        <f t="shared" si="316"/>
        <v>6097.3247909197553</v>
      </c>
      <c r="IJ82" s="147">
        <f t="shared" si="317"/>
        <v>46282.99162882589</v>
      </c>
      <c r="IK82" s="147">
        <f t="shared" si="318"/>
        <v>0</v>
      </c>
      <c r="IL82" s="147">
        <f t="shared" si="319"/>
        <v>0</v>
      </c>
      <c r="IM82" s="147">
        <f t="shared" si="320"/>
        <v>0</v>
      </c>
      <c r="IN82" s="26"/>
      <c r="IP82" s="61">
        <f t="shared" si="321"/>
        <v>9012.6138981670356</v>
      </c>
      <c r="IQ82" s="61">
        <f t="shared" si="322"/>
        <v>3943.2095704794328</v>
      </c>
      <c r="IR82" s="61">
        <f t="shared" si="323"/>
        <v>1786.4913702321262</v>
      </c>
      <c r="IS82" s="61">
        <f t="shared" si="324"/>
        <v>6759.4604236253108</v>
      </c>
      <c r="IT82" s="61">
        <f t="shared" si="325"/>
        <v>7904.0489900072344</v>
      </c>
      <c r="IU82" s="61">
        <f t="shared" si="326"/>
        <v>14338.943892652547</v>
      </c>
      <c r="IV82" s="61">
        <f t="shared" si="327"/>
        <v>1951.0366280166631</v>
      </c>
      <c r="IW82" s="61">
        <f t="shared" si="328"/>
        <v>3379.7302118126568</v>
      </c>
      <c r="IX82" s="61">
        <f t="shared" si="329"/>
        <v>4172.3976081079209</v>
      </c>
      <c r="IY82" s="61">
        <f t="shared" si="330"/>
        <v>38303.609067210215</v>
      </c>
      <c r="IZ82" s="61">
        <f t="shared" si="331"/>
        <v>14580.156133759767</v>
      </c>
      <c r="JA82" s="61">
        <f t="shared" si="332"/>
        <v>11265.767372708828</v>
      </c>
      <c r="JB82" s="61">
        <f t="shared" si="333"/>
        <v>3143.9897469545558</v>
      </c>
      <c r="JC82" s="61">
        <f t="shared" si="334"/>
        <v>12123.459528910776</v>
      </c>
      <c r="JD82" s="61">
        <f t="shared" si="335"/>
        <v>11553.427743014336</v>
      </c>
      <c r="JE82" s="61">
        <f t="shared" si="336"/>
        <v>10889.3700955267</v>
      </c>
      <c r="JF82" s="61">
        <f t="shared" si="337"/>
        <v>2597.4644264559179</v>
      </c>
      <c r="JG82" s="61">
        <f t="shared" si="338"/>
        <v>10871.740246478355</v>
      </c>
      <c r="JH82" s="61">
        <f t="shared" si="339"/>
        <v>3972.5926522267082</v>
      </c>
      <c r="JI82" s="61">
        <f t="shared" si="340"/>
        <v>3608.2424385609393</v>
      </c>
      <c r="JJ82" s="61">
        <f t="shared" si="341"/>
        <v>15484.88408079484</v>
      </c>
      <c r="JK82" s="61">
        <f t="shared" si="342"/>
        <v>3919.7031050816618</v>
      </c>
      <c r="JL82" s="61">
        <f t="shared" si="343"/>
        <v>29753.308577254196</v>
      </c>
      <c r="JM82" s="61">
        <f t="shared" si="344"/>
        <v>0</v>
      </c>
      <c r="JN82" s="61">
        <f t="shared" si="345"/>
        <v>0</v>
      </c>
      <c r="JO82" s="61">
        <f t="shared" si="346"/>
        <v>0</v>
      </c>
      <c r="JQ82" s="26">
        <f t="shared" si="431"/>
        <v>1251755.6686353236</v>
      </c>
      <c r="JR82" s="156">
        <f t="shared" si="432"/>
        <v>1.0000013330377404</v>
      </c>
      <c r="JT82" s="157">
        <f t="shared" si="347"/>
        <v>50070.159999999727</v>
      </c>
      <c r="JU82" s="29">
        <f t="shared" si="348"/>
        <v>0.99999999999999989</v>
      </c>
    </row>
    <row r="83" spans="1:281" ht="18.75" x14ac:dyDescent="0.3">
      <c r="A83" t="s">
        <v>234</v>
      </c>
      <c r="B83" t="s">
        <v>162</v>
      </c>
      <c r="C83" t="s">
        <v>74</v>
      </c>
      <c r="D83" t="s">
        <v>29</v>
      </c>
      <c r="E83" s="11" t="s">
        <v>246</v>
      </c>
      <c r="F83" s="114">
        <v>894.000999998682</v>
      </c>
      <c r="G83" s="17">
        <v>404607.45459554612</v>
      </c>
      <c r="H83" s="21">
        <v>190933</v>
      </c>
      <c r="I83" s="25">
        <f t="shared" si="434"/>
        <v>2.119106988291946</v>
      </c>
      <c r="J83" s="13">
        <v>4.0000000000000084E-2</v>
      </c>
      <c r="K83" s="13">
        <v>1.7500847656555636E-2</v>
      </c>
      <c r="L83" s="13">
        <v>7.9288490128061224E-3</v>
      </c>
      <c r="M83" s="13">
        <v>2.9999999999999957E-2</v>
      </c>
      <c r="N83" s="13">
        <v>3.5079940533632427E-2</v>
      </c>
      <c r="O83" s="13">
        <v>6.36394460238386E-2</v>
      </c>
      <c r="P83" s="13">
        <v>8.6591377376698496E-3</v>
      </c>
      <c r="Q83" s="13">
        <v>1.4999999999999979E-2</v>
      </c>
      <c r="R83" s="13">
        <v>1.8518035523330114E-2</v>
      </c>
      <c r="S83" s="13">
        <v>0.1700000000000006</v>
      </c>
      <c r="T83" s="13">
        <v>6.4710000000000004E-2</v>
      </c>
      <c r="U83" s="13">
        <v>5.0000000000000142E-2</v>
      </c>
      <c r="V83" s="13">
        <v>1.395373099293189E-2</v>
      </c>
      <c r="W83" s="13">
        <v>5.3806629978352123E-2</v>
      </c>
      <c r="X83" s="13">
        <v>5.1276701181502841E-2</v>
      </c>
      <c r="Y83" s="13">
        <v>4.8329464541874124E-2</v>
      </c>
      <c r="Z83" s="13">
        <v>1.1528129156777339E-2</v>
      </c>
      <c r="AA83" s="13">
        <v>4.8251219321353109E-2</v>
      </c>
      <c r="AB83" s="13">
        <v>1.7631256357424106E-2</v>
      </c>
      <c r="AC83" s="13">
        <v>1.6014188466654478E-2</v>
      </c>
      <c r="AD83" s="13">
        <v>6.8725385357711166E-2</v>
      </c>
      <c r="AE83" s="13">
        <v>1.7396520695860854E-2</v>
      </c>
      <c r="AF83" s="13">
        <v>0.13205185049946469</v>
      </c>
      <c r="AG83" s="9">
        <v>0</v>
      </c>
      <c r="AH83" s="13">
        <v>0</v>
      </c>
      <c r="AJ83" s="8">
        <f t="shared" ref="AJ83:AJ114" si="461">SUM(J83:AI83)</f>
        <v>1.0000013330377404</v>
      </c>
      <c r="AK83" s="141">
        <f t="shared" si="435"/>
        <v>35.760039999947352</v>
      </c>
      <c r="AL83" s="141">
        <f t="shared" si="436"/>
        <v>15.64577530578533</v>
      </c>
      <c r="AM83" s="141">
        <f t="shared" si="437"/>
        <v>7.0883989462872359</v>
      </c>
      <c r="AN83" s="141">
        <f t="shared" si="438"/>
        <v>26.820029999960422</v>
      </c>
      <c r="AO83" s="141">
        <f t="shared" si="439"/>
        <v>31.361501916961689</v>
      </c>
      <c r="AP83" s="141">
        <f t="shared" si="440"/>
        <v>56.893728384673857</v>
      </c>
      <c r="AQ83" s="141">
        <f t="shared" si="441"/>
        <v>7.7412777966031703</v>
      </c>
      <c r="AR83" s="141">
        <f t="shared" si="442"/>
        <v>13.410014999980211</v>
      </c>
      <c r="AS83" s="141">
        <f t="shared" si="443"/>
        <v>16.555142275868238</v>
      </c>
      <c r="AT83" s="141">
        <f t="shared" si="444"/>
        <v>151.98016999977648</v>
      </c>
      <c r="AU83" s="141">
        <f t="shared" si="445"/>
        <v>57.850804709914719</v>
      </c>
      <c r="AV83" s="141">
        <f t="shared" si="446"/>
        <v>44.70004999993423</v>
      </c>
      <c r="AW83" s="141">
        <f t="shared" si="447"/>
        <v>12.474649461393712</v>
      </c>
      <c r="AX83" s="141">
        <f t="shared" si="448"/>
        <v>48.103181007205862</v>
      </c>
      <c r="AY83" s="141">
        <f t="shared" si="449"/>
        <v>45.841422132897137</v>
      </c>
      <c r="AZ83" s="141">
        <f t="shared" si="450"/>
        <v>43.206589629836309</v>
      </c>
      <c r="BA83" s="141">
        <f t="shared" si="451"/>
        <v>10.306158994272904</v>
      </c>
      <c r="BB83" s="141">
        <f t="shared" si="452"/>
        <v>43.136638324445407</v>
      </c>
      <c r="BC83" s="141">
        <f t="shared" si="453"/>
        <v>15.76236081477027</v>
      </c>
      <c r="BD83" s="141">
        <f t="shared" si="454"/>
        <v>14.316700503356463</v>
      </c>
      <c r="BE83" s="141">
        <f t="shared" si="455"/>
        <v>61.440563235088561</v>
      </c>
      <c r="BF83" s="141">
        <f t="shared" si="456"/>
        <v>15.55250689859737</v>
      </c>
      <c r="BG83" s="141">
        <f t="shared" si="457"/>
        <v>118.05448639819789</v>
      </c>
      <c r="BH83" s="141">
        <f t="shared" si="458"/>
        <v>0</v>
      </c>
      <c r="BI83" s="141">
        <f t="shared" si="459"/>
        <v>0</v>
      </c>
      <c r="BJ83" s="141">
        <f t="shared" si="460"/>
        <v>0</v>
      </c>
      <c r="BM83" s="26">
        <f t="shared" si="377"/>
        <v>16184.298183821878</v>
      </c>
      <c r="BN83" s="26">
        <f t="shared" si="378"/>
        <v>7080.9734235834039</v>
      </c>
      <c r="BO83" s="26">
        <f t="shared" si="379"/>
        <v>3208.0714169438938</v>
      </c>
      <c r="BP83" s="26">
        <f t="shared" si="380"/>
        <v>12138.223637866366</v>
      </c>
      <c r="BQ83" s="26">
        <f t="shared" si="381"/>
        <v>14193.60544667614</v>
      </c>
      <c r="BR83" s="26">
        <f t="shared" si="382"/>
        <v>25748.994267575985</v>
      </c>
      <c r="BS83" s="26">
        <f t="shared" si="383"/>
        <v>3503.5516790308338</v>
      </c>
      <c r="BT83" s="26">
        <f t="shared" si="384"/>
        <v>6069.1118189331828</v>
      </c>
      <c r="BU83" s="26">
        <f t="shared" si="385"/>
        <v>7492.5352172044995</v>
      </c>
      <c r="BV83" s="26">
        <f t="shared" si="386"/>
        <v>68783.267281243083</v>
      </c>
      <c r="BW83" s="26">
        <f t="shared" si="387"/>
        <v>26182.14838687779</v>
      </c>
      <c r="BX83" s="26">
        <f t="shared" si="388"/>
        <v>20230.372729777362</v>
      </c>
      <c r="BY83" s="26">
        <f t="shared" si="389"/>
        <v>5645.7835791611542</v>
      </c>
      <c r="BZ83" s="26">
        <f t="shared" si="390"/>
        <v>21770.563595905456</v>
      </c>
      <c r="CA83" s="26">
        <f t="shared" si="391"/>
        <v>20746.935545104297</v>
      </c>
      <c r="CB83" s="26">
        <f t="shared" si="392"/>
        <v>19554.46163025339</v>
      </c>
      <c r="CC83" s="26">
        <f t="shared" si="393"/>
        <v>4664.3669943723789</v>
      </c>
      <c r="CD83" s="26">
        <f t="shared" si="394"/>
        <v>19522.803030744115</v>
      </c>
      <c r="CE83" s="26">
        <f t="shared" si="395"/>
        <v>7133.737756098908</v>
      </c>
      <c r="CF83" s="26">
        <f t="shared" si="396"/>
        <v>6479.4600329064197</v>
      </c>
      <c r="CG83" s="26">
        <f t="shared" si="397"/>
        <v>27806.803235681531</v>
      </c>
      <c r="CH83" s="26">
        <f t="shared" si="398"/>
        <v>7038.7619575709987</v>
      </c>
      <c r="CI83" s="26">
        <f t="shared" si="399"/>
        <v>53429.163105220003</v>
      </c>
      <c r="CJ83" s="26">
        <f t="shared" si="400"/>
        <v>0</v>
      </c>
      <c r="CK83" s="26">
        <f t="shared" si="401"/>
        <v>0</v>
      </c>
      <c r="CL83" s="26">
        <f t="shared" si="402"/>
        <v>0</v>
      </c>
      <c r="CM83" s="110">
        <f t="shared" si="403"/>
        <v>1.0000013330377406</v>
      </c>
      <c r="CN83" s="27">
        <f t="shared" si="404"/>
        <v>7637.3200000000161</v>
      </c>
      <c r="CO83" s="27">
        <f t="shared" si="405"/>
        <v>3341.4893456091372</v>
      </c>
      <c r="CP83" s="27">
        <f t="shared" si="406"/>
        <v>1513.8789285621115</v>
      </c>
      <c r="CQ83" s="27">
        <f t="shared" si="407"/>
        <v>5727.9899999999916</v>
      </c>
      <c r="CR83" s="27">
        <f t="shared" si="408"/>
        <v>6697.9182859080402</v>
      </c>
      <c r="CS83" s="27">
        <f t="shared" si="409"/>
        <v>12150.870347669575</v>
      </c>
      <c r="CT83" s="27">
        <f t="shared" si="410"/>
        <v>1653.3151456665173</v>
      </c>
      <c r="CU83" s="27">
        <f t="shared" si="411"/>
        <v>2863.9949999999958</v>
      </c>
      <c r="CV83" s="27">
        <f t="shared" si="412"/>
        <v>3535.7040765759884</v>
      </c>
      <c r="CW83" s="27">
        <f t="shared" si="413"/>
        <v>32458.610000000113</v>
      </c>
      <c r="CX83" s="27">
        <f t="shared" si="414"/>
        <v>12355.274430000001</v>
      </c>
      <c r="CY83" s="27">
        <f t="shared" si="415"/>
        <v>9546.6500000000269</v>
      </c>
      <c r="CZ83" s="27">
        <f t="shared" si="416"/>
        <v>2664.2277196734644</v>
      </c>
      <c r="DA83" s="27">
        <f t="shared" si="417"/>
        <v>10273.461281656706</v>
      </c>
      <c r="DB83" s="27">
        <f t="shared" si="418"/>
        <v>9790.4143866878821</v>
      </c>
      <c r="DC83" s="27">
        <f t="shared" si="419"/>
        <v>9227.6896533736526</v>
      </c>
      <c r="DD83" s="27">
        <f t="shared" si="420"/>
        <v>2201.1002842909679</v>
      </c>
      <c r="DE83" s="27">
        <f t="shared" si="421"/>
        <v>9212.7500586839124</v>
      </c>
      <c r="DF83" s="27">
        <f t="shared" si="422"/>
        <v>3366.3886700920566</v>
      </c>
      <c r="DG83" s="27">
        <f t="shared" si="423"/>
        <v>3057.6370465037394</v>
      </c>
      <c r="DH83" s="27">
        <f t="shared" si="424"/>
        <v>13121.944002503866</v>
      </c>
      <c r="DI83" s="27">
        <f t="shared" si="425"/>
        <v>3321.5698860228003</v>
      </c>
      <c r="DJ83" s="27">
        <f t="shared" si="426"/>
        <v>25213.055971414291</v>
      </c>
      <c r="DK83" s="27">
        <f t="shared" si="427"/>
        <v>0</v>
      </c>
      <c r="DL83" s="27">
        <f t="shared" si="428"/>
        <v>0</v>
      </c>
      <c r="DM83" s="27">
        <f t="shared" si="429"/>
        <v>0</v>
      </c>
      <c r="DN83" s="110">
        <f t="shared" si="430"/>
        <v>1.0000013330377404</v>
      </c>
      <c r="DO83" s="28">
        <f t="shared" si="211"/>
        <v>8546.9781838218623</v>
      </c>
      <c r="DP83" s="28">
        <f t="shared" si="212"/>
        <v>3739.4840779742667</v>
      </c>
      <c r="DQ83" s="28">
        <f t="shared" si="213"/>
        <v>1694.1924883817824</v>
      </c>
      <c r="DR83" s="28">
        <f t="shared" si="214"/>
        <v>6410.233637866374</v>
      </c>
      <c r="DS83" s="28">
        <f t="shared" si="215"/>
        <v>7495.6871607680996</v>
      </c>
      <c r="DT83" s="28">
        <f t="shared" si="216"/>
        <v>13598.123919906409</v>
      </c>
      <c r="DU83" s="28">
        <f t="shared" si="217"/>
        <v>1850.2365333643165</v>
      </c>
      <c r="DV83" s="28">
        <f t="shared" si="218"/>
        <v>3205.116818933187</v>
      </c>
      <c r="DW83" s="28">
        <f t="shared" si="219"/>
        <v>3956.8311406285111</v>
      </c>
      <c r="DX83" s="28">
        <f t="shared" si="220"/>
        <v>36324.657281242966</v>
      </c>
      <c r="DY83" s="28">
        <f t="shared" si="221"/>
        <v>13826.873956877789</v>
      </c>
      <c r="DZ83" s="28">
        <f t="shared" si="222"/>
        <v>10683.722729777335</v>
      </c>
      <c r="EA83" s="28">
        <f t="shared" si="223"/>
        <v>2981.5558594876898</v>
      </c>
      <c r="EB83" s="28">
        <f t="shared" si="224"/>
        <v>11497.10231424875</v>
      </c>
      <c r="EC83" s="28">
        <f t="shared" si="225"/>
        <v>10956.521158416415</v>
      </c>
      <c r="ED83" s="28">
        <f t="shared" si="226"/>
        <v>10326.771976879738</v>
      </c>
      <c r="EE83" s="28">
        <f t="shared" si="227"/>
        <v>2463.266710081411</v>
      </c>
      <c r="EF83" s="28">
        <f t="shared" si="228"/>
        <v>10310.052972060203</v>
      </c>
      <c r="EG83" s="28">
        <f t="shared" si="229"/>
        <v>3767.3490860068514</v>
      </c>
      <c r="EH83" s="28">
        <f t="shared" si="230"/>
        <v>3421.8229864026803</v>
      </c>
      <c r="EI83" s="28">
        <f t="shared" si="231"/>
        <v>14684.859233177665</v>
      </c>
      <c r="EJ83" s="28">
        <f t="shared" si="232"/>
        <v>3717.1920715481983</v>
      </c>
      <c r="EK83" s="28">
        <f t="shared" si="233"/>
        <v>28216.107133805712</v>
      </c>
      <c r="EL83" s="28">
        <f t="shared" si="234"/>
        <v>0</v>
      </c>
      <c r="EM83" s="28">
        <f t="shared" si="235"/>
        <v>0</v>
      </c>
      <c r="EN83" s="28">
        <f t="shared" si="236"/>
        <v>0</v>
      </c>
      <c r="EQ83" s="144">
        <v>2.9999496992093172E-2</v>
      </c>
      <c r="ER83" s="144">
        <v>5.0000012485028014E-2</v>
      </c>
      <c r="ES83" s="144">
        <v>7.9999509477121186E-2</v>
      </c>
      <c r="ET83" s="144">
        <v>0.11000025497201672</v>
      </c>
      <c r="EU83" s="144">
        <v>0.12000048497397744</v>
      </c>
      <c r="EV83" s="144">
        <v>0.15000000971057731</v>
      </c>
      <c r="EW83" s="144">
        <v>0.12999949421764248</v>
      </c>
      <c r="EX83" s="144">
        <v>7.9999509477121186E-2</v>
      </c>
      <c r="EY83" s="144">
        <v>7.000050023345615E-2</v>
      </c>
      <c r="EZ83" s="144">
        <v>6.0000242486988722E-2</v>
      </c>
      <c r="FA83" s="144">
        <v>6.0000242486988722E-2</v>
      </c>
      <c r="FB83" s="144">
        <v>6.0000242486988722E-2</v>
      </c>
      <c r="FC83" s="145">
        <f t="shared" si="237"/>
        <v>0.99999999999999989</v>
      </c>
      <c r="FD83" s="146">
        <f t="shared" si="238"/>
        <v>0.15999901895424237</v>
      </c>
      <c r="FE83" s="146">
        <f t="shared" si="239"/>
        <v>0.38000074965657149</v>
      </c>
      <c r="FF83" s="146">
        <f t="shared" si="240"/>
        <v>0.27999950392821982</v>
      </c>
      <c r="FG83" s="146">
        <f t="shared" si="241"/>
        <v>0.18000072746096618</v>
      </c>
      <c r="FH83" s="145">
        <f t="shared" si="375"/>
        <v>0.99999999999999989</v>
      </c>
      <c r="FJ83" s="52">
        <f t="shared" si="243"/>
        <v>2589.4718318744272</v>
      </c>
      <c r="FK83" s="52">
        <f t="shared" si="244"/>
        <v>1132.9488010144075</v>
      </c>
      <c r="FL83" s="52">
        <f t="shared" si="245"/>
        <v>513.28827944616921</v>
      </c>
      <c r="FM83" s="52">
        <f t="shared" si="246"/>
        <v>1942.1038739058135</v>
      </c>
      <c r="FN83" s="52">
        <f t="shared" si="247"/>
        <v>2270.9629468917733</v>
      </c>
      <c r="FO83" s="52">
        <f t="shared" si="248"/>
        <v>4119.8138218705681</v>
      </c>
      <c r="FP83" s="52">
        <f t="shared" si="249"/>
        <v>560.56483150042209</v>
      </c>
      <c r="FQ83" s="52">
        <f t="shared" si="250"/>
        <v>971.05193695290677</v>
      </c>
      <c r="FR83" s="52">
        <f t="shared" si="251"/>
        <v>1198.7982842328313</v>
      </c>
      <c r="FS83" s="52">
        <f t="shared" si="252"/>
        <v>11005.255285466332</v>
      </c>
      <c r="FT83" s="52">
        <f t="shared" si="253"/>
        <v>4189.1180560148459</v>
      </c>
      <c r="FU83" s="52">
        <f t="shared" si="254"/>
        <v>3236.8397898430362</v>
      </c>
      <c r="FV83" s="52">
        <f t="shared" si="255"/>
        <v>903.3198338937558</v>
      </c>
      <c r="FW83" s="52">
        <f t="shared" si="256"/>
        <v>3483.268817425816</v>
      </c>
      <c r="FX83" s="52">
        <f t="shared" si="257"/>
        <v>3319.4893335235874</v>
      </c>
      <c r="FY83" s="52">
        <f t="shared" si="258"/>
        <v>3128.6946770189174</v>
      </c>
      <c r="FZ83" s="52">
        <f t="shared" si="259"/>
        <v>746.29414314212875</v>
      </c>
      <c r="GA83" s="52">
        <f t="shared" si="260"/>
        <v>3123.6293321559679</v>
      </c>
      <c r="GB83" s="52">
        <f t="shared" si="261"/>
        <v>1141.3910424526637</v>
      </c>
      <c r="GC83" s="52">
        <f t="shared" si="262"/>
        <v>1036.7072486182501</v>
      </c>
      <c r="GD83" s="52">
        <f t="shared" si="263"/>
        <v>4449.0612379626973</v>
      </c>
      <c r="GE83" s="52">
        <f t="shared" si="264"/>
        <v>1126.1950078638024</v>
      </c>
      <c r="GF83" s="52">
        <f t="shared" si="265"/>
        <v>8548.6136803814024</v>
      </c>
      <c r="GG83" s="52">
        <f t="shared" si="266"/>
        <v>0</v>
      </c>
      <c r="GH83" s="52">
        <f t="shared" si="267"/>
        <v>0</v>
      </c>
      <c r="GI83" s="52">
        <f t="shared" si="268"/>
        <v>0</v>
      </c>
      <c r="GJ83" s="26"/>
      <c r="GL83" s="150">
        <f t="shared" si="269"/>
        <v>6150.0454425178023</v>
      </c>
      <c r="GM83" s="150">
        <f t="shared" si="270"/>
        <v>2690.775209259953</v>
      </c>
      <c r="GN83" s="150">
        <f t="shared" si="271"/>
        <v>1219.0695433904991</v>
      </c>
      <c r="GO83" s="150">
        <f t="shared" si="272"/>
        <v>4612.5340818883351</v>
      </c>
      <c r="GP83" s="150">
        <f t="shared" si="273"/>
        <v>5393.5807100665297</v>
      </c>
      <c r="GQ83" s="150">
        <f t="shared" si="274"/>
        <v>9784.6371245816354</v>
      </c>
      <c r="GR83" s="150">
        <f t="shared" si="275"/>
        <v>1331.3522644922566</v>
      </c>
      <c r="GS83" s="150">
        <f t="shared" si="276"/>
        <v>2306.2670409441675</v>
      </c>
      <c r="GT83" s="150">
        <f t="shared" si="277"/>
        <v>2847.1689993659725</v>
      </c>
      <c r="GU83" s="150">
        <f t="shared" si="278"/>
        <v>26137.693130700696</v>
      </c>
      <c r="GV83" s="150">
        <f t="shared" si="279"/>
        <v>9949.2360146331539</v>
      </c>
      <c r="GW83" s="150">
        <f t="shared" si="280"/>
        <v>7687.5568031472585</v>
      </c>
      <c r="GX83" s="150">
        <f t="shared" si="281"/>
        <v>2145.40199248</v>
      </c>
      <c r="GY83" s="150">
        <f t="shared" si="282"/>
        <v>8272.8304868901378</v>
      </c>
      <c r="GZ83" s="150">
        <f t="shared" si="283"/>
        <v>7883.8510602162023</v>
      </c>
      <c r="HA83" s="150">
        <f t="shared" si="284"/>
        <v>7430.7100786269511</v>
      </c>
      <c r="HB83" s="150">
        <f t="shared" si="285"/>
        <v>1772.4629545348732</v>
      </c>
      <c r="HC83" s="150">
        <f t="shared" si="286"/>
        <v>7418.6797870803493</v>
      </c>
      <c r="HD83" s="150">
        <f t="shared" si="287"/>
        <v>2710.8256951709732</v>
      </c>
      <c r="HE83" s="150">
        <f t="shared" si="288"/>
        <v>2462.1996698742328</v>
      </c>
      <c r="HF83" s="150">
        <f t="shared" si="289"/>
        <v>10566.60607511176</v>
      </c>
      <c r="HG83" s="150">
        <f t="shared" si="290"/>
        <v>2674.7348205311359</v>
      </c>
      <c r="HH83" s="150">
        <f t="shared" si="291"/>
        <v>20303.122033506832</v>
      </c>
      <c r="HI83" s="150">
        <f t="shared" si="292"/>
        <v>0</v>
      </c>
      <c r="HJ83" s="150">
        <f t="shared" si="293"/>
        <v>0</v>
      </c>
      <c r="HK83" s="150">
        <f t="shared" si="294"/>
        <v>0</v>
      </c>
      <c r="HL83" s="26"/>
      <c r="HN83" s="147">
        <f t="shared" si="295"/>
        <v>4531.5954628965146</v>
      </c>
      <c r="HO83" s="147">
        <f t="shared" si="296"/>
        <v>1982.6690459322615</v>
      </c>
      <c r="HP83" s="147">
        <f t="shared" si="297"/>
        <v>898.25840531059157</v>
      </c>
      <c r="HQ83" s="147">
        <f t="shared" si="298"/>
        <v>3398.6965971723739</v>
      </c>
      <c r="HR83" s="147">
        <f t="shared" si="299"/>
        <v>3974.202484022198</v>
      </c>
      <c r="HS83" s="147">
        <f t="shared" si="300"/>
        <v>7209.7056215718512</v>
      </c>
      <c r="HT83" s="147">
        <f t="shared" si="301"/>
        <v>980.99273211551508</v>
      </c>
      <c r="HU83" s="147">
        <f t="shared" si="302"/>
        <v>1699.348298586187</v>
      </c>
      <c r="HV83" s="147">
        <f t="shared" si="303"/>
        <v>2097.9061439819766</v>
      </c>
      <c r="HW83" s="147">
        <f t="shared" si="304"/>
        <v>19259.280717310216</v>
      </c>
      <c r="HX83" s="147">
        <f t="shared" si="305"/>
        <v>7330.9885601008218</v>
      </c>
      <c r="HY83" s="147">
        <f t="shared" si="306"/>
        <v>5664.4943286206471</v>
      </c>
      <c r="HZ83" s="147">
        <f t="shared" si="307"/>
        <v>1580.8166014512126</v>
      </c>
      <c r="IA83" s="147">
        <f t="shared" si="308"/>
        <v>6095.7470070912896</v>
      </c>
      <c r="IB83" s="147">
        <f t="shared" si="309"/>
        <v>5809.1316606599539</v>
      </c>
      <c r="IC83" s="147">
        <f t="shared" si="310"/>
        <v>5475.2395560543582</v>
      </c>
      <c r="ID83" s="147">
        <f t="shared" si="311"/>
        <v>1306.0204445634279</v>
      </c>
      <c r="IE83" s="147">
        <f t="shared" si="312"/>
        <v>5466.3751638966987</v>
      </c>
      <c r="IF83" s="147">
        <f t="shared" si="313"/>
        <v>1997.4430328617061</v>
      </c>
      <c r="IG83" s="147">
        <f t="shared" si="314"/>
        <v>1814.2455949365244</v>
      </c>
      <c r="IH83" s="147">
        <f t="shared" si="315"/>
        <v>7785.891111820446</v>
      </c>
      <c r="II83" s="147">
        <f t="shared" si="316"/>
        <v>1970.8498563887051</v>
      </c>
      <c r="IJ83" s="147">
        <f t="shared" si="317"/>
        <v>14960.139164761546</v>
      </c>
      <c r="IK83" s="147">
        <f t="shared" si="318"/>
        <v>0</v>
      </c>
      <c r="IL83" s="147">
        <f t="shared" si="319"/>
        <v>0</v>
      </c>
      <c r="IM83" s="147">
        <f t="shared" si="320"/>
        <v>0</v>
      </c>
      <c r="IN83" s="26"/>
      <c r="IP83" s="61">
        <f t="shared" si="321"/>
        <v>2913.1854465331321</v>
      </c>
      <c r="IQ83" s="61">
        <f t="shared" si="322"/>
        <v>1274.5803673767809</v>
      </c>
      <c r="IR83" s="61">
        <f t="shared" si="323"/>
        <v>577.45518879663348</v>
      </c>
      <c r="IS83" s="61">
        <f t="shared" si="324"/>
        <v>2184.8890848998412</v>
      </c>
      <c r="IT83" s="61">
        <f t="shared" si="325"/>
        <v>2554.859305695637</v>
      </c>
      <c r="IU83" s="61">
        <f t="shared" si="326"/>
        <v>4634.8376995519257</v>
      </c>
      <c r="IV83" s="61">
        <f t="shared" si="327"/>
        <v>630.64185092263961</v>
      </c>
      <c r="IW83" s="61">
        <f t="shared" si="328"/>
        <v>1092.4445424499206</v>
      </c>
      <c r="IX83" s="61">
        <f t="shared" si="329"/>
        <v>1348.6617896237183</v>
      </c>
      <c r="IY83" s="61">
        <f t="shared" si="330"/>
        <v>12381.038147765828</v>
      </c>
      <c r="IZ83" s="61">
        <f t="shared" si="331"/>
        <v>4712.8057561289643</v>
      </c>
      <c r="JA83" s="61">
        <f t="shared" si="332"/>
        <v>3641.4818081664175</v>
      </c>
      <c r="JB83" s="61">
        <f t="shared" si="333"/>
        <v>1016.2451513361851</v>
      </c>
      <c r="JC83" s="61">
        <f t="shared" si="334"/>
        <v>3918.7172844982101</v>
      </c>
      <c r="JD83" s="61">
        <f t="shared" si="335"/>
        <v>3734.4634907045506</v>
      </c>
      <c r="JE83" s="61">
        <f t="shared" si="336"/>
        <v>3519.8173185531609</v>
      </c>
      <c r="JF83" s="61">
        <f t="shared" si="337"/>
        <v>839.58945213194852</v>
      </c>
      <c r="JG83" s="61">
        <f t="shared" si="338"/>
        <v>3514.1187476110958</v>
      </c>
      <c r="JH83" s="61">
        <f t="shared" si="339"/>
        <v>1284.0779856135639</v>
      </c>
      <c r="JI83" s="61">
        <f t="shared" si="340"/>
        <v>1166.3075194774115</v>
      </c>
      <c r="JJ83" s="61">
        <f t="shared" si="341"/>
        <v>5005.2448107866239</v>
      </c>
      <c r="JK83" s="61">
        <f t="shared" si="342"/>
        <v>1266.9822727873541</v>
      </c>
      <c r="JL83" s="61">
        <f t="shared" si="343"/>
        <v>9617.2882265702156</v>
      </c>
      <c r="JM83" s="61">
        <f t="shared" si="344"/>
        <v>0</v>
      </c>
      <c r="JN83" s="61">
        <f t="shared" si="345"/>
        <v>0</v>
      </c>
      <c r="JO83" s="61">
        <f t="shared" si="346"/>
        <v>0</v>
      </c>
      <c r="JQ83" s="26">
        <f t="shared" si="431"/>
        <v>404607.9939525529</v>
      </c>
      <c r="JR83" s="156">
        <f t="shared" si="432"/>
        <v>1.0000013330377397</v>
      </c>
      <c r="JT83" s="157">
        <f t="shared" si="347"/>
        <v>16184.298183821877</v>
      </c>
      <c r="JU83" s="29">
        <f t="shared" si="348"/>
        <v>0.99999999999999989</v>
      </c>
    </row>
    <row r="84" spans="1:281" ht="18.75" x14ac:dyDescent="0.3">
      <c r="A84" t="s">
        <v>234</v>
      </c>
      <c r="B84" t="s">
        <v>163</v>
      </c>
      <c r="C84" t="s">
        <v>74</v>
      </c>
      <c r="D84" t="s">
        <v>29</v>
      </c>
      <c r="E84" s="12" t="s">
        <v>247</v>
      </c>
      <c r="F84" s="114">
        <v>3008.0000000259502</v>
      </c>
      <c r="G84" s="17">
        <v>1003168.0000086523</v>
      </c>
      <c r="H84" s="21">
        <v>785160</v>
      </c>
      <c r="I84" s="25">
        <f t="shared" si="434"/>
        <v>1.2776606042190792</v>
      </c>
      <c r="J84" s="13">
        <v>6.9148936170212658E-2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0.76462765957446732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0.16622340425532003</v>
      </c>
      <c r="AG84" s="9">
        <v>0</v>
      </c>
      <c r="AH84" s="13">
        <v>0</v>
      </c>
      <c r="AJ84" s="8">
        <f t="shared" si="461"/>
        <v>1</v>
      </c>
      <c r="AK84" s="141">
        <f t="shared" si="435"/>
        <v>208.00000000179409</v>
      </c>
      <c r="AL84" s="141">
        <f t="shared" si="436"/>
        <v>0</v>
      </c>
      <c r="AM84" s="141">
        <f t="shared" si="437"/>
        <v>0</v>
      </c>
      <c r="AN84" s="141">
        <f t="shared" si="438"/>
        <v>0</v>
      </c>
      <c r="AO84" s="141">
        <f t="shared" si="439"/>
        <v>0</v>
      </c>
      <c r="AP84" s="141">
        <f t="shared" si="440"/>
        <v>0</v>
      </c>
      <c r="AQ84" s="141">
        <f t="shared" si="441"/>
        <v>0</v>
      </c>
      <c r="AR84" s="141">
        <f t="shared" si="442"/>
        <v>0</v>
      </c>
      <c r="AS84" s="141">
        <f t="shared" si="443"/>
        <v>0</v>
      </c>
      <c r="AT84" s="141">
        <f t="shared" si="444"/>
        <v>2300.0000000198397</v>
      </c>
      <c r="AU84" s="141">
        <f t="shared" si="445"/>
        <v>0</v>
      </c>
      <c r="AV84" s="141">
        <f t="shared" si="446"/>
        <v>0</v>
      </c>
      <c r="AW84" s="141">
        <f t="shared" si="447"/>
        <v>0</v>
      </c>
      <c r="AX84" s="141">
        <f t="shared" si="448"/>
        <v>0</v>
      </c>
      <c r="AY84" s="141">
        <f t="shared" si="449"/>
        <v>0</v>
      </c>
      <c r="AZ84" s="141">
        <f t="shared" si="450"/>
        <v>0</v>
      </c>
      <c r="BA84" s="141">
        <f t="shared" si="451"/>
        <v>0</v>
      </c>
      <c r="BB84" s="141">
        <f t="shared" si="452"/>
        <v>0</v>
      </c>
      <c r="BC84" s="141">
        <f t="shared" si="453"/>
        <v>0</v>
      </c>
      <c r="BD84" s="141">
        <f t="shared" si="454"/>
        <v>0</v>
      </c>
      <c r="BE84" s="141">
        <f t="shared" si="455"/>
        <v>0</v>
      </c>
      <c r="BF84" s="141">
        <f t="shared" si="456"/>
        <v>0</v>
      </c>
      <c r="BG84" s="141">
        <f t="shared" si="457"/>
        <v>500.00000000431618</v>
      </c>
      <c r="BH84" s="141">
        <f t="shared" si="458"/>
        <v>0</v>
      </c>
      <c r="BI84" s="141">
        <f t="shared" si="459"/>
        <v>0</v>
      </c>
      <c r="BJ84" s="141">
        <f t="shared" si="460"/>
        <v>0</v>
      </c>
      <c r="BM84" s="26">
        <f t="shared" ref="BM84:BM115" si="462">$G84*J84</f>
        <v>69368.000000598186</v>
      </c>
      <c r="BN84" s="26">
        <f t="shared" ref="BN84:BN115" si="463">$G84*K84</f>
        <v>0</v>
      </c>
      <c r="BO84" s="26">
        <f t="shared" ref="BO84:BO115" si="464">$G84*L84</f>
        <v>0</v>
      </c>
      <c r="BP84" s="26">
        <f t="shared" ref="BP84:BP115" si="465">$G84*M84</f>
        <v>0</v>
      </c>
      <c r="BQ84" s="26">
        <f t="shared" ref="BQ84:BQ115" si="466">$G84*N84</f>
        <v>0</v>
      </c>
      <c r="BR84" s="26">
        <f t="shared" ref="BR84:BR115" si="467">$G84*O84</f>
        <v>0</v>
      </c>
      <c r="BS84" s="26">
        <f t="shared" ref="BS84:BS115" si="468">$G84*P84</f>
        <v>0</v>
      </c>
      <c r="BT84" s="26">
        <f t="shared" ref="BT84:BT115" si="469">$G84*Q84</f>
        <v>0</v>
      </c>
      <c r="BU84" s="26">
        <f t="shared" ref="BU84:BU115" si="470">$G84*R84</f>
        <v>0</v>
      </c>
      <c r="BV84" s="26">
        <f t="shared" ref="BV84:BV115" si="471">$G84*S84</f>
        <v>767050.00000661507</v>
      </c>
      <c r="BW84" s="26">
        <f t="shared" ref="BW84:BW115" si="472">$G84*T84</f>
        <v>0</v>
      </c>
      <c r="BX84" s="26">
        <f t="shared" ref="BX84:BX115" si="473">$G84*U84</f>
        <v>0</v>
      </c>
      <c r="BY84" s="26">
        <f t="shared" ref="BY84:BY115" si="474">$G84*V84</f>
        <v>0</v>
      </c>
      <c r="BZ84" s="26">
        <f t="shared" ref="BZ84:BZ115" si="475">$G84*W84</f>
        <v>0</v>
      </c>
      <c r="CA84" s="26">
        <f t="shared" ref="CA84:CA115" si="476">$G84*X84</f>
        <v>0</v>
      </c>
      <c r="CB84" s="26">
        <f t="shared" ref="CB84:CB115" si="477">$G84*Y84</f>
        <v>0</v>
      </c>
      <c r="CC84" s="26">
        <f t="shared" ref="CC84:CC115" si="478">$G84*Z84</f>
        <v>0</v>
      </c>
      <c r="CD84" s="26">
        <f t="shared" ref="CD84:CD115" si="479">$G84*AA84</f>
        <v>0</v>
      </c>
      <c r="CE84" s="26">
        <f t="shared" ref="CE84:CE115" si="480">$G84*AB84</f>
        <v>0</v>
      </c>
      <c r="CF84" s="26">
        <f t="shared" ref="CF84:CF115" si="481">$G84*AC84</f>
        <v>0</v>
      </c>
      <c r="CG84" s="26">
        <f t="shared" ref="CG84:CG115" si="482">$G84*AD84</f>
        <v>0</v>
      </c>
      <c r="CH84" s="26">
        <f t="shared" ref="CH84:CH115" si="483">$G84*AE84</f>
        <v>0</v>
      </c>
      <c r="CI84" s="26">
        <f t="shared" ref="CI84:CI115" si="484">$G84*AF84</f>
        <v>166750.0000014391</v>
      </c>
      <c r="CJ84" s="26">
        <f t="shared" ref="CJ84:CJ115" si="485">$G84*AG84</f>
        <v>0</v>
      </c>
      <c r="CK84" s="26">
        <f t="shared" ref="CK84:CK115" si="486">$G84*AH84</f>
        <v>0</v>
      </c>
      <c r="CL84" s="26">
        <f t="shared" ref="CL84:CL115" si="487">$G84*AI84</f>
        <v>0</v>
      </c>
      <c r="CM84" s="110">
        <f t="shared" ref="CM84:CM115" si="488">SUM(BM84:CL84)/G84</f>
        <v>1</v>
      </c>
      <c r="CN84" s="27">
        <f t="shared" ref="CN84:CN115" si="489">$H84*J84</f>
        <v>54292.978723404172</v>
      </c>
      <c r="CO84" s="27">
        <f t="shared" ref="CO84:CO115" si="490">$H84*K84</f>
        <v>0</v>
      </c>
      <c r="CP84" s="27">
        <f t="shared" ref="CP84:CP115" si="491">$H84*L84</f>
        <v>0</v>
      </c>
      <c r="CQ84" s="27">
        <f t="shared" ref="CQ84:CQ115" si="492">$H84*M84</f>
        <v>0</v>
      </c>
      <c r="CR84" s="27">
        <f t="shared" ref="CR84:CR115" si="493">$H84*N84</f>
        <v>0</v>
      </c>
      <c r="CS84" s="27">
        <f t="shared" ref="CS84:CS115" si="494">$H84*O84</f>
        <v>0</v>
      </c>
      <c r="CT84" s="27">
        <f t="shared" ref="CT84:CT115" si="495">$H84*P84</f>
        <v>0</v>
      </c>
      <c r="CU84" s="27">
        <f t="shared" ref="CU84:CU115" si="496">$H84*Q84</f>
        <v>0</v>
      </c>
      <c r="CV84" s="27">
        <f t="shared" ref="CV84:CV115" si="497">$H84*R84</f>
        <v>0</v>
      </c>
      <c r="CW84" s="27">
        <f t="shared" ref="CW84:CW115" si="498">$H84*S84</f>
        <v>600355.05319148873</v>
      </c>
      <c r="CX84" s="27">
        <f t="shared" ref="CX84:CX115" si="499">$H84*T84</f>
        <v>0</v>
      </c>
      <c r="CY84" s="27">
        <f t="shared" ref="CY84:CY115" si="500">$H84*U84</f>
        <v>0</v>
      </c>
      <c r="CZ84" s="27">
        <f t="shared" ref="CZ84:CZ115" si="501">$H84*V84</f>
        <v>0</v>
      </c>
      <c r="DA84" s="27">
        <f t="shared" ref="DA84:DA115" si="502">$H84*W84</f>
        <v>0</v>
      </c>
      <c r="DB84" s="27">
        <f t="shared" ref="DB84:DB115" si="503">$H84*X84</f>
        <v>0</v>
      </c>
      <c r="DC84" s="27">
        <f t="shared" ref="DC84:DC115" si="504">$H84*Y84</f>
        <v>0</v>
      </c>
      <c r="DD84" s="27">
        <f t="shared" ref="DD84:DD115" si="505">$H84*Z84</f>
        <v>0</v>
      </c>
      <c r="DE84" s="27">
        <f t="shared" ref="DE84:DE115" si="506">$H84*AA84</f>
        <v>0</v>
      </c>
      <c r="DF84" s="27">
        <f t="shared" ref="DF84:DF115" si="507">$H84*AB84</f>
        <v>0</v>
      </c>
      <c r="DG84" s="27">
        <f t="shared" ref="DG84:DG115" si="508">$H84*AC84</f>
        <v>0</v>
      </c>
      <c r="DH84" s="27">
        <f t="shared" ref="DH84:DH115" si="509">$H84*AD84</f>
        <v>0</v>
      </c>
      <c r="DI84" s="27">
        <f t="shared" ref="DI84:DI115" si="510">$H84*AE84</f>
        <v>0</v>
      </c>
      <c r="DJ84" s="27">
        <f t="shared" ref="DJ84:DJ115" si="511">$H84*AF84</f>
        <v>130511.96808510707</v>
      </c>
      <c r="DK84" s="27">
        <f t="shared" ref="DK84:DK115" si="512">$H84*AG84</f>
        <v>0</v>
      </c>
      <c r="DL84" s="27">
        <f t="shared" ref="DL84:DL115" si="513">$H84*AH84</f>
        <v>0</v>
      </c>
      <c r="DM84" s="27">
        <f t="shared" ref="DM84:DM115" si="514">$H84*AI84</f>
        <v>0</v>
      </c>
      <c r="DN84" s="110">
        <f t="shared" ref="DN84:DN115" si="515">SUM(CN84:DM84)/H84</f>
        <v>0.99999999999999989</v>
      </c>
      <c r="DO84" s="28">
        <f t="shared" si="211"/>
        <v>15075.021277194013</v>
      </c>
      <c r="DP84" s="28">
        <f t="shared" si="212"/>
        <v>0</v>
      </c>
      <c r="DQ84" s="28">
        <f t="shared" si="213"/>
        <v>0</v>
      </c>
      <c r="DR84" s="28">
        <f t="shared" si="214"/>
        <v>0</v>
      </c>
      <c r="DS84" s="28">
        <f t="shared" si="215"/>
        <v>0</v>
      </c>
      <c r="DT84" s="28">
        <f t="shared" si="216"/>
        <v>0</v>
      </c>
      <c r="DU84" s="28">
        <f t="shared" si="217"/>
        <v>0</v>
      </c>
      <c r="DV84" s="28">
        <f t="shared" si="218"/>
        <v>0</v>
      </c>
      <c r="DW84" s="28">
        <f t="shared" si="219"/>
        <v>0</v>
      </c>
      <c r="DX84" s="28">
        <f t="shared" si="220"/>
        <v>166694.94681512634</v>
      </c>
      <c r="DY84" s="28">
        <f t="shared" si="221"/>
        <v>0</v>
      </c>
      <c r="DZ84" s="28">
        <f t="shared" si="222"/>
        <v>0</v>
      </c>
      <c r="EA84" s="28">
        <f t="shared" si="223"/>
        <v>0</v>
      </c>
      <c r="EB84" s="28">
        <f t="shared" si="224"/>
        <v>0</v>
      </c>
      <c r="EC84" s="28">
        <f t="shared" si="225"/>
        <v>0</v>
      </c>
      <c r="ED84" s="28">
        <f t="shared" si="226"/>
        <v>0</v>
      </c>
      <c r="EE84" s="28">
        <f t="shared" si="227"/>
        <v>0</v>
      </c>
      <c r="EF84" s="28">
        <f t="shared" si="228"/>
        <v>0</v>
      </c>
      <c r="EG84" s="28">
        <f t="shared" si="229"/>
        <v>0</v>
      </c>
      <c r="EH84" s="28">
        <f t="shared" si="230"/>
        <v>0</v>
      </c>
      <c r="EI84" s="28">
        <f t="shared" si="231"/>
        <v>0</v>
      </c>
      <c r="EJ84" s="28">
        <f t="shared" si="232"/>
        <v>0</v>
      </c>
      <c r="EK84" s="28">
        <f t="shared" si="233"/>
        <v>36238.031916332024</v>
      </c>
      <c r="EL84" s="28">
        <f t="shared" si="234"/>
        <v>0</v>
      </c>
      <c r="EM84" s="28">
        <f t="shared" si="235"/>
        <v>0</v>
      </c>
      <c r="EN84" s="28">
        <f t="shared" si="236"/>
        <v>0</v>
      </c>
      <c r="EQ84" s="144">
        <v>0</v>
      </c>
      <c r="ER84" s="144">
        <v>0</v>
      </c>
      <c r="ES84" s="144">
        <v>7.0000000000000007E-2</v>
      </c>
      <c r="ET84" s="144">
        <v>0.15</v>
      </c>
      <c r="EU84" s="144">
        <v>0.14000000000000001</v>
      </c>
      <c r="EV84" s="144">
        <v>0.17</v>
      </c>
      <c r="EW84" s="144">
        <v>0.17</v>
      </c>
      <c r="EX84" s="144">
        <v>0.15</v>
      </c>
      <c r="EY84" s="144">
        <v>0.06</v>
      </c>
      <c r="EZ84" s="144">
        <v>0.06</v>
      </c>
      <c r="FA84" s="144">
        <v>0.03</v>
      </c>
      <c r="FB84" s="144">
        <v>0</v>
      </c>
      <c r="FC84" s="145">
        <f t="shared" si="237"/>
        <v>1.0000000000000002</v>
      </c>
      <c r="FD84" s="146">
        <f t="shared" si="238"/>
        <v>7.0000000000000007E-2</v>
      </c>
      <c r="FE84" s="146">
        <f t="shared" si="239"/>
        <v>0.46000000000000008</v>
      </c>
      <c r="FF84" s="146">
        <f t="shared" si="240"/>
        <v>0.38</v>
      </c>
      <c r="FG84" s="146">
        <f t="shared" si="241"/>
        <v>0.09</v>
      </c>
      <c r="FH84" s="145">
        <f t="shared" si="375"/>
        <v>1</v>
      </c>
      <c r="FJ84" s="52">
        <f t="shared" si="243"/>
        <v>4855.7600000418734</v>
      </c>
      <c r="FK84" s="52">
        <f t="shared" si="244"/>
        <v>0</v>
      </c>
      <c r="FL84" s="52">
        <f t="shared" si="245"/>
        <v>0</v>
      </c>
      <c r="FM84" s="52">
        <f t="shared" si="246"/>
        <v>0</v>
      </c>
      <c r="FN84" s="52">
        <f t="shared" si="247"/>
        <v>0</v>
      </c>
      <c r="FO84" s="52">
        <f t="shared" si="248"/>
        <v>0</v>
      </c>
      <c r="FP84" s="52">
        <f t="shared" si="249"/>
        <v>0</v>
      </c>
      <c r="FQ84" s="52">
        <f t="shared" si="250"/>
        <v>0</v>
      </c>
      <c r="FR84" s="52">
        <f t="shared" si="251"/>
        <v>0</v>
      </c>
      <c r="FS84" s="52">
        <f t="shared" si="252"/>
        <v>53693.500000463056</v>
      </c>
      <c r="FT84" s="52">
        <f t="shared" si="253"/>
        <v>0</v>
      </c>
      <c r="FU84" s="52">
        <f t="shared" si="254"/>
        <v>0</v>
      </c>
      <c r="FV84" s="52">
        <f t="shared" si="255"/>
        <v>0</v>
      </c>
      <c r="FW84" s="52">
        <f t="shared" si="256"/>
        <v>0</v>
      </c>
      <c r="FX84" s="52">
        <f t="shared" si="257"/>
        <v>0</v>
      </c>
      <c r="FY84" s="52">
        <f t="shared" si="258"/>
        <v>0</v>
      </c>
      <c r="FZ84" s="52">
        <f t="shared" si="259"/>
        <v>0</v>
      </c>
      <c r="GA84" s="52">
        <f t="shared" si="260"/>
        <v>0</v>
      </c>
      <c r="GB84" s="52">
        <f t="shared" si="261"/>
        <v>0</v>
      </c>
      <c r="GC84" s="52">
        <f t="shared" si="262"/>
        <v>0</v>
      </c>
      <c r="GD84" s="52">
        <f t="shared" si="263"/>
        <v>0</v>
      </c>
      <c r="GE84" s="52">
        <f t="shared" si="264"/>
        <v>0</v>
      </c>
      <c r="GF84" s="52">
        <f t="shared" si="265"/>
        <v>11672.500000100737</v>
      </c>
      <c r="GG84" s="52">
        <f t="shared" si="266"/>
        <v>0</v>
      </c>
      <c r="GH84" s="52">
        <f t="shared" si="267"/>
        <v>0</v>
      </c>
      <c r="GI84" s="52">
        <f t="shared" si="268"/>
        <v>0</v>
      </c>
      <c r="GJ84" s="26"/>
      <c r="GL84" s="150">
        <f t="shared" si="269"/>
        <v>31909.280000275172</v>
      </c>
      <c r="GM84" s="150">
        <f t="shared" si="270"/>
        <v>0</v>
      </c>
      <c r="GN84" s="150">
        <f t="shared" si="271"/>
        <v>0</v>
      </c>
      <c r="GO84" s="150">
        <f t="shared" si="272"/>
        <v>0</v>
      </c>
      <c r="GP84" s="150">
        <f t="shared" si="273"/>
        <v>0</v>
      </c>
      <c r="GQ84" s="150">
        <f t="shared" si="274"/>
        <v>0</v>
      </c>
      <c r="GR84" s="150">
        <f t="shared" si="275"/>
        <v>0</v>
      </c>
      <c r="GS84" s="150">
        <f t="shared" si="276"/>
        <v>0</v>
      </c>
      <c r="GT84" s="150">
        <f t="shared" si="277"/>
        <v>0</v>
      </c>
      <c r="GU84" s="150">
        <f t="shared" si="278"/>
        <v>352843.00000304298</v>
      </c>
      <c r="GV84" s="150">
        <f t="shared" si="279"/>
        <v>0</v>
      </c>
      <c r="GW84" s="150">
        <f t="shared" si="280"/>
        <v>0</v>
      </c>
      <c r="GX84" s="150">
        <f t="shared" si="281"/>
        <v>0</v>
      </c>
      <c r="GY84" s="150">
        <f t="shared" si="282"/>
        <v>0</v>
      </c>
      <c r="GZ84" s="150">
        <f t="shared" si="283"/>
        <v>0</v>
      </c>
      <c r="HA84" s="150">
        <f t="shared" si="284"/>
        <v>0</v>
      </c>
      <c r="HB84" s="150">
        <f t="shared" si="285"/>
        <v>0</v>
      </c>
      <c r="HC84" s="150">
        <f t="shared" si="286"/>
        <v>0</v>
      </c>
      <c r="HD84" s="150">
        <f t="shared" si="287"/>
        <v>0</v>
      </c>
      <c r="HE84" s="150">
        <f t="shared" si="288"/>
        <v>0</v>
      </c>
      <c r="HF84" s="150">
        <f t="shared" si="289"/>
        <v>0</v>
      </c>
      <c r="HG84" s="150">
        <f t="shared" si="290"/>
        <v>0</v>
      </c>
      <c r="HH84" s="150">
        <f t="shared" si="291"/>
        <v>76705.000000661996</v>
      </c>
      <c r="HI84" s="150">
        <f t="shared" si="292"/>
        <v>0</v>
      </c>
      <c r="HJ84" s="150">
        <f t="shared" si="293"/>
        <v>0</v>
      </c>
      <c r="HK84" s="150">
        <f t="shared" si="294"/>
        <v>0</v>
      </c>
      <c r="HL84" s="26"/>
      <c r="HN84" s="147">
        <f t="shared" si="295"/>
        <v>26359.840000227312</v>
      </c>
      <c r="HO84" s="147">
        <f t="shared" si="296"/>
        <v>0</v>
      </c>
      <c r="HP84" s="147">
        <f t="shared" si="297"/>
        <v>0</v>
      </c>
      <c r="HQ84" s="147">
        <f t="shared" si="298"/>
        <v>0</v>
      </c>
      <c r="HR84" s="147">
        <f t="shared" si="299"/>
        <v>0</v>
      </c>
      <c r="HS84" s="147">
        <f t="shared" si="300"/>
        <v>0</v>
      </c>
      <c r="HT84" s="147">
        <f t="shared" si="301"/>
        <v>0</v>
      </c>
      <c r="HU84" s="147">
        <f t="shared" si="302"/>
        <v>0</v>
      </c>
      <c r="HV84" s="147">
        <f t="shared" si="303"/>
        <v>0</v>
      </c>
      <c r="HW84" s="147">
        <f t="shared" si="304"/>
        <v>291479.00000251376</v>
      </c>
      <c r="HX84" s="147">
        <f t="shared" si="305"/>
        <v>0</v>
      </c>
      <c r="HY84" s="147">
        <f t="shared" si="306"/>
        <v>0</v>
      </c>
      <c r="HZ84" s="147">
        <f t="shared" si="307"/>
        <v>0</v>
      </c>
      <c r="IA84" s="147">
        <f t="shared" si="308"/>
        <v>0</v>
      </c>
      <c r="IB84" s="147">
        <f t="shared" si="309"/>
        <v>0</v>
      </c>
      <c r="IC84" s="147">
        <f t="shared" si="310"/>
        <v>0</v>
      </c>
      <c r="ID84" s="147">
        <f t="shared" si="311"/>
        <v>0</v>
      </c>
      <c r="IE84" s="147">
        <f t="shared" si="312"/>
        <v>0</v>
      </c>
      <c r="IF84" s="147">
        <f t="shared" si="313"/>
        <v>0</v>
      </c>
      <c r="IG84" s="147">
        <f t="shared" si="314"/>
        <v>0</v>
      </c>
      <c r="IH84" s="147">
        <f t="shared" si="315"/>
        <v>0</v>
      </c>
      <c r="II84" s="147">
        <f t="shared" si="316"/>
        <v>0</v>
      </c>
      <c r="IJ84" s="147">
        <f t="shared" si="317"/>
        <v>63365.000000546861</v>
      </c>
      <c r="IK84" s="147">
        <f t="shared" si="318"/>
        <v>0</v>
      </c>
      <c r="IL84" s="147">
        <f t="shared" si="319"/>
        <v>0</v>
      </c>
      <c r="IM84" s="147">
        <f t="shared" si="320"/>
        <v>0</v>
      </c>
      <c r="IN84" s="26"/>
      <c r="IP84" s="61">
        <f t="shared" si="321"/>
        <v>6243.1200000538365</v>
      </c>
      <c r="IQ84" s="61">
        <f t="shared" si="322"/>
        <v>0</v>
      </c>
      <c r="IR84" s="61">
        <f t="shared" si="323"/>
        <v>0</v>
      </c>
      <c r="IS84" s="61">
        <f t="shared" si="324"/>
        <v>0</v>
      </c>
      <c r="IT84" s="61">
        <f t="shared" si="325"/>
        <v>0</v>
      </c>
      <c r="IU84" s="61">
        <f t="shared" si="326"/>
        <v>0</v>
      </c>
      <c r="IV84" s="61">
        <f t="shared" si="327"/>
        <v>0</v>
      </c>
      <c r="IW84" s="61">
        <f t="shared" si="328"/>
        <v>0</v>
      </c>
      <c r="IX84" s="61">
        <f t="shared" si="329"/>
        <v>0</v>
      </c>
      <c r="IY84" s="61">
        <f t="shared" si="330"/>
        <v>69034.500000595348</v>
      </c>
      <c r="IZ84" s="61">
        <f t="shared" si="331"/>
        <v>0</v>
      </c>
      <c r="JA84" s="61">
        <f t="shared" si="332"/>
        <v>0</v>
      </c>
      <c r="JB84" s="61">
        <f t="shared" si="333"/>
        <v>0</v>
      </c>
      <c r="JC84" s="61">
        <f t="shared" si="334"/>
        <v>0</v>
      </c>
      <c r="JD84" s="61">
        <f t="shared" si="335"/>
        <v>0</v>
      </c>
      <c r="JE84" s="61">
        <f t="shared" si="336"/>
        <v>0</v>
      </c>
      <c r="JF84" s="61">
        <f t="shared" si="337"/>
        <v>0</v>
      </c>
      <c r="JG84" s="61">
        <f t="shared" si="338"/>
        <v>0</v>
      </c>
      <c r="JH84" s="61">
        <f t="shared" si="339"/>
        <v>0</v>
      </c>
      <c r="JI84" s="61">
        <f t="shared" si="340"/>
        <v>0</v>
      </c>
      <c r="JJ84" s="61">
        <f t="shared" si="341"/>
        <v>0</v>
      </c>
      <c r="JK84" s="61">
        <f t="shared" si="342"/>
        <v>0</v>
      </c>
      <c r="JL84" s="61">
        <f t="shared" si="343"/>
        <v>15007.500000129518</v>
      </c>
      <c r="JM84" s="61">
        <f t="shared" si="344"/>
        <v>0</v>
      </c>
      <c r="JN84" s="61">
        <f t="shared" si="345"/>
        <v>0</v>
      </c>
      <c r="JO84" s="61">
        <f t="shared" si="346"/>
        <v>0</v>
      </c>
      <c r="JQ84" s="26">
        <f t="shared" ref="JQ84:JQ115" si="516">SUM(IP84:JO84,HN84:IM84,GL84:HK84,FJ84:GI84)</f>
        <v>1003168.0000086526</v>
      </c>
      <c r="JR84" s="156">
        <f t="shared" ref="JR84:JR115" si="517">JQ84/G84</f>
        <v>1.0000000000000002</v>
      </c>
      <c r="JT84" s="157">
        <f t="shared" si="347"/>
        <v>69368.0000005982</v>
      </c>
      <c r="JU84" s="29">
        <f t="shared" si="348"/>
        <v>1.0000000000000002</v>
      </c>
    </row>
    <row r="85" spans="1:281" ht="18.75" x14ac:dyDescent="0.3">
      <c r="A85" t="s">
        <v>234</v>
      </c>
      <c r="B85" t="s">
        <v>164</v>
      </c>
      <c r="C85" t="s">
        <v>74</v>
      </c>
      <c r="D85" t="s">
        <v>29</v>
      </c>
      <c r="E85" s="11" t="s">
        <v>248</v>
      </c>
      <c r="F85" s="114">
        <v>391</v>
      </c>
      <c r="G85" s="17">
        <v>231523</v>
      </c>
      <c r="H85" s="21">
        <v>141949</v>
      </c>
      <c r="I85" s="25">
        <f t="shared" si="434"/>
        <v>1.6310294542406076</v>
      </c>
      <c r="J85" s="13">
        <v>3.9999999999999994E-2</v>
      </c>
      <c r="K85" s="13">
        <v>1.7500847656555678E-2</v>
      </c>
      <c r="L85" s="13">
        <v>7.9288490128061242E-3</v>
      </c>
      <c r="M85" s="13">
        <v>2.9999999999999912E-2</v>
      </c>
      <c r="N85" s="13">
        <v>3.5079940533632455E-2</v>
      </c>
      <c r="O85" s="13">
        <v>6.3639446023838697E-2</v>
      </c>
      <c r="P85" s="13">
        <v>8.6591377376698635E-3</v>
      </c>
      <c r="Q85" s="13">
        <v>1.4999999999999956E-2</v>
      </c>
      <c r="R85" s="13">
        <v>1.8518035523330145E-2</v>
      </c>
      <c r="S85" s="13">
        <v>0.17000000000000037</v>
      </c>
      <c r="T85" s="13">
        <v>6.4710000000000045E-2</v>
      </c>
      <c r="U85" s="13">
        <v>5.0000000000000024E-2</v>
      </c>
      <c r="V85" s="13">
        <v>1.3953730992931873E-2</v>
      </c>
      <c r="W85" s="13">
        <v>5.3806629978352019E-2</v>
      </c>
      <c r="X85" s="13">
        <v>5.1276701181502828E-2</v>
      </c>
      <c r="Y85" s="13">
        <v>4.8329464541874284E-2</v>
      </c>
      <c r="Z85" s="13">
        <v>1.1528129156777362E-2</v>
      </c>
      <c r="AA85" s="13">
        <v>4.8251219321352991E-2</v>
      </c>
      <c r="AB85" s="13">
        <v>1.7631256357424182E-2</v>
      </c>
      <c r="AC85" s="13">
        <v>1.6014188466654488E-2</v>
      </c>
      <c r="AD85" s="13">
        <v>6.8725385357711E-2</v>
      </c>
      <c r="AE85" s="13">
        <v>1.7396520695860798E-2</v>
      </c>
      <c r="AF85" s="13">
        <v>0.1320518504994653</v>
      </c>
      <c r="AG85" s="9">
        <v>0</v>
      </c>
      <c r="AH85" s="13">
        <v>0</v>
      </c>
      <c r="AJ85" s="8">
        <f t="shared" si="461"/>
        <v>1.0000013330377404</v>
      </c>
      <c r="AK85" s="141">
        <f t="shared" si="435"/>
        <v>15.639999999999997</v>
      </c>
      <c r="AL85" s="141">
        <f t="shared" si="436"/>
        <v>6.8428314337132701</v>
      </c>
      <c r="AM85" s="141">
        <f t="shared" si="437"/>
        <v>3.1001799640071948</v>
      </c>
      <c r="AN85" s="141">
        <f t="shared" si="438"/>
        <v>11.729999999999965</v>
      </c>
      <c r="AO85" s="141">
        <f t="shared" si="439"/>
        <v>13.71625674865029</v>
      </c>
      <c r="AP85" s="141">
        <f t="shared" si="440"/>
        <v>24.883023395320929</v>
      </c>
      <c r="AQ85" s="141">
        <f t="shared" si="441"/>
        <v>3.3857228554289165</v>
      </c>
      <c r="AR85" s="141">
        <f t="shared" si="442"/>
        <v>5.8649999999999824</v>
      </c>
      <c r="AS85" s="141">
        <f t="shared" si="443"/>
        <v>7.2405518896220871</v>
      </c>
      <c r="AT85" s="141">
        <f t="shared" si="444"/>
        <v>66.470000000000141</v>
      </c>
      <c r="AU85" s="141">
        <f t="shared" si="445"/>
        <v>25.301610000000018</v>
      </c>
      <c r="AV85" s="141">
        <f t="shared" si="446"/>
        <v>19.550000000000008</v>
      </c>
      <c r="AW85" s="141">
        <f t="shared" si="447"/>
        <v>5.4559088182363622</v>
      </c>
      <c r="AX85" s="141">
        <f t="shared" si="448"/>
        <v>21.038392321535639</v>
      </c>
      <c r="AY85" s="141">
        <f t="shared" si="449"/>
        <v>20.049190161967605</v>
      </c>
      <c r="AZ85" s="141">
        <f t="shared" si="450"/>
        <v>18.896820635872846</v>
      </c>
      <c r="BA85" s="141">
        <f t="shared" si="451"/>
        <v>4.5074985002999481</v>
      </c>
      <c r="BB85" s="141">
        <f t="shared" si="452"/>
        <v>18.86622675464902</v>
      </c>
      <c r="BC85" s="141">
        <f t="shared" si="453"/>
        <v>6.8938212357528554</v>
      </c>
      <c r="BD85" s="141">
        <f t="shared" si="454"/>
        <v>6.2615476904619047</v>
      </c>
      <c r="BE85" s="141">
        <f t="shared" si="455"/>
        <v>26.871625674865001</v>
      </c>
      <c r="BF85" s="141">
        <f t="shared" si="456"/>
        <v>6.8020395920815719</v>
      </c>
      <c r="BG85" s="141">
        <f t="shared" si="457"/>
        <v>51.632273545290936</v>
      </c>
      <c r="BH85" s="141">
        <f t="shared" si="458"/>
        <v>0</v>
      </c>
      <c r="BI85" s="141">
        <f t="shared" si="459"/>
        <v>0</v>
      </c>
      <c r="BJ85" s="141">
        <f t="shared" si="460"/>
        <v>0</v>
      </c>
      <c r="BM85" s="26">
        <f t="shared" si="462"/>
        <v>9260.9199999999983</v>
      </c>
      <c r="BN85" s="26">
        <f t="shared" si="463"/>
        <v>4051.8487519887403</v>
      </c>
      <c r="BO85" s="26">
        <f t="shared" si="464"/>
        <v>1835.7109099919123</v>
      </c>
      <c r="BP85" s="26">
        <f t="shared" si="465"/>
        <v>6945.6899999999796</v>
      </c>
      <c r="BQ85" s="26">
        <f t="shared" si="466"/>
        <v>8121.8130721681864</v>
      </c>
      <c r="BR85" s="26">
        <f t="shared" si="467"/>
        <v>14733.995461777207</v>
      </c>
      <c r="BS85" s="26">
        <f t="shared" si="468"/>
        <v>2004.7895464385399</v>
      </c>
      <c r="BT85" s="26">
        <f t="shared" si="469"/>
        <v>3472.8449999999898</v>
      </c>
      <c r="BU85" s="26">
        <f t="shared" si="470"/>
        <v>4287.351138467965</v>
      </c>
      <c r="BV85" s="26">
        <f t="shared" si="471"/>
        <v>39358.910000000084</v>
      </c>
      <c r="BW85" s="26">
        <f t="shared" si="472"/>
        <v>14981.853330000011</v>
      </c>
      <c r="BX85" s="26">
        <f t="shared" si="473"/>
        <v>11576.150000000005</v>
      </c>
      <c r="BY85" s="26">
        <f t="shared" si="474"/>
        <v>3230.6096606765659</v>
      </c>
      <c r="BZ85" s="26">
        <f t="shared" si="475"/>
        <v>12457.472392477994</v>
      </c>
      <c r="CA85" s="26">
        <f t="shared" si="476"/>
        <v>11871.735687645079</v>
      </c>
      <c r="CB85" s="26">
        <f t="shared" si="477"/>
        <v>11189.382619128361</v>
      </c>
      <c r="CC85" s="26">
        <f t="shared" si="478"/>
        <v>2669.0270467645651</v>
      </c>
      <c r="CD85" s="26">
        <f t="shared" si="479"/>
        <v>11171.267050937609</v>
      </c>
      <c r="CE85" s="26">
        <f t="shared" si="480"/>
        <v>4082.0413656399187</v>
      </c>
      <c r="CF85" s="26">
        <f t="shared" si="481"/>
        <v>3707.6529563652471</v>
      </c>
      <c r="CG85" s="26">
        <f t="shared" si="482"/>
        <v>15911.507394173324</v>
      </c>
      <c r="CH85" s="26">
        <f t="shared" si="483"/>
        <v>4027.6946610677796</v>
      </c>
      <c r="CI85" s="26">
        <f t="shared" si="484"/>
        <v>30573.040583187703</v>
      </c>
      <c r="CJ85" s="26">
        <f t="shared" si="485"/>
        <v>0</v>
      </c>
      <c r="CK85" s="26">
        <f t="shared" si="486"/>
        <v>0</v>
      </c>
      <c r="CL85" s="26">
        <f t="shared" si="487"/>
        <v>0</v>
      </c>
      <c r="CM85" s="110">
        <f t="shared" si="488"/>
        <v>1.0000013330377402</v>
      </c>
      <c r="CN85" s="27">
        <f t="shared" si="489"/>
        <v>5677.9599999999991</v>
      </c>
      <c r="CO85" s="27">
        <f t="shared" si="490"/>
        <v>2484.2278240004221</v>
      </c>
      <c r="CP85" s="27">
        <f t="shared" si="491"/>
        <v>1125.4921885188164</v>
      </c>
      <c r="CQ85" s="27">
        <f t="shared" si="492"/>
        <v>4258.4699999999875</v>
      </c>
      <c r="CR85" s="27">
        <f t="shared" si="493"/>
        <v>4979.5624788085934</v>
      </c>
      <c r="CS85" s="27">
        <f t="shared" si="494"/>
        <v>9033.5557236378791</v>
      </c>
      <c r="CT85" s="27">
        <f t="shared" si="495"/>
        <v>1229.1559427244995</v>
      </c>
      <c r="CU85" s="27">
        <f t="shared" si="496"/>
        <v>2129.2349999999938</v>
      </c>
      <c r="CV85" s="27">
        <f t="shared" si="497"/>
        <v>2628.6166245011909</v>
      </c>
      <c r="CW85" s="27">
        <f t="shared" si="498"/>
        <v>24131.330000000053</v>
      </c>
      <c r="CX85" s="27">
        <f t="shared" si="499"/>
        <v>9185.5197900000057</v>
      </c>
      <c r="CY85" s="27">
        <f t="shared" si="500"/>
        <v>7097.4500000000035</v>
      </c>
      <c r="CZ85" s="27">
        <f t="shared" si="501"/>
        <v>1980.7181607156865</v>
      </c>
      <c r="DA85" s="27">
        <f t="shared" si="502"/>
        <v>7637.7973187970911</v>
      </c>
      <c r="DB85" s="27">
        <f t="shared" si="503"/>
        <v>7278.6764560131451</v>
      </c>
      <c r="DC85" s="27">
        <f t="shared" si="504"/>
        <v>6860.3191622545128</v>
      </c>
      <c r="DD85" s="27">
        <f t="shared" si="505"/>
        <v>1636.4064056753898</v>
      </c>
      <c r="DE85" s="27">
        <f t="shared" si="506"/>
        <v>6849.2123314467353</v>
      </c>
      <c r="DF85" s="27">
        <f t="shared" si="507"/>
        <v>2502.739208680005</v>
      </c>
      <c r="DG85" s="27">
        <f t="shared" si="508"/>
        <v>2273.1980386531377</v>
      </c>
      <c r="DH85" s="27">
        <f t="shared" si="509"/>
        <v>9755.4997261417193</v>
      </c>
      <c r="DI85" s="27">
        <f t="shared" si="510"/>
        <v>2469.4187162567446</v>
      </c>
      <c r="DJ85" s="27">
        <f t="shared" si="511"/>
        <v>18744.6281265486</v>
      </c>
      <c r="DK85" s="27">
        <f t="shared" si="512"/>
        <v>0</v>
      </c>
      <c r="DL85" s="27">
        <f t="shared" si="513"/>
        <v>0</v>
      </c>
      <c r="DM85" s="27">
        <f t="shared" si="514"/>
        <v>0</v>
      </c>
      <c r="DN85" s="110">
        <f t="shared" si="515"/>
        <v>1.0000013330377402</v>
      </c>
      <c r="DO85" s="28">
        <f t="shared" ref="DO85:DO148" si="518">BM85-CN85</f>
        <v>3582.9599999999991</v>
      </c>
      <c r="DP85" s="28">
        <f t="shared" ref="DP85:DP148" si="519">BN85-CO85</f>
        <v>1567.6209279883183</v>
      </c>
      <c r="DQ85" s="28">
        <f t="shared" ref="DQ85:DQ148" si="520">BO85-CP85</f>
        <v>710.21872147309591</v>
      </c>
      <c r="DR85" s="28">
        <f t="shared" ref="DR85:DR148" si="521">BP85-CQ85</f>
        <v>2687.2199999999921</v>
      </c>
      <c r="DS85" s="28">
        <f t="shared" ref="DS85:DS148" si="522">BQ85-CR85</f>
        <v>3142.250593359593</v>
      </c>
      <c r="DT85" s="28">
        <f t="shared" ref="DT85:DT148" si="523">BR85-CS85</f>
        <v>5700.4397381393283</v>
      </c>
      <c r="DU85" s="28">
        <f t="shared" ref="DU85:DU148" si="524">BS85-CT85</f>
        <v>775.63360371404042</v>
      </c>
      <c r="DV85" s="28">
        <f t="shared" ref="DV85:DV148" si="525">BT85-CU85</f>
        <v>1343.609999999996</v>
      </c>
      <c r="DW85" s="28">
        <f t="shared" ref="DW85:DW148" si="526">BU85-CV85</f>
        <v>1658.7345139667741</v>
      </c>
      <c r="DX85" s="28">
        <f t="shared" ref="DX85:DX148" si="527">BV85-CW85</f>
        <v>15227.580000000031</v>
      </c>
      <c r="DY85" s="28">
        <f t="shared" ref="DY85:DY148" si="528">BW85-CX85</f>
        <v>5796.3335400000051</v>
      </c>
      <c r="DZ85" s="28">
        <f t="shared" ref="DZ85:DZ148" si="529">BX85-CY85</f>
        <v>4478.7000000000016</v>
      </c>
      <c r="EA85" s="28">
        <f t="shared" ref="EA85:EA148" si="530">BY85-CZ85</f>
        <v>1249.8914999608794</v>
      </c>
      <c r="EB85" s="28">
        <f t="shared" ref="EB85:EB148" si="531">BZ85-DA85</f>
        <v>4819.6750736809026</v>
      </c>
      <c r="EC85" s="28">
        <f t="shared" ref="EC85:EC148" si="532">CA85-DB85</f>
        <v>4593.0592316319344</v>
      </c>
      <c r="ED85" s="28">
        <f t="shared" ref="ED85:ED148" si="533">CB85-DC85</f>
        <v>4329.0634568738478</v>
      </c>
      <c r="EE85" s="28">
        <f t="shared" ref="EE85:EE148" si="534">CC85-DD85</f>
        <v>1032.6206410891753</v>
      </c>
      <c r="EF85" s="28">
        <f t="shared" ref="EF85:EF148" si="535">CD85-DE85</f>
        <v>4322.054719490874</v>
      </c>
      <c r="EG85" s="28">
        <f t="shared" ref="EG85:EG148" si="536">CE85-DF85</f>
        <v>1579.3021569599136</v>
      </c>
      <c r="EH85" s="28">
        <f t="shared" ref="EH85:EH148" si="537">CF85-DG85</f>
        <v>1434.4549177121094</v>
      </c>
      <c r="EI85" s="28">
        <f t="shared" ref="EI85:EI148" si="538">CG85-DH85</f>
        <v>6156.0076680316051</v>
      </c>
      <c r="EJ85" s="28">
        <f t="shared" ref="EJ85:EJ148" si="539">CH85-DI85</f>
        <v>1558.2759448110351</v>
      </c>
      <c r="EK85" s="28">
        <f t="shared" ref="EK85:EK148" si="540">CI85-DJ85</f>
        <v>11828.412456639104</v>
      </c>
      <c r="EL85" s="28">
        <f t="shared" ref="EL85:EL148" si="541">CJ85-DK85</f>
        <v>0</v>
      </c>
      <c r="EM85" s="28">
        <f t="shared" ref="EM85:EM148" si="542">CK85-DL85</f>
        <v>0</v>
      </c>
      <c r="EN85" s="28">
        <f t="shared" ref="EN85:EN148" si="543">CL85-DM85</f>
        <v>0</v>
      </c>
      <c r="EQ85" s="144">
        <v>3.0000010458878037E-2</v>
      </c>
      <c r="ER85" s="144">
        <v>4.9999999999999989E-2</v>
      </c>
      <c r="ES85" s="144">
        <v>8.0000010458878029E-2</v>
      </c>
      <c r="ET85" s="144">
        <v>0.10999999477056094</v>
      </c>
      <c r="EU85" s="144">
        <v>0.11999998954112191</v>
      </c>
      <c r="EV85" s="144">
        <v>0.14999999999999997</v>
      </c>
      <c r="EW85" s="144">
        <v>0.13000001045887802</v>
      </c>
      <c r="EX85" s="144">
        <v>8.0000010458878029E-2</v>
      </c>
      <c r="EY85" s="144">
        <v>6.9999989541121937E-2</v>
      </c>
      <c r="EZ85" s="144">
        <v>5.9999994770560956E-2</v>
      </c>
      <c r="FA85" s="144">
        <v>5.9999994770560956E-2</v>
      </c>
      <c r="FB85" s="144">
        <v>5.9999994770560956E-2</v>
      </c>
      <c r="FC85" s="145">
        <f t="shared" ref="FC85:FC148" si="544">SUM(EQ85:FB85)</f>
        <v>0.99999999999999978</v>
      </c>
      <c r="FD85" s="146">
        <f t="shared" ref="FD85:FD148" si="545">SUM(EQ85:ES85)</f>
        <v>0.16000002091775606</v>
      </c>
      <c r="FE85" s="146">
        <f t="shared" ref="FE85:FE148" si="546">SUM(ET85:EV85)</f>
        <v>0.3799999843116828</v>
      </c>
      <c r="FF85" s="146">
        <f t="shared" ref="FF85:FF148" si="547">SUM(EW85:EY85)</f>
        <v>0.28000001045887801</v>
      </c>
      <c r="FG85" s="146">
        <f t="shared" ref="FG85:FG148" si="548">SUM(EZ85:FB85)</f>
        <v>0.17999998431168288</v>
      </c>
      <c r="FH85" s="145">
        <f t="shared" si="375"/>
        <v>0.99999999999999978</v>
      </c>
      <c r="FJ85" s="52">
        <f t="shared" ref="FJ85:FJ148" si="549">BM85*$FD85</f>
        <v>1481.7473937176651</v>
      </c>
      <c r="FK85" s="52">
        <f t="shared" ref="FK85:FK148" si="550">BN85*$FD85</f>
        <v>648.29588507378219</v>
      </c>
      <c r="FL85" s="52">
        <f t="shared" ref="FL85:FL148" si="551">BO85*$FD85</f>
        <v>293.71378399765899</v>
      </c>
      <c r="FM85" s="52">
        <f t="shared" ref="FM85:FM148" si="552">BP85*$FD85</f>
        <v>1111.3105452882457</v>
      </c>
      <c r="FN85" s="52">
        <f t="shared" ref="FN85:FN148" si="553">BQ85*$FD85</f>
        <v>1299.4902614370144</v>
      </c>
      <c r="FO85" s="52">
        <f t="shared" ref="FO85:FO148" si="554">BR85*$FD85</f>
        <v>2357.4395820864761</v>
      </c>
      <c r="FP85" s="52">
        <f t="shared" ref="FP85:FP148" si="555">BS85*$FD85</f>
        <v>320.76636936586505</v>
      </c>
      <c r="FQ85" s="52">
        <f t="shared" ref="FQ85:FQ148" si="556">BT85*$FD85</f>
        <v>555.65527264412287</v>
      </c>
      <c r="FR85" s="52">
        <f t="shared" ref="FR85:FR148" si="557">BU85*$FD85</f>
        <v>685.97627183663963</v>
      </c>
      <c r="FS85" s="52">
        <f t="shared" ref="FS85:FS148" si="558">BV85*$FD85</f>
        <v>6297.4264233000913</v>
      </c>
      <c r="FT85" s="52">
        <f t="shared" ref="FT85:FT148" si="559">BW85*$FD85</f>
        <v>2397.0968461867551</v>
      </c>
      <c r="FU85" s="52">
        <f t="shared" ref="FU85:FU148" si="560">BX85*$FD85</f>
        <v>1852.1842421470826</v>
      </c>
      <c r="FV85" s="52">
        <f t="shared" ref="FV85:FV148" si="561">BY85*$FD85</f>
        <v>516.89761328535531</v>
      </c>
      <c r="FW85" s="52">
        <f t="shared" ref="FW85:FW148" si="562">BZ85*$FD85</f>
        <v>1993.1958433788477</v>
      </c>
      <c r="FX85" s="52">
        <f t="shared" ref="FX85:FX148" si="563">CA85*$FD85</f>
        <v>1899.4779583532838</v>
      </c>
      <c r="FY85" s="52">
        <f t="shared" ref="FY85:FY148" si="564">CB85*$FD85</f>
        <v>1790.3014531173137</v>
      </c>
      <c r="FZ85" s="52">
        <f t="shared" ref="FZ85:FZ148" si="565">CC85*$FD85</f>
        <v>427.04438331238708</v>
      </c>
      <c r="GA85" s="52">
        <f t="shared" ref="GA85:GA148" si="566">CD85*$FD85</f>
        <v>1787.4029618278566</v>
      </c>
      <c r="GB85" s="52">
        <f t="shared" ref="GB85:GB148" si="567">CE85*$FD85</f>
        <v>653.12670388953245</v>
      </c>
      <c r="GC85" s="52">
        <f t="shared" ref="GC85:GC148" si="568">CF85*$FD85</f>
        <v>593.22455057421962</v>
      </c>
      <c r="GD85" s="52">
        <f t="shared" ref="GD85:GD148" si="569">CG85*$FD85</f>
        <v>2545.8415159007623</v>
      </c>
      <c r="GE85" s="52">
        <f t="shared" ref="GE85:GE148" si="570">CH85*$FD85</f>
        <v>644.43123002117909</v>
      </c>
      <c r="GF85" s="52">
        <f t="shared" ref="GF85:GF148" si="571">CI85*$FD85</f>
        <v>4891.6871328294374</v>
      </c>
      <c r="GG85" s="52">
        <f t="shared" ref="GG85:GG148" si="572">CJ85*$FD85</f>
        <v>0</v>
      </c>
      <c r="GH85" s="52">
        <f t="shared" ref="GH85:GH148" si="573">CK85*$FD85</f>
        <v>0</v>
      </c>
      <c r="GI85" s="52">
        <f t="shared" ref="GI85:GI148" si="574">CL85*$FD85</f>
        <v>0</v>
      </c>
      <c r="GJ85" s="26"/>
      <c r="GL85" s="150">
        <f t="shared" ref="GL85:GL148" si="575">BM85*$FE85</f>
        <v>3519.1494547117491</v>
      </c>
      <c r="GM85" s="150">
        <f t="shared" ref="GM85:GM148" si="576">BN85*$FE85</f>
        <v>1539.702462189033</v>
      </c>
      <c r="GN85" s="150">
        <f t="shared" ref="GN85:GN148" si="577">BO85*$FE85</f>
        <v>697.57011699771169</v>
      </c>
      <c r="GO85" s="150">
        <f t="shared" ref="GO85:GO148" si="578">BP85*$FE85</f>
        <v>2639.3620910338045</v>
      </c>
      <c r="GP85" s="150">
        <f t="shared" ref="GP85:GP148" si="579">BQ85*$FE85</f>
        <v>3086.2888400063312</v>
      </c>
      <c r="GQ85" s="150">
        <f t="shared" ref="GQ85:GQ148" si="580">BR85*$FE85</f>
        <v>5598.9180443237447</v>
      </c>
      <c r="GR85" s="150">
        <f t="shared" ref="GR85:GR148" si="581">BS85*$FE85</f>
        <v>761.8199961948709</v>
      </c>
      <c r="GS85" s="150">
        <f t="shared" ref="GS85:GS148" si="582">BT85*$FE85</f>
        <v>1319.6810455169023</v>
      </c>
      <c r="GT85" s="150">
        <f t="shared" ref="GT85:GT148" si="583">BU85*$FE85</f>
        <v>1629.1933653565022</v>
      </c>
      <c r="GU85" s="150">
        <f t="shared" ref="GU85:GU148" si="584">BV85*$FE85</f>
        <v>14956.385182524968</v>
      </c>
      <c r="GV85" s="150">
        <f t="shared" ref="GV85:GV148" si="585">BW85*$FE85</f>
        <v>5693.1040303599366</v>
      </c>
      <c r="GW85" s="150">
        <f t="shared" ref="GW85:GW148" si="586">BX85*$FE85</f>
        <v>4398.9368183896886</v>
      </c>
      <c r="GX85" s="150">
        <f t="shared" ref="GX85:GX148" si="587">BY85*$FE85</f>
        <v>1227.631620374266</v>
      </c>
      <c r="GY85" s="150">
        <f t="shared" ref="GY85:GY148" si="588">BZ85*$FE85</f>
        <v>4733.8393137048588</v>
      </c>
      <c r="GZ85" s="150">
        <f t="shared" ref="GZ85:GZ148" si="589">CA85*$FE85</f>
        <v>4511.2593750575752</v>
      </c>
      <c r="HA85" s="150">
        <f t="shared" ref="HA85:HA148" si="590">CB85*$FE85</f>
        <v>4251.965219726193</v>
      </c>
      <c r="HB85" s="150">
        <f t="shared" ref="HB85:HB148" si="591">CC85*$FE85</f>
        <v>1014.2302358979919</v>
      </c>
      <c r="HC85" s="150">
        <f t="shared" ref="HC85:HC148" si="592">CD85*$FE85</f>
        <v>4245.081304097911</v>
      </c>
      <c r="HD85" s="150">
        <f t="shared" ref="HD85:HD148" si="593">CE85*$FE85</f>
        <v>1551.1756549028094</v>
      </c>
      <c r="HE85" s="150">
        <f t="shared" ref="HE85:HE148" si="594">CF85*$FE85</f>
        <v>1408.9080652519583</v>
      </c>
      <c r="HF85" s="150">
        <f t="shared" ref="HF85:HF148" si="595">CG85*$FE85</f>
        <v>6046.3725601610886</v>
      </c>
      <c r="HG85" s="150">
        <f t="shared" ref="HG85:HG148" si="596">CH85*$FE85</f>
        <v>1530.5239080180049</v>
      </c>
      <c r="HH85" s="150">
        <f t="shared" ref="HH85:HH148" si="597">CI85*$FE85</f>
        <v>11617.754941971769</v>
      </c>
      <c r="HI85" s="150">
        <f t="shared" ref="HI85:HI148" si="598">CJ85*$FE85</f>
        <v>0</v>
      </c>
      <c r="HJ85" s="150">
        <f t="shared" ref="HJ85:HJ148" si="599">CK85*$FE85</f>
        <v>0</v>
      </c>
      <c r="HK85" s="150">
        <f t="shared" ref="HK85:HK148" si="600">CL85*$FE85</f>
        <v>0</v>
      </c>
      <c r="HL85" s="26"/>
      <c r="HN85" s="147">
        <f t="shared" ref="HN85:HN148" si="601">BM85*$FF85</f>
        <v>2593.0576968588321</v>
      </c>
      <c r="HO85" s="147">
        <f t="shared" ref="HO85:HO148" si="602">BN85*$FF85</f>
        <v>1134.5176929346392</v>
      </c>
      <c r="HP85" s="147">
        <f t="shared" ref="HP85:HP148" si="603">BO85*$FF85</f>
        <v>513.99907399721189</v>
      </c>
      <c r="HQ85" s="147">
        <f t="shared" ref="HQ85:HQ148" si="604">BP85*$FF85</f>
        <v>1944.7932726441188</v>
      </c>
      <c r="HR85" s="147">
        <f t="shared" ref="HR85:HR148" si="605">BQ85*$FF85</f>
        <v>2274.1077451521442</v>
      </c>
      <c r="HS85" s="147">
        <f t="shared" ref="HS85:HS148" si="606">BR85*$FF85</f>
        <v>4125.5188833986795</v>
      </c>
      <c r="HT85" s="147">
        <f t="shared" ref="HT85:HT148" si="607">BS85*$FF85</f>
        <v>561.34109397064049</v>
      </c>
      <c r="HU85" s="147">
        <f t="shared" ref="HU85:HU148" si="608">BT85*$FF85</f>
        <v>972.39663632205941</v>
      </c>
      <c r="HV85" s="147">
        <f t="shared" ref="HV85:HV148" si="609">BU85*$FF85</f>
        <v>1200.4583636119128</v>
      </c>
      <c r="HW85" s="147">
        <f t="shared" ref="HW85:HW148" si="610">BV85*$FF85</f>
        <v>11020.495211650063</v>
      </c>
      <c r="HX85" s="147">
        <f t="shared" ref="HX85:HX148" si="611">BW85*$FF85</f>
        <v>4194.9190890933796</v>
      </c>
      <c r="HY85" s="147">
        <f t="shared" ref="HY85:HY148" si="612">BX85*$FF85</f>
        <v>3241.3221210735423</v>
      </c>
      <c r="HZ85" s="147">
        <f t="shared" ref="HZ85:HZ148" si="613">BY85*$FF85</f>
        <v>904.57073877799075</v>
      </c>
      <c r="IA85" s="147">
        <f t="shared" ref="IA85:IA148" si="614">BZ85*$FF85</f>
        <v>3488.0924001850221</v>
      </c>
      <c r="IB85" s="147">
        <f t="shared" ref="IB85:IB148" si="615">CA85*$FF85</f>
        <v>3324.0861167056578</v>
      </c>
      <c r="IC85" s="147">
        <f t="shared" ref="IC85:IC148" si="616">CB85*$FF85</f>
        <v>3133.0272503843289</v>
      </c>
      <c r="ID85" s="147">
        <f t="shared" ref="ID85:ID148" si="617">CC85*$FF85</f>
        <v>747.3276010091065</v>
      </c>
      <c r="IE85" s="147">
        <f t="shared" ref="IE85:IE148" si="618">CD85*$FF85</f>
        <v>3127.9548911014499</v>
      </c>
      <c r="IF85" s="147">
        <f t="shared" ref="IF85:IF148" si="619">CE85*$FF85</f>
        <v>1142.9716250727499</v>
      </c>
      <c r="IG85" s="147">
        <f t="shared" ref="IG85:IG148" si="620">CF85*$FF85</f>
        <v>1038.1428665601591</v>
      </c>
      <c r="IH85" s="147">
        <f t="shared" ref="IH85:IH148" si="621">CG85*$FF85</f>
        <v>4455.2222367850454</v>
      </c>
      <c r="II85" s="147">
        <f t="shared" ref="II85:II148" si="622">CH85*$FF85</f>
        <v>1127.7545472241454</v>
      </c>
      <c r="IJ85" s="147">
        <f t="shared" ref="IJ85:IJ148" si="623">CI85*$FF85</f>
        <v>8560.4516830522589</v>
      </c>
      <c r="IK85" s="147">
        <f t="shared" ref="IK85:IK148" si="624">CJ85*$FF85</f>
        <v>0</v>
      </c>
      <c r="IL85" s="147">
        <f t="shared" ref="IL85:IL148" si="625">CK85*$FF85</f>
        <v>0</v>
      </c>
      <c r="IM85" s="147">
        <f t="shared" ref="IM85:IM148" si="626">CL85*$FF85</f>
        <v>0</v>
      </c>
      <c r="IN85" s="26"/>
      <c r="IP85" s="61">
        <f t="shared" ref="IP85:IP148" si="627">BM85*$FG85</f>
        <v>1666.9654547117498</v>
      </c>
      <c r="IQ85" s="61">
        <f t="shared" ref="IQ85:IQ148" si="628">BN85*$FG85</f>
        <v>729.33271179128508</v>
      </c>
      <c r="IR85" s="61">
        <f t="shared" ref="IR85:IR148" si="629">BO85*$FG85</f>
        <v>330.4279349993293</v>
      </c>
      <c r="IS85" s="61">
        <f t="shared" ref="IS85:IS148" si="630">BP85*$FG85</f>
        <v>1250.2240910338089</v>
      </c>
      <c r="IT85" s="61">
        <f t="shared" ref="IT85:IT148" si="631">BQ85*$FG85</f>
        <v>1461.9262255726944</v>
      </c>
      <c r="IU85" s="61">
        <f t="shared" ref="IU85:IU148" si="632">BR85*$FG85</f>
        <v>2652.1189519683039</v>
      </c>
      <c r="IV85" s="61">
        <f t="shared" ref="IV85:IV148" si="633">BS85*$FG85</f>
        <v>360.86208690716302</v>
      </c>
      <c r="IW85" s="61">
        <f t="shared" ref="IW85:IW148" si="634">BT85*$FG85</f>
        <v>625.11204551690446</v>
      </c>
      <c r="IX85" s="61">
        <f t="shared" ref="IX85:IX148" si="635">BU85*$FG85</f>
        <v>771.72313766290938</v>
      </c>
      <c r="IY85" s="61">
        <f t="shared" ref="IY85:IY148" si="636">BV85*$FG85</f>
        <v>7084.6031825249529</v>
      </c>
      <c r="IZ85" s="61">
        <f t="shared" ref="IZ85:IZ148" si="637">BW85*$FG85</f>
        <v>2696.7333643599359</v>
      </c>
      <c r="JA85" s="61">
        <f t="shared" ref="JA85:JA148" si="638">BX85*$FG85</f>
        <v>2083.7068183896886</v>
      </c>
      <c r="JB85" s="61">
        <f t="shared" ref="JB85:JB148" si="639">BY85*$FG85</f>
        <v>581.509688238953</v>
      </c>
      <c r="JC85" s="61">
        <f t="shared" ref="JC85:JC148" si="640">BZ85*$FG85</f>
        <v>2242.3448352092614</v>
      </c>
      <c r="JD85" s="61">
        <f t="shared" ref="JD85:JD148" si="641">CA85*$FG85</f>
        <v>2136.9122375285601</v>
      </c>
      <c r="JE85" s="61">
        <f t="shared" ref="JE85:JE148" si="642">CB85*$FG85</f>
        <v>2014.088695900522</v>
      </c>
      <c r="JF85" s="61">
        <f t="shared" ref="JF85:JF148" si="643">CC85*$FG85</f>
        <v>480.42482654507899</v>
      </c>
      <c r="JG85" s="61">
        <f t="shared" ref="JG85:JG148" si="644">CD85*$FG85</f>
        <v>2010.8278939103895</v>
      </c>
      <c r="JH85" s="61">
        <f t="shared" ref="JH85:JH148" si="645">CE85*$FG85</f>
        <v>734.76738177482594</v>
      </c>
      <c r="JI85" s="61">
        <f t="shared" ref="JI85:JI148" si="646">CF85*$FG85</f>
        <v>667.37747397890905</v>
      </c>
      <c r="JJ85" s="61">
        <f t="shared" ref="JJ85:JJ148" si="647">CG85*$FG85</f>
        <v>2864.0710813264245</v>
      </c>
      <c r="JK85" s="61">
        <f t="shared" ref="JK85:JK148" si="648">CH85*$FG85</f>
        <v>724.98497580444916</v>
      </c>
      <c r="JL85" s="61">
        <f t="shared" ref="JL85:JL148" si="649">CI85*$FG85</f>
        <v>5503.1468253342309</v>
      </c>
      <c r="JM85" s="61">
        <f t="shared" ref="JM85:JM148" si="650">CJ85*$FG85</f>
        <v>0</v>
      </c>
      <c r="JN85" s="61">
        <f t="shared" ref="JN85:JN148" si="651">CK85*$FG85</f>
        <v>0</v>
      </c>
      <c r="JO85" s="61">
        <f t="shared" ref="JO85:JO148" si="652">CL85*$FG85</f>
        <v>0</v>
      </c>
      <c r="JQ85" s="26">
        <f t="shared" si="516"/>
        <v>231523.3086288968</v>
      </c>
      <c r="JR85" s="156">
        <f t="shared" si="517"/>
        <v>1.0000013330377406</v>
      </c>
      <c r="JT85" s="157">
        <f t="shared" ref="JT85:JT148" si="653">IP85+HN85+GL85+FJ85</f>
        <v>9260.9199999999964</v>
      </c>
      <c r="JU85" s="29">
        <f t="shared" ref="JU85:JU148" si="654">IFERROR(JT85/BM85,0)</f>
        <v>0.99999999999999978</v>
      </c>
    </row>
    <row r="86" spans="1:281" ht="18.75" x14ac:dyDescent="0.3">
      <c r="A86" t="s">
        <v>234</v>
      </c>
      <c r="B86" t="s">
        <v>165</v>
      </c>
      <c r="C86" t="s">
        <v>74</v>
      </c>
      <c r="D86" t="s">
        <v>29</v>
      </c>
      <c r="E86" s="11" t="s">
        <v>249</v>
      </c>
      <c r="F86" s="114">
        <v>252.99999999999997</v>
      </c>
      <c r="G86" s="17">
        <v>140319</v>
      </c>
      <c r="H86" s="21">
        <v>88236</v>
      </c>
      <c r="I86" s="25">
        <f t="shared" si="434"/>
        <v>1.5902692778457772</v>
      </c>
      <c r="J86" s="13">
        <v>4.0000000000000008E-2</v>
      </c>
      <c r="K86" s="13">
        <v>1.750084765655573E-2</v>
      </c>
      <c r="L86" s="13">
        <v>7.9288490128061224E-3</v>
      </c>
      <c r="M86" s="13">
        <v>0.03</v>
      </c>
      <c r="N86" s="13">
        <v>3.5079940533632469E-2</v>
      </c>
      <c r="O86" s="13">
        <v>6.3639446023838669E-2</v>
      </c>
      <c r="P86" s="13">
        <v>8.6591377376698565E-3</v>
      </c>
      <c r="Q86" s="13">
        <v>1.4999999999999996E-2</v>
      </c>
      <c r="R86" s="13">
        <v>1.8518035523330145E-2</v>
      </c>
      <c r="S86" s="13">
        <v>0.17000000000000018</v>
      </c>
      <c r="T86" s="13">
        <v>6.4709999999999782E-2</v>
      </c>
      <c r="U86" s="13">
        <v>5.0000000000000031E-2</v>
      </c>
      <c r="V86" s="13">
        <v>1.3953730992931856E-2</v>
      </c>
      <c r="W86" s="13">
        <v>5.3806629978352068E-2</v>
      </c>
      <c r="X86" s="13">
        <v>5.1276701181502682E-2</v>
      </c>
      <c r="Y86" s="13">
        <v>4.8329464541874083E-2</v>
      </c>
      <c r="Z86" s="13">
        <v>1.1528129156777355E-2</v>
      </c>
      <c r="AA86" s="13">
        <v>4.8251219321353081E-2</v>
      </c>
      <c r="AB86" s="13">
        <v>1.7631256357424217E-2</v>
      </c>
      <c r="AC86" s="13">
        <v>1.6014188466654502E-2</v>
      </c>
      <c r="AD86" s="13">
        <v>6.8725385357711069E-2</v>
      </c>
      <c r="AE86" s="13">
        <v>1.7396520695860892E-2</v>
      </c>
      <c r="AF86" s="13">
        <v>0.13205185049946563</v>
      </c>
      <c r="AG86" s="9">
        <v>0</v>
      </c>
      <c r="AH86" s="13">
        <v>0</v>
      </c>
      <c r="AJ86" s="8">
        <f t="shared" si="461"/>
        <v>1.0000013330377404</v>
      </c>
      <c r="AK86" s="141">
        <f t="shared" si="435"/>
        <v>10.120000000000001</v>
      </c>
      <c r="AL86" s="141">
        <f t="shared" si="436"/>
        <v>4.4277144571085989</v>
      </c>
      <c r="AM86" s="141">
        <f t="shared" si="437"/>
        <v>2.0059988002399489</v>
      </c>
      <c r="AN86" s="141">
        <f t="shared" si="438"/>
        <v>7.589999999999999</v>
      </c>
      <c r="AO86" s="141">
        <f t="shared" si="439"/>
        <v>8.8752249550090134</v>
      </c>
      <c r="AP86" s="141">
        <f t="shared" si="440"/>
        <v>16.10077984403118</v>
      </c>
      <c r="AQ86" s="141">
        <f t="shared" si="441"/>
        <v>2.1907618476304735</v>
      </c>
      <c r="AR86" s="141">
        <f t="shared" si="442"/>
        <v>3.7949999999999986</v>
      </c>
      <c r="AS86" s="141">
        <f t="shared" si="443"/>
        <v>4.6850629874025262</v>
      </c>
      <c r="AT86" s="141">
        <f t="shared" si="444"/>
        <v>43.010000000000041</v>
      </c>
      <c r="AU86" s="141">
        <f t="shared" si="445"/>
        <v>16.371629999999943</v>
      </c>
      <c r="AV86" s="141">
        <f t="shared" si="446"/>
        <v>12.650000000000006</v>
      </c>
      <c r="AW86" s="141">
        <f t="shared" si="447"/>
        <v>3.5302939412117591</v>
      </c>
      <c r="AX86" s="141">
        <f t="shared" si="448"/>
        <v>13.613077384523072</v>
      </c>
      <c r="AY86" s="141">
        <f t="shared" si="449"/>
        <v>12.973005398920177</v>
      </c>
      <c r="AZ86" s="141">
        <f t="shared" si="450"/>
        <v>12.227354529094141</v>
      </c>
      <c r="BA86" s="141">
        <f t="shared" si="451"/>
        <v>2.9166166766646704</v>
      </c>
      <c r="BB86" s="141">
        <f t="shared" si="452"/>
        <v>12.207558488302329</v>
      </c>
      <c r="BC86" s="141">
        <f t="shared" si="453"/>
        <v>4.460707858428326</v>
      </c>
      <c r="BD86" s="141">
        <f t="shared" si="454"/>
        <v>4.0515896820635886</v>
      </c>
      <c r="BE86" s="141">
        <f t="shared" si="455"/>
        <v>17.3875224955009</v>
      </c>
      <c r="BF86" s="141">
        <f t="shared" si="456"/>
        <v>4.4013197360528054</v>
      </c>
      <c r="BG86" s="141">
        <f t="shared" si="457"/>
        <v>33.4091181763648</v>
      </c>
      <c r="BH86" s="141">
        <f t="shared" si="458"/>
        <v>0</v>
      </c>
      <c r="BI86" s="141">
        <f t="shared" si="459"/>
        <v>0</v>
      </c>
      <c r="BJ86" s="141">
        <f t="shared" si="460"/>
        <v>0</v>
      </c>
      <c r="BM86" s="26">
        <f t="shared" si="462"/>
        <v>5612.7600000000011</v>
      </c>
      <c r="BN86" s="26">
        <f t="shared" si="463"/>
        <v>2455.7014423202436</v>
      </c>
      <c r="BO86" s="26">
        <f t="shared" si="464"/>
        <v>1112.5681646279422</v>
      </c>
      <c r="BP86" s="26">
        <f t="shared" si="465"/>
        <v>4209.57</v>
      </c>
      <c r="BQ86" s="26">
        <f t="shared" si="466"/>
        <v>4922.3821757387741</v>
      </c>
      <c r="BR86" s="26">
        <f t="shared" si="467"/>
        <v>8929.8234266190175</v>
      </c>
      <c r="BS86" s="26">
        <f t="shared" si="468"/>
        <v>1215.0415482120966</v>
      </c>
      <c r="BT86" s="26">
        <f t="shared" si="469"/>
        <v>2104.7849999999994</v>
      </c>
      <c r="BU86" s="26">
        <f t="shared" si="470"/>
        <v>2598.4322265981627</v>
      </c>
      <c r="BV86" s="26">
        <f t="shared" si="471"/>
        <v>23854.230000000025</v>
      </c>
      <c r="BW86" s="26">
        <f t="shared" si="472"/>
        <v>9080.0424899999689</v>
      </c>
      <c r="BX86" s="26">
        <f t="shared" si="473"/>
        <v>7015.9500000000044</v>
      </c>
      <c r="BY86" s="26">
        <f t="shared" si="474"/>
        <v>1957.973579197205</v>
      </c>
      <c r="BZ86" s="26">
        <f t="shared" si="475"/>
        <v>7550.0925119323838</v>
      </c>
      <c r="CA86" s="26">
        <f t="shared" si="476"/>
        <v>7195.0954330872746</v>
      </c>
      <c r="CB86" s="26">
        <f t="shared" si="477"/>
        <v>6781.5421350512297</v>
      </c>
      <c r="CC86" s="26">
        <f t="shared" si="478"/>
        <v>1617.6155551498416</v>
      </c>
      <c r="CD86" s="26">
        <f t="shared" si="479"/>
        <v>6770.5628439529428</v>
      </c>
      <c r="CE86" s="26">
        <f t="shared" si="480"/>
        <v>2474.0002608174086</v>
      </c>
      <c r="CF86" s="26">
        <f t="shared" si="481"/>
        <v>2247.0949114524929</v>
      </c>
      <c r="CG86" s="26">
        <f t="shared" si="482"/>
        <v>9643.4773480086587</v>
      </c>
      <c r="CH86" s="26">
        <f t="shared" si="483"/>
        <v>2441.0623875225047</v>
      </c>
      <c r="CI86" s="26">
        <f t="shared" si="484"/>
        <v>18529.383610234519</v>
      </c>
      <c r="CJ86" s="26">
        <f t="shared" si="485"/>
        <v>0</v>
      </c>
      <c r="CK86" s="26">
        <f t="shared" si="486"/>
        <v>0</v>
      </c>
      <c r="CL86" s="26">
        <f t="shared" si="487"/>
        <v>0</v>
      </c>
      <c r="CM86" s="110">
        <f t="shared" si="488"/>
        <v>1.0000013330377404</v>
      </c>
      <c r="CN86" s="27">
        <f t="shared" si="489"/>
        <v>3529.4400000000005</v>
      </c>
      <c r="CO86" s="27">
        <f t="shared" si="490"/>
        <v>1544.2047938238513</v>
      </c>
      <c r="CP86" s="27">
        <f t="shared" si="491"/>
        <v>699.609921493961</v>
      </c>
      <c r="CQ86" s="27">
        <f t="shared" si="492"/>
        <v>2647.08</v>
      </c>
      <c r="CR86" s="27">
        <f t="shared" si="493"/>
        <v>3095.3136329255944</v>
      </c>
      <c r="CS86" s="27">
        <f t="shared" si="494"/>
        <v>5615.2901593594288</v>
      </c>
      <c r="CT86" s="27">
        <f t="shared" si="495"/>
        <v>764.04767742103741</v>
      </c>
      <c r="CU86" s="27">
        <f t="shared" si="496"/>
        <v>1323.5399999999997</v>
      </c>
      <c r="CV86" s="27">
        <f t="shared" si="497"/>
        <v>1633.9573824365586</v>
      </c>
      <c r="CW86" s="27">
        <f t="shared" si="498"/>
        <v>15000.120000000015</v>
      </c>
      <c r="CX86" s="27">
        <f t="shared" si="499"/>
        <v>5709.7515599999806</v>
      </c>
      <c r="CY86" s="27">
        <f t="shared" si="500"/>
        <v>4411.8000000000029</v>
      </c>
      <c r="CZ86" s="27">
        <f t="shared" si="501"/>
        <v>1231.2214078923353</v>
      </c>
      <c r="DA86" s="27">
        <f t="shared" si="502"/>
        <v>4747.6818027698728</v>
      </c>
      <c r="DB86" s="27">
        <f t="shared" si="503"/>
        <v>4524.4510054510711</v>
      </c>
      <c r="DC86" s="27">
        <f t="shared" si="504"/>
        <v>4264.3986333168014</v>
      </c>
      <c r="DD86" s="27">
        <f t="shared" si="505"/>
        <v>1017.1960042774067</v>
      </c>
      <c r="DE86" s="27">
        <f t="shared" si="506"/>
        <v>4257.4945880389105</v>
      </c>
      <c r="DF86" s="27">
        <f t="shared" si="507"/>
        <v>1555.7115359536831</v>
      </c>
      <c r="DG86" s="27">
        <f t="shared" si="508"/>
        <v>1413.0279335437267</v>
      </c>
      <c r="DH86" s="27">
        <f t="shared" si="509"/>
        <v>6064.053102422994</v>
      </c>
      <c r="DI86" s="27">
        <f t="shared" si="510"/>
        <v>1534.9994001199816</v>
      </c>
      <c r="DJ86" s="27">
        <f t="shared" si="511"/>
        <v>11651.727080670849</v>
      </c>
      <c r="DK86" s="27">
        <f t="shared" si="512"/>
        <v>0</v>
      </c>
      <c r="DL86" s="27">
        <f t="shared" si="513"/>
        <v>0</v>
      </c>
      <c r="DM86" s="27">
        <f t="shared" si="514"/>
        <v>0</v>
      </c>
      <c r="DN86" s="110">
        <f t="shared" si="515"/>
        <v>1.0000013330377404</v>
      </c>
      <c r="DO86" s="28">
        <f t="shared" si="518"/>
        <v>2083.3200000000006</v>
      </c>
      <c r="DP86" s="28">
        <f t="shared" si="519"/>
        <v>911.49664849639225</v>
      </c>
      <c r="DQ86" s="28">
        <f t="shared" si="520"/>
        <v>412.95824313398123</v>
      </c>
      <c r="DR86" s="28">
        <f t="shared" si="521"/>
        <v>1562.4899999999998</v>
      </c>
      <c r="DS86" s="28">
        <f t="shared" si="522"/>
        <v>1827.0685428131796</v>
      </c>
      <c r="DT86" s="28">
        <f t="shared" si="523"/>
        <v>3314.5332672595887</v>
      </c>
      <c r="DU86" s="28">
        <f t="shared" si="524"/>
        <v>450.99387079105918</v>
      </c>
      <c r="DV86" s="28">
        <f t="shared" si="525"/>
        <v>781.24499999999966</v>
      </c>
      <c r="DW86" s="28">
        <f t="shared" si="526"/>
        <v>964.4748441616041</v>
      </c>
      <c r="DX86" s="28">
        <f t="shared" si="527"/>
        <v>8854.1100000000097</v>
      </c>
      <c r="DY86" s="28">
        <f t="shared" si="528"/>
        <v>3370.2909299999883</v>
      </c>
      <c r="DZ86" s="28">
        <f t="shared" si="529"/>
        <v>2604.1500000000015</v>
      </c>
      <c r="EA86" s="28">
        <f t="shared" si="530"/>
        <v>726.75217130486976</v>
      </c>
      <c r="EB86" s="28">
        <f t="shared" si="531"/>
        <v>2802.410709162511</v>
      </c>
      <c r="EC86" s="28">
        <f t="shared" si="532"/>
        <v>2670.6444276362035</v>
      </c>
      <c r="ED86" s="28">
        <f t="shared" si="533"/>
        <v>2517.1435017344284</v>
      </c>
      <c r="EE86" s="28">
        <f t="shared" si="534"/>
        <v>600.41955087243491</v>
      </c>
      <c r="EF86" s="28">
        <f t="shared" si="535"/>
        <v>2513.0682559140323</v>
      </c>
      <c r="EG86" s="28">
        <f t="shared" si="536"/>
        <v>918.28872486372552</v>
      </c>
      <c r="EH86" s="28">
        <f t="shared" si="537"/>
        <v>834.06697790876615</v>
      </c>
      <c r="EI86" s="28">
        <f t="shared" si="538"/>
        <v>3579.4242455856647</v>
      </c>
      <c r="EJ86" s="28">
        <f t="shared" si="539"/>
        <v>906.06298740252305</v>
      </c>
      <c r="EK86" s="28">
        <f t="shared" si="540"/>
        <v>6877.6565295636701</v>
      </c>
      <c r="EL86" s="28">
        <f t="shared" si="541"/>
        <v>0</v>
      </c>
      <c r="EM86" s="28">
        <f t="shared" si="542"/>
        <v>0</v>
      </c>
      <c r="EN86" s="28">
        <f t="shared" si="543"/>
        <v>0</v>
      </c>
      <c r="EQ86" s="144">
        <v>2.9999978263877968E-2</v>
      </c>
      <c r="ER86" s="144">
        <v>4.999996377312995E-2</v>
      </c>
      <c r="ES86" s="144">
        <v>8.000001449074802E-2</v>
      </c>
      <c r="ET86" s="144">
        <v>0.10999999275462599</v>
      </c>
      <c r="EU86" s="144">
        <v>0.11999998550925198</v>
      </c>
      <c r="EV86" s="144">
        <v>0.14999996377312994</v>
      </c>
      <c r="EW86" s="144">
        <v>0.12999997826387796</v>
      </c>
      <c r="EX86" s="144">
        <v>8.000001449074802E-2</v>
      </c>
      <c r="EY86" s="144">
        <v>7.0000021736122034E-2</v>
      </c>
      <c r="EZ86" s="144">
        <v>6.0000028981496034E-2</v>
      </c>
      <c r="FA86" s="144">
        <v>6.0000028981496034E-2</v>
      </c>
      <c r="FB86" s="144">
        <v>6.0000028981496034E-2</v>
      </c>
      <c r="FC86" s="145">
        <f t="shared" si="544"/>
        <v>1</v>
      </c>
      <c r="FD86" s="146">
        <f t="shared" si="545"/>
        <v>0.15999995652775595</v>
      </c>
      <c r="FE86" s="146">
        <f t="shared" si="546"/>
        <v>0.37999994203700793</v>
      </c>
      <c r="FF86" s="146">
        <f t="shared" si="547"/>
        <v>0.28000001449074802</v>
      </c>
      <c r="FG86" s="146">
        <f t="shared" si="548"/>
        <v>0.1800000869444881</v>
      </c>
      <c r="FH86" s="145">
        <f t="shared" si="375"/>
        <v>0.99999999999999989</v>
      </c>
      <c r="FJ86" s="52">
        <f t="shared" si="549"/>
        <v>898.04135600072766</v>
      </c>
      <c r="FK86" s="52">
        <f t="shared" si="550"/>
        <v>392.91212401638654</v>
      </c>
      <c r="FL86" s="52">
        <f t="shared" si="551"/>
        <v>178.01085797463597</v>
      </c>
      <c r="FM86" s="52">
        <f t="shared" si="552"/>
        <v>673.5310170005456</v>
      </c>
      <c r="FN86" s="52">
        <f t="shared" si="553"/>
        <v>787.58093413120457</v>
      </c>
      <c r="FO86" s="52">
        <f t="shared" si="554"/>
        <v>1428.7713600595794</v>
      </c>
      <c r="FP86" s="52">
        <f t="shared" si="555"/>
        <v>194.40659489335275</v>
      </c>
      <c r="FQ86" s="52">
        <f t="shared" si="556"/>
        <v>336.76550850027269</v>
      </c>
      <c r="FR86" s="52">
        <f t="shared" si="557"/>
        <v>415.74904329602612</v>
      </c>
      <c r="FS86" s="52">
        <f t="shared" si="558"/>
        <v>3816.6757630030957</v>
      </c>
      <c r="FT86" s="52">
        <f t="shared" si="559"/>
        <v>1452.8064036701719</v>
      </c>
      <c r="FU86" s="52">
        <f t="shared" si="560"/>
        <v>1122.5516950009101</v>
      </c>
      <c r="FV86" s="52">
        <f t="shared" si="561"/>
        <v>313.27568755404752</v>
      </c>
      <c r="FW86" s="52">
        <f t="shared" si="562"/>
        <v>1208.0144736897171</v>
      </c>
      <c r="FX86" s="52">
        <f t="shared" si="563"/>
        <v>1151.2149565070192</v>
      </c>
      <c r="FY86" s="52">
        <f t="shared" si="564"/>
        <v>1085.046446799342</v>
      </c>
      <c r="FZ86" s="52">
        <f t="shared" si="565"/>
        <v>258.81841850259644</v>
      </c>
      <c r="GA86" s="52">
        <f t="shared" si="566"/>
        <v>1083.2897607009106</v>
      </c>
      <c r="GB86" s="52">
        <f t="shared" si="567"/>
        <v>395.83993418044224</v>
      </c>
      <c r="GC86" s="52">
        <f t="shared" si="568"/>
        <v>359.53508814614048</v>
      </c>
      <c r="GD86" s="52">
        <f t="shared" si="569"/>
        <v>1542.9559564577846</v>
      </c>
      <c r="GE86" s="52">
        <f t="shared" si="570"/>
        <v>390.5698758851409</v>
      </c>
      <c r="GF86" s="52">
        <f t="shared" si="571"/>
        <v>2964.7005721236369</v>
      </c>
      <c r="GG86" s="52">
        <f t="shared" si="572"/>
        <v>0</v>
      </c>
      <c r="GH86" s="52">
        <f t="shared" si="573"/>
        <v>0</v>
      </c>
      <c r="GI86" s="52">
        <f t="shared" si="574"/>
        <v>0</v>
      </c>
      <c r="GJ86" s="26"/>
      <c r="GL86" s="150">
        <f t="shared" si="575"/>
        <v>2132.8484746676372</v>
      </c>
      <c r="GM86" s="150">
        <f t="shared" si="576"/>
        <v>933.16640574188932</v>
      </c>
      <c r="GN86" s="150">
        <f t="shared" si="577"/>
        <v>422.77583807083835</v>
      </c>
      <c r="GO86" s="150">
        <f t="shared" si="578"/>
        <v>1599.6363560007273</v>
      </c>
      <c r="GP86" s="150">
        <f t="shared" si="579"/>
        <v>1870.5049414647351</v>
      </c>
      <c r="GQ86" s="150">
        <f t="shared" si="580"/>
        <v>3393.3323845159421</v>
      </c>
      <c r="GR86" s="150">
        <f t="shared" si="581"/>
        <v>461.71571789315306</v>
      </c>
      <c r="GS86" s="150">
        <f t="shared" si="582"/>
        <v>799.81817800036356</v>
      </c>
      <c r="GT86" s="150">
        <f t="shared" si="583"/>
        <v>987.40409549439528</v>
      </c>
      <c r="GU86" s="150">
        <f t="shared" si="584"/>
        <v>9064.6060173374644</v>
      </c>
      <c r="GV86" s="150">
        <f t="shared" si="585"/>
        <v>3450.4156198935575</v>
      </c>
      <c r="GW86" s="150">
        <f t="shared" si="586"/>
        <v>2666.0605933345473</v>
      </c>
      <c r="GX86" s="150">
        <f t="shared" si="587"/>
        <v>744.02984660493087</v>
      </c>
      <c r="GY86" s="150">
        <f t="shared" si="588"/>
        <v>2869.0347169083534</v>
      </c>
      <c r="GZ86" s="150">
        <f t="shared" si="589"/>
        <v>2734.1358475239049</v>
      </c>
      <c r="HA86" s="150">
        <f t="shared" si="590"/>
        <v>2576.9856182409944</v>
      </c>
      <c r="HB86" s="150">
        <f t="shared" si="591"/>
        <v>614.69381719510227</v>
      </c>
      <c r="HC86" s="150">
        <f t="shared" si="592"/>
        <v>2572.813488260038</v>
      </c>
      <c r="HD86" s="150">
        <f t="shared" si="593"/>
        <v>940.1199557101578</v>
      </c>
      <c r="HE86" s="150">
        <f t="shared" si="594"/>
        <v>853.89593610360271</v>
      </c>
      <c r="HF86" s="150">
        <f t="shared" si="595"/>
        <v>3664.5208332784891</v>
      </c>
      <c r="HG86" s="150">
        <f t="shared" si="596"/>
        <v>927.60356576727202</v>
      </c>
      <c r="HH86" s="150">
        <f t="shared" si="597"/>
        <v>7041.1646978706021</v>
      </c>
      <c r="HI86" s="150">
        <f t="shared" si="598"/>
        <v>0</v>
      </c>
      <c r="HJ86" s="150">
        <f t="shared" si="599"/>
        <v>0</v>
      </c>
      <c r="HK86" s="150">
        <f t="shared" si="600"/>
        <v>0</v>
      </c>
      <c r="HL86" s="26"/>
      <c r="HN86" s="147">
        <f t="shared" si="601"/>
        <v>1571.5728813330911</v>
      </c>
      <c r="HO86" s="147">
        <f t="shared" si="602"/>
        <v>687.59643943461901</v>
      </c>
      <c r="HP86" s="147">
        <f t="shared" si="603"/>
        <v>311.51910221776876</v>
      </c>
      <c r="HQ86" s="147">
        <f t="shared" si="604"/>
        <v>1178.679660999818</v>
      </c>
      <c r="HR86" s="147">
        <f t="shared" si="605"/>
        <v>1378.2670805358564</v>
      </c>
      <c r="HS86" s="147">
        <f t="shared" si="606"/>
        <v>2500.350688853146</v>
      </c>
      <c r="HT86" s="147">
        <f t="shared" si="607"/>
        <v>340.21165110624793</v>
      </c>
      <c r="HU86" s="147">
        <f t="shared" si="608"/>
        <v>589.33983049990889</v>
      </c>
      <c r="HV86" s="147">
        <f t="shared" si="609"/>
        <v>727.56106110071221</v>
      </c>
      <c r="HW86" s="147">
        <f t="shared" si="610"/>
        <v>6679.1847456656433</v>
      </c>
      <c r="HX86" s="147">
        <f t="shared" si="611"/>
        <v>2542.4120287765991</v>
      </c>
      <c r="HY86" s="147">
        <f t="shared" si="612"/>
        <v>1964.4661016663647</v>
      </c>
      <c r="HZ86" s="147">
        <f t="shared" si="613"/>
        <v>548.23263054771917</v>
      </c>
      <c r="IA86" s="147">
        <f t="shared" si="614"/>
        <v>2114.0260127475553</v>
      </c>
      <c r="IB86" s="147">
        <f t="shared" si="615"/>
        <v>2014.6268255267519</v>
      </c>
      <c r="IC86" s="147">
        <f t="shared" si="616"/>
        <v>1898.8318960839626</v>
      </c>
      <c r="ID86" s="147">
        <f t="shared" si="617"/>
        <v>452.93237888241504</v>
      </c>
      <c r="IE86" s="147">
        <f t="shared" si="618"/>
        <v>1895.7576944173441</v>
      </c>
      <c r="IF86" s="147">
        <f t="shared" si="619"/>
        <v>692.72010887898875</v>
      </c>
      <c r="IG86" s="147">
        <f t="shared" si="620"/>
        <v>629.18660776878414</v>
      </c>
      <c r="IH86" s="147">
        <f t="shared" si="621"/>
        <v>2700.1737971836246</v>
      </c>
      <c r="II86" s="147">
        <f t="shared" si="622"/>
        <v>683.49750387912127</v>
      </c>
      <c r="IJ86" s="147">
        <f t="shared" si="623"/>
        <v>5188.227679370294</v>
      </c>
      <c r="IK86" s="147">
        <f t="shared" si="624"/>
        <v>0</v>
      </c>
      <c r="IL86" s="147">
        <f t="shared" si="625"/>
        <v>0</v>
      </c>
      <c r="IM86" s="147">
        <f t="shared" si="626"/>
        <v>0</v>
      </c>
      <c r="IN86" s="26"/>
      <c r="IP86" s="61">
        <f t="shared" si="627"/>
        <v>1010.2972879985452</v>
      </c>
      <c r="IQ86" s="61">
        <f t="shared" si="628"/>
        <v>442.02647312734871</v>
      </c>
      <c r="IR86" s="61">
        <f t="shared" si="629"/>
        <v>200.26236636469915</v>
      </c>
      <c r="IS86" s="61">
        <f t="shared" si="630"/>
        <v>757.72296599890876</v>
      </c>
      <c r="IT86" s="61">
        <f t="shared" si="631"/>
        <v>886.0292196069779</v>
      </c>
      <c r="IU86" s="61">
        <f t="shared" si="632"/>
        <v>1607.3689931903498</v>
      </c>
      <c r="IV86" s="61">
        <f t="shared" si="633"/>
        <v>218.70758431934283</v>
      </c>
      <c r="IW86" s="61">
        <f t="shared" si="634"/>
        <v>378.86148299945427</v>
      </c>
      <c r="IX86" s="61">
        <f t="shared" si="635"/>
        <v>467.71802670702908</v>
      </c>
      <c r="IY86" s="61">
        <f t="shared" si="636"/>
        <v>4293.7634739938212</v>
      </c>
      <c r="IZ86" s="61">
        <f t="shared" si="637"/>
        <v>1634.4084376596406</v>
      </c>
      <c r="JA86" s="61">
        <f t="shared" si="638"/>
        <v>1262.8716099981821</v>
      </c>
      <c r="JB86" s="61">
        <f t="shared" si="639"/>
        <v>352.43541449050747</v>
      </c>
      <c r="JC86" s="61">
        <f t="shared" si="640"/>
        <v>1359.0173085867577</v>
      </c>
      <c r="JD86" s="61">
        <f t="shared" si="641"/>
        <v>1295.1178035295986</v>
      </c>
      <c r="JE86" s="61">
        <f t="shared" si="642"/>
        <v>1220.6781739269309</v>
      </c>
      <c r="JF86" s="61">
        <f t="shared" si="643"/>
        <v>291.17094056972786</v>
      </c>
      <c r="JG86" s="61">
        <f t="shared" si="644"/>
        <v>1218.7019005746504</v>
      </c>
      <c r="JH86" s="61">
        <f t="shared" si="645"/>
        <v>445.32026204781977</v>
      </c>
      <c r="JI86" s="61">
        <f t="shared" si="646"/>
        <v>404.47727943396552</v>
      </c>
      <c r="JJ86" s="61">
        <f t="shared" si="647"/>
        <v>1735.8267610887601</v>
      </c>
      <c r="JK86" s="61">
        <f t="shared" si="648"/>
        <v>439.39144199097052</v>
      </c>
      <c r="JL86" s="61">
        <f t="shared" si="649"/>
        <v>3335.2906608699864</v>
      </c>
      <c r="JM86" s="61">
        <f t="shared" si="650"/>
        <v>0</v>
      </c>
      <c r="JN86" s="61">
        <f t="shared" si="651"/>
        <v>0</v>
      </c>
      <c r="JO86" s="61">
        <f t="shared" si="652"/>
        <v>0</v>
      </c>
      <c r="JQ86" s="26">
        <f t="shared" si="516"/>
        <v>140319.18705052268</v>
      </c>
      <c r="JR86" s="156">
        <f t="shared" si="517"/>
        <v>1.0000013330377404</v>
      </c>
      <c r="JT86" s="157">
        <f t="shared" si="653"/>
        <v>5612.76</v>
      </c>
      <c r="JU86" s="29">
        <f t="shared" si="654"/>
        <v>0.99999999999999989</v>
      </c>
    </row>
    <row r="87" spans="1:281" ht="18.75" x14ac:dyDescent="0.3">
      <c r="A87" t="s">
        <v>234</v>
      </c>
      <c r="B87" t="s">
        <v>166</v>
      </c>
      <c r="C87" t="s">
        <v>74</v>
      </c>
      <c r="D87" t="s">
        <v>29</v>
      </c>
      <c r="E87" s="11" t="s">
        <v>250</v>
      </c>
      <c r="F87" s="114">
        <v>2400</v>
      </c>
      <c r="G87" s="17">
        <v>564720.0401142285</v>
      </c>
      <c r="H87" s="21">
        <v>403371.45722444897</v>
      </c>
      <c r="I87" s="25">
        <f t="shared" si="434"/>
        <v>1.4</v>
      </c>
      <c r="J87" s="13">
        <v>4.0000000000000029E-2</v>
      </c>
      <c r="K87" s="13">
        <v>1.7500847656555643E-2</v>
      </c>
      <c r="L87" s="13">
        <v>7.9288490128061381E-3</v>
      </c>
      <c r="M87" s="13">
        <v>2.9999999999999992E-2</v>
      </c>
      <c r="N87" s="13">
        <v>3.5079940533632462E-2</v>
      </c>
      <c r="O87" s="13">
        <v>6.3639446023838711E-2</v>
      </c>
      <c r="P87" s="13">
        <v>8.6591377376698513E-3</v>
      </c>
      <c r="Q87" s="13">
        <v>1.4999999999999996E-2</v>
      </c>
      <c r="R87" s="13">
        <v>1.8518035523330121E-2</v>
      </c>
      <c r="S87" s="13">
        <v>0.17000000000000035</v>
      </c>
      <c r="T87" s="13">
        <v>6.4710000000000295E-2</v>
      </c>
      <c r="U87" s="13">
        <v>4.9999999999999829E-2</v>
      </c>
      <c r="V87" s="13">
        <v>1.3953730992931812E-2</v>
      </c>
      <c r="W87" s="13">
        <v>5.3806629978352429E-2</v>
      </c>
      <c r="X87" s="13">
        <v>5.127670118150271E-2</v>
      </c>
      <c r="Y87" s="13">
        <v>4.8329464541874201E-2</v>
      </c>
      <c r="Z87" s="13">
        <v>1.1528129156777344E-2</v>
      </c>
      <c r="AA87" s="13">
        <v>4.8251219321353185E-2</v>
      </c>
      <c r="AB87" s="13">
        <v>1.7631256357424224E-2</v>
      </c>
      <c r="AC87" s="13">
        <v>1.6014188466654505E-2</v>
      </c>
      <c r="AD87" s="13">
        <v>6.8725385357711083E-2</v>
      </c>
      <c r="AE87" s="13">
        <v>1.7396520695860861E-2</v>
      </c>
      <c r="AF87" s="13">
        <v>0.13205185049946483</v>
      </c>
      <c r="AG87" s="9">
        <v>0</v>
      </c>
      <c r="AH87" s="13">
        <v>0</v>
      </c>
      <c r="AJ87" s="8">
        <f t="shared" si="461"/>
        <v>1.0000013330377406</v>
      </c>
      <c r="AK87" s="141">
        <f t="shared" si="435"/>
        <v>96.000000000000071</v>
      </c>
      <c r="AL87" s="141">
        <f t="shared" si="436"/>
        <v>42.002034375733544</v>
      </c>
      <c r="AM87" s="141">
        <f t="shared" si="437"/>
        <v>19.02923763073473</v>
      </c>
      <c r="AN87" s="141">
        <f t="shared" si="438"/>
        <v>71.999999999999986</v>
      </c>
      <c r="AO87" s="141">
        <f t="shared" si="439"/>
        <v>84.191857280717912</v>
      </c>
      <c r="AP87" s="141">
        <f t="shared" si="440"/>
        <v>152.7346704572129</v>
      </c>
      <c r="AQ87" s="141">
        <f t="shared" si="441"/>
        <v>20.781930570407642</v>
      </c>
      <c r="AR87" s="141">
        <f t="shared" si="442"/>
        <v>35.999999999999993</v>
      </c>
      <c r="AS87" s="141">
        <f t="shared" si="443"/>
        <v>44.443285255992294</v>
      </c>
      <c r="AT87" s="141">
        <f t="shared" si="444"/>
        <v>408.00000000000085</v>
      </c>
      <c r="AU87" s="141">
        <f t="shared" si="445"/>
        <v>155.30400000000071</v>
      </c>
      <c r="AV87" s="141">
        <f t="shared" si="446"/>
        <v>119.99999999999959</v>
      </c>
      <c r="AW87" s="141">
        <f t="shared" si="447"/>
        <v>33.488954383036351</v>
      </c>
      <c r="AX87" s="141">
        <f t="shared" si="448"/>
        <v>129.13591194804582</v>
      </c>
      <c r="AY87" s="141">
        <f t="shared" si="449"/>
        <v>123.0640828356065</v>
      </c>
      <c r="AZ87" s="141">
        <f t="shared" si="450"/>
        <v>115.99071490049808</v>
      </c>
      <c r="BA87" s="141">
        <f t="shared" si="451"/>
        <v>27.667509976265627</v>
      </c>
      <c r="BB87" s="141">
        <f t="shared" si="452"/>
        <v>115.80292637124765</v>
      </c>
      <c r="BC87" s="141">
        <f t="shared" si="453"/>
        <v>42.315015257818139</v>
      </c>
      <c r="BD87" s="141">
        <f t="shared" si="454"/>
        <v>38.43405231997081</v>
      </c>
      <c r="BE87" s="141">
        <f t="shared" si="455"/>
        <v>164.94092485850661</v>
      </c>
      <c r="BF87" s="141">
        <f t="shared" si="456"/>
        <v>41.751649670066065</v>
      </c>
      <c r="BG87" s="141">
        <f t="shared" si="457"/>
        <v>316.92444119871561</v>
      </c>
      <c r="BH87" s="141">
        <f t="shared" si="458"/>
        <v>0</v>
      </c>
      <c r="BI87" s="141">
        <f t="shared" si="459"/>
        <v>0</v>
      </c>
      <c r="BJ87" s="141">
        <f t="shared" si="460"/>
        <v>0</v>
      </c>
      <c r="BM87" s="26">
        <f t="shared" si="462"/>
        <v>22588.801604569155</v>
      </c>
      <c r="BN87" s="26">
        <f t="shared" si="463"/>
        <v>9883.0793906431045</v>
      </c>
      <c r="BO87" s="26">
        <f t="shared" si="464"/>
        <v>4477.5799325715434</v>
      </c>
      <c r="BP87" s="26">
        <f t="shared" si="465"/>
        <v>16941.60120342685</v>
      </c>
      <c r="BQ87" s="26">
        <f t="shared" si="466"/>
        <v>19810.345425357675</v>
      </c>
      <c r="BR87" s="26">
        <f t="shared" si="467"/>
        <v>35938.470511429477</v>
      </c>
      <c r="BS87" s="26">
        <f t="shared" si="468"/>
        <v>4889.9886105715486</v>
      </c>
      <c r="BT87" s="26">
        <f t="shared" si="469"/>
        <v>8470.8006017134248</v>
      </c>
      <c r="BU87" s="26">
        <f t="shared" si="470"/>
        <v>10457.505763571695</v>
      </c>
      <c r="BV87" s="26">
        <f t="shared" si="471"/>
        <v>96002.406819419033</v>
      </c>
      <c r="BW87" s="26">
        <f t="shared" si="472"/>
        <v>36543.033795791889</v>
      </c>
      <c r="BX87" s="26">
        <f t="shared" si="473"/>
        <v>28236.002005711329</v>
      </c>
      <c r="BY87" s="26">
        <f t="shared" si="474"/>
        <v>7879.9515260716062</v>
      </c>
      <c r="BZ87" s="26">
        <f t="shared" si="475"/>
        <v>30385.682239786634</v>
      </c>
      <c r="CA87" s="26">
        <f t="shared" si="476"/>
        <v>28956.980748143516</v>
      </c>
      <c r="CB87" s="26">
        <f t="shared" si="477"/>
        <v>27292.617154786381</v>
      </c>
      <c r="CC87" s="26">
        <f t="shared" si="478"/>
        <v>6510.1655598573088</v>
      </c>
      <c r="CD87" s="26">
        <f t="shared" si="479"/>
        <v>27248.430510715007</v>
      </c>
      <c r="CE87" s="26">
        <f t="shared" si="480"/>
        <v>9956.7237974288546</v>
      </c>
      <c r="CF87" s="26">
        <f t="shared" si="481"/>
        <v>9043.5331532859473</v>
      </c>
      <c r="CG87" s="26">
        <f t="shared" si="482"/>
        <v>38810.602376072413</v>
      </c>
      <c r="CH87" s="26">
        <f t="shared" si="483"/>
        <v>9824.1638652145521</v>
      </c>
      <c r="CI87" s="26">
        <f t="shared" si="484"/>
        <v>74572.326311215889</v>
      </c>
      <c r="CJ87" s="26">
        <f t="shared" si="485"/>
        <v>0</v>
      </c>
      <c r="CK87" s="26">
        <f t="shared" si="486"/>
        <v>0</v>
      </c>
      <c r="CL87" s="26">
        <f t="shared" si="487"/>
        <v>0</v>
      </c>
      <c r="CM87" s="110">
        <f t="shared" si="488"/>
        <v>1.0000013330377404</v>
      </c>
      <c r="CN87" s="27">
        <f t="shared" si="489"/>
        <v>16134.85828897797</v>
      </c>
      <c r="CO87" s="27">
        <f t="shared" si="490"/>
        <v>7059.3424218879327</v>
      </c>
      <c r="CP87" s="27">
        <f t="shared" si="491"/>
        <v>3198.2713804082455</v>
      </c>
      <c r="CQ87" s="27">
        <f t="shared" si="492"/>
        <v>12101.143716733466</v>
      </c>
      <c r="CR87" s="27">
        <f t="shared" si="493"/>
        <v>14150.24673239834</v>
      </c>
      <c r="CS87" s="27">
        <f t="shared" si="494"/>
        <v>25670.336079592485</v>
      </c>
      <c r="CT87" s="27">
        <f t="shared" si="495"/>
        <v>3492.8490075511063</v>
      </c>
      <c r="CU87" s="27">
        <f t="shared" si="496"/>
        <v>6050.5718583667331</v>
      </c>
      <c r="CV87" s="27">
        <f t="shared" si="497"/>
        <v>7469.6469739797822</v>
      </c>
      <c r="CW87" s="27">
        <f t="shared" si="498"/>
        <v>68573.147728156458</v>
      </c>
      <c r="CX87" s="27">
        <f t="shared" si="499"/>
        <v>26102.166996994212</v>
      </c>
      <c r="CY87" s="27">
        <f t="shared" si="500"/>
        <v>20168.572861222379</v>
      </c>
      <c r="CZ87" s="27">
        <f t="shared" si="501"/>
        <v>5628.5368043368626</v>
      </c>
      <c r="DA87" s="27">
        <f t="shared" si="502"/>
        <v>21704.058742704739</v>
      </c>
      <c r="DB87" s="27">
        <f t="shared" si="503"/>
        <v>20683.557677245371</v>
      </c>
      <c r="DC87" s="27">
        <f t="shared" si="504"/>
        <v>19494.726539133131</v>
      </c>
      <c r="DD87" s="27">
        <f t="shared" si="505"/>
        <v>4650.1182570409355</v>
      </c>
      <c r="DE87" s="27">
        <f t="shared" si="506"/>
        <v>19463.16465051072</v>
      </c>
      <c r="DF87" s="27">
        <f t="shared" si="507"/>
        <v>7111.9455695920387</v>
      </c>
      <c r="DG87" s="27">
        <f t="shared" si="508"/>
        <v>6459.6665380613922</v>
      </c>
      <c r="DH87" s="27">
        <f t="shared" si="509"/>
        <v>27721.858840051729</v>
      </c>
      <c r="DI87" s="27">
        <f t="shared" si="510"/>
        <v>7017.25990372468</v>
      </c>
      <c r="DJ87" s="27">
        <f t="shared" si="511"/>
        <v>53265.947365154207</v>
      </c>
      <c r="DK87" s="27">
        <f t="shared" si="512"/>
        <v>0</v>
      </c>
      <c r="DL87" s="27">
        <f t="shared" si="513"/>
        <v>0</v>
      </c>
      <c r="DM87" s="27">
        <f t="shared" si="514"/>
        <v>0</v>
      </c>
      <c r="DN87" s="110">
        <f t="shared" si="515"/>
        <v>1.0000013330377406</v>
      </c>
      <c r="DO87" s="28">
        <f t="shared" si="518"/>
        <v>6453.9433155911847</v>
      </c>
      <c r="DP87" s="28">
        <f t="shared" si="519"/>
        <v>2823.7369687551718</v>
      </c>
      <c r="DQ87" s="28">
        <f t="shared" si="520"/>
        <v>1279.3085521632979</v>
      </c>
      <c r="DR87" s="28">
        <f t="shared" si="521"/>
        <v>4840.4574866933835</v>
      </c>
      <c r="DS87" s="28">
        <f t="shared" si="522"/>
        <v>5660.0986929593346</v>
      </c>
      <c r="DT87" s="28">
        <f t="shared" si="523"/>
        <v>10268.134431836992</v>
      </c>
      <c r="DU87" s="28">
        <f t="shared" si="524"/>
        <v>1397.1396030204423</v>
      </c>
      <c r="DV87" s="28">
        <f t="shared" si="525"/>
        <v>2420.2287433466918</v>
      </c>
      <c r="DW87" s="28">
        <f t="shared" si="526"/>
        <v>2987.8587895919127</v>
      </c>
      <c r="DX87" s="28">
        <f t="shared" si="527"/>
        <v>27429.259091262575</v>
      </c>
      <c r="DY87" s="28">
        <f t="shared" si="528"/>
        <v>10440.866798797677</v>
      </c>
      <c r="DZ87" s="28">
        <f t="shared" si="529"/>
        <v>8067.4291444889495</v>
      </c>
      <c r="EA87" s="28">
        <f t="shared" si="530"/>
        <v>2251.4147217347436</v>
      </c>
      <c r="EB87" s="28">
        <f t="shared" si="531"/>
        <v>8681.623497081895</v>
      </c>
      <c r="EC87" s="28">
        <f t="shared" si="532"/>
        <v>8273.4230708981449</v>
      </c>
      <c r="ED87" s="28">
        <f t="shared" si="533"/>
        <v>7797.8906156532503</v>
      </c>
      <c r="EE87" s="28">
        <f t="shared" si="534"/>
        <v>1860.0473028163733</v>
      </c>
      <c r="EF87" s="28">
        <f t="shared" si="535"/>
        <v>7785.2658602042866</v>
      </c>
      <c r="EG87" s="28">
        <f t="shared" si="536"/>
        <v>2844.7782278368159</v>
      </c>
      <c r="EH87" s="28">
        <f t="shared" si="537"/>
        <v>2583.8666152245551</v>
      </c>
      <c r="EI87" s="28">
        <f t="shared" si="538"/>
        <v>11088.743536020684</v>
      </c>
      <c r="EJ87" s="28">
        <f t="shared" si="539"/>
        <v>2806.903961489872</v>
      </c>
      <c r="EK87" s="28">
        <f t="shared" si="540"/>
        <v>21306.378946061683</v>
      </c>
      <c r="EL87" s="28">
        <f t="shared" si="541"/>
        <v>0</v>
      </c>
      <c r="EM87" s="28">
        <f t="shared" si="542"/>
        <v>0</v>
      </c>
      <c r="EN87" s="28">
        <f t="shared" si="543"/>
        <v>0</v>
      </c>
      <c r="EQ87" s="144">
        <v>2.9999496992093172E-2</v>
      </c>
      <c r="ER87" s="144">
        <v>5.0000012485028014E-2</v>
      </c>
      <c r="ES87" s="144">
        <v>7.9999509477121186E-2</v>
      </c>
      <c r="ET87" s="144">
        <v>0.11000025497201672</v>
      </c>
      <c r="EU87" s="144">
        <v>0.12000048497397744</v>
      </c>
      <c r="EV87" s="144">
        <v>0.15000000971057731</v>
      </c>
      <c r="EW87" s="144">
        <v>0.12999949421764248</v>
      </c>
      <c r="EX87" s="144">
        <v>7.9999509477121186E-2</v>
      </c>
      <c r="EY87" s="144">
        <v>7.000050023345615E-2</v>
      </c>
      <c r="EZ87" s="144">
        <v>6.0000242486988722E-2</v>
      </c>
      <c r="FA87" s="144">
        <v>6.0000242486988722E-2</v>
      </c>
      <c r="FB87" s="144">
        <v>6.0000242486988722E-2</v>
      </c>
      <c r="FC87" s="145">
        <f t="shared" si="544"/>
        <v>0.99999999999999989</v>
      </c>
      <c r="FD87" s="146">
        <f t="shared" si="545"/>
        <v>0.15999901895424237</v>
      </c>
      <c r="FE87" s="146">
        <f t="shared" si="546"/>
        <v>0.38000074965657149</v>
      </c>
      <c r="FF87" s="146">
        <f t="shared" si="547"/>
        <v>0.27999950392821982</v>
      </c>
      <c r="FG87" s="146">
        <f t="shared" si="548"/>
        <v>0.18000072746096618</v>
      </c>
      <c r="FH87" s="145">
        <f t="shared" si="375"/>
        <v>0.99999999999999989</v>
      </c>
      <c r="FJ87" s="52">
        <f t="shared" si="549"/>
        <v>3614.1860960830809</v>
      </c>
      <c r="FK87" s="52">
        <f t="shared" si="550"/>
        <v>1581.2830067497882</v>
      </c>
      <c r="FL87" s="52">
        <f t="shared" si="551"/>
        <v>716.4083965006497</v>
      </c>
      <c r="FM87" s="52">
        <f t="shared" si="552"/>
        <v>2710.6395720623077</v>
      </c>
      <c r="FN87" s="52">
        <f t="shared" si="553"/>
        <v>3169.6358332018913</v>
      </c>
      <c r="FO87" s="52">
        <f t="shared" si="554"/>
        <v>5750.1200245446853</v>
      </c>
      <c r="FP87" s="52">
        <f t="shared" si="555"/>
        <v>782.39338038886649</v>
      </c>
      <c r="FQ87" s="52">
        <f t="shared" si="556"/>
        <v>1355.3197860311539</v>
      </c>
      <c r="FR87" s="52">
        <f t="shared" si="557"/>
        <v>1673.1906628798065</v>
      </c>
      <c r="FS87" s="52">
        <f t="shared" si="558"/>
        <v>15360.290908353112</v>
      </c>
      <c r="FT87" s="52">
        <f t="shared" si="559"/>
        <v>5846.8495569384258</v>
      </c>
      <c r="FU87" s="52">
        <f t="shared" si="560"/>
        <v>4517.7326201038322</v>
      </c>
      <c r="FV87" s="52">
        <f t="shared" si="561"/>
        <v>1260.7845135784421</v>
      </c>
      <c r="FW87" s="52">
        <f t="shared" si="562"/>
        <v>4861.6793486212073</v>
      </c>
      <c r="FX87" s="52">
        <f t="shared" si="563"/>
        <v>4633.0885115798455</v>
      </c>
      <c r="FY87" s="52">
        <f t="shared" si="564"/>
        <v>4366.7919694595466</v>
      </c>
      <c r="FZ87" s="52">
        <f t="shared" si="565"/>
        <v>1041.6201028068654</v>
      </c>
      <c r="GA87" s="52">
        <f t="shared" si="566"/>
        <v>4359.7221497572464</v>
      </c>
      <c r="GB87" s="52">
        <f t="shared" si="567"/>
        <v>1593.0660395869754</v>
      </c>
      <c r="GC87" s="52">
        <f t="shared" si="568"/>
        <v>1446.9564324059177</v>
      </c>
      <c r="GD87" s="52">
        <f t="shared" si="569"/>
        <v>6209.6583051947737</v>
      </c>
      <c r="GE87" s="52">
        <f t="shared" si="570"/>
        <v>1571.8565804800462</v>
      </c>
      <c r="GF87" s="52">
        <f t="shared" si="571"/>
        <v>11931.499050930179</v>
      </c>
      <c r="GG87" s="52">
        <f t="shared" si="572"/>
        <v>0</v>
      </c>
      <c r="GH87" s="52">
        <f t="shared" si="573"/>
        <v>0</v>
      </c>
      <c r="GI87" s="52">
        <f t="shared" si="574"/>
        <v>0</v>
      </c>
      <c r="GJ87" s="26"/>
      <c r="GL87" s="150">
        <f t="shared" si="575"/>
        <v>8583.7615435798434</v>
      </c>
      <c r="GM87" s="150">
        <f t="shared" si="576"/>
        <v>3755.5775773597916</v>
      </c>
      <c r="GN87" s="150">
        <f t="shared" si="577"/>
        <v>1701.4837310244072</v>
      </c>
      <c r="GO87" s="150">
        <f t="shared" si="578"/>
        <v>6437.8211576848762</v>
      </c>
      <c r="GP87" s="150">
        <f t="shared" si="579"/>
        <v>7527.9461125915477</v>
      </c>
      <c r="GQ87" s="150">
        <f t="shared" si="580"/>
        <v>13656.64573585379</v>
      </c>
      <c r="GR87" s="150">
        <f t="shared" si="581"/>
        <v>1858.199337829285</v>
      </c>
      <c r="GS87" s="150">
        <f t="shared" si="582"/>
        <v>3218.9105788424381</v>
      </c>
      <c r="GT87" s="150">
        <f t="shared" si="583"/>
        <v>3973.8600296951613</v>
      </c>
      <c r="GU87" s="150">
        <f t="shared" si="584"/>
        <v>36480.986560214384</v>
      </c>
      <c r="GV87" s="150">
        <f t="shared" si="585"/>
        <v>13886.380237126345</v>
      </c>
      <c r="GW87" s="150">
        <f t="shared" si="586"/>
        <v>10729.701929474761</v>
      </c>
      <c r="GX87" s="150">
        <f t="shared" si="587"/>
        <v>2994.3874871646549</v>
      </c>
      <c r="GY87" s="150">
        <f t="shared" si="588"/>
        <v>11546.582029945292</v>
      </c>
      <c r="GZ87" s="150">
        <f t="shared" si="589"/>
        <v>11003.674392085444</v>
      </c>
      <c r="HA87" s="150">
        <f t="shared" si="590"/>
        <v>10371.214978908629</v>
      </c>
      <c r="HB87" s="150">
        <f t="shared" si="591"/>
        <v>2473.8677931341708</v>
      </c>
      <c r="HC87" s="150">
        <f t="shared" si="592"/>
        <v>10354.424021036697</v>
      </c>
      <c r="HD87" s="150">
        <f t="shared" si="593"/>
        <v>3783.5625071463901</v>
      </c>
      <c r="HE87" s="150">
        <f t="shared" si="594"/>
        <v>3436.5493777927177</v>
      </c>
      <c r="HF87" s="150">
        <f t="shared" si="595"/>
        <v>14748.057997530632</v>
      </c>
      <c r="HG87" s="150">
        <f t="shared" si="596"/>
        <v>3733.189633530531</v>
      </c>
      <c r="HH87" s="150">
        <f t="shared" si="597"/>
        <v>28337.539901896507</v>
      </c>
      <c r="HI87" s="150">
        <f t="shared" si="598"/>
        <v>0</v>
      </c>
      <c r="HJ87" s="150">
        <f t="shared" si="599"/>
        <v>0</v>
      </c>
      <c r="HK87" s="150">
        <f t="shared" si="600"/>
        <v>0</v>
      </c>
      <c r="HL87" s="26"/>
      <c r="HN87" s="147">
        <f t="shared" si="601"/>
        <v>6324.8532436123387</v>
      </c>
      <c r="HO87" s="147">
        <f t="shared" si="602"/>
        <v>2767.2573266632821</v>
      </c>
      <c r="HP87" s="147">
        <f t="shared" si="603"/>
        <v>1253.7201599189841</v>
      </c>
      <c r="HQ87" s="147">
        <f t="shared" si="604"/>
        <v>4743.6399327092495</v>
      </c>
      <c r="HR87" s="147">
        <f t="shared" si="605"/>
        <v>5546.886891746828</v>
      </c>
      <c r="HS87" s="147">
        <f t="shared" si="606"/>
        <v>10062.75391513921</v>
      </c>
      <c r="HT87" s="147">
        <f t="shared" si="607"/>
        <v>1369.1943851746785</v>
      </c>
      <c r="HU87" s="147">
        <f t="shared" si="608"/>
        <v>2371.8199663546247</v>
      </c>
      <c r="HV87" s="147">
        <f t="shared" si="609"/>
        <v>2928.096426126574</v>
      </c>
      <c r="HW87" s="147">
        <f t="shared" si="610"/>
        <v>26880.626285352475</v>
      </c>
      <c r="HX87" s="147">
        <f t="shared" si="611"/>
        <v>10232.0313348539</v>
      </c>
      <c r="HY87" s="147">
        <f t="shared" si="612"/>
        <v>7906.0665545153915</v>
      </c>
      <c r="HZ87" s="147">
        <f t="shared" si="613"/>
        <v>2206.3825182784685</v>
      </c>
      <c r="IA87" s="147">
        <f t="shared" si="614"/>
        <v>8507.9759536607762</v>
      </c>
      <c r="IB87" s="147">
        <f t="shared" si="615"/>
        <v>8107.9402447391958</v>
      </c>
      <c r="IC87" s="147">
        <f t="shared" si="616"/>
        <v>7641.9192642430089</v>
      </c>
      <c r="ID87" s="147">
        <f t="shared" si="617"/>
        <v>1822.843127250628</v>
      </c>
      <c r="IE87" s="147">
        <f t="shared" si="618"/>
        <v>7629.5470258227715</v>
      </c>
      <c r="IF87" s="147">
        <f t="shared" si="619"/>
        <v>2787.8777240303803</v>
      </c>
      <c r="IG87" s="147">
        <f t="shared" si="620"/>
        <v>2532.1847966784749</v>
      </c>
      <c r="IH87" s="147">
        <f t="shared" si="621"/>
        <v>10866.949412455664</v>
      </c>
      <c r="II87" s="147">
        <f t="shared" si="622"/>
        <v>2750.7610087696171</v>
      </c>
      <c r="IJ87" s="147">
        <f t="shared" si="623"/>
        <v>20880.214373913783</v>
      </c>
      <c r="IK87" s="147">
        <f t="shared" si="624"/>
        <v>0</v>
      </c>
      <c r="IL87" s="147">
        <f t="shared" si="625"/>
        <v>0</v>
      </c>
      <c r="IM87" s="147">
        <f t="shared" si="626"/>
        <v>0</v>
      </c>
      <c r="IN87" s="26"/>
      <c r="IP87" s="61">
        <f t="shared" si="627"/>
        <v>4066.0007212938881</v>
      </c>
      <c r="IQ87" s="61">
        <f t="shared" si="628"/>
        <v>1778.9614798702412</v>
      </c>
      <c r="IR87" s="61">
        <f t="shared" si="629"/>
        <v>805.96764512750167</v>
      </c>
      <c r="IS87" s="61">
        <f t="shared" si="630"/>
        <v>3049.5005409704131</v>
      </c>
      <c r="IT87" s="61">
        <f t="shared" si="631"/>
        <v>3565.8765878174049</v>
      </c>
      <c r="IU87" s="61">
        <f t="shared" si="632"/>
        <v>6468.9508358917874</v>
      </c>
      <c r="IV87" s="61">
        <f t="shared" si="633"/>
        <v>880.20150717871797</v>
      </c>
      <c r="IW87" s="61">
        <f t="shared" si="634"/>
        <v>1524.7502704852066</v>
      </c>
      <c r="IX87" s="61">
        <f t="shared" si="635"/>
        <v>1882.3586448701517</v>
      </c>
      <c r="IY87" s="61">
        <f t="shared" si="636"/>
        <v>17280.503065499048</v>
      </c>
      <c r="IZ87" s="61">
        <f t="shared" si="637"/>
        <v>6577.7726668732121</v>
      </c>
      <c r="JA87" s="61">
        <f t="shared" si="638"/>
        <v>5082.500901617339</v>
      </c>
      <c r="JB87" s="61">
        <f t="shared" si="639"/>
        <v>1418.3970070500397</v>
      </c>
      <c r="JC87" s="61">
        <f t="shared" si="640"/>
        <v>5469.4449075593548</v>
      </c>
      <c r="JD87" s="61">
        <f t="shared" si="641"/>
        <v>5212.2775997390254</v>
      </c>
      <c r="JE87" s="61">
        <f t="shared" si="642"/>
        <v>4912.6909421751934</v>
      </c>
      <c r="JF87" s="61">
        <f t="shared" si="643"/>
        <v>1171.8345366656438</v>
      </c>
      <c r="JG87" s="61">
        <f t="shared" si="644"/>
        <v>4904.7373140982872</v>
      </c>
      <c r="JH87" s="61">
        <f t="shared" si="645"/>
        <v>1792.2175266651075</v>
      </c>
      <c r="JI87" s="61">
        <f t="shared" si="646"/>
        <v>1627.8425464088359</v>
      </c>
      <c r="JJ87" s="61">
        <f t="shared" si="647"/>
        <v>6985.9366608913369</v>
      </c>
      <c r="JK87" s="61">
        <f t="shared" si="648"/>
        <v>1768.3566424343567</v>
      </c>
      <c r="JL87" s="61">
        <f t="shared" si="649"/>
        <v>13423.07298447541</v>
      </c>
      <c r="JM87" s="61">
        <f t="shared" si="650"/>
        <v>0</v>
      </c>
      <c r="JN87" s="61">
        <f t="shared" si="651"/>
        <v>0</v>
      </c>
      <c r="JO87" s="61">
        <f t="shared" si="652"/>
        <v>0</v>
      </c>
      <c r="JQ87" s="26">
        <f t="shared" si="516"/>
        <v>564720.79290735489</v>
      </c>
      <c r="JR87" s="156">
        <f t="shared" si="517"/>
        <v>1.0000013330377406</v>
      </c>
      <c r="JT87" s="157">
        <f t="shared" si="653"/>
        <v>22588.801604569151</v>
      </c>
      <c r="JU87" s="29">
        <f t="shared" si="654"/>
        <v>0.99999999999999989</v>
      </c>
    </row>
    <row r="88" spans="1:281" ht="18.75" x14ac:dyDescent="0.3">
      <c r="A88" t="s">
        <v>234</v>
      </c>
      <c r="B88" t="s">
        <v>167</v>
      </c>
      <c r="C88" t="s">
        <v>74</v>
      </c>
      <c r="D88" t="s">
        <v>29</v>
      </c>
      <c r="E88" s="11" t="s">
        <v>251</v>
      </c>
      <c r="F88" s="114">
        <v>5468</v>
      </c>
      <c r="G88" s="17">
        <v>1594742</v>
      </c>
      <c r="H88" s="21">
        <v>1078891</v>
      </c>
      <c r="I88" s="25">
        <f t="shared" si="434"/>
        <v>1.4781307842960967</v>
      </c>
      <c r="J88" s="13">
        <v>3.9999999999999938E-2</v>
      </c>
      <c r="K88" s="13">
        <v>1.7500847656555647E-2</v>
      </c>
      <c r="L88" s="13">
        <v>7.9288490128061363E-3</v>
      </c>
      <c r="M88" s="13">
        <v>2.9999999999999995E-2</v>
      </c>
      <c r="N88" s="13">
        <v>3.5079940533632462E-2</v>
      </c>
      <c r="O88" s="13">
        <v>6.3639446023838919E-2</v>
      </c>
      <c r="P88" s="13">
        <v>8.65913773766986E-3</v>
      </c>
      <c r="Q88" s="13">
        <v>1.4999999999999984E-2</v>
      </c>
      <c r="R88" s="13">
        <v>1.8518035523330142E-2</v>
      </c>
      <c r="S88" s="13">
        <v>0.16999999999999979</v>
      </c>
      <c r="T88" s="13">
        <v>6.4710000000000073E-2</v>
      </c>
      <c r="U88" s="13">
        <v>4.9999999999999857E-2</v>
      </c>
      <c r="V88" s="13">
        <v>1.3953730992931863E-2</v>
      </c>
      <c r="W88" s="13">
        <v>5.3806629978352151E-2</v>
      </c>
      <c r="X88" s="13">
        <v>5.1276701181502779E-2</v>
      </c>
      <c r="Y88" s="13">
        <v>4.8329464541874277E-2</v>
      </c>
      <c r="Z88" s="13">
        <v>1.1528129156777339E-2</v>
      </c>
      <c r="AA88" s="13">
        <v>4.8251219321353178E-2</v>
      </c>
      <c r="AB88" s="13">
        <v>1.7631256357424099E-2</v>
      </c>
      <c r="AC88" s="13">
        <v>1.6014188466654502E-2</v>
      </c>
      <c r="AD88" s="13">
        <v>6.8725385357710958E-2</v>
      </c>
      <c r="AE88" s="13">
        <v>1.7396520695860895E-2</v>
      </c>
      <c r="AF88" s="13">
        <v>0.13205185049946563</v>
      </c>
      <c r="AG88" s="9">
        <v>0</v>
      </c>
      <c r="AH88" s="13">
        <v>0</v>
      </c>
      <c r="AJ88" s="8">
        <f t="shared" si="461"/>
        <v>1.0000013330377404</v>
      </c>
      <c r="AK88" s="141">
        <f t="shared" si="435"/>
        <v>218.71999999999966</v>
      </c>
      <c r="AL88" s="141">
        <f t="shared" si="436"/>
        <v>95.694634986046282</v>
      </c>
      <c r="AM88" s="141">
        <f t="shared" si="437"/>
        <v>43.354946402023955</v>
      </c>
      <c r="AN88" s="141">
        <f t="shared" si="438"/>
        <v>164.03999999999996</v>
      </c>
      <c r="AO88" s="141">
        <f t="shared" si="439"/>
        <v>191.8171148379023</v>
      </c>
      <c r="AP88" s="141">
        <f t="shared" si="440"/>
        <v>347.98049085835123</v>
      </c>
      <c r="AQ88" s="141">
        <f t="shared" si="441"/>
        <v>47.348165149578797</v>
      </c>
      <c r="AR88" s="141">
        <f t="shared" si="442"/>
        <v>82.019999999999911</v>
      </c>
      <c r="AS88" s="141">
        <f t="shared" si="443"/>
        <v>101.25661824156921</v>
      </c>
      <c r="AT88" s="141">
        <f t="shared" si="444"/>
        <v>929.55999999999881</v>
      </c>
      <c r="AU88" s="141">
        <f t="shared" si="445"/>
        <v>353.83428000000038</v>
      </c>
      <c r="AV88" s="141">
        <f t="shared" si="446"/>
        <v>273.39999999999924</v>
      </c>
      <c r="AW88" s="141">
        <f t="shared" si="447"/>
        <v>76.299001069351419</v>
      </c>
      <c r="AX88" s="141">
        <f t="shared" si="448"/>
        <v>294.21465272162953</v>
      </c>
      <c r="AY88" s="141">
        <f t="shared" si="449"/>
        <v>280.38100206045721</v>
      </c>
      <c r="AZ88" s="141">
        <f t="shared" si="450"/>
        <v>264.26551211496854</v>
      </c>
      <c r="BA88" s="141">
        <f t="shared" si="451"/>
        <v>63.035810229258487</v>
      </c>
      <c r="BB88" s="141">
        <f t="shared" si="452"/>
        <v>263.83766724915915</v>
      </c>
      <c r="BC88" s="141">
        <f t="shared" si="453"/>
        <v>96.407709762394973</v>
      </c>
      <c r="BD88" s="141">
        <f t="shared" si="454"/>
        <v>87.56558253566682</v>
      </c>
      <c r="BE88" s="141">
        <f t="shared" si="455"/>
        <v>375.79040713596351</v>
      </c>
      <c r="BF88" s="141">
        <f t="shared" si="456"/>
        <v>95.124175164967369</v>
      </c>
      <c r="BG88" s="141">
        <f t="shared" si="457"/>
        <v>722.05951853107808</v>
      </c>
      <c r="BH88" s="141">
        <f t="shared" si="458"/>
        <v>0</v>
      </c>
      <c r="BI88" s="141">
        <f t="shared" si="459"/>
        <v>0</v>
      </c>
      <c r="BJ88" s="141">
        <f t="shared" si="460"/>
        <v>0</v>
      </c>
      <c r="BM88" s="26">
        <f t="shared" si="462"/>
        <v>63789.679999999898</v>
      </c>
      <c r="BN88" s="26">
        <f t="shared" si="463"/>
        <v>27909.336793510865</v>
      </c>
      <c r="BO88" s="26">
        <f t="shared" si="464"/>
        <v>12644.468532380484</v>
      </c>
      <c r="BP88" s="26">
        <f t="shared" si="465"/>
        <v>47842.259999999995</v>
      </c>
      <c r="BQ88" s="26">
        <f t="shared" si="466"/>
        <v>55943.454526486101</v>
      </c>
      <c r="BR88" s="26">
        <f t="shared" si="467"/>
        <v>101488.49743094892</v>
      </c>
      <c r="BS88" s="26">
        <f t="shared" si="468"/>
        <v>13809.090634047108</v>
      </c>
      <c r="BT88" s="26">
        <f t="shared" si="469"/>
        <v>23921.129999999976</v>
      </c>
      <c r="BU88" s="26">
        <f t="shared" si="470"/>
        <v>29531.489006546555</v>
      </c>
      <c r="BV88" s="26">
        <f t="shared" si="471"/>
        <v>271106.13999999966</v>
      </c>
      <c r="BW88" s="26">
        <f t="shared" si="472"/>
        <v>103195.75482000012</v>
      </c>
      <c r="BX88" s="26">
        <f t="shared" si="473"/>
        <v>79737.099999999773</v>
      </c>
      <c r="BY88" s="26">
        <f t="shared" si="474"/>
        <v>22252.600871130144</v>
      </c>
      <c r="BZ88" s="26">
        <f t="shared" si="475"/>
        <v>85807.692704937261</v>
      </c>
      <c r="CA88" s="26">
        <f t="shared" si="476"/>
        <v>81773.108995592105</v>
      </c>
      <c r="CB88" s="26">
        <f t="shared" si="477"/>
        <v>77073.026942437675</v>
      </c>
      <c r="CC88" s="26">
        <f t="shared" si="478"/>
        <v>18384.391747737409</v>
      </c>
      <c r="CD88" s="26">
        <f t="shared" si="479"/>
        <v>76948.246002973407</v>
      </c>
      <c r="CE88" s="26">
        <f t="shared" si="480"/>
        <v>28117.30502595122</v>
      </c>
      <c r="CF88" s="26">
        <f t="shared" si="481"/>
        <v>25538.498943689534</v>
      </c>
      <c r="CG88" s="26">
        <f t="shared" si="482"/>
        <v>109599.25849612668</v>
      </c>
      <c r="CH88" s="26">
        <f t="shared" si="483"/>
        <v>27742.962207558598</v>
      </c>
      <c r="CI88" s="26">
        <f t="shared" si="484"/>
        <v>210588.63216921882</v>
      </c>
      <c r="CJ88" s="26">
        <f t="shared" si="485"/>
        <v>0</v>
      </c>
      <c r="CK88" s="26">
        <f t="shared" si="486"/>
        <v>0</v>
      </c>
      <c r="CL88" s="26">
        <f t="shared" si="487"/>
        <v>0</v>
      </c>
      <c r="CM88" s="110">
        <f t="shared" si="488"/>
        <v>1.0000013330377404</v>
      </c>
      <c r="CN88" s="27">
        <f t="shared" si="489"/>
        <v>43155.639999999934</v>
      </c>
      <c r="CO88" s="27">
        <f t="shared" si="490"/>
        <v>18881.507029028977</v>
      </c>
      <c r="CP88" s="27">
        <f t="shared" si="491"/>
        <v>8554.3638402754259</v>
      </c>
      <c r="CQ88" s="27">
        <f t="shared" si="492"/>
        <v>32366.729999999996</v>
      </c>
      <c r="CR88" s="27">
        <f t="shared" si="493"/>
        <v>37847.432122271261</v>
      </c>
      <c r="CS88" s="27">
        <f t="shared" si="494"/>
        <v>68660.025560105598</v>
      </c>
      <c r="CT88" s="27">
        <f t="shared" si="495"/>
        <v>9342.2657729323728</v>
      </c>
      <c r="CU88" s="27">
        <f t="shared" si="496"/>
        <v>16183.364999999983</v>
      </c>
      <c r="CV88" s="27">
        <f t="shared" si="497"/>
        <v>19978.941863801181</v>
      </c>
      <c r="CW88" s="27">
        <f t="shared" si="498"/>
        <v>183411.46999999977</v>
      </c>
      <c r="CX88" s="27">
        <f t="shared" si="499"/>
        <v>69815.036610000083</v>
      </c>
      <c r="CY88" s="27">
        <f t="shared" si="500"/>
        <v>53944.549999999843</v>
      </c>
      <c r="CZ88" s="27">
        <f t="shared" si="501"/>
        <v>15054.55478469525</v>
      </c>
      <c r="DA88" s="27">
        <f t="shared" si="502"/>
        <v>58051.48882397433</v>
      </c>
      <c r="DB88" s="27">
        <f t="shared" si="503"/>
        <v>55321.971414412714</v>
      </c>
      <c r="DC88" s="27">
        <f t="shared" si="504"/>
        <v>52142.224329047283</v>
      </c>
      <c r="DD88" s="27">
        <f t="shared" si="505"/>
        <v>12437.59479408466</v>
      </c>
      <c r="DE88" s="27">
        <f t="shared" si="506"/>
        <v>52057.806264834049</v>
      </c>
      <c r="DF88" s="27">
        <f t="shared" si="507"/>
        <v>19022.203802717642</v>
      </c>
      <c r="DG88" s="27">
        <f t="shared" si="508"/>
        <v>17277.563808977342</v>
      </c>
      <c r="DH88" s="27">
        <f t="shared" si="509"/>
        <v>74147.199733966132</v>
      </c>
      <c r="DI88" s="27">
        <f t="shared" si="510"/>
        <v>18768.949610078056</v>
      </c>
      <c r="DJ88" s="27">
        <f t="shared" si="511"/>
        <v>142469.55303721898</v>
      </c>
      <c r="DK88" s="27">
        <f t="shared" si="512"/>
        <v>0</v>
      </c>
      <c r="DL88" s="27">
        <f t="shared" si="513"/>
        <v>0</v>
      </c>
      <c r="DM88" s="27">
        <f t="shared" si="514"/>
        <v>0</v>
      </c>
      <c r="DN88" s="110">
        <f t="shared" si="515"/>
        <v>1.0000013330377404</v>
      </c>
      <c r="DO88" s="28">
        <f t="shared" si="518"/>
        <v>20634.039999999964</v>
      </c>
      <c r="DP88" s="28">
        <f t="shared" si="519"/>
        <v>9027.8297644818886</v>
      </c>
      <c r="DQ88" s="28">
        <f t="shared" si="520"/>
        <v>4090.1046921050583</v>
      </c>
      <c r="DR88" s="28">
        <f t="shared" si="521"/>
        <v>15475.529999999999</v>
      </c>
      <c r="DS88" s="28">
        <f t="shared" si="522"/>
        <v>18096.02240421484</v>
      </c>
      <c r="DT88" s="28">
        <f t="shared" si="523"/>
        <v>32828.471870843321</v>
      </c>
      <c r="DU88" s="28">
        <f t="shared" si="524"/>
        <v>4466.8248611147355</v>
      </c>
      <c r="DV88" s="28">
        <f t="shared" si="525"/>
        <v>7737.7649999999921</v>
      </c>
      <c r="DW88" s="28">
        <f t="shared" si="526"/>
        <v>9552.547142745374</v>
      </c>
      <c r="DX88" s="28">
        <f t="shared" si="527"/>
        <v>87694.669999999896</v>
      </c>
      <c r="DY88" s="28">
        <f t="shared" si="528"/>
        <v>33380.718210000035</v>
      </c>
      <c r="DZ88" s="28">
        <f t="shared" si="529"/>
        <v>25792.54999999993</v>
      </c>
      <c r="EA88" s="28">
        <f t="shared" si="530"/>
        <v>7198.0460864348934</v>
      </c>
      <c r="EB88" s="28">
        <f t="shared" si="531"/>
        <v>27756.20388096293</v>
      </c>
      <c r="EC88" s="28">
        <f t="shared" si="532"/>
        <v>26451.137581179391</v>
      </c>
      <c r="ED88" s="28">
        <f t="shared" si="533"/>
        <v>24930.802613390391</v>
      </c>
      <c r="EE88" s="28">
        <f t="shared" si="534"/>
        <v>5946.7969536527489</v>
      </c>
      <c r="EF88" s="28">
        <f t="shared" si="535"/>
        <v>24890.439738139357</v>
      </c>
      <c r="EG88" s="28">
        <f t="shared" si="536"/>
        <v>9095.1012232335779</v>
      </c>
      <c r="EH88" s="28">
        <f t="shared" si="537"/>
        <v>8260.9351347121919</v>
      </c>
      <c r="EI88" s="28">
        <f t="shared" si="538"/>
        <v>35452.058762160552</v>
      </c>
      <c r="EJ88" s="28">
        <f t="shared" si="539"/>
        <v>8974.0125974805414</v>
      </c>
      <c r="EK88" s="28">
        <f t="shared" si="540"/>
        <v>68119.079131999839</v>
      </c>
      <c r="EL88" s="28">
        <f t="shared" si="541"/>
        <v>0</v>
      </c>
      <c r="EM88" s="28">
        <f t="shared" si="542"/>
        <v>0</v>
      </c>
      <c r="EN88" s="28">
        <f t="shared" si="543"/>
        <v>0</v>
      </c>
      <c r="EQ88" s="144">
        <v>0</v>
      </c>
      <c r="ER88" s="144">
        <v>0</v>
      </c>
      <c r="ES88" s="144">
        <v>6.9999998730819635E-2</v>
      </c>
      <c r="ET88" s="144">
        <v>0.11000000086838652</v>
      </c>
      <c r="EU88" s="144">
        <v>0.12999999859722167</v>
      </c>
      <c r="EV88" s="144">
        <v>0.17000000073478858</v>
      </c>
      <c r="EW88" s="144">
        <v>0.14000000414153582</v>
      </c>
      <c r="EX88" s="144">
        <v>9.0000003139551366E-2</v>
      </c>
      <c r="EY88" s="144">
        <v>7.999999759523721E-2</v>
      </c>
      <c r="EZ88" s="144">
        <v>6.9999998730819635E-2</v>
      </c>
      <c r="FA88" s="144">
        <v>6.9999998730819635E-2</v>
      </c>
      <c r="FB88" s="144">
        <v>6.9999998730819635E-2</v>
      </c>
      <c r="FC88" s="145">
        <f t="shared" si="544"/>
        <v>0.99999999999999967</v>
      </c>
      <c r="FD88" s="146">
        <f t="shared" si="545"/>
        <v>6.9999998730819635E-2</v>
      </c>
      <c r="FE88" s="146">
        <f t="shared" si="546"/>
        <v>0.41000000020039673</v>
      </c>
      <c r="FF88" s="146">
        <f t="shared" si="547"/>
        <v>0.3100000048763244</v>
      </c>
      <c r="FG88" s="146">
        <f t="shared" si="548"/>
        <v>0.2099999961924589</v>
      </c>
      <c r="FH88" s="145">
        <f t="shared" si="375"/>
        <v>0.99999999999999967</v>
      </c>
      <c r="FJ88" s="52">
        <f t="shared" si="549"/>
        <v>4465.2775190393832</v>
      </c>
      <c r="FK88" s="52">
        <f t="shared" si="550"/>
        <v>1953.6535401237784</v>
      </c>
      <c r="FL88" s="52">
        <f t="shared" si="551"/>
        <v>885.11278121852274</v>
      </c>
      <c r="FM88" s="52">
        <f t="shared" si="552"/>
        <v>3348.9581392795426</v>
      </c>
      <c r="FN88" s="52">
        <f t="shared" si="553"/>
        <v>3916.0417458516931</v>
      </c>
      <c r="FO88" s="52">
        <f t="shared" si="554"/>
        <v>7104.1946913592164</v>
      </c>
      <c r="FP88" s="52">
        <f t="shared" si="555"/>
        <v>966.63632685707091</v>
      </c>
      <c r="FQ88" s="52">
        <f t="shared" si="556"/>
        <v>1674.4790696397697</v>
      </c>
      <c r="FR88" s="52">
        <f t="shared" si="557"/>
        <v>2067.2041929774728</v>
      </c>
      <c r="FS88" s="52">
        <f t="shared" si="558"/>
        <v>18977.429455917387</v>
      </c>
      <c r="FT88" s="52">
        <f t="shared" si="559"/>
        <v>7223.7027064259828</v>
      </c>
      <c r="FU88" s="52">
        <f t="shared" si="560"/>
        <v>5581.5968987992228</v>
      </c>
      <c r="FV88" s="52">
        <f t="shared" si="561"/>
        <v>1557.682032736546</v>
      </c>
      <c r="FW88" s="52">
        <f t="shared" si="562"/>
        <v>6006.5383804401699</v>
      </c>
      <c r="FX88" s="52">
        <f t="shared" si="563"/>
        <v>5724.1175259066231</v>
      </c>
      <c r="FY88" s="52">
        <f t="shared" si="564"/>
        <v>5395.1117881510645</v>
      </c>
      <c r="FZ88" s="52">
        <f t="shared" si="565"/>
        <v>1286.9073990085096</v>
      </c>
      <c r="GA88" s="52">
        <f t="shared" si="566"/>
        <v>5386.3771225469354</v>
      </c>
      <c r="GB88" s="52">
        <f t="shared" si="567"/>
        <v>1968.211316130654</v>
      </c>
      <c r="GC88" s="52">
        <f t="shared" si="568"/>
        <v>1787.6948936453059</v>
      </c>
      <c r="GD88" s="52">
        <f t="shared" si="569"/>
        <v>7671.947955627641</v>
      </c>
      <c r="GE88" s="52">
        <f t="shared" si="570"/>
        <v>1942.0073193182789</v>
      </c>
      <c r="GF88" s="52">
        <f t="shared" si="571"/>
        <v>14741.20398457036</v>
      </c>
      <c r="GG88" s="52">
        <f t="shared" si="572"/>
        <v>0</v>
      </c>
      <c r="GH88" s="52">
        <f t="shared" si="573"/>
        <v>0</v>
      </c>
      <c r="GI88" s="52">
        <f t="shared" si="574"/>
        <v>0</v>
      </c>
      <c r="GJ88" s="26"/>
      <c r="GL88" s="150">
        <f t="shared" si="575"/>
        <v>26153.768812783201</v>
      </c>
      <c r="GM88" s="150">
        <f t="shared" si="576"/>
        <v>11442.828090932395</v>
      </c>
      <c r="GN88" s="150">
        <f t="shared" si="577"/>
        <v>5184.2321008099088</v>
      </c>
      <c r="GO88" s="150">
        <f t="shared" si="578"/>
        <v>19615.326609587431</v>
      </c>
      <c r="GP88" s="150">
        <f t="shared" si="579"/>
        <v>22936.816367070187</v>
      </c>
      <c r="GQ88" s="150">
        <f t="shared" si="580"/>
        <v>41610.283967027019</v>
      </c>
      <c r="GR88" s="150">
        <f t="shared" si="581"/>
        <v>5661.7271627266109</v>
      </c>
      <c r="GS88" s="150">
        <f t="shared" si="582"/>
        <v>9807.6633047937066</v>
      </c>
      <c r="GT88" s="150">
        <f t="shared" si="583"/>
        <v>12107.910498602101</v>
      </c>
      <c r="GU88" s="150">
        <f t="shared" si="584"/>
        <v>111153.51745432864</v>
      </c>
      <c r="GV88" s="150">
        <f t="shared" si="585"/>
        <v>42310.259496880142</v>
      </c>
      <c r="GW88" s="150">
        <f t="shared" si="586"/>
        <v>32692.211015978963</v>
      </c>
      <c r="GX88" s="150">
        <f t="shared" si="587"/>
        <v>9123.5663616227066</v>
      </c>
      <c r="GY88" s="150">
        <f t="shared" si="588"/>
        <v>35181.154026219861</v>
      </c>
      <c r="GZ88" s="150">
        <f t="shared" si="589"/>
        <v>33526.974704579829</v>
      </c>
      <c r="HA88" s="150">
        <f t="shared" si="590"/>
        <v>31599.941061844631</v>
      </c>
      <c r="HB88" s="150">
        <f t="shared" si="591"/>
        <v>7537.6006202565095</v>
      </c>
      <c r="HC88" s="150">
        <f t="shared" si="592"/>
        <v>31548.780876639274</v>
      </c>
      <c r="HD88" s="150">
        <f t="shared" si="593"/>
        <v>11528.095066274616</v>
      </c>
      <c r="HE88" s="150">
        <f t="shared" si="594"/>
        <v>10470.784572030541</v>
      </c>
      <c r="HF88" s="150">
        <f t="shared" si="595"/>
        <v>44935.69600537527</v>
      </c>
      <c r="HG88" s="150">
        <f t="shared" si="596"/>
        <v>11374.614510658625</v>
      </c>
      <c r="HH88" s="150">
        <f t="shared" si="597"/>
        <v>86341.339231580991</v>
      </c>
      <c r="HI88" s="150">
        <f t="shared" si="598"/>
        <v>0</v>
      </c>
      <c r="HJ88" s="150">
        <f t="shared" si="599"/>
        <v>0</v>
      </c>
      <c r="HK88" s="150">
        <f t="shared" si="600"/>
        <v>0</v>
      </c>
      <c r="HL88" s="26"/>
      <c r="HN88" s="147">
        <f t="shared" si="601"/>
        <v>19774.80111105914</v>
      </c>
      <c r="HO88" s="147">
        <f t="shared" si="602"/>
        <v>8651.8945420833479</v>
      </c>
      <c r="HP88" s="147">
        <f t="shared" si="603"/>
        <v>3919.7853066964803</v>
      </c>
      <c r="HQ88" s="147">
        <f t="shared" si="604"/>
        <v>14831.100833294378</v>
      </c>
      <c r="HR88" s="147">
        <f t="shared" si="605"/>
        <v>17342.471176009123</v>
      </c>
      <c r="HS88" s="147">
        <f t="shared" si="606"/>
        <v>31461.434698485002</v>
      </c>
      <c r="HT88" s="147">
        <f t="shared" si="607"/>
        <v>4280.8181638922088</v>
      </c>
      <c r="HU88" s="147">
        <f t="shared" si="608"/>
        <v>7415.5504166471819</v>
      </c>
      <c r="HV88" s="147">
        <f t="shared" si="609"/>
        <v>9154.7617360345521</v>
      </c>
      <c r="HW88" s="147">
        <f t="shared" si="610"/>
        <v>84042.904722001374</v>
      </c>
      <c r="HX88" s="147">
        <f t="shared" si="611"/>
        <v>31990.684497416012</v>
      </c>
      <c r="HY88" s="147">
        <f t="shared" si="612"/>
        <v>24718.501388823897</v>
      </c>
      <c r="HZ88" s="147">
        <f t="shared" si="613"/>
        <v>6898.3063785612449</v>
      </c>
      <c r="IA88" s="147">
        <f t="shared" si="614"/>
        <v>26600.385156956698</v>
      </c>
      <c r="IB88" s="147">
        <f t="shared" si="615"/>
        <v>25349.664187385759</v>
      </c>
      <c r="IC88" s="147">
        <f t="shared" si="616"/>
        <v>23892.63872798876</v>
      </c>
      <c r="ID88" s="147">
        <f t="shared" si="617"/>
        <v>5699.1615314468545</v>
      </c>
      <c r="IE88" s="147">
        <f t="shared" si="618"/>
        <v>23853.956636146366</v>
      </c>
      <c r="IF88" s="147">
        <f t="shared" si="619"/>
        <v>8716.3646951539795</v>
      </c>
      <c r="IG88" s="147">
        <f t="shared" si="620"/>
        <v>7916.9347970777608</v>
      </c>
      <c r="IH88" s="147">
        <f t="shared" si="621"/>
        <v>33975.77066824081</v>
      </c>
      <c r="II88" s="147">
        <f t="shared" si="622"/>
        <v>8600.3184196268485</v>
      </c>
      <c r="IJ88" s="147">
        <f t="shared" si="623"/>
        <v>65282.476999356317</v>
      </c>
      <c r="IK88" s="147">
        <f t="shared" si="624"/>
        <v>0</v>
      </c>
      <c r="IL88" s="147">
        <f t="shared" si="625"/>
        <v>0</v>
      </c>
      <c r="IM88" s="147">
        <f t="shared" si="626"/>
        <v>0</v>
      </c>
      <c r="IN88" s="26"/>
      <c r="IP88" s="61">
        <f t="shared" si="627"/>
        <v>13395.83255711815</v>
      </c>
      <c r="IQ88" s="61">
        <f t="shared" si="628"/>
        <v>5860.9606203713347</v>
      </c>
      <c r="IR88" s="61">
        <f t="shared" si="629"/>
        <v>2655.3383436555682</v>
      </c>
      <c r="IS88" s="61">
        <f t="shared" si="630"/>
        <v>10046.874417838628</v>
      </c>
      <c r="IT88" s="61">
        <f t="shared" si="631"/>
        <v>11748.125237555079</v>
      </c>
      <c r="IU88" s="61">
        <f t="shared" si="632"/>
        <v>21312.584074077648</v>
      </c>
      <c r="IV88" s="61">
        <f t="shared" si="633"/>
        <v>2899.9089805712129</v>
      </c>
      <c r="IW88" s="61">
        <f t="shared" si="634"/>
        <v>5023.4372089193093</v>
      </c>
      <c r="IX88" s="61">
        <f t="shared" si="635"/>
        <v>6201.6125789324187</v>
      </c>
      <c r="IY88" s="61">
        <f t="shared" si="636"/>
        <v>56932.28836775216</v>
      </c>
      <c r="IZ88" s="61">
        <f t="shared" si="637"/>
        <v>21671.108119277946</v>
      </c>
      <c r="JA88" s="61">
        <f t="shared" si="638"/>
        <v>16744.790696397667</v>
      </c>
      <c r="JB88" s="61">
        <f t="shared" si="639"/>
        <v>4673.0460982096383</v>
      </c>
      <c r="JC88" s="61">
        <f t="shared" si="640"/>
        <v>18019.615141320508</v>
      </c>
      <c r="JD88" s="61">
        <f t="shared" si="641"/>
        <v>17172.35257771987</v>
      </c>
      <c r="JE88" s="61">
        <f t="shared" si="642"/>
        <v>16185.335364453194</v>
      </c>
      <c r="JF88" s="61">
        <f t="shared" si="643"/>
        <v>3860.7221970255287</v>
      </c>
      <c r="JG88" s="61">
        <f t="shared" si="644"/>
        <v>16159.131367640806</v>
      </c>
      <c r="JH88" s="61">
        <f t="shared" si="645"/>
        <v>5904.6339483919619</v>
      </c>
      <c r="JI88" s="61">
        <f t="shared" si="646"/>
        <v>5363.0846809359182</v>
      </c>
      <c r="JJ88" s="61">
        <f t="shared" si="647"/>
        <v>23015.843866882922</v>
      </c>
      <c r="JK88" s="61">
        <f t="shared" si="648"/>
        <v>5826.0219579548366</v>
      </c>
      <c r="JL88" s="61">
        <f t="shared" si="649"/>
        <v>44223.611953711079</v>
      </c>
      <c r="JM88" s="61">
        <f t="shared" si="650"/>
        <v>0</v>
      </c>
      <c r="JN88" s="61">
        <f t="shared" si="651"/>
        <v>0</v>
      </c>
      <c r="JO88" s="61">
        <f t="shared" si="652"/>
        <v>0</v>
      </c>
      <c r="JQ88" s="26">
        <f t="shared" si="516"/>
        <v>1594744.1258512719</v>
      </c>
      <c r="JR88" s="156">
        <f t="shared" si="517"/>
        <v>1.0000013330377402</v>
      </c>
      <c r="JT88" s="157">
        <f t="shared" si="653"/>
        <v>63789.679999999869</v>
      </c>
      <c r="JU88" s="29">
        <f t="shared" si="654"/>
        <v>0.99999999999999956</v>
      </c>
    </row>
    <row r="89" spans="1:281" ht="18.75" x14ac:dyDescent="0.3">
      <c r="A89" t="s">
        <v>234</v>
      </c>
      <c r="B89" t="s">
        <v>168</v>
      </c>
      <c r="C89" t="s">
        <v>74</v>
      </c>
      <c r="D89" t="s">
        <v>29</v>
      </c>
      <c r="E89" s="11" t="s">
        <v>252</v>
      </c>
      <c r="F89" s="114">
        <v>3429.9999999999995</v>
      </c>
      <c r="G89" s="17">
        <v>827351</v>
      </c>
      <c r="H89" s="21">
        <v>639078</v>
      </c>
      <c r="I89" s="25">
        <f t="shared" si="434"/>
        <v>1.294600972025324</v>
      </c>
      <c r="J89" s="13">
        <v>4.0000000000000008E-2</v>
      </c>
      <c r="K89" s="13">
        <v>1.7500847656555647E-2</v>
      </c>
      <c r="L89" s="13">
        <v>7.9288490128061433E-3</v>
      </c>
      <c r="M89" s="13">
        <v>2.9999999999999985E-2</v>
      </c>
      <c r="N89" s="13">
        <v>3.5079940533632399E-2</v>
      </c>
      <c r="O89" s="13">
        <v>6.3639446023838933E-2</v>
      </c>
      <c r="P89" s="13">
        <v>8.6591377376698444E-3</v>
      </c>
      <c r="Q89" s="13">
        <v>1.4999999999999968E-2</v>
      </c>
      <c r="R89" s="13">
        <v>1.8518035523330124E-2</v>
      </c>
      <c r="S89" s="13">
        <v>0.16999999999999985</v>
      </c>
      <c r="T89" s="13">
        <v>6.4709999999999976E-2</v>
      </c>
      <c r="U89" s="13">
        <v>5.0000000000000065E-2</v>
      </c>
      <c r="V89" s="13">
        <v>1.3953730992931835E-2</v>
      </c>
      <c r="W89" s="13">
        <v>5.3806629978352123E-2</v>
      </c>
      <c r="X89" s="13">
        <v>5.1276701181502786E-2</v>
      </c>
      <c r="Y89" s="13">
        <v>4.8329464541874444E-2</v>
      </c>
      <c r="Z89" s="13">
        <v>1.1528129156777287E-2</v>
      </c>
      <c r="AA89" s="13">
        <v>4.8251219321353137E-2</v>
      </c>
      <c r="AB89" s="13">
        <v>1.7631256357424144E-2</v>
      </c>
      <c r="AC89" s="13">
        <v>1.601418846665445E-2</v>
      </c>
      <c r="AD89" s="13">
        <v>6.8725385357711014E-2</v>
      </c>
      <c r="AE89" s="13">
        <v>1.7396520695860784E-2</v>
      </c>
      <c r="AF89" s="13">
        <v>0.13205185049946525</v>
      </c>
      <c r="AG89" s="9">
        <v>0</v>
      </c>
      <c r="AH89" s="13">
        <v>0</v>
      </c>
      <c r="AJ89" s="8">
        <f t="shared" si="461"/>
        <v>1.0000013330377402</v>
      </c>
      <c r="AK89" s="141">
        <f t="shared" si="435"/>
        <v>137.20000000000002</v>
      </c>
      <c r="AL89" s="141">
        <f t="shared" si="436"/>
        <v>60.027907461985862</v>
      </c>
      <c r="AM89" s="141">
        <f t="shared" si="437"/>
        <v>27.195952113925067</v>
      </c>
      <c r="AN89" s="141">
        <f t="shared" si="438"/>
        <v>102.89999999999993</v>
      </c>
      <c r="AO89" s="141">
        <f t="shared" si="439"/>
        <v>120.32419603035912</v>
      </c>
      <c r="AP89" s="141">
        <f t="shared" si="440"/>
        <v>218.28329986176752</v>
      </c>
      <c r="AQ89" s="141">
        <f t="shared" si="441"/>
        <v>29.700842440207563</v>
      </c>
      <c r="AR89" s="141">
        <f t="shared" si="442"/>
        <v>51.449999999999882</v>
      </c>
      <c r="AS89" s="141">
        <f t="shared" si="443"/>
        <v>63.516861845022319</v>
      </c>
      <c r="AT89" s="141">
        <f t="shared" si="444"/>
        <v>583.09999999999934</v>
      </c>
      <c r="AU89" s="141">
        <f t="shared" si="445"/>
        <v>221.95529999999988</v>
      </c>
      <c r="AV89" s="141">
        <f t="shared" si="446"/>
        <v>171.5000000000002</v>
      </c>
      <c r="AW89" s="141">
        <f t="shared" si="447"/>
        <v>47.861297305756189</v>
      </c>
      <c r="AX89" s="141">
        <f t="shared" si="448"/>
        <v>184.55674082574777</v>
      </c>
      <c r="AY89" s="141">
        <f t="shared" si="449"/>
        <v>175.87908505255453</v>
      </c>
      <c r="AZ89" s="141">
        <f t="shared" si="450"/>
        <v>165.77006337862932</v>
      </c>
      <c r="BA89" s="141">
        <f t="shared" si="451"/>
        <v>39.541483007746088</v>
      </c>
      <c r="BB89" s="141">
        <f t="shared" si="452"/>
        <v>165.50168227224123</v>
      </c>
      <c r="BC89" s="141">
        <f t="shared" si="453"/>
        <v>60.475209305964803</v>
      </c>
      <c r="BD89" s="141">
        <f t="shared" si="454"/>
        <v>54.928666440624752</v>
      </c>
      <c r="BE89" s="141">
        <f t="shared" si="455"/>
        <v>235.72807177694875</v>
      </c>
      <c r="BF89" s="141">
        <f t="shared" si="456"/>
        <v>59.670065986802484</v>
      </c>
      <c r="BG89" s="141">
        <f t="shared" si="457"/>
        <v>452.93784721316575</v>
      </c>
      <c r="BH89" s="141">
        <f t="shared" si="458"/>
        <v>0</v>
      </c>
      <c r="BI89" s="141">
        <f t="shared" si="459"/>
        <v>0</v>
      </c>
      <c r="BJ89" s="141">
        <f t="shared" si="460"/>
        <v>0</v>
      </c>
      <c r="BM89" s="26">
        <f t="shared" si="462"/>
        <v>33094.040000000008</v>
      </c>
      <c r="BN89" s="26">
        <f t="shared" si="463"/>
        <v>14479.343809498971</v>
      </c>
      <c r="BO89" s="26">
        <f t="shared" si="464"/>
        <v>6559.9411595941756</v>
      </c>
      <c r="BP89" s="26">
        <f t="shared" si="465"/>
        <v>24820.529999999988</v>
      </c>
      <c r="BQ89" s="26">
        <f t="shared" si="466"/>
        <v>29023.4238804413</v>
      </c>
      <c r="BR89" s="26">
        <f t="shared" si="467"/>
        <v>52652.159307269168</v>
      </c>
      <c r="BS89" s="26">
        <f t="shared" si="468"/>
        <v>7164.1462663988832</v>
      </c>
      <c r="BT89" s="26">
        <f t="shared" si="469"/>
        <v>12410.264999999974</v>
      </c>
      <c r="BU89" s="26">
        <f t="shared" si="470"/>
        <v>15320.915208262702</v>
      </c>
      <c r="BV89" s="26">
        <f t="shared" si="471"/>
        <v>140649.66999999987</v>
      </c>
      <c r="BW89" s="26">
        <f t="shared" si="472"/>
        <v>53537.883209999978</v>
      </c>
      <c r="BX89" s="26">
        <f t="shared" si="473"/>
        <v>41367.550000000054</v>
      </c>
      <c r="BY89" s="26">
        <f t="shared" si="474"/>
        <v>11544.633290733147</v>
      </c>
      <c r="BZ89" s="26">
        <f t="shared" si="475"/>
        <v>44516.969119219604</v>
      </c>
      <c r="CA89" s="26">
        <f t="shared" si="476"/>
        <v>42423.829999217509</v>
      </c>
      <c r="CB89" s="26">
        <f t="shared" si="477"/>
        <v>39985.430818184366</v>
      </c>
      <c r="CC89" s="26">
        <f t="shared" si="478"/>
        <v>9537.8091859888445</v>
      </c>
      <c r="CD89" s="26">
        <f t="shared" si="479"/>
        <v>39920.69455674084</v>
      </c>
      <c r="CE89" s="26">
        <f t="shared" si="480"/>
        <v>14587.237578571223</v>
      </c>
      <c r="CF89" s="26">
        <f t="shared" si="481"/>
        <v>13249.354842075025</v>
      </c>
      <c r="CG89" s="26">
        <f t="shared" si="482"/>
        <v>56860.016301087562</v>
      </c>
      <c r="CH89" s="26">
        <f t="shared" si="483"/>
        <v>14393.028794241116</v>
      </c>
      <c r="CI89" s="26">
        <f t="shared" si="484"/>
        <v>109253.23056258306</v>
      </c>
      <c r="CJ89" s="26">
        <f t="shared" si="485"/>
        <v>0</v>
      </c>
      <c r="CK89" s="26">
        <f t="shared" si="486"/>
        <v>0</v>
      </c>
      <c r="CL89" s="26">
        <f t="shared" si="487"/>
        <v>0</v>
      </c>
      <c r="CM89" s="110">
        <f t="shared" si="488"/>
        <v>1.0000013330377402</v>
      </c>
      <c r="CN89" s="27">
        <f t="shared" si="489"/>
        <v>25563.120000000006</v>
      </c>
      <c r="CO89" s="27">
        <f t="shared" si="490"/>
        <v>11184.40671865627</v>
      </c>
      <c r="CP89" s="27">
        <f t="shared" si="491"/>
        <v>5067.1529694061246</v>
      </c>
      <c r="CQ89" s="27">
        <f t="shared" si="492"/>
        <v>19172.339999999989</v>
      </c>
      <c r="CR89" s="27">
        <f t="shared" si="493"/>
        <v>22418.818236352727</v>
      </c>
      <c r="CS89" s="27">
        <f t="shared" si="494"/>
        <v>40670.569886022939</v>
      </c>
      <c r="CT89" s="27">
        <f t="shared" si="495"/>
        <v>5533.8644271145686</v>
      </c>
      <c r="CU89" s="27">
        <f t="shared" si="496"/>
        <v>9586.1699999999801</v>
      </c>
      <c r="CV89" s="27">
        <f t="shared" si="497"/>
        <v>11834.469106178769</v>
      </c>
      <c r="CW89" s="27">
        <f t="shared" si="498"/>
        <v>108643.25999999991</v>
      </c>
      <c r="CX89" s="27">
        <f t="shared" si="499"/>
        <v>41354.737379999984</v>
      </c>
      <c r="CY89" s="27">
        <f t="shared" si="500"/>
        <v>31953.900000000041</v>
      </c>
      <c r="CZ89" s="27">
        <f t="shared" si="501"/>
        <v>8917.5224955008907</v>
      </c>
      <c r="DA89" s="27">
        <f t="shared" si="502"/>
        <v>34386.633473305315</v>
      </c>
      <c r="DB89" s="27">
        <f t="shared" si="503"/>
        <v>32769.811637672436</v>
      </c>
      <c r="DC89" s="27">
        <f t="shared" si="504"/>
        <v>30886.297540492036</v>
      </c>
      <c r="DD89" s="27">
        <f t="shared" si="505"/>
        <v>7367.3737252549154</v>
      </c>
      <c r="DE89" s="27">
        <f t="shared" si="506"/>
        <v>30836.292741451718</v>
      </c>
      <c r="DF89" s="27">
        <f t="shared" si="507"/>
        <v>11267.748050389908</v>
      </c>
      <c r="DG89" s="27">
        <f t="shared" si="508"/>
        <v>10234.315536892593</v>
      </c>
      <c r="DH89" s="27">
        <f t="shared" si="509"/>
        <v>43920.881823635238</v>
      </c>
      <c r="DI89" s="27">
        <f t="shared" si="510"/>
        <v>11117.733653269319</v>
      </c>
      <c r="DJ89" s="27">
        <f t="shared" si="511"/>
        <v>84391.432513497246</v>
      </c>
      <c r="DK89" s="27">
        <f t="shared" si="512"/>
        <v>0</v>
      </c>
      <c r="DL89" s="27">
        <f t="shared" si="513"/>
        <v>0</v>
      </c>
      <c r="DM89" s="27">
        <f t="shared" si="514"/>
        <v>0</v>
      </c>
      <c r="DN89" s="110">
        <f t="shared" si="515"/>
        <v>1.0000013330377402</v>
      </c>
      <c r="DO89" s="28">
        <f t="shared" si="518"/>
        <v>7530.9200000000019</v>
      </c>
      <c r="DP89" s="28">
        <f t="shared" si="519"/>
        <v>3294.9370908427009</v>
      </c>
      <c r="DQ89" s="28">
        <f t="shared" si="520"/>
        <v>1492.788190188051</v>
      </c>
      <c r="DR89" s="28">
        <f t="shared" si="521"/>
        <v>5648.1899999999987</v>
      </c>
      <c r="DS89" s="28">
        <f t="shared" si="522"/>
        <v>6604.6056440885732</v>
      </c>
      <c r="DT89" s="28">
        <f t="shared" si="523"/>
        <v>11981.58942124623</v>
      </c>
      <c r="DU89" s="28">
        <f t="shared" si="524"/>
        <v>1630.2818392843146</v>
      </c>
      <c r="DV89" s="28">
        <f t="shared" si="525"/>
        <v>2824.0949999999939</v>
      </c>
      <c r="DW89" s="28">
        <f t="shared" si="526"/>
        <v>3486.4461020839335</v>
      </c>
      <c r="DX89" s="28">
        <f t="shared" si="527"/>
        <v>32006.40999999996</v>
      </c>
      <c r="DY89" s="28">
        <f t="shared" si="528"/>
        <v>12183.145829999994</v>
      </c>
      <c r="DZ89" s="28">
        <f t="shared" si="529"/>
        <v>9413.6500000000124</v>
      </c>
      <c r="EA89" s="28">
        <f t="shared" si="530"/>
        <v>2627.1107952322564</v>
      </c>
      <c r="EB89" s="28">
        <f t="shared" si="531"/>
        <v>10130.335645914289</v>
      </c>
      <c r="EC89" s="28">
        <f t="shared" si="532"/>
        <v>9654.0183615450733</v>
      </c>
      <c r="ED89" s="28">
        <f t="shared" si="533"/>
        <v>9099.13327769233</v>
      </c>
      <c r="EE89" s="28">
        <f t="shared" si="534"/>
        <v>2170.4354607339292</v>
      </c>
      <c r="EF89" s="28">
        <f t="shared" si="535"/>
        <v>9084.4018152891222</v>
      </c>
      <c r="EG89" s="28">
        <f t="shared" si="536"/>
        <v>3319.4895281813151</v>
      </c>
      <c r="EH89" s="28">
        <f t="shared" si="537"/>
        <v>3015.0393051824321</v>
      </c>
      <c r="EI89" s="28">
        <f t="shared" si="538"/>
        <v>12939.134477452324</v>
      </c>
      <c r="EJ89" s="28">
        <f t="shared" si="539"/>
        <v>3275.2951409717971</v>
      </c>
      <c r="EK89" s="28">
        <f t="shared" si="540"/>
        <v>24861.798049085817</v>
      </c>
      <c r="EL89" s="28">
        <f t="shared" si="541"/>
        <v>0</v>
      </c>
      <c r="EM89" s="28">
        <f t="shared" si="542"/>
        <v>0</v>
      </c>
      <c r="EN89" s="28">
        <f t="shared" si="543"/>
        <v>0</v>
      </c>
      <c r="EQ89" s="144">
        <v>0</v>
      </c>
      <c r="ER89" s="144">
        <v>0</v>
      </c>
      <c r="ES89" s="144">
        <v>7.0000150717413598E-2</v>
      </c>
      <c r="ET89" s="144">
        <v>0.14999984979610398</v>
      </c>
      <c r="EU89" s="144">
        <v>0.13999999332427127</v>
      </c>
      <c r="EV89" s="144">
        <v>0.16999985801238549</v>
      </c>
      <c r="EW89" s="144">
        <v>0.16999985801238549</v>
      </c>
      <c r="EX89" s="144">
        <v>0.15000014506872006</v>
      </c>
      <c r="EY89" s="144">
        <v>5.9999998972964812E-2</v>
      </c>
      <c r="EZ89" s="144">
        <v>5.9999998972964812E-2</v>
      </c>
      <c r="FA89" s="144">
        <v>3.0000147122790449E-2</v>
      </c>
      <c r="FB89" s="144">
        <v>0</v>
      </c>
      <c r="FC89" s="145">
        <f t="shared" si="544"/>
        <v>0.99999999999999989</v>
      </c>
      <c r="FD89" s="146">
        <f t="shared" si="545"/>
        <v>7.0000150717413598E-2</v>
      </c>
      <c r="FE89" s="146">
        <f t="shared" si="546"/>
        <v>0.45999970113276073</v>
      </c>
      <c r="FF89" s="146">
        <f t="shared" si="547"/>
        <v>0.38000000205407036</v>
      </c>
      <c r="FG89" s="146">
        <f t="shared" si="548"/>
        <v>9.0000146095755268E-2</v>
      </c>
      <c r="FH89" s="145">
        <f t="shared" si="375"/>
        <v>0.99999999999999989</v>
      </c>
      <c r="FJ89" s="52">
        <f t="shared" si="549"/>
        <v>2316.5877878481147</v>
      </c>
      <c r="FK89" s="52">
        <f t="shared" si="550"/>
        <v>1013.5562489541775</v>
      </c>
      <c r="FL89" s="52">
        <f t="shared" si="551"/>
        <v>459.19686986895721</v>
      </c>
      <c r="FM89" s="52">
        <f t="shared" si="552"/>
        <v>1737.440840886085</v>
      </c>
      <c r="FN89" s="52">
        <f t="shared" si="553"/>
        <v>2031.644045966272</v>
      </c>
      <c r="FO89" s="52">
        <f t="shared" si="554"/>
        <v>3685.659087106113</v>
      </c>
      <c r="FP89" s="52">
        <f t="shared" si="555"/>
        <v>501.49131840951776</v>
      </c>
      <c r="FQ89" s="52">
        <f t="shared" si="556"/>
        <v>868.72042044304101</v>
      </c>
      <c r="FR89" s="52">
        <f t="shared" si="557"/>
        <v>1072.4663737071032</v>
      </c>
      <c r="FS89" s="52">
        <f t="shared" si="558"/>
        <v>9845.4980983544774</v>
      </c>
      <c r="FT89" s="52">
        <f t="shared" si="559"/>
        <v>3747.6598937912854</v>
      </c>
      <c r="FU89" s="52">
        <f t="shared" si="560"/>
        <v>2895.7347348101466</v>
      </c>
      <c r="FV89" s="52">
        <f t="shared" si="561"/>
        <v>808.1260703285908</v>
      </c>
      <c r="FW89" s="52">
        <f t="shared" si="562"/>
        <v>3116.194547827819</v>
      </c>
      <c r="FX89" s="52">
        <f t="shared" si="563"/>
        <v>2969.6744939551581</v>
      </c>
      <c r="FY89" s="52">
        <f t="shared" si="564"/>
        <v>2798.9861837736203</v>
      </c>
      <c r="FZ89" s="52">
        <f t="shared" si="565"/>
        <v>667.64808053315107</v>
      </c>
      <c r="GA89" s="52">
        <f t="shared" si="566"/>
        <v>2794.4546357156914</v>
      </c>
      <c r="GB89" s="52">
        <f t="shared" si="567"/>
        <v>1021.108829050705</v>
      </c>
      <c r="GC89" s="52">
        <f t="shared" si="568"/>
        <v>927.45683585374536</v>
      </c>
      <c r="GD89" s="52">
        <f t="shared" si="569"/>
        <v>3980.2097108707235</v>
      </c>
      <c r="GE89" s="52">
        <f t="shared" si="570"/>
        <v>1007.5141848769518</v>
      </c>
      <c r="GF89" s="52">
        <f t="shared" si="571"/>
        <v>7647.7426057451521</v>
      </c>
      <c r="GG89" s="52">
        <f t="shared" si="572"/>
        <v>0</v>
      </c>
      <c r="GH89" s="52">
        <f t="shared" si="573"/>
        <v>0</v>
      </c>
      <c r="GI89" s="52">
        <f t="shared" si="574"/>
        <v>0</v>
      </c>
      <c r="GJ89" s="26"/>
      <c r="GL89" s="150">
        <f t="shared" si="575"/>
        <v>15223.248509275632</v>
      </c>
      <c r="GM89" s="150">
        <f t="shared" si="576"/>
        <v>6660.4938249680154</v>
      </c>
      <c r="GN89" s="150">
        <f t="shared" si="577"/>
        <v>3017.5709728618167</v>
      </c>
      <c r="GO89" s="150">
        <f t="shared" si="578"/>
        <v>11417.436381956717</v>
      </c>
      <c r="GP89" s="150">
        <f t="shared" si="579"/>
        <v>13350.766310852428</v>
      </c>
      <c r="GQ89" s="150">
        <f t="shared" si="580"/>
        <v>24219.977545338323</v>
      </c>
      <c r="GR89" s="150">
        <f t="shared" si="581"/>
        <v>3295.5051414148697</v>
      </c>
      <c r="GS89" s="150">
        <f t="shared" si="582"/>
        <v>5708.7181909783485</v>
      </c>
      <c r="GT89" s="150">
        <f t="shared" si="583"/>
        <v>7047.616416881212</v>
      </c>
      <c r="GU89" s="150">
        <f t="shared" si="584"/>
        <v>64698.806164421359</v>
      </c>
      <c r="GV89" s="150">
        <f t="shared" si="585"/>
        <v>24627.41027588064</v>
      </c>
      <c r="GW89" s="150">
        <f t="shared" si="586"/>
        <v>19029.06063659456</v>
      </c>
      <c r="GX89" s="150">
        <f t="shared" si="587"/>
        <v>5310.5278634245678</v>
      </c>
      <c r="GY89" s="150">
        <f t="shared" si="588"/>
        <v>20477.792490177355</v>
      </c>
      <c r="GZ89" s="150">
        <f t="shared" si="589"/>
        <v>19514.949120547102</v>
      </c>
      <c r="HA89" s="150">
        <f t="shared" si="590"/>
        <v>18393.28622602949</v>
      </c>
      <c r="HB89" s="150">
        <f t="shared" si="591"/>
        <v>4387.3893750161687</v>
      </c>
      <c r="HC89" s="150">
        <f t="shared" si="592"/>
        <v>18363.507565113014</v>
      </c>
      <c r="HD89" s="150">
        <f t="shared" si="593"/>
        <v>6710.1249264953385</v>
      </c>
      <c r="HE89" s="150">
        <f t="shared" si="594"/>
        <v>6094.6992675564079</v>
      </c>
      <c r="HF89" s="150">
        <f t="shared" si="595"/>
        <v>26155.590504904183</v>
      </c>
      <c r="HG89" s="150">
        <f t="shared" si="596"/>
        <v>6620.7889437461326</v>
      </c>
      <c r="HH89" s="150">
        <f t="shared" si="597"/>
        <v>50256.453406576809</v>
      </c>
      <c r="HI89" s="150">
        <f t="shared" si="598"/>
        <v>0</v>
      </c>
      <c r="HJ89" s="150">
        <f t="shared" si="599"/>
        <v>0</v>
      </c>
      <c r="HK89" s="150">
        <f t="shared" si="600"/>
        <v>0</v>
      </c>
      <c r="HL89" s="26"/>
      <c r="HN89" s="147">
        <f t="shared" si="601"/>
        <v>12575.73526797749</v>
      </c>
      <c r="HO89" s="147">
        <f t="shared" si="602"/>
        <v>5502.1506773512001</v>
      </c>
      <c r="HP89" s="147">
        <f t="shared" si="603"/>
        <v>2492.7776541203675</v>
      </c>
      <c r="HQ89" s="147">
        <f t="shared" si="604"/>
        <v>9431.80145098311</v>
      </c>
      <c r="HR89" s="147">
        <f t="shared" si="605"/>
        <v>11028.901134183849</v>
      </c>
      <c r="HS89" s="147">
        <f t="shared" si="606"/>
        <v>20007.820644913525</v>
      </c>
      <c r="HT89" s="147">
        <f t="shared" si="607"/>
        <v>2722.375595947236</v>
      </c>
      <c r="HU89" s="147">
        <f t="shared" si="608"/>
        <v>4715.9007254915477</v>
      </c>
      <c r="HV89" s="147">
        <f t="shared" si="609"/>
        <v>5821.9478106100651</v>
      </c>
      <c r="HW89" s="147">
        <f t="shared" si="610"/>
        <v>53446.874888904269</v>
      </c>
      <c r="HX89" s="147">
        <f t="shared" si="611"/>
        <v>20344.395729770571</v>
      </c>
      <c r="HY89" s="147">
        <f t="shared" si="612"/>
        <v>15719.66908497188</v>
      </c>
      <c r="HZ89" s="147">
        <f t="shared" si="613"/>
        <v>4386.9606741920852</v>
      </c>
      <c r="IA89" s="147">
        <f t="shared" si="614"/>
        <v>16916.448356744437</v>
      </c>
      <c r="IB89" s="147">
        <f t="shared" si="615"/>
        <v>16121.055486844185</v>
      </c>
      <c r="IC89" s="147">
        <f t="shared" si="616"/>
        <v>15194.463793042947</v>
      </c>
      <c r="ID89" s="147">
        <f t="shared" si="617"/>
        <v>3624.3675102670923</v>
      </c>
      <c r="IE89" s="147">
        <f t="shared" si="618"/>
        <v>15169.864013561435</v>
      </c>
      <c r="IF89" s="147">
        <f t="shared" si="619"/>
        <v>5543.1503098202775</v>
      </c>
      <c r="IG89" s="147">
        <f t="shared" si="620"/>
        <v>5034.7548672036164</v>
      </c>
      <c r="IH89" s="147">
        <f t="shared" si="621"/>
        <v>21606.806311207747</v>
      </c>
      <c r="II89" s="147">
        <f t="shared" si="622"/>
        <v>5469.3509713759177</v>
      </c>
      <c r="IJ89" s="147">
        <f t="shared" si="623"/>
        <v>41516.227838195387</v>
      </c>
      <c r="IK89" s="147">
        <f t="shared" si="624"/>
        <v>0</v>
      </c>
      <c r="IL89" s="147">
        <f t="shared" si="625"/>
        <v>0</v>
      </c>
      <c r="IM89" s="147">
        <f t="shared" si="626"/>
        <v>0</v>
      </c>
      <c r="IN89" s="26"/>
      <c r="IP89" s="61">
        <f t="shared" si="627"/>
        <v>2978.4684348987694</v>
      </c>
      <c r="IQ89" s="61">
        <f t="shared" si="628"/>
        <v>1303.1430582255771</v>
      </c>
      <c r="IR89" s="61">
        <f t="shared" si="629"/>
        <v>590.39566274303399</v>
      </c>
      <c r="IS89" s="61">
        <f t="shared" si="630"/>
        <v>2233.8513261740754</v>
      </c>
      <c r="IT89" s="61">
        <f t="shared" si="631"/>
        <v>2612.1123894387492</v>
      </c>
      <c r="IU89" s="61">
        <f t="shared" si="632"/>
        <v>4738.7020299112055</v>
      </c>
      <c r="IV89" s="61">
        <f t="shared" si="633"/>
        <v>644.77421062725909</v>
      </c>
      <c r="IW89" s="61">
        <f t="shared" si="634"/>
        <v>1116.9256630870359</v>
      </c>
      <c r="IX89" s="61">
        <f t="shared" si="635"/>
        <v>1378.8846070643219</v>
      </c>
      <c r="IY89" s="61">
        <f t="shared" si="636"/>
        <v>12658.490848319754</v>
      </c>
      <c r="IZ89" s="61">
        <f t="shared" si="637"/>
        <v>4818.417310557481</v>
      </c>
      <c r="JA89" s="61">
        <f t="shared" si="638"/>
        <v>3723.0855436234656</v>
      </c>
      <c r="JB89" s="61">
        <f t="shared" si="639"/>
        <v>1039.0186827879031</v>
      </c>
      <c r="JC89" s="61">
        <f t="shared" si="640"/>
        <v>4006.5337244699899</v>
      </c>
      <c r="JD89" s="61">
        <f t="shared" si="641"/>
        <v>3818.1508978710608</v>
      </c>
      <c r="JE89" s="61">
        <f t="shared" si="642"/>
        <v>3598.6946153383083</v>
      </c>
      <c r="JF89" s="61">
        <f t="shared" si="643"/>
        <v>858.40422017243259</v>
      </c>
      <c r="JG89" s="61">
        <f t="shared" si="644"/>
        <v>3592.8683423506977</v>
      </c>
      <c r="JH89" s="61">
        <f t="shared" si="645"/>
        <v>1312.8535132049014</v>
      </c>
      <c r="JI89" s="61">
        <f t="shared" si="646"/>
        <v>1192.4438714612547</v>
      </c>
      <c r="JJ89" s="61">
        <f t="shared" si="647"/>
        <v>5117.4097741049063</v>
      </c>
      <c r="JK89" s="61">
        <f t="shared" si="648"/>
        <v>1295.3746942421128</v>
      </c>
      <c r="JL89" s="61">
        <f t="shared" si="649"/>
        <v>9832.8067120657106</v>
      </c>
      <c r="JM89" s="61">
        <f t="shared" si="650"/>
        <v>0</v>
      </c>
      <c r="JN89" s="61">
        <f t="shared" si="651"/>
        <v>0</v>
      </c>
      <c r="JO89" s="61">
        <f t="shared" si="652"/>
        <v>0</v>
      </c>
      <c r="JQ89" s="26">
        <f t="shared" si="516"/>
        <v>827352.10289010732</v>
      </c>
      <c r="JR89" s="156">
        <f t="shared" si="517"/>
        <v>1.0000013330377402</v>
      </c>
      <c r="JT89" s="157">
        <f t="shared" si="653"/>
        <v>33094.040000000008</v>
      </c>
      <c r="JU89" s="29">
        <f t="shared" si="654"/>
        <v>1</v>
      </c>
    </row>
    <row r="90" spans="1:281" ht="18.75" x14ac:dyDescent="0.3">
      <c r="A90" t="s">
        <v>234</v>
      </c>
      <c r="B90" t="s">
        <v>169</v>
      </c>
      <c r="C90" t="s">
        <v>74</v>
      </c>
      <c r="D90" t="s">
        <v>29</v>
      </c>
      <c r="E90" s="11" t="s">
        <v>253</v>
      </c>
      <c r="F90" s="114">
        <v>5515</v>
      </c>
      <c r="G90" s="17">
        <v>1685108</v>
      </c>
      <c r="H90" s="21">
        <v>1242860</v>
      </c>
      <c r="I90" s="25">
        <f t="shared" si="434"/>
        <v>1.355830906135848</v>
      </c>
      <c r="J90" s="13">
        <v>3.9999999999999945E-2</v>
      </c>
      <c r="K90" s="13">
        <v>1.7500847656555626E-2</v>
      </c>
      <c r="L90" s="13">
        <v>7.9288490128061294E-3</v>
      </c>
      <c r="M90" s="13">
        <v>2.9999999999999902E-2</v>
      </c>
      <c r="N90" s="13">
        <v>3.5079940533632448E-2</v>
      </c>
      <c r="O90" s="13">
        <v>6.3639446023838739E-2</v>
      </c>
      <c r="P90" s="13">
        <v>8.6591377376698565E-3</v>
      </c>
      <c r="Q90" s="13">
        <v>1.4999999999999951E-2</v>
      </c>
      <c r="R90" s="13">
        <v>1.8518035523330076E-2</v>
      </c>
      <c r="S90" s="13">
        <v>0.17000000000000026</v>
      </c>
      <c r="T90" s="13">
        <v>6.4710000000000101E-2</v>
      </c>
      <c r="U90" s="13">
        <v>4.9999999999999878E-2</v>
      </c>
      <c r="V90" s="13">
        <v>1.3953730992931838E-2</v>
      </c>
      <c r="W90" s="13">
        <v>5.3806629978352095E-2</v>
      </c>
      <c r="X90" s="13">
        <v>5.1276701181502918E-2</v>
      </c>
      <c r="Y90" s="13">
        <v>4.832946454187402E-2</v>
      </c>
      <c r="Z90" s="13">
        <v>1.1528129156777306E-2</v>
      </c>
      <c r="AA90" s="13">
        <v>4.8251219321353178E-2</v>
      </c>
      <c r="AB90" s="13">
        <v>1.7631256357424116E-2</v>
      </c>
      <c r="AC90" s="13">
        <v>1.6014188466654509E-2</v>
      </c>
      <c r="AD90" s="13">
        <v>6.8725385357711027E-2</v>
      </c>
      <c r="AE90" s="13">
        <v>1.7396520695860833E-2</v>
      </c>
      <c r="AF90" s="13">
        <v>0.13205185049946544</v>
      </c>
      <c r="AG90" s="9">
        <v>0</v>
      </c>
      <c r="AH90" s="13">
        <v>0</v>
      </c>
      <c r="AJ90" s="8">
        <f t="shared" si="461"/>
        <v>1.0000013330377402</v>
      </c>
      <c r="AK90" s="141">
        <f t="shared" si="435"/>
        <v>220.59999999999971</v>
      </c>
      <c r="AL90" s="141">
        <f t="shared" si="436"/>
        <v>96.517174825904277</v>
      </c>
      <c r="AM90" s="141">
        <f t="shared" si="437"/>
        <v>43.727602305625801</v>
      </c>
      <c r="AN90" s="141">
        <f t="shared" si="438"/>
        <v>165.44999999999945</v>
      </c>
      <c r="AO90" s="141">
        <f t="shared" si="439"/>
        <v>193.46587204298294</v>
      </c>
      <c r="AP90" s="141">
        <f t="shared" si="440"/>
        <v>350.97154482147067</v>
      </c>
      <c r="AQ90" s="141">
        <f t="shared" si="441"/>
        <v>47.755144623249258</v>
      </c>
      <c r="AR90" s="141">
        <f t="shared" si="442"/>
        <v>82.724999999999724</v>
      </c>
      <c r="AS90" s="141">
        <f t="shared" si="443"/>
        <v>102.12696591116537</v>
      </c>
      <c r="AT90" s="141">
        <f t="shared" si="444"/>
        <v>937.55000000000143</v>
      </c>
      <c r="AU90" s="141">
        <f t="shared" si="445"/>
        <v>356.87565000000058</v>
      </c>
      <c r="AV90" s="141">
        <f t="shared" si="446"/>
        <v>275.74999999999932</v>
      </c>
      <c r="AW90" s="141">
        <f t="shared" si="447"/>
        <v>76.954826426019082</v>
      </c>
      <c r="AX90" s="141">
        <f t="shared" si="448"/>
        <v>296.74356433061183</v>
      </c>
      <c r="AY90" s="141">
        <f t="shared" si="449"/>
        <v>282.79100701598861</v>
      </c>
      <c r="AZ90" s="141">
        <f t="shared" si="450"/>
        <v>266.53699694843522</v>
      </c>
      <c r="BA90" s="141">
        <f t="shared" si="451"/>
        <v>63.577632299626842</v>
      </c>
      <c r="BB90" s="141">
        <f t="shared" si="452"/>
        <v>266.10547455726277</v>
      </c>
      <c r="BC90" s="141">
        <f t="shared" si="453"/>
        <v>97.236378811194001</v>
      </c>
      <c r="BD90" s="141">
        <f t="shared" si="454"/>
        <v>88.318249393599615</v>
      </c>
      <c r="BE90" s="141">
        <f t="shared" si="455"/>
        <v>379.02050024777634</v>
      </c>
      <c r="BF90" s="141">
        <f t="shared" si="456"/>
        <v>95.941811637672487</v>
      </c>
      <c r="BG90" s="141">
        <f t="shared" si="457"/>
        <v>728.26595550455193</v>
      </c>
      <c r="BH90" s="141">
        <f t="shared" si="458"/>
        <v>0</v>
      </c>
      <c r="BI90" s="141">
        <f t="shared" si="459"/>
        <v>0</v>
      </c>
      <c r="BJ90" s="141">
        <f t="shared" si="460"/>
        <v>0</v>
      </c>
      <c r="BM90" s="26">
        <f t="shared" si="462"/>
        <v>67404.319999999905</v>
      </c>
      <c r="BN90" s="26">
        <f t="shared" si="463"/>
        <v>29490.818392843139</v>
      </c>
      <c r="BO90" s="26">
        <f t="shared" si="464"/>
        <v>13360.966902271712</v>
      </c>
      <c r="BP90" s="26">
        <f t="shared" si="465"/>
        <v>50553.239999999838</v>
      </c>
      <c r="BQ90" s="26">
        <f t="shared" si="466"/>
        <v>59113.488432748309</v>
      </c>
      <c r="BR90" s="26">
        <f t="shared" si="467"/>
        <v>107239.33961033885</v>
      </c>
      <c r="BS90" s="26">
        <f t="shared" si="468"/>
        <v>14591.582274849377</v>
      </c>
      <c r="BT90" s="26">
        <f t="shared" si="469"/>
        <v>25276.619999999919</v>
      </c>
      <c r="BU90" s="26">
        <f t="shared" si="470"/>
        <v>31204.889804647697</v>
      </c>
      <c r="BV90" s="26">
        <f t="shared" si="471"/>
        <v>286468.36000000045</v>
      </c>
      <c r="BW90" s="26">
        <f t="shared" si="472"/>
        <v>109043.33868000018</v>
      </c>
      <c r="BX90" s="26">
        <f t="shared" si="473"/>
        <v>84255.39999999979</v>
      </c>
      <c r="BY90" s="26">
        <f t="shared" si="474"/>
        <v>23513.543726037384</v>
      </c>
      <c r="BZ90" s="26">
        <f t="shared" si="475"/>
        <v>90669.982629560938</v>
      </c>
      <c r="CA90" s="26">
        <f t="shared" si="476"/>
        <v>86406.779374560021</v>
      </c>
      <c r="CB90" s="26">
        <f t="shared" si="477"/>
        <v>81440.367335228249</v>
      </c>
      <c r="CC90" s="26">
        <f t="shared" si="478"/>
        <v>19426.142667118693</v>
      </c>
      <c r="CD90" s="26">
        <f t="shared" si="479"/>
        <v>81308.515688166808</v>
      </c>
      <c r="CE90" s="26">
        <f t="shared" si="480"/>
        <v>29710.571137946237</v>
      </c>
      <c r="CF90" s="26">
        <f t="shared" si="481"/>
        <v>26985.637098667245</v>
      </c>
      <c r="CG90" s="26">
        <f t="shared" si="482"/>
        <v>115809.69666936171</v>
      </c>
      <c r="CH90" s="26">
        <f t="shared" si="483"/>
        <v>29315.016196760655</v>
      </c>
      <c r="CI90" s="26">
        <f t="shared" si="484"/>
        <v>222521.62969145321</v>
      </c>
      <c r="CJ90" s="26">
        <f t="shared" si="485"/>
        <v>0</v>
      </c>
      <c r="CK90" s="26">
        <f t="shared" si="486"/>
        <v>0</v>
      </c>
      <c r="CL90" s="26">
        <f t="shared" si="487"/>
        <v>0</v>
      </c>
      <c r="CM90" s="110">
        <f t="shared" si="488"/>
        <v>1.0000013330377402</v>
      </c>
      <c r="CN90" s="27">
        <f t="shared" si="489"/>
        <v>49714.399999999929</v>
      </c>
      <c r="CO90" s="27">
        <f t="shared" si="490"/>
        <v>21751.103518426724</v>
      </c>
      <c r="CP90" s="27">
        <f t="shared" si="491"/>
        <v>9854.4492840562252</v>
      </c>
      <c r="CQ90" s="27">
        <f t="shared" si="492"/>
        <v>37285.799999999879</v>
      </c>
      <c r="CR90" s="27">
        <f t="shared" si="493"/>
        <v>43599.454891630427</v>
      </c>
      <c r="CS90" s="27">
        <f t="shared" si="494"/>
        <v>79094.921885188218</v>
      </c>
      <c r="CT90" s="27">
        <f t="shared" si="495"/>
        <v>10762.095928640358</v>
      </c>
      <c r="CU90" s="27">
        <f t="shared" si="496"/>
        <v>18642.89999999994</v>
      </c>
      <c r="CV90" s="27">
        <f t="shared" si="497"/>
        <v>23015.325630526018</v>
      </c>
      <c r="CW90" s="27">
        <f t="shared" si="498"/>
        <v>211286.20000000033</v>
      </c>
      <c r="CX90" s="27">
        <f t="shared" si="499"/>
        <v>80425.470600000132</v>
      </c>
      <c r="CY90" s="27">
        <f t="shared" si="500"/>
        <v>62142.999999999847</v>
      </c>
      <c r="CZ90" s="27">
        <f t="shared" si="501"/>
        <v>17342.534101875266</v>
      </c>
      <c r="DA90" s="27">
        <f t="shared" si="502"/>
        <v>66874.10813489469</v>
      </c>
      <c r="DB90" s="27">
        <f t="shared" si="503"/>
        <v>63729.760830442719</v>
      </c>
      <c r="DC90" s="27">
        <f t="shared" si="504"/>
        <v>60066.758300513546</v>
      </c>
      <c r="DD90" s="27">
        <f t="shared" si="505"/>
        <v>14327.850603792243</v>
      </c>
      <c r="DE90" s="27">
        <f t="shared" si="506"/>
        <v>59969.510445737011</v>
      </c>
      <c r="DF90" s="27">
        <f t="shared" si="507"/>
        <v>21913.183276388136</v>
      </c>
      <c r="DG90" s="27">
        <f t="shared" si="508"/>
        <v>19903.394277666222</v>
      </c>
      <c r="DH90" s="27">
        <f t="shared" si="509"/>
        <v>85416.03244568473</v>
      </c>
      <c r="DI90" s="27">
        <f t="shared" si="510"/>
        <v>21621.439712057596</v>
      </c>
      <c r="DJ90" s="27">
        <f t="shared" si="511"/>
        <v>164121.96291176561</v>
      </c>
      <c r="DK90" s="27">
        <f t="shared" si="512"/>
        <v>0</v>
      </c>
      <c r="DL90" s="27">
        <f t="shared" si="513"/>
        <v>0</v>
      </c>
      <c r="DM90" s="27">
        <f t="shared" si="514"/>
        <v>0</v>
      </c>
      <c r="DN90" s="110">
        <f t="shared" si="515"/>
        <v>1.0000013330377402</v>
      </c>
      <c r="DO90" s="28">
        <f t="shared" si="518"/>
        <v>17689.919999999976</v>
      </c>
      <c r="DP90" s="28">
        <f t="shared" si="519"/>
        <v>7739.7148744164151</v>
      </c>
      <c r="DQ90" s="28">
        <f t="shared" si="520"/>
        <v>3506.5176182154864</v>
      </c>
      <c r="DR90" s="28">
        <f t="shared" si="521"/>
        <v>13267.439999999959</v>
      </c>
      <c r="DS90" s="28">
        <f t="shared" si="522"/>
        <v>15514.033541117882</v>
      </c>
      <c r="DT90" s="28">
        <f t="shared" si="523"/>
        <v>28144.417725150633</v>
      </c>
      <c r="DU90" s="28">
        <f t="shared" si="524"/>
        <v>3829.4863462090198</v>
      </c>
      <c r="DV90" s="28">
        <f t="shared" si="525"/>
        <v>6633.7199999999793</v>
      </c>
      <c r="DW90" s="28">
        <f t="shared" si="526"/>
        <v>8189.5641741216787</v>
      </c>
      <c r="DX90" s="28">
        <f t="shared" si="527"/>
        <v>75182.16000000012</v>
      </c>
      <c r="DY90" s="28">
        <f t="shared" si="528"/>
        <v>28617.868080000044</v>
      </c>
      <c r="DZ90" s="28">
        <f t="shared" si="529"/>
        <v>22112.399999999943</v>
      </c>
      <c r="EA90" s="28">
        <f t="shared" si="530"/>
        <v>6171.0096241621177</v>
      </c>
      <c r="EB90" s="28">
        <f t="shared" si="531"/>
        <v>23795.874494666248</v>
      </c>
      <c r="EC90" s="28">
        <f t="shared" si="532"/>
        <v>22677.018544117302</v>
      </c>
      <c r="ED90" s="28">
        <f t="shared" si="533"/>
        <v>21373.609034714704</v>
      </c>
      <c r="EE90" s="28">
        <f t="shared" si="534"/>
        <v>5098.2920633264494</v>
      </c>
      <c r="EF90" s="28">
        <f t="shared" si="535"/>
        <v>21339.005242429797</v>
      </c>
      <c r="EG90" s="28">
        <f t="shared" si="536"/>
        <v>7797.3878615581016</v>
      </c>
      <c r="EH90" s="28">
        <f t="shared" si="537"/>
        <v>7082.2428210010221</v>
      </c>
      <c r="EI90" s="28">
        <f t="shared" si="538"/>
        <v>30393.664223676984</v>
      </c>
      <c r="EJ90" s="28">
        <f t="shared" si="539"/>
        <v>7693.5764847030587</v>
      </c>
      <c r="EK90" s="28">
        <f t="shared" si="540"/>
        <v>58399.666779687599</v>
      </c>
      <c r="EL90" s="28">
        <f t="shared" si="541"/>
        <v>0</v>
      </c>
      <c r="EM90" s="28">
        <f t="shared" si="542"/>
        <v>0</v>
      </c>
      <c r="EN90" s="28">
        <f t="shared" si="543"/>
        <v>0</v>
      </c>
      <c r="EQ90" s="144">
        <v>2.9999951929256179E-2</v>
      </c>
      <c r="ER90" s="144">
        <v>5.0000079416655512E-2</v>
      </c>
      <c r="ES90" s="144">
        <v>8.0000031345911701E-2</v>
      </c>
      <c r="ET90" s="144">
        <v>0.10999998327516788</v>
      </c>
      <c r="EU90" s="144">
        <v>0.11999997075784072</v>
      </c>
      <c r="EV90" s="144">
        <v>0.14999992268709689</v>
      </c>
      <c r="EW90" s="144">
        <v>0.12999979519969759</v>
      </c>
      <c r="EX90" s="144">
        <v>8.0000031345911701E-2</v>
      </c>
      <c r="EY90" s="144">
        <v>7.0000049122620034E-2</v>
      </c>
      <c r="EZ90" s="144">
        <v>6.0000061639947186E-2</v>
      </c>
      <c r="FA90" s="144">
        <v>6.0000061639947186E-2</v>
      </c>
      <c r="FB90" s="144">
        <v>6.0000061639947186E-2</v>
      </c>
      <c r="FC90" s="145">
        <f t="shared" si="544"/>
        <v>0.99999999999999978</v>
      </c>
      <c r="FD90" s="146">
        <f t="shared" si="545"/>
        <v>0.16000006269182337</v>
      </c>
      <c r="FE90" s="146">
        <f t="shared" si="546"/>
        <v>0.37999987672010549</v>
      </c>
      <c r="FF90" s="146">
        <f t="shared" si="547"/>
        <v>0.27999987566822931</v>
      </c>
      <c r="FG90" s="146">
        <f t="shared" si="548"/>
        <v>0.18000018491984154</v>
      </c>
      <c r="FH90" s="145">
        <f t="shared" si="375"/>
        <v>0.99999999999999978</v>
      </c>
      <c r="FJ90" s="52">
        <f t="shared" si="549"/>
        <v>10784.695425699709</v>
      </c>
      <c r="FK90" s="52">
        <f t="shared" si="550"/>
        <v>4718.5327916880797</v>
      </c>
      <c r="FL90" s="52">
        <f t="shared" si="551"/>
        <v>2137.7555419868509</v>
      </c>
      <c r="FM90" s="52">
        <f t="shared" si="552"/>
        <v>8088.521569274767</v>
      </c>
      <c r="FN90" s="52">
        <f t="shared" si="553"/>
        <v>9458.1618551721058</v>
      </c>
      <c r="FO90" s="52">
        <f t="shared" si="554"/>
        <v>17158.301060683953</v>
      </c>
      <c r="FP90" s="52">
        <f t="shared" si="555"/>
        <v>2334.6540787487993</v>
      </c>
      <c r="FQ90" s="52">
        <f t="shared" si="556"/>
        <v>4044.2607846373835</v>
      </c>
      <c r="FR90" s="52">
        <f t="shared" si="557"/>
        <v>4992.7843250350716</v>
      </c>
      <c r="FS90" s="52">
        <f t="shared" si="558"/>
        <v>45834.955559223898</v>
      </c>
      <c r="FT90" s="52">
        <f t="shared" si="559"/>
        <v>17446.941024925756</v>
      </c>
      <c r="FU90" s="52">
        <f t="shared" si="560"/>
        <v>13480.869282124622</v>
      </c>
      <c r="FV90" s="52">
        <f t="shared" si="561"/>
        <v>3762.1684702729117</v>
      </c>
      <c r="FW90" s="52">
        <f t="shared" si="562"/>
        <v>14507.202904996286</v>
      </c>
      <c r="FX90" s="52">
        <f t="shared" si="563"/>
        <v>13825.090116928155</v>
      </c>
      <c r="FY90" s="52">
        <f t="shared" si="564"/>
        <v>13030.463879281644</v>
      </c>
      <c r="FZ90" s="52">
        <f t="shared" si="565"/>
        <v>3108.1840445992957</v>
      </c>
      <c r="GA90" s="52">
        <f t="shared" si="566"/>
        <v>13009.367607485794</v>
      </c>
      <c r="GB90" s="52">
        <f t="shared" si="567"/>
        <v>4753.6932446812762</v>
      </c>
      <c r="GC90" s="52">
        <f t="shared" si="568"/>
        <v>4317.7036275655537</v>
      </c>
      <c r="GD90" s="52">
        <f t="shared" si="569"/>
        <v>18529.558727418924</v>
      </c>
      <c r="GE90" s="52">
        <f t="shared" si="570"/>
        <v>4690.4044292935223</v>
      </c>
      <c r="GF90" s="52">
        <f t="shared" si="571"/>
        <v>35603.474700919222</v>
      </c>
      <c r="GG90" s="52">
        <f t="shared" si="572"/>
        <v>0</v>
      </c>
      <c r="GH90" s="52">
        <f t="shared" si="573"/>
        <v>0</v>
      </c>
      <c r="GI90" s="52">
        <f t="shared" si="574"/>
        <v>0</v>
      </c>
      <c r="GJ90" s="26"/>
      <c r="GL90" s="150">
        <f t="shared" si="575"/>
        <v>25613.633290402504</v>
      </c>
      <c r="GM90" s="150">
        <f t="shared" si="576"/>
        <v>11206.507353655412</v>
      </c>
      <c r="GN90" s="150">
        <f t="shared" si="577"/>
        <v>5077.1657757246603</v>
      </c>
      <c r="GO90" s="150">
        <f t="shared" si="578"/>
        <v>19210.224967801845</v>
      </c>
      <c r="GP90" s="150">
        <f t="shared" si="579"/>
        <v>22463.118316939741</v>
      </c>
      <c r="GQ90" s="150">
        <f t="shared" si="580"/>
        <v>40750.935831474286</v>
      </c>
      <c r="GR90" s="150">
        <f t="shared" si="581"/>
        <v>5544.7994655940402</v>
      </c>
      <c r="GS90" s="150">
        <f t="shared" si="582"/>
        <v>9605.1124839009226</v>
      </c>
      <c r="GT90" s="150">
        <f t="shared" si="583"/>
        <v>11857.854278830602</v>
      </c>
      <c r="GU90" s="150">
        <f t="shared" si="584"/>
        <v>108857.94148421097</v>
      </c>
      <c r="GV90" s="150">
        <f t="shared" si="585"/>
        <v>41436.455255548775</v>
      </c>
      <c r="GW90" s="150">
        <f t="shared" si="586"/>
        <v>32017.041613003097</v>
      </c>
      <c r="GX90" s="150">
        <f t="shared" si="587"/>
        <v>8935.1437171470152</v>
      </c>
      <c r="GY90" s="150">
        <f t="shared" si="588"/>
        <v>34454.582221447265</v>
      </c>
      <c r="GZ90" s="150">
        <f t="shared" si="589"/>
        <v>32834.56551011416</v>
      </c>
      <c r="HA90" s="150">
        <f t="shared" si="590"/>
        <v>30947.329547426842</v>
      </c>
      <c r="HB90" s="150">
        <f t="shared" si="591"/>
        <v>7381.9318186522842</v>
      </c>
      <c r="HC90" s="150">
        <f t="shared" si="592"/>
        <v>30897.22593779815</v>
      </c>
      <c r="HD90" s="150">
        <f t="shared" si="593"/>
        <v>11290.013369703494</v>
      </c>
      <c r="HE90" s="150">
        <f t="shared" si="594"/>
        <v>10254.538770707059</v>
      </c>
      <c r="HF90" s="150">
        <f t="shared" si="595"/>
        <v>44007.670457350265</v>
      </c>
      <c r="HG90" s="150">
        <f t="shared" si="596"/>
        <v>11139.702540816945</v>
      </c>
      <c r="HH90" s="150">
        <f t="shared" si="597"/>
        <v>84558.191850309187</v>
      </c>
      <c r="HI90" s="150">
        <f t="shared" si="598"/>
        <v>0</v>
      </c>
      <c r="HJ90" s="150">
        <f t="shared" si="599"/>
        <v>0</v>
      </c>
      <c r="HK90" s="150">
        <f t="shared" si="600"/>
        <v>0</v>
      </c>
      <c r="HL90" s="26"/>
      <c r="HN90" s="147">
        <f t="shared" si="601"/>
        <v>18873.201219501516</v>
      </c>
      <c r="HO90" s="147">
        <f t="shared" si="602"/>
        <v>8257.4254833504092</v>
      </c>
      <c r="HP90" s="147">
        <f t="shared" si="603"/>
        <v>3741.0690714434063</v>
      </c>
      <c r="HQ90" s="147">
        <f t="shared" si="604"/>
        <v>14154.900914626112</v>
      </c>
      <c r="HR90" s="147">
        <f t="shared" si="605"/>
        <v>16551.769411484838</v>
      </c>
      <c r="HS90" s="147">
        <f t="shared" si="606"/>
        <v>30027.001757637896</v>
      </c>
      <c r="HT90" s="147">
        <f t="shared" si="607"/>
        <v>4085.6412227605642</v>
      </c>
      <c r="HU90" s="147">
        <f t="shared" si="608"/>
        <v>7077.4504573130562</v>
      </c>
      <c r="HV90" s="147">
        <f t="shared" si="609"/>
        <v>8737.365265542152</v>
      </c>
      <c r="HW90" s="147">
        <f t="shared" si="610"/>
        <v>80211.105182881685</v>
      </c>
      <c r="HX90" s="147">
        <f t="shared" si="611"/>
        <v>30532.121272848668</v>
      </c>
      <c r="HY90" s="147">
        <f t="shared" si="612"/>
        <v>23591.501524376868</v>
      </c>
      <c r="HZ90" s="147">
        <f t="shared" si="613"/>
        <v>6583.7893198099409</v>
      </c>
      <c r="IA90" s="147">
        <f t="shared" si="614"/>
        <v>25387.583863117576</v>
      </c>
      <c r="IB90" s="147">
        <f t="shared" si="615"/>
        <v>24193.887481768928</v>
      </c>
      <c r="IC90" s="147">
        <f t="shared" si="616"/>
        <v>22803.292728238834</v>
      </c>
      <c r="ID90" s="147">
        <f t="shared" si="617"/>
        <v>5439.3175315065182</v>
      </c>
      <c r="IE90" s="147">
        <f t="shared" si="618"/>
        <v>22766.374283454978</v>
      </c>
      <c r="IF90" s="147">
        <f t="shared" si="619"/>
        <v>8318.9562246570295</v>
      </c>
      <c r="IG90" s="147">
        <f t="shared" si="620"/>
        <v>7555.9750324547849</v>
      </c>
      <c r="IH90" s="147">
        <f t="shared" si="621"/>
        <v>32426.70066859663</v>
      </c>
      <c r="II90" s="147">
        <f t="shared" si="622"/>
        <v>8208.2008903051119</v>
      </c>
      <c r="IJ90" s="147">
        <f t="shared" si="623"/>
        <v>62306.028647098661</v>
      </c>
      <c r="IK90" s="147">
        <f t="shared" si="624"/>
        <v>0</v>
      </c>
      <c r="IL90" s="147">
        <f t="shared" si="625"/>
        <v>0</v>
      </c>
      <c r="IM90" s="147">
        <f t="shared" si="626"/>
        <v>0</v>
      </c>
      <c r="IN90" s="26"/>
      <c r="IP90" s="61">
        <f t="shared" si="627"/>
        <v>12132.790064396157</v>
      </c>
      <c r="IQ90" s="61">
        <f t="shared" si="628"/>
        <v>5308.3527641492292</v>
      </c>
      <c r="IR90" s="61">
        <f t="shared" si="629"/>
        <v>2404.9765131167906</v>
      </c>
      <c r="IS90" s="61">
        <f t="shared" si="630"/>
        <v>9099.5925482971015</v>
      </c>
      <c r="IT90" s="61">
        <f t="shared" si="631"/>
        <v>10640.438849151609</v>
      </c>
      <c r="IU90" s="61">
        <f t="shared" si="632"/>
        <v>19303.100960542681</v>
      </c>
      <c r="IV90" s="61">
        <f t="shared" si="633"/>
        <v>2626.4875077459701</v>
      </c>
      <c r="IW90" s="61">
        <f t="shared" si="634"/>
        <v>4549.7962741485508</v>
      </c>
      <c r="IX90" s="61">
        <f t="shared" si="635"/>
        <v>5616.8859352398631</v>
      </c>
      <c r="IY90" s="61">
        <f t="shared" si="636"/>
        <v>51564.35777368382</v>
      </c>
      <c r="IZ90" s="61">
        <f t="shared" si="637"/>
        <v>19627.821126676943</v>
      </c>
      <c r="JA90" s="61">
        <f t="shared" si="638"/>
        <v>15165.987580495179</v>
      </c>
      <c r="JB90" s="61">
        <f t="shared" si="639"/>
        <v>4232.4422188075087</v>
      </c>
      <c r="JC90" s="61">
        <f t="shared" si="640"/>
        <v>16320.61363999979</v>
      </c>
      <c r="JD90" s="61">
        <f t="shared" si="641"/>
        <v>15553.236265748754</v>
      </c>
      <c r="JE90" s="61">
        <f t="shared" si="642"/>
        <v>14659.281180280908</v>
      </c>
      <c r="JF90" s="61">
        <f t="shared" si="643"/>
        <v>3496.7092723605883</v>
      </c>
      <c r="JG90" s="61">
        <f t="shared" si="644"/>
        <v>14635.547859427863</v>
      </c>
      <c r="JH90" s="61">
        <f t="shared" si="645"/>
        <v>5347.90829890443</v>
      </c>
      <c r="JI90" s="61">
        <f t="shared" si="646"/>
        <v>4857.4196679398401</v>
      </c>
      <c r="JJ90" s="61">
        <f t="shared" si="647"/>
        <v>20845.766815995867</v>
      </c>
      <c r="JK90" s="61">
        <f t="shared" si="648"/>
        <v>5276.7083363450674</v>
      </c>
      <c r="JL90" s="61">
        <f t="shared" si="649"/>
        <v>40053.934493126078</v>
      </c>
      <c r="JM90" s="61">
        <f t="shared" si="650"/>
        <v>0</v>
      </c>
      <c r="JN90" s="61">
        <f t="shared" si="651"/>
        <v>0</v>
      </c>
      <c r="JO90" s="61">
        <f t="shared" si="652"/>
        <v>0</v>
      </c>
      <c r="JQ90" s="26">
        <f t="shared" si="516"/>
        <v>1685110.2463125598</v>
      </c>
      <c r="JR90" s="156">
        <f t="shared" si="517"/>
        <v>1.00000133303774</v>
      </c>
      <c r="JT90" s="157">
        <f t="shared" si="653"/>
        <v>67404.319999999891</v>
      </c>
      <c r="JU90" s="29">
        <f t="shared" si="654"/>
        <v>0.99999999999999978</v>
      </c>
    </row>
    <row r="91" spans="1:281" ht="18.75" x14ac:dyDescent="0.3">
      <c r="A91" t="s">
        <v>234</v>
      </c>
      <c r="B91" t="s">
        <v>170</v>
      </c>
      <c r="C91" t="s">
        <v>74</v>
      </c>
      <c r="D91" t="s">
        <v>29</v>
      </c>
      <c r="E91" s="11" t="s">
        <v>254</v>
      </c>
      <c r="F91" s="114">
        <v>2247.0009999982431</v>
      </c>
      <c r="G91" s="17">
        <v>791618.35425346962</v>
      </c>
      <c r="H91" s="21">
        <v>418591</v>
      </c>
      <c r="I91" s="25">
        <f t="shared" si="434"/>
        <v>1.8911499632182001</v>
      </c>
      <c r="J91" s="13">
        <v>3.999999999999998E-2</v>
      </c>
      <c r="K91" s="13">
        <v>1.7500847656555688E-2</v>
      </c>
      <c r="L91" s="13">
        <v>7.9288490128061016E-3</v>
      </c>
      <c r="M91" s="13">
        <v>3.0000000000000023E-2</v>
      </c>
      <c r="N91" s="13">
        <v>3.5079940533632503E-2</v>
      </c>
      <c r="O91" s="13">
        <v>6.3639446023838739E-2</v>
      </c>
      <c r="P91" s="13">
        <v>8.6591377376698947E-3</v>
      </c>
      <c r="Q91" s="13">
        <v>1.5000000000000024E-2</v>
      </c>
      <c r="R91" s="13">
        <v>1.8518035523330083E-2</v>
      </c>
      <c r="S91" s="13">
        <v>0.16999999999999979</v>
      </c>
      <c r="T91" s="13">
        <v>6.4709999999999851E-2</v>
      </c>
      <c r="U91" s="13">
        <v>5.0000000000000058E-2</v>
      </c>
      <c r="V91" s="13">
        <v>1.3953730992931894E-2</v>
      </c>
      <c r="W91" s="13">
        <v>5.380662997835229E-2</v>
      </c>
      <c r="X91" s="13">
        <v>5.1276701181502911E-2</v>
      </c>
      <c r="Y91" s="13">
        <v>4.8329464541874291E-2</v>
      </c>
      <c r="Z91" s="13">
        <v>1.1528129156777396E-2</v>
      </c>
      <c r="AA91" s="13">
        <v>4.825121932135306E-2</v>
      </c>
      <c r="AB91" s="13">
        <v>1.7631256357424137E-2</v>
      </c>
      <c r="AC91" s="13">
        <v>1.6014188466654519E-2</v>
      </c>
      <c r="AD91" s="13">
        <v>6.8725385357711014E-2</v>
      </c>
      <c r="AE91" s="13">
        <v>1.7396520695860888E-2</v>
      </c>
      <c r="AF91" s="13">
        <v>0.1320518504994655</v>
      </c>
      <c r="AG91" s="9">
        <v>0</v>
      </c>
      <c r="AH91" s="13">
        <v>0</v>
      </c>
      <c r="AJ91" s="8">
        <f t="shared" si="461"/>
        <v>1.0000013330377404</v>
      </c>
      <c r="AK91" s="141">
        <f t="shared" si="435"/>
        <v>89.880039999929679</v>
      </c>
      <c r="AL91" s="141">
        <f t="shared" si="436"/>
        <v>39.324422185097539</v>
      </c>
      <c r="AM91" s="141">
        <f t="shared" si="437"/>
        <v>17.816131660610392</v>
      </c>
      <c r="AN91" s="141">
        <f t="shared" si="438"/>
        <v>67.410029999947341</v>
      </c>
      <c r="AO91" s="141">
        <f t="shared" si="439"/>
        <v>78.824661458951141</v>
      </c>
      <c r="AP91" s="141">
        <f t="shared" si="440"/>
        <v>142.99789885489986</v>
      </c>
      <c r="AQ91" s="141">
        <f t="shared" si="441"/>
        <v>19.457091155666777</v>
      </c>
      <c r="AR91" s="141">
        <f t="shared" si="442"/>
        <v>33.705014999973699</v>
      </c>
      <c r="AS91" s="141">
        <f t="shared" si="443"/>
        <v>41.610044338925682</v>
      </c>
      <c r="AT91" s="141">
        <f t="shared" si="444"/>
        <v>381.99016999970087</v>
      </c>
      <c r="AU91" s="141">
        <f t="shared" si="445"/>
        <v>145.40343470988597</v>
      </c>
      <c r="AV91" s="141">
        <f t="shared" si="446"/>
        <v>112.35004999991229</v>
      </c>
      <c r="AW91" s="141">
        <f t="shared" si="447"/>
        <v>31.354047494824442</v>
      </c>
      <c r="AX91" s="141">
        <f t="shared" si="448"/>
        <v>120.90355136789304</v>
      </c>
      <c r="AY91" s="141">
        <f t="shared" si="449"/>
        <v>115.21879883144813</v>
      </c>
      <c r="AZ91" s="141">
        <f t="shared" si="450"/>
        <v>108.59635515497116</v>
      </c>
      <c r="BA91" s="141">
        <f t="shared" si="451"/>
        <v>25.903717743387713</v>
      </c>
      <c r="BB91" s="141">
        <f t="shared" si="452"/>
        <v>108.42053806621487</v>
      </c>
      <c r="BC91" s="141">
        <f t="shared" si="453"/>
        <v>39.617450666357414</v>
      </c>
      <c r="BD91" s="141">
        <f t="shared" si="454"/>
        <v>35.983897498733036</v>
      </c>
      <c r="BE91" s="141">
        <f t="shared" si="455"/>
        <v>154.42600962404126</v>
      </c>
      <c r="BF91" s="141">
        <f t="shared" si="456"/>
        <v>39.089999400089546</v>
      </c>
      <c r="BG91" s="141">
        <f t="shared" si="457"/>
        <v>296.72064012391746</v>
      </c>
      <c r="BH91" s="141">
        <f t="shared" si="458"/>
        <v>0</v>
      </c>
      <c r="BI91" s="141">
        <f t="shared" si="459"/>
        <v>0</v>
      </c>
      <c r="BJ91" s="141">
        <f t="shared" si="460"/>
        <v>0</v>
      </c>
      <c r="BM91" s="26">
        <f t="shared" si="462"/>
        <v>31664.73417013877</v>
      </c>
      <c r="BN91" s="26">
        <f t="shared" si="463"/>
        <v>13853.992219923304</v>
      </c>
      <c r="BO91" s="26">
        <f t="shared" si="464"/>
        <v>6276.6224066418135</v>
      </c>
      <c r="BP91" s="26">
        <f t="shared" si="465"/>
        <v>23748.550627604105</v>
      </c>
      <c r="BQ91" s="26">
        <f t="shared" si="466"/>
        <v>27769.924792543741</v>
      </c>
      <c r="BR91" s="26">
        <f t="shared" si="467"/>
        <v>50378.15352699373</v>
      </c>
      <c r="BS91" s="26">
        <f t="shared" si="468"/>
        <v>6854.7323651483539</v>
      </c>
      <c r="BT91" s="26">
        <f t="shared" si="469"/>
        <v>11874.275313802063</v>
      </c>
      <c r="BU91" s="26">
        <f t="shared" si="470"/>
        <v>14659.216804985848</v>
      </c>
      <c r="BV91" s="26">
        <f t="shared" si="471"/>
        <v>134575.12022308967</v>
      </c>
      <c r="BW91" s="26">
        <f t="shared" si="472"/>
        <v>51225.623703741898</v>
      </c>
      <c r="BX91" s="26">
        <f t="shared" si="473"/>
        <v>39580.91771267353</v>
      </c>
      <c r="BY91" s="26">
        <f t="shared" si="474"/>
        <v>11046.029564320379</v>
      </c>
      <c r="BZ91" s="26">
        <f t="shared" si="475"/>
        <v>42594.315871388644</v>
      </c>
      <c r="CA91" s="26">
        <f t="shared" si="476"/>
        <v>40591.577800848274</v>
      </c>
      <c r="CB91" s="26">
        <f t="shared" si="477"/>
        <v>38258.49118258994</v>
      </c>
      <c r="CC91" s="26">
        <f t="shared" si="478"/>
        <v>9125.8786307095615</v>
      </c>
      <c r="CD91" s="26">
        <f t="shared" si="479"/>
        <v>38196.550829892723</v>
      </c>
      <c r="CE91" s="26">
        <f t="shared" si="480"/>
        <v>13957.226141085119</v>
      </c>
      <c r="CF91" s="26">
        <f t="shared" si="481"/>
        <v>12677.125518677945</v>
      </c>
      <c r="CG91" s="26">
        <f t="shared" si="482"/>
        <v>54404.276452306694</v>
      </c>
      <c r="CH91" s="26">
        <f t="shared" si="483"/>
        <v>13771.405082993821</v>
      </c>
      <c r="CI91" s="26">
        <f t="shared" si="484"/>
        <v>104534.66856851209</v>
      </c>
      <c r="CJ91" s="26">
        <f t="shared" si="485"/>
        <v>0</v>
      </c>
      <c r="CK91" s="26">
        <f t="shared" si="486"/>
        <v>0</v>
      </c>
      <c r="CL91" s="26">
        <f t="shared" si="487"/>
        <v>0</v>
      </c>
      <c r="CM91" s="110">
        <f t="shared" si="488"/>
        <v>1.0000013330377409</v>
      </c>
      <c r="CN91" s="27">
        <f t="shared" si="489"/>
        <v>16743.639999999992</v>
      </c>
      <c r="CO91" s="27">
        <f t="shared" si="490"/>
        <v>7325.6973214053023</v>
      </c>
      <c r="CP91" s="27">
        <f t="shared" si="491"/>
        <v>3318.944837119519</v>
      </c>
      <c r="CQ91" s="27">
        <f t="shared" si="492"/>
        <v>12557.73000000001</v>
      </c>
      <c r="CR91" s="27">
        <f t="shared" si="493"/>
        <v>14684.147387913763</v>
      </c>
      <c r="CS91" s="27">
        <f t="shared" si="494"/>
        <v>26638.899350564683</v>
      </c>
      <c r="CT91" s="27">
        <f t="shared" si="495"/>
        <v>3624.6371247489787</v>
      </c>
      <c r="CU91" s="27">
        <f t="shared" si="496"/>
        <v>6278.8650000000098</v>
      </c>
      <c r="CV91" s="27">
        <f t="shared" si="497"/>
        <v>7751.483007746263</v>
      </c>
      <c r="CW91" s="27">
        <f t="shared" si="498"/>
        <v>71160.469999999914</v>
      </c>
      <c r="CX91" s="27">
        <f t="shared" si="499"/>
        <v>27087.023609999938</v>
      </c>
      <c r="CY91" s="27">
        <f t="shared" si="500"/>
        <v>20929.550000000025</v>
      </c>
      <c r="CZ91" s="27">
        <f t="shared" si="501"/>
        <v>5840.9062100623541</v>
      </c>
      <c r="DA91" s="27">
        <f t="shared" si="502"/>
        <v>22522.971049268464</v>
      </c>
      <c r="DB91" s="27">
        <f t="shared" si="503"/>
        <v>21463.965624266486</v>
      </c>
      <c r="DC91" s="27">
        <f t="shared" si="504"/>
        <v>20230.2788920477</v>
      </c>
      <c r="DD91" s="27">
        <f t="shared" si="505"/>
        <v>4825.5711118646068</v>
      </c>
      <c r="DE91" s="27">
        <f t="shared" si="506"/>
        <v>20197.526146944499</v>
      </c>
      <c r="DF91" s="27">
        <f t="shared" si="507"/>
        <v>7380.2852299105271</v>
      </c>
      <c r="DG91" s="27">
        <f t="shared" si="508"/>
        <v>6703.3951644453819</v>
      </c>
      <c r="DH91" s="27">
        <f t="shared" si="509"/>
        <v>28767.827782269611</v>
      </c>
      <c r="DI91" s="27">
        <f t="shared" si="510"/>
        <v>7282.0269946011049</v>
      </c>
      <c r="DJ91" s="27">
        <f t="shared" si="511"/>
        <v>55275.716152421759</v>
      </c>
      <c r="DK91" s="27">
        <f t="shared" si="512"/>
        <v>0</v>
      </c>
      <c r="DL91" s="27">
        <f t="shared" si="513"/>
        <v>0</v>
      </c>
      <c r="DM91" s="27">
        <f t="shared" si="514"/>
        <v>0</v>
      </c>
      <c r="DN91" s="110">
        <f t="shared" si="515"/>
        <v>1.0000013330377406</v>
      </c>
      <c r="DO91" s="28">
        <f t="shared" si="518"/>
        <v>14921.094170138778</v>
      </c>
      <c r="DP91" s="28">
        <f t="shared" si="519"/>
        <v>6528.2948985180019</v>
      </c>
      <c r="DQ91" s="28">
        <f t="shared" si="520"/>
        <v>2957.6775695222946</v>
      </c>
      <c r="DR91" s="28">
        <f t="shared" si="521"/>
        <v>11190.820627604095</v>
      </c>
      <c r="DS91" s="28">
        <f t="shared" si="522"/>
        <v>13085.777404629978</v>
      </c>
      <c r="DT91" s="28">
        <f t="shared" si="523"/>
        <v>23739.254176429047</v>
      </c>
      <c r="DU91" s="28">
        <f t="shared" si="524"/>
        <v>3230.0952403993751</v>
      </c>
      <c r="DV91" s="28">
        <f t="shared" si="525"/>
        <v>5595.4103138020537</v>
      </c>
      <c r="DW91" s="28">
        <f t="shared" si="526"/>
        <v>6907.7337972395853</v>
      </c>
      <c r="DX91" s="28">
        <f t="shared" si="527"/>
        <v>63414.65022308976</v>
      </c>
      <c r="DY91" s="28">
        <f t="shared" si="528"/>
        <v>24138.600093741959</v>
      </c>
      <c r="DZ91" s="28">
        <f t="shared" si="529"/>
        <v>18651.367712673506</v>
      </c>
      <c r="EA91" s="28">
        <f t="shared" si="530"/>
        <v>5205.1233542580248</v>
      </c>
      <c r="EB91" s="28">
        <f t="shared" si="531"/>
        <v>20071.34482212018</v>
      </c>
      <c r="EC91" s="28">
        <f t="shared" si="532"/>
        <v>19127.612176581788</v>
      </c>
      <c r="ED91" s="28">
        <f t="shared" si="533"/>
        <v>18028.21229054224</v>
      </c>
      <c r="EE91" s="28">
        <f t="shared" si="534"/>
        <v>4300.3075188449548</v>
      </c>
      <c r="EF91" s="28">
        <f t="shared" si="535"/>
        <v>17999.024682948224</v>
      </c>
      <c r="EG91" s="28">
        <f t="shared" si="536"/>
        <v>6576.9409111745917</v>
      </c>
      <c r="EH91" s="28">
        <f t="shared" si="537"/>
        <v>5973.7303542325635</v>
      </c>
      <c r="EI91" s="28">
        <f t="shared" si="538"/>
        <v>25636.448670037084</v>
      </c>
      <c r="EJ91" s="28">
        <f t="shared" si="539"/>
        <v>6489.3780883927157</v>
      </c>
      <c r="EK91" s="28">
        <f t="shared" si="540"/>
        <v>49258.952416090331</v>
      </c>
      <c r="EL91" s="28">
        <f t="shared" si="541"/>
        <v>0</v>
      </c>
      <c r="EM91" s="28">
        <f t="shared" si="542"/>
        <v>0</v>
      </c>
      <c r="EN91" s="28">
        <f t="shared" si="543"/>
        <v>0</v>
      </c>
      <c r="EQ91" s="144">
        <v>2.9999999999999995E-2</v>
      </c>
      <c r="ER91" s="144">
        <v>4.9999999999999996E-2</v>
      </c>
      <c r="ES91" s="144">
        <v>0.08</v>
      </c>
      <c r="ET91" s="144">
        <v>0.11</v>
      </c>
      <c r="EU91" s="144">
        <v>0.11999999999999998</v>
      </c>
      <c r="EV91" s="144">
        <v>0.15</v>
      </c>
      <c r="EW91" s="144">
        <v>0.13</v>
      </c>
      <c r="EX91" s="144">
        <v>0.08</v>
      </c>
      <c r="EY91" s="144">
        <v>7.0000000000000007E-2</v>
      </c>
      <c r="EZ91" s="144">
        <v>5.9999999999999991E-2</v>
      </c>
      <c r="FA91" s="144">
        <v>5.9999999999999991E-2</v>
      </c>
      <c r="FB91" s="144">
        <v>5.9999999999999991E-2</v>
      </c>
      <c r="FC91" s="145">
        <f t="shared" si="544"/>
        <v>0.99999999999999967</v>
      </c>
      <c r="FD91" s="146">
        <f t="shared" si="545"/>
        <v>0.15999999999999998</v>
      </c>
      <c r="FE91" s="146">
        <f t="shared" si="546"/>
        <v>0.38</v>
      </c>
      <c r="FF91" s="146">
        <f t="shared" si="547"/>
        <v>0.28000000000000003</v>
      </c>
      <c r="FG91" s="146">
        <f t="shared" si="548"/>
        <v>0.17999999999999997</v>
      </c>
      <c r="FH91" s="145">
        <f t="shared" si="375"/>
        <v>1</v>
      </c>
      <c r="FJ91" s="52">
        <f t="shared" si="549"/>
        <v>5066.3574672222021</v>
      </c>
      <c r="FK91" s="52">
        <f t="shared" si="550"/>
        <v>2216.6387551877283</v>
      </c>
      <c r="FL91" s="52">
        <f t="shared" si="551"/>
        <v>1004.25958506269</v>
      </c>
      <c r="FM91" s="52">
        <f t="shared" si="552"/>
        <v>3799.7681004166561</v>
      </c>
      <c r="FN91" s="52">
        <f t="shared" si="553"/>
        <v>4443.1879668069978</v>
      </c>
      <c r="FO91" s="52">
        <f t="shared" si="554"/>
        <v>8060.504564318996</v>
      </c>
      <c r="FP91" s="52">
        <f t="shared" si="555"/>
        <v>1096.7571784237364</v>
      </c>
      <c r="FQ91" s="52">
        <f t="shared" si="556"/>
        <v>1899.8840502083299</v>
      </c>
      <c r="FR91" s="52">
        <f t="shared" si="557"/>
        <v>2345.4746887977353</v>
      </c>
      <c r="FS91" s="52">
        <f t="shared" si="558"/>
        <v>21532.019235694344</v>
      </c>
      <c r="FT91" s="52">
        <f t="shared" si="559"/>
        <v>8196.0997925987031</v>
      </c>
      <c r="FU91" s="52">
        <f t="shared" si="560"/>
        <v>6332.9468340277635</v>
      </c>
      <c r="FV91" s="52">
        <f t="shared" si="561"/>
        <v>1767.3647302912605</v>
      </c>
      <c r="FW91" s="52">
        <f t="shared" si="562"/>
        <v>6815.0905394221818</v>
      </c>
      <c r="FX91" s="52">
        <f t="shared" si="563"/>
        <v>6494.6524481357228</v>
      </c>
      <c r="FY91" s="52">
        <f t="shared" si="564"/>
        <v>6121.3585892143892</v>
      </c>
      <c r="FZ91" s="52">
        <f t="shared" si="565"/>
        <v>1460.1405809135297</v>
      </c>
      <c r="GA91" s="52">
        <f t="shared" si="566"/>
        <v>6111.4481327828344</v>
      </c>
      <c r="GB91" s="52">
        <f t="shared" si="567"/>
        <v>2233.1561825736185</v>
      </c>
      <c r="GC91" s="52">
        <f t="shared" si="568"/>
        <v>2028.3400829884708</v>
      </c>
      <c r="GD91" s="52">
        <f t="shared" si="569"/>
        <v>8704.6842323690689</v>
      </c>
      <c r="GE91" s="52">
        <f t="shared" si="570"/>
        <v>2203.4248132790108</v>
      </c>
      <c r="GF91" s="52">
        <f t="shared" si="571"/>
        <v>16725.546970961932</v>
      </c>
      <c r="GG91" s="52">
        <f t="shared" si="572"/>
        <v>0</v>
      </c>
      <c r="GH91" s="52">
        <f t="shared" si="573"/>
        <v>0</v>
      </c>
      <c r="GI91" s="52">
        <f t="shared" si="574"/>
        <v>0</v>
      </c>
      <c r="GJ91" s="26"/>
      <c r="GL91" s="150">
        <f t="shared" si="575"/>
        <v>12032.598984652734</v>
      </c>
      <c r="GM91" s="150">
        <f t="shared" si="576"/>
        <v>5264.517043570856</v>
      </c>
      <c r="GN91" s="150">
        <f t="shared" si="577"/>
        <v>2385.1165145238892</v>
      </c>
      <c r="GO91" s="150">
        <f t="shared" si="578"/>
        <v>9024.4492384895602</v>
      </c>
      <c r="GP91" s="150">
        <f t="shared" si="579"/>
        <v>10552.571421166622</v>
      </c>
      <c r="GQ91" s="150">
        <f t="shared" si="580"/>
        <v>19143.698340257619</v>
      </c>
      <c r="GR91" s="150">
        <f t="shared" si="581"/>
        <v>2604.7982987563746</v>
      </c>
      <c r="GS91" s="150">
        <f t="shared" si="582"/>
        <v>4512.2246192447838</v>
      </c>
      <c r="GT91" s="150">
        <f t="shared" si="583"/>
        <v>5570.5023858946224</v>
      </c>
      <c r="GU91" s="150">
        <f t="shared" si="584"/>
        <v>51138.545684774079</v>
      </c>
      <c r="GV91" s="150">
        <f t="shared" si="585"/>
        <v>19465.737007421922</v>
      </c>
      <c r="GW91" s="150">
        <f t="shared" si="586"/>
        <v>15040.748730815942</v>
      </c>
      <c r="GX91" s="150">
        <f t="shared" si="587"/>
        <v>4197.4912344417444</v>
      </c>
      <c r="GY91" s="150">
        <f t="shared" si="588"/>
        <v>16185.840031127686</v>
      </c>
      <c r="GZ91" s="150">
        <f t="shared" si="589"/>
        <v>15424.799564322344</v>
      </c>
      <c r="HA91" s="150">
        <f t="shared" si="590"/>
        <v>14538.226649384178</v>
      </c>
      <c r="HB91" s="150">
        <f t="shared" si="591"/>
        <v>3467.8338796696335</v>
      </c>
      <c r="HC91" s="150">
        <f t="shared" si="592"/>
        <v>14514.689315359235</v>
      </c>
      <c r="HD91" s="150">
        <f t="shared" si="593"/>
        <v>5303.7459336123457</v>
      </c>
      <c r="HE91" s="150">
        <f t="shared" si="594"/>
        <v>4817.307697097619</v>
      </c>
      <c r="HF91" s="150">
        <f t="shared" si="595"/>
        <v>20673.625051876545</v>
      </c>
      <c r="HG91" s="150">
        <f t="shared" si="596"/>
        <v>5233.1339315376517</v>
      </c>
      <c r="HH91" s="150">
        <f t="shared" si="597"/>
        <v>39723.174056034593</v>
      </c>
      <c r="HI91" s="150">
        <f t="shared" si="598"/>
        <v>0</v>
      </c>
      <c r="HJ91" s="150">
        <f t="shared" si="599"/>
        <v>0</v>
      </c>
      <c r="HK91" s="150">
        <f t="shared" si="600"/>
        <v>0</v>
      </c>
      <c r="HL91" s="26"/>
      <c r="HN91" s="147">
        <f t="shared" si="601"/>
        <v>8866.1255676388573</v>
      </c>
      <c r="HO91" s="147">
        <f t="shared" si="602"/>
        <v>3879.1178215785258</v>
      </c>
      <c r="HP91" s="147">
        <f t="shared" si="603"/>
        <v>1757.4542738597079</v>
      </c>
      <c r="HQ91" s="147">
        <f t="shared" si="604"/>
        <v>6649.5941757291503</v>
      </c>
      <c r="HR91" s="147">
        <f t="shared" si="605"/>
        <v>7775.5789419122484</v>
      </c>
      <c r="HS91" s="147">
        <f t="shared" si="606"/>
        <v>14105.882987558245</v>
      </c>
      <c r="HT91" s="147">
        <f t="shared" si="607"/>
        <v>1919.3250622415392</v>
      </c>
      <c r="HU91" s="147">
        <f t="shared" si="608"/>
        <v>3324.7970878645779</v>
      </c>
      <c r="HV91" s="147">
        <f t="shared" si="609"/>
        <v>4104.580705396038</v>
      </c>
      <c r="HW91" s="147">
        <f t="shared" si="610"/>
        <v>37681.03366246511</v>
      </c>
      <c r="HX91" s="147">
        <f t="shared" si="611"/>
        <v>14343.174637047732</v>
      </c>
      <c r="HY91" s="147">
        <f t="shared" si="612"/>
        <v>11082.656959548589</v>
      </c>
      <c r="HZ91" s="147">
        <f t="shared" si="613"/>
        <v>3092.8882780097065</v>
      </c>
      <c r="IA91" s="147">
        <f t="shared" si="614"/>
        <v>11926.408443988821</v>
      </c>
      <c r="IB91" s="147">
        <f t="shared" si="615"/>
        <v>11365.641784237518</v>
      </c>
      <c r="IC91" s="147">
        <f t="shared" si="616"/>
        <v>10712.377531125185</v>
      </c>
      <c r="ID91" s="147">
        <f t="shared" si="617"/>
        <v>2555.2460165986777</v>
      </c>
      <c r="IE91" s="147">
        <f t="shared" si="618"/>
        <v>10695.034232369964</v>
      </c>
      <c r="IF91" s="147">
        <f t="shared" si="619"/>
        <v>3908.0233195038336</v>
      </c>
      <c r="IG91" s="147">
        <f t="shared" si="620"/>
        <v>3549.595145229825</v>
      </c>
      <c r="IH91" s="147">
        <f t="shared" si="621"/>
        <v>15233.197406645875</v>
      </c>
      <c r="II91" s="147">
        <f t="shared" si="622"/>
        <v>3855.9934232382702</v>
      </c>
      <c r="IJ91" s="147">
        <f t="shared" si="623"/>
        <v>29269.707199183387</v>
      </c>
      <c r="IK91" s="147">
        <f t="shared" si="624"/>
        <v>0</v>
      </c>
      <c r="IL91" s="147">
        <f t="shared" si="625"/>
        <v>0</v>
      </c>
      <c r="IM91" s="147">
        <f t="shared" si="626"/>
        <v>0</v>
      </c>
      <c r="IN91" s="26"/>
      <c r="IP91" s="61">
        <f t="shared" si="627"/>
        <v>5699.6521506249774</v>
      </c>
      <c r="IQ91" s="61">
        <f t="shared" si="628"/>
        <v>2493.7185995861942</v>
      </c>
      <c r="IR91" s="61">
        <f t="shared" si="629"/>
        <v>1129.7920331955263</v>
      </c>
      <c r="IS91" s="61">
        <f t="shared" si="630"/>
        <v>4274.7391129687385</v>
      </c>
      <c r="IT91" s="61">
        <f t="shared" si="631"/>
        <v>4998.5864626578723</v>
      </c>
      <c r="IU91" s="61">
        <f t="shared" si="632"/>
        <v>9068.0676348588695</v>
      </c>
      <c r="IV91" s="61">
        <f t="shared" si="633"/>
        <v>1233.8518257267035</v>
      </c>
      <c r="IW91" s="61">
        <f t="shared" si="634"/>
        <v>2137.3695564843711</v>
      </c>
      <c r="IX91" s="61">
        <f t="shared" si="635"/>
        <v>2638.6590248974521</v>
      </c>
      <c r="IY91" s="61">
        <f t="shared" si="636"/>
        <v>24223.521640156137</v>
      </c>
      <c r="IZ91" s="61">
        <f t="shared" si="637"/>
        <v>9220.6122666735391</v>
      </c>
      <c r="JA91" s="61">
        <f t="shared" si="638"/>
        <v>7124.5651882812344</v>
      </c>
      <c r="JB91" s="61">
        <f t="shared" si="639"/>
        <v>1988.2853215776679</v>
      </c>
      <c r="JC91" s="61">
        <f t="shared" si="640"/>
        <v>7666.9768568499549</v>
      </c>
      <c r="JD91" s="61">
        <f t="shared" si="641"/>
        <v>7306.4840041526877</v>
      </c>
      <c r="JE91" s="61">
        <f t="shared" si="642"/>
        <v>6886.5284128661879</v>
      </c>
      <c r="JF91" s="61">
        <f t="shared" si="643"/>
        <v>1642.6581535277207</v>
      </c>
      <c r="JG91" s="61">
        <f t="shared" si="644"/>
        <v>6875.3791493806893</v>
      </c>
      <c r="JH91" s="61">
        <f t="shared" si="645"/>
        <v>2512.3007053953211</v>
      </c>
      <c r="JI91" s="61">
        <f t="shared" si="646"/>
        <v>2281.8825933620296</v>
      </c>
      <c r="JJ91" s="61">
        <f t="shared" si="647"/>
        <v>9792.7697614152039</v>
      </c>
      <c r="JK91" s="61">
        <f t="shared" si="648"/>
        <v>2478.8529149388874</v>
      </c>
      <c r="JL91" s="61">
        <f t="shared" si="649"/>
        <v>18816.240342332174</v>
      </c>
      <c r="JM91" s="61">
        <f t="shared" si="650"/>
        <v>0</v>
      </c>
      <c r="JN91" s="61">
        <f t="shared" si="651"/>
        <v>0</v>
      </c>
      <c r="JO91" s="61">
        <f t="shared" si="652"/>
        <v>0</v>
      </c>
      <c r="JQ91" s="26">
        <f t="shared" si="516"/>
        <v>791619.40951061237</v>
      </c>
      <c r="JR91" s="156">
        <f t="shared" si="517"/>
        <v>1.0000013330377411</v>
      </c>
      <c r="JT91" s="157">
        <f t="shared" si="653"/>
        <v>31664.73417013877</v>
      </c>
      <c r="JU91" s="29">
        <f t="shared" si="654"/>
        <v>1</v>
      </c>
    </row>
    <row r="92" spans="1:281" ht="18.75" x14ac:dyDescent="0.3">
      <c r="A92" t="s">
        <v>234</v>
      </c>
      <c r="B92" t="s">
        <v>171</v>
      </c>
      <c r="C92" t="s">
        <v>74</v>
      </c>
      <c r="D92" t="s">
        <v>29</v>
      </c>
      <c r="E92" s="11" t="s">
        <v>255</v>
      </c>
      <c r="F92" s="114">
        <v>4300</v>
      </c>
      <c r="G92" s="17">
        <v>7778399</v>
      </c>
      <c r="H92" s="21">
        <v>4515000</v>
      </c>
      <c r="I92" s="25">
        <f t="shared" si="434"/>
        <v>1.7227904761904762</v>
      </c>
      <c r="J92" s="13">
        <v>1.4999999999999994E-2</v>
      </c>
      <c r="K92" s="13">
        <v>1.3694366635543118E-2</v>
      </c>
      <c r="L92" s="13">
        <v>4.6685340802987765E-3</v>
      </c>
      <c r="M92" s="13">
        <v>4.0460628695922754E-3</v>
      </c>
      <c r="N92" s="13">
        <v>6.2247121070650325E-3</v>
      </c>
      <c r="O92" s="13">
        <v>1.6806722689075612E-2</v>
      </c>
      <c r="P92" s="13">
        <v>2.7388733271086239E-2</v>
      </c>
      <c r="Q92" s="13">
        <v>3.9999999999999869E-2</v>
      </c>
      <c r="R92" s="13">
        <v>1.1204481792717068E-2</v>
      </c>
      <c r="S92" s="13">
        <v>2.2097727980080913E-2</v>
      </c>
      <c r="T92" s="13">
        <v>0.34516028633675711</v>
      </c>
      <c r="U92" s="13">
        <v>2.3342670401493869E-2</v>
      </c>
      <c r="V92" s="13">
        <v>5.6022408963585339E-3</v>
      </c>
      <c r="W92" s="13">
        <v>6.131341425459088E-2</v>
      </c>
      <c r="X92" s="13">
        <v>3.9838157485216366E-2</v>
      </c>
      <c r="Y92" s="13">
        <v>2.27201991907874E-2</v>
      </c>
      <c r="Z92" s="13">
        <v>4.0460628695922748E-2</v>
      </c>
      <c r="AA92" s="13">
        <v>6.3803299097416902E-2</v>
      </c>
      <c r="AB92" s="13">
        <v>2.0541549953314711E-2</v>
      </c>
      <c r="AC92" s="13">
        <v>1.8674136321195128E-3</v>
      </c>
      <c r="AD92" s="13">
        <v>3.1746031746031807E-2</v>
      </c>
      <c r="AE92" s="13">
        <v>1.8362900715841853E-2</v>
      </c>
      <c r="AF92" s="13">
        <v>2.5521319638966644E-2</v>
      </c>
      <c r="AG92" s="9">
        <v>0</v>
      </c>
      <c r="AH92" s="13">
        <v>0.13858999999999994</v>
      </c>
      <c r="AJ92" s="8">
        <f t="shared" si="461"/>
        <v>1.0000014534702772</v>
      </c>
      <c r="AK92" s="141">
        <f t="shared" si="435"/>
        <v>64.499999999999972</v>
      </c>
      <c r="AL92" s="141">
        <f t="shared" si="436"/>
        <v>58.885776532835408</v>
      </c>
      <c r="AM92" s="141">
        <f t="shared" si="437"/>
        <v>20.074696545284738</v>
      </c>
      <c r="AN92" s="141">
        <f t="shared" si="438"/>
        <v>17.398070339246782</v>
      </c>
      <c r="AO92" s="141">
        <f t="shared" si="439"/>
        <v>26.766262060379638</v>
      </c>
      <c r="AP92" s="141">
        <f t="shared" si="440"/>
        <v>72.268907563025138</v>
      </c>
      <c r="AQ92" s="141">
        <f t="shared" si="441"/>
        <v>117.77155306567083</v>
      </c>
      <c r="AR92" s="141">
        <f t="shared" si="442"/>
        <v>171.99999999999943</v>
      </c>
      <c r="AS92" s="141">
        <f t="shared" si="443"/>
        <v>48.179271708683395</v>
      </c>
      <c r="AT92" s="141">
        <f t="shared" si="444"/>
        <v>95.020230314347927</v>
      </c>
      <c r="AU92" s="141">
        <f t="shared" si="445"/>
        <v>1484.1892312480556</v>
      </c>
      <c r="AV92" s="141">
        <f t="shared" si="446"/>
        <v>100.37348272642363</v>
      </c>
      <c r="AW92" s="141">
        <f t="shared" si="447"/>
        <v>24.089635854341697</v>
      </c>
      <c r="AX92" s="141">
        <f t="shared" si="448"/>
        <v>263.64768129474078</v>
      </c>
      <c r="AY92" s="141">
        <f t="shared" si="449"/>
        <v>171.30407718643036</v>
      </c>
      <c r="AZ92" s="141">
        <f t="shared" si="450"/>
        <v>97.696856520385822</v>
      </c>
      <c r="BA92" s="141">
        <f t="shared" si="451"/>
        <v>173.98070339246783</v>
      </c>
      <c r="BB92" s="141">
        <f t="shared" si="452"/>
        <v>274.3541861188927</v>
      </c>
      <c r="BC92" s="141">
        <f t="shared" si="453"/>
        <v>88.328664799253261</v>
      </c>
      <c r="BD92" s="141">
        <f t="shared" si="454"/>
        <v>8.029878618113905</v>
      </c>
      <c r="BE92" s="141">
        <f t="shared" si="455"/>
        <v>136.50793650793676</v>
      </c>
      <c r="BF92" s="141">
        <f t="shared" si="456"/>
        <v>78.960473078119961</v>
      </c>
      <c r="BG92" s="141">
        <f t="shared" si="457"/>
        <v>109.74167444755658</v>
      </c>
      <c r="BH92" s="141">
        <f t="shared" si="458"/>
        <v>0</v>
      </c>
      <c r="BI92" s="141">
        <f t="shared" si="459"/>
        <v>595.93699999999967</v>
      </c>
      <c r="BJ92" s="141">
        <f t="shared" si="460"/>
        <v>0</v>
      </c>
      <c r="BM92" s="26">
        <f t="shared" si="462"/>
        <v>116675.98499999996</v>
      </c>
      <c r="BN92" s="26">
        <f t="shared" si="463"/>
        <v>106520.24774354196</v>
      </c>
      <c r="BO92" s="26">
        <f t="shared" si="464"/>
        <v>36313.720821661926</v>
      </c>
      <c r="BP92" s="26">
        <f t="shared" si="465"/>
        <v>31471.891378773686</v>
      </c>
      <c r="BQ92" s="26">
        <f t="shared" si="466"/>
        <v>48418.294428882538</v>
      </c>
      <c r="BR92" s="26">
        <f t="shared" si="467"/>
        <v>130729.39495798305</v>
      </c>
      <c r="BS92" s="26">
        <f t="shared" si="468"/>
        <v>213040.49548708391</v>
      </c>
      <c r="BT92" s="26">
        <f t="shared" si="469"/>
        <v>311135.95999999897</v>
      </c>
      <c r="BU92" s="26">
        <f t="shared" si="470"/>
        <v>87152.929971988648</v>
      </c>
      <c r="BV92" s="26">
        <f t="shared" si="471"/>
        <v>171884.9452225334</v>
      </c>
      <c r="BW92" s="26">
        <f t="shared" si="472"/>
        <v>2684794.4260815452</v>
      </c>
      <c r="BX92" s="26">
        <f t="shared" si="473"/>
        <v>181568.60410830952</v>
      </c>
      <c r="BY92" s="26">
        <f t="shared" si="474"/>
        <v>43576.464985994324</v>
      </c>
      <c r="BZ92" s="26">
        <f t="shared" si="475"/>
        <v>476920.20012449543</v>
      </c>
      <c r="CA92" s="26">
        <f t="shared" si="476"/>
        <v>309877.08434484951</v>
      </c>
      <c r="CB92" s="26">
        <f t="shared" si="477"/>
        <v>176726.77466542152</v>
      </c>
      <c r="CC92" s="26">
        <f t="shared" si="478"/>
        <v>314718.91378773679</v>
      </c>
      <c r="CD92" s="26">
        <f t="shared" si="479"/>
        <v>496287.51789604855</v>
      </c>
      <c r="CE92" s="26">
        <f t="shared" si="480"/>
        <v>159780.3716153132</v>
      </c>
      <c r="CF92" s="26">
        <f t="shared" si="481"/>
        <v>14525.488328664787</v>
      </c>
      <c r="CG92" s="26">
        <f t="shared" si="482"/>
        <v>246933.30158730206</v>
      </c>
      <c r="CH92" s="26">
        <f t="shared" si="483"/>
        <v>142833.96856520354</v>
      </c>
      <c r="CI92" s="26">
        <f t="shared" si="484"/>
        <v>198515.00715841851</v>
      </c>
      <c r="CJ92" s="26">
        <f t="shared" si="485"/>
        <v>0</v>
      </c>
      <c r="CK92" s="26">
        <f t="shared" si="486"/>
        <v>1078008.3174099994</v>
      </c>
      <c r="CL92" s="26">
        <f t="shared" si="487"/>
        <v>0</v>
      </c>
      <c r="CM92" s="110">
        <f t="shared" si="488"/>
        <v>1.000001453470277</v>
      </c>
      <c r="CN92" s="27">
        <f t="shared" si="489"/>
        <v>67724.999999999971</v>
      </c>
      <c r="CO92" s="27">
        <f t="shared" si="490"/>
        <v>61830.065359477179</v>
      </c>
      <c r="CP92" s="27">
        <f t="shared" si="491"/>
        <v>21078.431372548977</v>
      </c>
      <c r="CQ92" s="27">
        <f t="shared" si="492"/>
        <v>18267.973856209122</v>
      </c>
      <c r="CR92" s="27">
        <f t="shared" si="493"/>
        <v>28104.575163398622</v>
      </c>
      <c r="CS92" s="27">
        <f t="shared" si="494"/>
        <v>75882.352941176388</v>
      </c>
      <c r="CT92" s="27">
        <f t="shared" si="495"/>
        <v>123660.13071895437</v>
      </c>
      <c r="CU92" s="27">
        <f t="shared" si="496"/>
        <v>180599.99999999942</v>
      </c>
      <c r="CV92" s="27">
        <f t="shared" si="497"/>
        <v>50588.235294117563</v>
      </c>
      <c r="CW92" s="27">
        <f t="shared" si="498"/>
        <v>99771.241830065323</v>
      </c>
      <c r="CX92" s="27">
        <f t="shared" si="499"/>
        <v>1558398.6928104584</v>
      </c>
      <c r="CY92" s="27">
        <f t="shared" si="500"/>
        <v>105392.15686274481</v>
      </c>
      <c r="CZ92" s="27">
        <f t="shared" si="501"/>
        <v>25294.117647058782</v>
      </c>
      <c r="DA92" s="27">
        <f t="shared" si="502"/>
        <v>276830.06535947783</v>
      </c>
      <c r="DB92" s="27">
        <f t="shared" si="503"/>
        <v>179869.28104575188</v>
      </c>
      <c r="DC92" s="27">
        <f t="shared" si="504"/>
        <v>102581.6993464051</v>
      </c>
      <c r="DD92" s="27">
        <f t="shared" si="505"/>
        <v>182679.7385620912</v>
      </c>
      <c r="DE92" s="27">
        <f t="shared" si="506"/>
        <v>288071.8954248373</v>
      </c>
      <c r="DF92" s="27">
        <f t="shared" si="507"/>
        <v>92745.098039215925</v>
      </c>
      <c r="DG92" s="27">
        <f t="shared" si="508"/>
        <v>8431.3725490196011</v>
      </c>
      <c r="DH92" s="27">
        <f t="shared" si="509"/>
        <v>143333.3333333336</v>
      </c>
      <c r="DI92" s="27">
        <f t="shared" si="510"/>
        <v>82908.49673202596</v>
      </c>
      <c r="DJ92" s="27">
        <f t="shared" si="511"/>
        <v>115228.7581699344</v>
      </c>
      <c r="DK92" s="27">
        <f t="shared" si="512"/>
        <v>0</v>
      </c>
      <c r="DL92" s="27">
        <f t="shared" si="513"/>
        <v>625733.84999999974</v>
      </c>
      <c r="DM92" s="27">
        <f t="shared" si="514"/>
        <v>0</v>
      </c>
      <c r="DN92" s="110">
        <f t="shared" si="515"/>
        <v>1.0000014534702772</v>
      </c>
      <c r="DO92" s="28">
        <f t="shared" si="518"/>
        <v>48950.984999999986</v>
      </c>
      <c r="DP92" s="28">
        <f t="shared" si="519"/>
        <v>44690.182384064778</v>
      </c>
      <c r="DQ92" s="28">
        <f t="shared" si="520"/>
        <v>15235.289449112948</v>
      </c>
      <c r="DR92" s="28">
        <f t="shared" si="521"/>
        <v>13203.917522564563</v>
      </c>
      <c r="DS92" s="28">
        <f t="shared" si="522"/>
        <v>20313.719265483916</v>
      </c>
      <c r="DT92" s="28">
        <f t="shared" si="523"/>
        <v>54847.042016806663</v>
      </c>
      <c r="DU92" s="28">
        <f t="shared" si="524"/>
        <v>89380.364768129541</v>
      </c>
      <c r="DV92" s="28">
        <f t="shared" si="525"/>
        <v>130535.95999999956</v>
      </c>
      <c r="DW92" s="28">
        <f t="shared" si="526"/>
        <v>36564.694677871084</v>
      </c>
      <c r="DX92" s="28">
        <f t="shared" si="527"/>
        <v>72113.703392468073</v>
      </c>
      <c r="DY92" s="28">
        <f t="shared" si="528"/>
        <v>1126395.7332710868</v>
      </c>
      <c r="DZ92" s="28">
        <f t="shared" si="529"/>
        <v>76176.447245564705</v>
      </c>
      <c r="EA92" s="28">
        <f t="shared" si="530"/>
        <v>18282.347338935542</v>
      </c>
      <c r="EB92" s="28">
        <f t="shared" si="531"/>
        <v>200090.1347650176</v>
      </c>
      <c r="EC92" s="28">
        <f t="shared" si="532"/>
        <v>130007.80329909764</v>
      </c>
      <c r="ED92" s="28">
        <f t="shared" si="533"/>
        <v>74145.075319016411</v>
      </c>
      <c r="EE92" s="28">
        <f t="shared" si="534"/>
        <v>132039.17522564559</v>
      </c>
      <c r="EF92" s="28">
        <f t="shared" si="535"/>
        <v>208215.62247121125</v>
      </c>
      <c r="EG92" s="28">
        <f t="shared" si="536"/>
        <v>67035.273576097272</v>
      </c>
      <c r="EH92" s="28">
        <f t="shared" si="537"/>
        <v>6094.1157796451862</v>
      </c>
      <c r="EI92" s="28">
        <f t="shared" si="538"/>
        <v>103599.96825396846</v>
      </c>
      <c r="EJ92" s="28">
        <f t="shared" si="539"/>
        <v>59925.47183317758</v>
      </c>
      <c r="EK92" s="28">
        <f t="shared" si="540"/>
        <v>83286.248988484105</v>
      </c>
      <c r="EL92" s="28">
        <f t="shared" si="541"/>
        <v>0</v>
      </c>
      <c r="EM92" s="28">
        <f t="shared" si="542"/>
        <v>452274.46740999969</v>
      </c>
      <c r="EN92" s="28">
        <f t="shared" si="543"/>
        <v>0</v>
      </c>
      <c r="EQ92" s="144">
        <v>2.9999999762039872E-2</v>
      </c>
      <c r="ER92" s="144">
        <v>5.000000016997154E-2</v>
      </c>
      <c r="ES92" s="144">
        <v>7.9999999932011401E-2</v>
      </c>
      <c r="ET92" s="144">
        <v>0.10999999969405128</v>
      </c>
      <c r="EU92" s="144">
        <v>0.12000000074787474</v>
      </c>
      <c r="EV92" s="144">
        <v>0.1500000005099146</v>
      </c>
      <c r="EW92" s="144">
        <v>0.13000000010198295</v>
      </c>
      <c r="EX92" s="144">
        <v>7.9999999932011401E-2</v>
      </c>
      <c r="EY92" s="144">
        <v>7.0000000577903204E-2</v>
      </c>
      <c r="EZ92" s="144">
        <v>5.9999999524079743E-2</v>
      </c>
      <c r="FA92" s="144">
        <v>5.9999999524079743E-2</v>
      </c>
      <c r="FB92" s="144">
        <v>5.9999999524079743E-2</v>
      </c>
      <c r="FC92" s="145">
        <f t="shared" si="544"/>
        <v>1.0000000000000002</v>
      </c>
      <c r="FD92" s="146">
        <f t="shared" si="545"/>
        <v>0.1599999998640228</v>
      </c>
      <c r="FE92" s="146">
        <f t="shared" si="546"/>
        <v>0.38000000095184061</v>
      </c>
      <c r="FF92" s="146">
        <f t="shared" si="547"/>
        <v>0.28000000061189756</v>
      </c>
      <c r="FG92" s="146">
        <f t="shared" si="548"/>
        <v>0.17999999857223922</v>
      </c>
      <c r="FH92" s="145">
        <f t="shared" si="375"/>
        <v>1.0000000000000002</v>
      </c>
      <c r="FJ92" s="52">
        <f t="shared" si="549"/>
        <v>18668.157584134718</v>
      </c>
      <c r="FK92" s="52">
        <f t="shared" si="550"/>
        <v>17043.239624482387</v>
      </c>
      <c r="FL92" s="52">
        <f t="shared" si="551"/>
        <v>5810.1953265280699</v>
      </c>
      <c r="FM92" s="52">
        <f t="shared" si="552"/>
        <v>5035.5026163243301</v>
      </c>
      <c r="FN92" s="52">
        <f t="shared" si="553"/>
        <v>7746.9271020374217</v>
      </c>
      <c r="FO92" s="52">
        <f t="shared" si="554"/>
        <v>20916.703175501072</v>
      </c>
      <c r="FP92" s="52">
        <f t="shared" si="555"/>
        <v>34086.479248964773</v>
      </c>
      <c r="FQ92" s="52">
        <f t="shared" si="556"/>
        <v>49781.753557692442</v>
      </c>
      <c r="FR92" s="52">
        <f t="shared" si="557"/>
        <v>13944.468783667373</v>
      </c>
      <c r="FS92" s="52">
        <f t="shared" si="558"/>
        <v>27501.59121223291</v>
      </c>
      <c r="FT92" s="52">
        <f t="shared" si="559"/>
        <v>429567.10780797643</v>
      </c>
      <c r="FU92" s="52">
        <f t="shared" si="560"/>
        <v>29050.976632640333</v>
      </c>
      <c r="FV92" s="52">
        <f t="shared" si="561"/>
        <v>6972.2343918336865</v>
      </c>
      <c r="FW92" s="52">
        <f t="shared" si="562"/>
        <v>76307.231955069001</v>
      </c>
      <c r="FX92" s="52">
        <f t="shared" si="563"/>
        <v>49580.333453039704</v>
      </c>
      <c r="FY92" s="52">
        <f t="shared" si="564"/>
        <v>28276.283922436629</v>
      </c>
      <c r="FZ92" s="52">
        <f t="shared" si="565"/>
        <v>50355.026163243288</v>
      </c>
      <c r="GA92" s="52">
        <f t="shared" si="566"/>
        <v>79406.002795883978</v>
      </c>
      <c r="GB92" s="52">
        <f t="shared" si="567"/>
        <v>25564.859436723626</v>
      </c>
      <c r="GC92" s="52">
        <f t="shared" si="568"/>
        <v>2324.0781306112308</v>
      </c>
      <c r="GD92" s="52">
        <f t="shared" si="569"/>
        <v>39509.328220391035</v>
      </c>
      <c r="GE92" s="52">
        <f t="shared" si="570"/>
        <v>22853.434951010404</v>
      </c>
      <c r="GF92" s="52">
        <f t="shared" si="571"/>
        <v>31762.401118353446</v>
      </c>
      <c r="GG92" s="52">
        <f t="shared" si="572"/>
        <v>0</v>
      </c>
      <c r="GH92" s="52">
        <f t="shared" si="573"/>
        <v>172481.33063901536</v>
      </c>
      <c r="GI92" s="52">
        <f t="shared" si="574"/>
        <v>0</v>
      </c>
      <c r="GJ92" s="26"/>
      <c r="GL92" s="150">
        <f t="shared" si="575"/>
        <v>44336.874411056924</v>
      </c>
      <c r="GM92" s="150">
        <f t="shared" si="576"/>
        <v>40477.694243936239</v>
      </c>
      <c r="GN92" s="150">
        <f t="shared" si="577"/>
        <v>13799.213946796406</v>
      </c>
      <c r="GO92" s="150">
        <f t="shared" si="578"/>
        <v>11959.318753890226</v>
      </c>
      <c r="GP92" s="150">
        <f t="shared" si="579"/>
        <v>18398.951929061863</v>
      </c>
      <c r="GQ92" s="150">
        <f t="shared" si="580"/>
        <v>49677.170208467105</v>
      </c>
      <c r="GR92" s="150">
        <f t="shared" si="581"/>
        <v>80955.388487872478</v>
      </c>
      <c r="GS92" s="150">
        <f t="shared" si="582"/>
        <v>118231.66509615145</v>
      </c>
      <c r="GT92" s="150">
        <f t="shared" si="583"/>
        <v>33118.113472311386</v>
      </c>
      <c r="GU92" s="150">
        <f t="shared" si="584"/>
        <v>65316.279348169759</v>
      </c>
      <c r="GV92" s="150">
        <f t="shared" si="585"/>
        <v>1020221.8844664835</v>
      </c>
      <c r="GW92" s="150">
        <f t="shared" si="586"/>
        <v>68996.069733981989</v>
      </c>
      <c r="GX92" s="150">
        <f t="shared" si="587"/>
        <v>16559.056736155693</v>
      </c>
      <c r="GY92" s="150">
        <f t="shared" si="588"/>
        <v>181229.67650126028</v>
      </c>
      <c r="GZ92" s="150">
        <f t="shared" si="589"/>
        <v>117753.29234599641</v>
      </c>
      <c r="HA92" s="150">
        <f t="shared" si="590"/>
        <v>67156.174541075903</v>
      </c>
      <c r="HB92" s="150">
        <f t="shared" si="591"/>
        <v>119593.18753890222</v>
      </c>
      <c r="HC92" s="150">
        <f t="shared" si="592"/>
        <v>188589.25727288506</v>
      </c>
      <c r="HD92" s="150">
        <f t="shared" si="593"/>
        <v>60716.541365904464</v>
      </c>
      <c r="HE92" s="150">
        <f t="shared" si="594"/>
        <v>5519.6855787185686</v>
      </c>
      <c r="HF92" s="150">
        <f t="shared" si="595"/>
        <v>93834.654838215924</v>
      </c>
      <c r="HG92" s="150">
        <f t="shared" si="596"/>
        <v>54276.908190732516</v>
      </c>
      <c r="HH92" s="150">
        <f t="shared" si="597"/>
        <v>75435.702909153682</v>
      </c>
      <c r="HI92" s="150">
        <f t="shared" si="598"/>
        <v>0</v>
      </c>
      <c r="HJ92" s="150">
        <f t="shared" si="599"/>
        <v>409643.16164189187</v>
      </c>
      <c r="HK92" s="150">
        <f t="shared" si="600"/>
        <v>0</v>
      </c>
      <c r="HL92" s="26"/>
      <c r="HN92" s="147">
        <f t="shared" si="601"/>
        <v>32669.27587139374</v>
      </c>
      <c r="HO92" s="147">
        <f t="shared" si="602"/>
        <v>29825.669433371226</v>
      </c>
      <c r="HP92" s="147">
        <f t="shared" si="603"/>
        <v>10167.841852285615</v>
      </c>
      <c r="HQ92" s="147">
        <f t="shared" si="604"/>
        <v>8812.129605314205</v>
      </c>
      <c r="HR92" s="147">
        <f t="shared" si="605"/>
        <v>13557.122469714146</v>
      </c>
      <c r="HS92" s="147">
        <f t="shared" si="606"/>
        <v>36604.230668228251</v>
      </c>
      <c r="HT92" s="147">
        <f t="shared" si="607"/>
        <v>59651.338866742452</v>
      </c>
      <c r="HU92" s="147">
        <f t="shared" si="608"/>
        <v>87118.06899038305</v>
      </c>
      <c r="HV92" s="147">
        <f t="shared" si="609"/>
        <v>24402.820445485486</v>
      </c>
      <c r="HW92" s="147">
        <f t="shared" si="610"/>
        <v>48127.784767485326</v>
      </c>
      <c r="HX92" s="147">
        <f t="shared" si="611"/>
        <v>751742.44094565185</v>
      </c>
      <c r="HY92" s="147">
        <f t="shared" si="612"/>
        <v>50839.209261428048</v>
      </c>
      <c r="HZ92" s="147">
        <f t="shared" si="613"/>
        <v>12201.410222742743</v>
      </c>
      <c r="IA92" s="147">
        <f t="shared" si="614"/>
        <v>133537.65632668501</v>
      </c>
      <c r="IB92" s="147">
        <f t="shared" si="615"/>
        <v>86765.583806170893</v>
      </c>
      <c r="IC92" s="147">
        <f t="shared" si="616"/>
        <v>49483.497014456705</v>
      </c>
      <c r="ID92" s="147">
        <f t="shared" si="617"/>
        <v>88121.296053142039</v>
      </c>
      <c r="IE92" s="147">
        <f t="shared" si="618"/>
        <v>138960.50531457071</v>
      </c>
      <c r="IF92" s="147">
        <f t="shared" si="619"/>
        <v>44738.504150056913</v>
      </c>
      <c r="IG92" s="147">
        <f t="shared" si="620"/>
        <v>4067.1367409142513</v>
      </c>
      <c r="IH92" s="147">
        <f t="shared" si="621"/>
        <v>69141.324595542465</v>
      </c>
      <c r="II92" s="147">
        <f t="shared" si="622"/>
        <v>39993.51128565675</v>
      </c>
      <c r="IJ92" s="147">
        <f t="shared" si="623"/>
        <v>55584.202125828029</v>
      </c>
      <c r="IK92" s="147">
        <f t="shared" si="624"/>
        <v>0</v>
      </c>
      <c r="IL92" s="147">
        <f t="shared" si="625"/>
        <v>301842.32953443052</v>
      </c>
      <c r="IM92" s="147">
        <f t="shared" si="626"/>
        <v>0</v>
      </c>
      <c r="IN92" s="26"/>
      <c r="IP92" s="61">
        <f t="shared" si="627"/>
        <v>21001.677133414596</v>
      </c>
      <c r="IQ92" s="61">
        <f t="shared" si="628"/>
        <v>19173.64444175212</v>
      </c>
      <c r="IR92" s="61">
        <f t="shared" si="629"/>
        <v>6536.4696960518404</v>
      </c>
      <c r="IS92" s="61">
        <f t="shared" si="630"/>
        <v>5664.9404032449311</v>
      </c>
      <c r="IT92" s="61">
        <f t="shared" si="631"/>
        <v>8715.2929280691151</v>
      </c>
      <c r="IU92" s="61">
        <f t="shared" si="632"/>
        <v>23531.290905786645</v>
      </c>
      <c r="IV92" s="61">
        <f t="shared" si="633"/>
        <v>38347.288883504239</v>
      </c>
      <c r="IW92" s="61">
        <f t="shared" si="634"/>
        <v>56004.472355772094</v>
      </c>
      <c r="IX92" s="61">
        <f t="shared" si="635"/>
        <v>15687.527270524422</v>
      </c>
      <c r="IY92" s="61">
        <f t="shared" si="636"/>
        <v>30939.28989464543</v>
      </c>
      <c r="IZ92" s="61">
        <f t="shared" si="637"/>
        <v>483262.99286143394</v>
      </c>
      <c r="JA92" s="61">
        <f t="shared" si="638"/>
        <v>32682.348480259181</v>
      </c>
      <c r="JB92" s="61">
        <f t="shared" si="639"/>
        <v>7843.7636352622112</v>
      </c>
      <c r="JC92" s="61">
        <f t="shared" si="640"/>
        <v>85845.635341481218</v>
      </c>
      <c r="JD92" s="61">
        <f t="shared" si="641"/>
        <v>55777.874739642568</v>
      </c>
      <c r="JE92" s="61">
        <f t="shared" si="642"/>
        <v>31810.819187452315</v>
      </c>
      <c r="JF92" s="61">
        <f t="shared" si="643"/>
        <v>56649.404032449303</v>
      </c>
      <c r="JG92" s="61">
        <f t="shared" si="644"/>
        <v>89331.752512708888</v>
      </c>
      <c r="JH92" s="61">
        <f t="shared" si="645"/>
        <v>28760.466662628227</v>
      </c>
      <c r="JI92" s="61">
        <f t="shared" si="646"/>
        <v>2614.5878784207393</v>
      </c>
      <c r="JJ92" s="61">
        <f t="shared" si="647"/>
        <v>44447.993933152691</v>
      </c>
      <c r="JK92" s="61">
        <f t="shared" si="648"/>
        <v>25710.114137803899</v>
      </c>
      <c r="JL92" s="61">
        <f t="shared" si="649"/>
        <v>35732.701005083392</v>
      </c>
      <c r="JM92" s="61">
        <f t="shared" si="650"/>
        <v>0</v>
      </c>
      <c r="JN92" s="61">
        <f t="shared" si="651"/>
        <v>194041.49559466192</v>
      </c>
      <c r="JO92" s="61">
        <f t="shared" si="652"/>
        <v>0</v>
      </c>
      <c r="JQ92" s="26">
        <f t="shared" si="516"/>
        <v>7778410.3056717524</v>
      </c>
      <c r="JR92" s="156">
        <f t="shared" si="517"/>
        <v>1.0000014534702775</v>
      </c>
      <c r="JT92" s="157">
        <f t="shared" si="653"/>
        <v>116675.98499999999</v>
      </c>
      <c r="JU92" s="29">
        <f t="shared" si="654"/>
        <v>1.0000000000000002</v>
      </c>
    </row>
    <row r="93" spans="1:281" ht="18.75" x14ac:dyDescent="0.3">
      <c r="A93" t="s">
        <v>234</v>
      </c>
      <c r="B93" t="s">
        <v>172</v>
      </c>
      <c r="C93" t="s">
        <v>74</v>
      </c>
      <c r="D93" t="s">
        <v>29</v>
      </c>
      <c r="E93" s="11" t="s">
        <v>256</v>
      </c>
      <c r="F93" s="114">
        <v>650</v>
      </c>
      <c r="G93" s="17">
        <v>300378</v>
      </c>
      <c r="H93" s="21">
        <v>243523</v>
      </c>
      <c r="I93" s="25">
        <f t="shared" si="434"/>
        <v>1.2334687072678967</v>
      </c>
      <c r="J93" s="13">
        <v>0.19999999999999998</v>
      </c>
      <c r="K93" s="13">
        <v>0</v>
      </c>
      <c r="L93" s="13">
        <v>0</v>
      </c>
      <c r="M93" s="13">
        <v>9.9999999999999992E-2</v>
      </c>
      <c r="N93" s="13">
        <v>9.9999999999999992E-2</v>
      </c>
      <c r="O93" s="13">
        <v>0</v>
      </c>
      <c r="P93" s="13">
        <v>0</v>
      </c>
      <c r="Q93" s="13">
        <v>0</v>
      </c>
      <c r="R93" s="13">
        <v>0</v>
      </c>
      <c r="S93" s="13">
        <v>0.39999999999999997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0.19999999999999998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9">
        <v>0</v>
      </c>
      <c r="AH93" s="13">
        <v>0</v>
      </c>
      <c r="AJ93" s="8">
        <f t="shared" si="461"/>
        <v>0.99999999999999989</v>
      </c>
      <c r="AK93" s="141">
        <f t="shared" si="435"/>
        <v>130</v>
      </c>
      <c r="AL93" s="141">
        <f t="shared" si="436"/>
        <v>0</v>
      </c>
      <c r="AM93" s="141">
        <f t="shared" si="437"/>
        <v>0</v>
      </c>
      <c r="AN93" s="141">
        <f t="shared" si="438"/>
        <v>65</v>
      </c>
      <c r="AO93" s="141">
        <f t="shared" si="439"/>
        <v>65</v>
      </c>
      <c r="AP93" s="141">
        <f t="shared" si="440"/>
        <v>0</v>
      </c>
      <c r="AQ93" s="141">
        <f t="shared" si="441"/>
        <v>0</v>
      </c>
      <c r="AR93" s="141">
        <f t="shared" si="442"/>
        <v>0</v>
      </c>
      <c r="AS93" s="141">
        <f t="shared" si="443"/>
        <v>0</v>
      </c>
      <c r="AT93" s="141">
        <f t="shared" si="444"/>
        <v>260</v>
      </c>
      <c r="AU93" s="141">
        <f t="shared" si="445"/>
        <v>0</v>
      </c>
      <c r="AV93" s="141">
        <f t="shared" si="446"/>
        <v>0</v>
      </c>
      <c r="AW93" s="141">
        <f t="shared" si="447"/>
        <v>0</v>
      </c>
      <c r="AX93" s="141">
        <f t="shared" si="448"/>
        <v>0</v>
      </c>
      <c r="AY93" s="141">
        <f t="shared" si="449"/>
        <v>0</v>
      </c>
      <c r="AZ93" s="141">
        <f t="shared" si="450"/>
        <v>130</v>
      </c>
      <c r="BA93" s="141">
        <f t="shared" si="451"/>
        <v>0</v>
      </c>
      <c r="BB93" s="141">
        <f t="shared" si="452"/>
        <v>0</v>
      </c>
      <c r="BC93" s="141">
        <f t="shared" si="453"/>
        <v>0</v>
      </c>
      <c r="BD93" s="141">
        <f t="shared" si="454"/>
        <v>0</v>
      </c>
      <c r="BE93" s="141">
        <f t="shared" si="455"/>
        <v>0</v>
      </c>
      <c r="BF93" s="141">
        <f t="shared" si="456"/>
        <v>0</v>
      </c>
      <c r="BG93" s="141">
        <f t="shared" si="457"/>
        <v>0</v>
      </c>
      <c r="BH93" s="141">
        <f t="shared" si="458"/>
        <v>0</v>
      </c>
      <c r="BI93" s="141">
        <f t="shared" si="459"/>
        <v>0</v>
      </c>
      <c r="BJ93" s="141">
        <f t="shared" si="460"/>
        <v>0</v>
      </c>
      <c r="BM93" s="26">
        <f t="shared" si="462"/>
        <v>60075.6</v>
      </c>
      <c r="BN93" s="26">
        <f t="shared" si="463"/>
        <v>0</v>
      </c>
      <c r="BO93" s="26">
        <f t="shared" si="464"/>
        <v>0</v>
      </c>
      <c r="BP93" s="26">
        <f t="shared" si="465"/>
        <v>30037.8</v>
      </c>
      <c r="BQ93" s="26">
        <f t="shared" si="466"/>
        <v>30037.8</v>
      </c>
      <c r="BR93" s="26">
        <f t="shared" si="467"/>
        <v>0</v>
      </c>
      <c r="BS93" s="26">
        <f t="shared" si="468"/>
        <v>0</v>
      </c>
      <c r="BT93" s="26">
        <f t="shared" si="469"/>
        <v>0</v>
      </c>
      <c r="BU93" s="26">
        <f t="shared" si="470"/>
        <v>0</v>
      </c>
      <c r="BV93" s="26">
        <f t="shared" si="471"/>
        <v>120151.2</v>
      </c>
      <c r="BW93" s="26">
        <f t="shared" si="472"/>
        <v>0</v>
      </c>
      <c r="BX93" s="26">
        <f t="shared" si="473"/>
        <v>0</v>
      </c>
      <c r="BY93" s="26">
        <f t="shared" si="474"/>
        <v>0</v>
      </c>
      <c r="BZ93" s="26">
        <f t="shared" si="475"/>
        <v>0</v>
      </c>
      <c r="CA93" s="26">
        <f t="shared" si="476"/>
        <v>0</v>
      </c>
      <c r="CB93" s="26">
        <f t="shared" si="477"/>
        <v>60075.6</v>
      </c>
      <c r="CC93" s="26">
        <f t="shared" si="478"/>
        <v>0</v>
      </c>
      <c r="CD93" s="26">
        <f t="shared" si="479"/>
        <v>0</v>
      </c>
      <c r="CE93" s="26">
        <f t="shared" si="480"/>
        <v>0</v>
      </c>
      <c r="CF93" s="26">
        <f t="shared" si="481"/>
        <v>0</v>
      </c>
      <c r="CG93" s="26">
        <f t="shared" si="482"/>
        <v>0</v>
      </c>
      <c r="CH93" s="26">
        <f t="shared" si="483"/>
        <v>0</v>
      </c>
      <c r="CI93" s="26">
        <f t="shared" si="484"/>
        <v>0</v>
      </c>
      <c r="CJ93" s="26">
        <f t="shared" si="485"/>
        <v>0</v>
      </c>
      <c r="CK93" s="26">
        <f t="shared" si="486"/>
        <v>0</v>
      </c>
      <c r="CL93" s="26">
        <f t="shared" si="487"/>
        <v>0</v>
      </c>
      <c r="CM93" s="110">
        <f t="shared" si="488"/>
        <v>1</v>
      </c>
      <c r="CN93" s="27">
        <f t="shared" si="489"/>
        <v>48704.6</v>
      </c>
      <c r="CO93" s="27">
        <f t="shared" si="490"/>
        <v>0</v>
      </c>
      <c r="CP93" s="27">
        <f t="shared" si="491"/>
        <v>0</v>
      </c>
      <c r="CQ93" s="27">
        <f t="shared" si="492"/>
        <v>24352.3</v>
      </c>
      <c r="CR93" s="27">
        <f t="shared" si="493"/>
        <v>24352.3</v>
      </c>
      <c r="CS93" s="27">
        <f t="shared" si="494"/>
        <v>0</v>
      </c>
      <c r="CT93" s="27">
        <f t="shared" si="495"/>
        <v>0</v>
      </c>
      <c r="CU93" s="27">
        <f t="shared" si="496"/>
        <v>0</v>
      </c>
      <c r="CV93" s="27">
        <f t="shared" si="497"/>
        <v>0</v>
      </c>
      <c r="CW93" s="27">
        <f t="shared" si="498"/>
        <v>97409.2</v>
      </c>
      <c r="CX93" s="27">
        <f t="shared" si="499"/>
        <v>0</v>
      </c>
      <c r="CY93" s="27">
        <f t="shared" si="500"/>
        <v>0</v>
      </c>
      <c r="CZ93" s="27">
        <f t="shared" si="501"/>
        <v>0</v>
      </c>
      <c r="DA93" s="27">
        <f t="shared" si="502"/>
        <v>0</v>
      </c>
      <c r="DB93" s="27">
        <f t="shared" si="503"/>
        <v>0</v>
      </c>
      <c r="DC93" s="27">
        <f t="shared" si="504"/>
        <v>48704.6</v>
      </c>
      <c r="DD93" s="27">
        <f t="shared" si="505"/>
        <v>0</v>
      </c>
      <c r="DE93" s="27">
        <f t="shared" si="506"/>
        <v>0</v>
      </c>
      <c r="DF93" s="27">
        <f t="shared" si="507"/>
        <v>0</v>
      </c>
      <c r="DG93" s="27">
        <f t="shared" si="508"/>
        <v>0</v>
      </c>
      <c r="DH93" s="27">
        <f t="shared" si="509"/>
        <v>0</v>
      </c>
      <c r="DI93" s="27">
        <f t="shared" si="510"/>
        <v>0</v>
      </c>
      <c r="DJ93" s="27">
        <f t="shared" si="511"/>
        <v>0</v>
      </c>
      <c r="DK93" s="27">
        <f t="shared" si="512"/>
        <v>0</v>
      </c>
      <c r="DL93" s="27">
        <f t="shared" si="513"/>
        <v>0</v>
      </c>
      <c r="DM93" s="27">
        <f t="shared" si="514"/>
        <v>0</v>
      </c>
      <c r="DN93" s="110">
        <f t="shared" si="515"/>
        <v>1</v>
      </c>
      <c r="DO93" s="28">
        <f t="shared" si="518"/>
        <v>11371</v>
      </c>
      <c r="DP93" s="28">
        <f t="shared" si="519"/>
        <v>0</v>
      </c>
      <c r="DQ93" s="28">
        <f t="shared" si="520"/>
        <v>0</v>
      </c>
      <c r="DR93" s="28">
        <f t="shared" si="521"/>
        <v>5685.5</v>
      </c>
      <c r="DS93" s="28">
        <f t="shared" si="522"/>
        <v>5685.5</v>
      </c>
      <c r="DT93" s="28">
        <f t="shared" si="523"/>
        <v>0</v>
      </c>
      <c r="DU93" s="28">
        <f t="shared" si="524"/>
        <v>0</v>
      </c>
      <c r="DV93" s="28">
        <f t="shared" si="525"/>
        <v>0</v>
      </c>
      <c r="DW93" s="28">
        <f t="shared" si="526"/>
        <v>0</v>
      </c>
      <c r="DX93" s="28">
        <f t="shared" si="527"/>
        <v>22742</v>
      </c>
      <c r="DY93" s="28">
        <f t="shared" si="528"/>
        <v>0</v>
      </c>
      <c r="DZ93" s="28">
        <f t="shared" si="529"/>
        <v>0</v>
      </c>
      <c r="EA93" s="28">
        <f t="shared" si="530"/>
        <v>0</v>
      </c>
      <c r="EB93" s="28">
        <f t="shared" si="531"/>
        <v>0</v>
      </c>
      <c r="EC93" s="28">
        <f t="shared" si="532"/>
        <v>0</v>
      </c>
      <c r="ED93" s="28">
        <f t="shared" si="533"/>
        <v>11371</v>
      </c>
      <c r="EE93" s="28">
        <f t="shared" si="534"/>
        <v>0</v>
      </c>
      <c r="EF93" s="28">
        <f t="shared" si="535"/>
        <v>0</v>
      </c>
      <c r="EG93" s="28">
        <f t="shared" si="536"/>
        <v>0</v>
      </c>
      <c r="EH93" s="28">
        <f t="shared" si="537"/>
        <v>0</v>
      </c>
      <c r="EI93" s="28">
        <f t="shared" si="538"/>
        <v>0</v>
      </c>
      <c r="EJ93" s="28">
        <f t="shared" si="539"/>
        <v>0</v>
      </c>
      <c r="EK93" s="28">
        <f t="shared" si="540"/>
        <v>0</v>
      </c>
      <c r="EL93" s="28">
        <f t="shared" si="541"/>
        <v>0</v>
      </c>
      <c r="EM93" s="28">
        <f t="shared" si="542"/>
        <v>0</v>
      </c>
      <c r="EN93" s="28">
        <f t="shared" si="543"/>
        <v>0</v>
      </c>
      <c r="EQ93" s="144">
        <v>0</v>
      </c>
      <c r="ER93" s="144">
        <v>0</v>
      </c>
      <c r="ES93" s="144">
        <v>7.0000009870440943E-2</v>
      </c>
      <c r="ET93" s="144">
        <v>0.1500000017018002</v>
      </c>
      <c r="EU93" s="144">
        <v>0.13999998570487868</v>
      </c>
      <c r="EV93" s="144">
        <v>0.16999999965963999</v>
      </c>
      <c r="EW93" s="144">
        <v>0.16999999965963999</v>
      </c>
      <c r="EX93" s="144">
        <v>0.1500000017018002</v>
      </c>
      <c r="EY93" s="144">
        <v>5.9999993873519418E-2</v>
      </c>
      <c r="EZ93" s="144">
        <v>5.9999993873519418E-2</v>
      </c>
      <c r="FA93" s="144">
        <v>3.0000013954761325E-2</v>
      </c>
      <c r="FB93" s="144">
        <v>0</v>
      </c>
      <c r="FC93" s="145">
        <f t="shared" si="544"/>
        <v>1</v>
      </c>
      <c r="FD93" s="146">
        <f t="shared" si="545"/>
        <v>7.0000009870440943E-2</v>
      </c>
      <c r="FE93" s="146">
        <f t="shared" si="546"/>
        <v>0.45999998706631884</v>
      </c>
      <c r="FF93" s="146">
        <f t="shared" si="547"/>
        <v>0.37999999523495959</v>
      </c>
      <c r="FG93" s="146">
        <f t="shared" si="548"/>
        <v>9.0000007828280743E-2</v>
      </c>
      <c r="FH93" s="145">
        <f t="shared" si="375"/>
        <v>1.0000000000000002</v>
      </c>
      <c r="FJ93" s="52">
        <f t="shared" si="549"/>
        <v>4205.2925929726616</v>
      </c>
      <c r="FK93" s="52">
        <f t="shared" si="550"/>
        <v>0</v>
      </c>
      <c r="FL93" s="52">
        <f t="shared" si="551"/>
        <v>0</v>
      </c>
      <c r="FM93" s="52">
        <f t="shared" si="552"/>
        <v>2102.6462964863308</v>
      </c>
      <c r="FN93" s="52">
        <f t="shared" si="553"/>
        <v>2102.6462964863308</v>
      </c>
      <c r="FO93" s="52">
        <f t="shared" si="554"/>
        <v>0</v>
      </c>
      <c r="FP93" s="52">
        <f t="shared" si="555"/>
        <v>0</v>
      </c>
      <c r="FQ93" s="52">
        <f t="shared" si="556"/>
        <v>0</v>
      </c>
      <c r="FR93" s="52">
        <f t="shared" si="557"/>
        <v>0</v>
      </c>
      <c r="FS93" s="52">
        <f t="shared" si="558"/>
        <v>8410.5851859453232</v>
      </c>
      <c r="FT93" s="52">
        <f t="shared" si="559"/>
        <v>0</v>
      </c>
      <c r="FU93" s="52">
        <f t="shared" si="560"/>
        <v>0</v>
      </c>
      <c r="FV93" s="52">
        <f t="shared" si="561"/>
        <v>0</v>
      </c>
      <c r="FW93" s="52">
        <f t="shared" si="562"/>
        <v>0</v>
      </c>
      <c r="FX93" s="52">
        <f t="shared" si="563"/>
        <v>0</v>
      </c>
      <c r="FY93" s="52">
        <f t="shared" si="564"/>
        <v>4205.2925929726616</v>
      </c>
      <c r="FZ93" s="52">
        <f t="shared" si="565"/>
        <v>0</v>
      </c>
      <c r="GA93" s="52">
        <f t="shared" si="566"/>
        <v>0</v>
      </c>
      <c r="GB93" s="52">
        <f t="shared" si="567"/>
        <v>0</v>
      </c>
      <c r="GC93" s="52">
        <f t="shared" si="568"/>
        <v>0</v>
      </c>
      <c r="GD93" s="52">
        <f t="shared" si="569"/>
        <v>0</v>
      </c>
      <c r="GE93" s="52">
        <f t="shared" si="570"/>
        <v>0</v>
      </c>
      <c r="GF93" s="52">
        <f t="shared" si="571"/>
        <v>0</v>
      </c>
      <c r="GG93" s="52">
        <f t="shared" si="572"/>
        <v>0</v>
      </c>
      <c r="GH93" s="52">
        <f t="shared" si="573"/>
        <v>0</v>
      </c>
      <c r="GI93" s="52">
        <f t="shared" si="574"/>
        <v>0</v>
      </c>
      <c r="GJ93" s="26"/>
      <c r="GL93" s="150">
        <f t="shared" si="575"/>
        <v>27634.775223001343</v>
      </c>
      <c r="GM93" s="150">
        <f t="shared" si="576"/>
        <v>0</v>
      </c>
      <c r="GN93" s="150">
        <f t="shared" si="577"/>
        <v>0</v>
      </c>
      <c r="GO93" s="150">
        <f t="shared" si="578"/>
        <v>13817.387611500671</v>
      </c>
      <c r="GP93" s="150">
        <f t="shared" si="579"/>
        <v>13817.387611500671</v>
      </c>
      <c r="GQ93" s="150">
        <f t="shared" si="580"/>
        <v>0</v>
      </c>
      <c r="GR93" s="150">
        <f t="shared" si="581"/>
        <v>0</v>
      </c>
      <c r="GS93" s="150">
        <f t="shared" si="582"/>
        <v>0</v>
      </c>
      <c r="GT93" s="150">
        <f t="shared" si="583"/>
        <v>0</v>
      </c>
      <c r="GU93" s="150">
        <f t="shared" si="584"/>
        <v>55269.550446002686</v>
      </c>
      <c r="GV93" s="150">
        <f t="shared" si="585"/>
        <v>0</v>
      </c>
      <c r="GW93" s="150">
        <f t="shared" si="586"/>
        <v>0</v>
      </c>
      <c r="GX93" s="150">
        <f t="shared" si="587"/>
        <v>0</v>
      </c>
      <c r="GY93" s="150">
        <f t="shared" si="588"/>
        <v>0</v>
      </c>
      <c r="GZ93" s="150">
        <f t="shared" si="589"/>
        <v>0</v>
      </c>
      <c r="HA93" s="150">
        <f t="shared" si="590"/>
        <v>27634.775223001343</v>
      </c>
      <c r="HB93" s="150">
        <f t="shared" si="591"/>
        <v>0</v>
      </c>
      <c r="HC93" s="150">
        <f t="shared" si="592"/>
        <v>0</v>
      </c>
      <c r="HD93" s="150">
        <f t="shared" si="593"/>
        <v>0</v>
      </c>
      <c r="HE93" s="150">
        <f t="shared" si="594"/>
        <v>0</v>
      </c>
      <c r="HF93" s="150">
        <f t="shared" si="595"/>
        <v>0</v>
      </c>
      <c r="HG93" s="150">
        <f t="shared" si="596"/>
        <v>0</v>
      </c>
      <c r="HH93" s="150">
        <f t="shared" si="597"/>
        <v>0</v>
      </c>
      <c r="HI93" s="150">
        <f t="shared" si="598"/>
        <v>0</v>
      </c>
      <c r="HJ93" s="150">
        <f t="shared" si="599"/>
        <v>0</v>
      </c>
      <c r="HK93" s="150">
        <f t="shared" si="600"/>
        <v>0</v>
      </c>
      <c r="HL93" s="26"/>
      <c r="HN93" s="147">
        <f t="shared" si="601"/>
        <v>22828.727713737338</v>
      </c>
      <c r="HO93" s="147">
        <f t="shared" si="602"/>
        <v>0</v>
      </c>
      <c r="HP93" s="147">
        <f t="shared" si="603"/>
        <v>0</v>
      </c>
      <c r="HQ93" s="147">
        <f t="shared" si="604"/>
        <v>11414.363856868669</v>
      </c>
      <c r="HR93" s="147">
        <f t="shared" si="605"/>
        <v>11414.363856868669</v>
      </c>
      <c r="HS93" s="147">
        <f t="shared" si="606"/>
        <v>0</v>
      </c>
      <c r="HT93" s="147">
        <f t="shared" si="607"/>
        <v>0</v>
      </c>
      <c r="HU93" s="147">
        <f t="shared" si="608"/>
        <v>0</v>
      </c>
      <c r="HV93" s="147">
        <f t="shared" si="609"/>
        <v>0</v>
      </c>
      <c r="HW93" s="147">
        <f t="shared" si="610"/>
        <v>45657.455427474677</v>
      </c>
      <c r="HX93" s="147">
        <f t="shared" si="611"/>
        <v>0</v>
      </c>
      <c r="HY93" s="147">
        <f t="shared" si="612"/>
        <v>0</v>
      </c>
      <c r="HZ93" s="147">
        <f t="shared" si="613"/>
        <v>0</v>
      </c>
      <c r="IA93" s="147">
        <f t="shared" si="614"/>
        <v>0</v>
      </c>
      <c r="IB93" s="147">
        <f t="shared" si="615"/>
        <v>0</v>
      </c>
      <c r="IC93" s="147">
        <f t="shared" si="616"/>
        <v>22828.727713737338</v>
      </c>
      <c r="ID93" s="147">
        <f t="shared" si="617"/>
        <v>0</v>
      </c>
      <c r="IE93" s="147">
        <f t="shared" si="618"/>
        <v>0</v>
      </c>
      <c r="IF93" s="147">
        <f t="shared" si="619"/>
        <v>0</v>
      </c>
      <c r="IG93" s="147">
        <f t="shared" si="620"/>
        <v>0</v>
      </c>
      <c r="IH93" s="147">
        <f t="shared" si="621"/>
        <v>0</v>
      </c>
      <c r="II93" s="147">
        <f t="shared" si="622"/>
        <v>0</v>
      </c>
      <c r="IJ93" s="147">
        <f t="shared" si="623"/>
        <v>0</v>
      </c>
      <c r="IK93" s="147">
        <f t="shared" si="624"/>
        <v>0</v>
      </c>
      <c r="IL93" s="147">
        <f t="shared" si="625"/>
        <v>0</v>
      </c>
      <c r="IM93" s="147">
        <f t="shared" si="626"/>
        <v>0</v>
      </c>
      <c r="IN93" s="26"/>
      <c r="IP93" s="61">
        <f t="shared" si="627"/>
        <v>5406.8044702886627</v>
      </c>
      <c r="IQ93" s="61">
        <f t="shared" si="628"/>
        <v>0</v>
      </c>
      <c r="IR93" s="61">
        <f t="shared" si="629"/>
        <v>0</v>
      </c>
      <c r="IS93" s="61">
        <f t="shared" si="630"/>
        <v>2703.4022351443314</v>
      </c>
      <c r="IT93" s="61">
        <f t="shared" si="631"/>
        <v>2703.4022351443314</v>
      </c>
      <c r="IU93" s="61">
        <f t="shared" si="632"/>
        <v>0</v>
      </c>
      <c r="IV93" s="61">
        <f t="shared" si="633"/>
        <v>0</v>
      </c>
      <c r="IW93" s="61">
        <f t="shared" si="634"/>
        <v>0</v>
      </c>
      <c r="IX93" s="61">
        <f t="shared" si="635"/>
        <v>0</v>
      </c>
      <c r="IY93" s="61">
        <f t="shared" si="636"/>
        <v>10813.608940577325</v>
      </c>
      <c r="IZ93" s="61">
        <f t="shared" si="637"/>
        <v>0</v>
      </c>
      <c r="JA93" s="61">
        <f t="shared" si="638"/>
        <v>0</v>
      </c>
      <c r="JB93" s="61">
        <f t="shared" si="639"/>
        <v>0</v>
      </c>
      <c r="JC93" s="61">
        <f t="shared" si="640"/>
        <v>0</v>
      </c>
      <c r="JD93" s="61">
        <f t="shared" si="641"/>
        <v>0</v>
      </c>
      <c r="JE93" s="61">
        <f t="shared" si="642"/>
        <v>5406.8044702886627</v>
      </c>
      <c r="JF93" s="61">
        <f t="shared" si="643"/>
        <v>0</v>
      </c>
      <c r="JG93" s="61">
        <f t="shared" si="644"/>
        <v>0</v>
      </c>
      <c r="JH93" s="61">
        <f t="shared" si="645"/>
        <v>0</v>
      </c>
      <c r="JI93" s="61">
        <f t="shared" si="646"/>
        <v>0</v>
      </c>
      <c r="JJ93" s="61">
        <f t="shared" si="647"/>
        <v>0</v>
      </c>
      <c r="JK93" s="61">
        <f t="shared" si="648"/>
        <v>0</v>
      </c>
      <c r="JL93" s="61">
        <f t="shared" si="649"/>
        <v>0</v>
      </c>
      <c r="JM93" s="61">
        <f t="shared" si="650"/>
        <v>0</v>
      </c>
      <c r="JN93" s="61">
        <f t="shared" si="651"/>
        <v>0</v>
      </c>
      <c r="JO93" s="61">
        <f t="shared" si="652"/>
        <v>0</v>
      </c>
      <c r="JQ93" s="26">
        <f t="shared" si="516"/>
        <v>300377.99999999994</v>
      </c>
      <c r="JR93" s="156">
        <f t="shared" si="517"/>
        <v>0.99999999999999978</v>
      </c>
      <c r="JT93" s="157">
        <f t="shared" si="653"/>
        <v>60075.600000000006</v>
      </c>
      <c r="JU93" s="29">
        <f t="shared" si="654"/>
        <v>1.0000000000000002</v>
      </c>
    </row>
    <row r="94" spans="1:281" ht="18.75" x14ac:dyDescent="0.3">
      <c r="A94" t="s">
        <v>234</v>
      </c>
      <c r="B94" t="s">
        <v>173</v>
      </c>
      <c r="C94" t="s">
        <v>74</v>
      </c>
      <c r="D94" t="s">
        <v>29</v>
      </c>
      <c r="E94" s="11" t="s">
        <v>257</v>
      </c>
      <c r="F94" s="114">
        <v>2322</v>
      </c>
      <c r="G94" s="17">
        <v>341218</v>
      </c>
      <c r="H94" s="21">
        <v>274368</v>
      </c>
      <c r="I94" s="25">
        <f t="shared" si="434"/>
        <v>1.243650863074411</v>
      </c>
      <c r="J94" s="13">
        <v>0.20000000000000057</v>
      </c>
      <c r="K94" s="13">
        <v>0</v>
      </c>
      <c r="L94" s="13">
        <v>0</v>
      </c>
      <c r="M94" s="13">
        <v>0.10000000000000028</v>
      </c>
      <c r="N94" s="13">
        <v>0.10000000000000028</v>
      </c>
      <c r="O94" s="13">
        <v>0</v>
      </c>
      <c r="P94" s="13">
        <v>0</v>
      </c>
      <c r="Q94" s="13">
        <v>0</v>
      </c>
      <c r="R94" s="13">
        <v>0</v>
      </c>
      <c r="S94" s="13">
        <v>0.39999999999999825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0.20000000000000057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9">
        <v>0</v>
      </c>
      <c r="AH94" s="13">
        <v>0</v>
      </c>
      <c r="AJ94" s="8">
        <f t="shared" si="461"/>
        <v>1</v>
      </c>
      <c r="AK94" s="141">
        <f t="shared" si="435"/>
        <v>464.40000000000134</v>
      </c>
      <c r="AL94" s="141">
        <f t="shared" si="436"/>
        <v>0</v>
      </c>
      <c r="AM94" s="141">
        <f t="shared" si="437"/>
        <v>0</v>
      </c>
      <c r="AN94" s="141">
        <f t="shared" si="438"/>
        <v>232.20000000000067</v>
      </c>
      <c r="AO94" s="141">
        <f t="shared" si="439"/>
        <v>232.20000000000067</v>
      </c>
      <c r="AP94" s="141">
        <f t="shared" si="440"/>
        <v>0</v>
      </c>
      <c r="AQ94" s="141">
        <f t="shared" si="441"/>
        <v>0</v>
      </c>
      <c r="AR94" s="141">
        <f t="shared" si="442"/>
        <v>0</v>
      </c>
      <c r="AS94" s="141">
        <f t="shared" si="443"/>
        <v>0</v>
      </c>
      <c r="AT94" s="141">
        <f t="shared" si="444"/>
        <v>928.79999999999598</v>
      </c>
      <c r="AU94" s="141">
        <f t="shared" si="445"/>
        <v>0</v>
      </c>
      <c r="AV94" s="141">
        <f t="shared" si="446"/>
        <v>0</v>
      </c>
      <c r="AW94" s="141">
        <f t="shared" si="447"/>
        <v>0</v>
      </c>
      <c r="AX94" s="141">
        <f t="shared" si="448"/>
        <v>0</v>
      </c>
      <c r="AY94" s="141">
        <f t="shared" si="449"/>
        <v>0</v>
      </c>
      <c r="AZ94" s="141">
        <f t="shared" si="450"/>
        <v>464.40000000000134</v>
      </c>
      <c r="BA94" s="141">
        <f t="shared" si="451"/>
        <v>0</v>
      </c>
      <c r="BB94" s="141">
        <f t="shared" si="452"/>
        <v>0</v>
      </c>
      <c r="BC94" s="141">
        <f t="shared" si="453"/>
        <v>0</v>
      </c>
      <c r="BD94" s="141">
        <f t="shared" si="454"/>
        <v>0</v>
      </c>
      <c r="BE94" s="141">
        <f t="shared" si="455"/>
        <v>0</v>
      </c>
      <c r="BF94" s="141">
        <f t="shared" si="456"/>
        <v>0</v>
      </c>
      <c r="BG94" s="141">
        <f t="shared" si="457"/>
        <v>0</v>
      </c>
      <c r="BH94" s="141">
        <f t="shared" si="458"/>
        <v>0</v>
      </c>
      <c r="BI94" s="141">
        <f t="shared" si="459"/>
        <v>0</v>
      </c>
      <c r="BJ94" s="141">
        <f t="shared" si="460"/>
        <v>0</v>
      </c>
      <c r="BM94" s="26">
        <f t="shared" si="462"/>
        <v>68243.600000000195</v>
      </c>
      <c r="BN94" s="26">
        <f t="shared" si="463"/>
        <v>0</v>
      </c>
      <c r="BO94" s="26">
        <f t="shared" si="464"/>
        <v>0</v>
      </c>
      <c r="BP94" s="26">
        <f t="shared" si="465"/>
        <v>34121.800000000097</v>
      </c>
      <c r="BQ94" s="26">
        <f t="shared" si="466"/>
        <v>34121.800000000097</v>
      </c>
      <c r="BR94" s="26">
        <f t="shared" si="467"/>
        <v>0</v>
      </c>
      <c r="BS94" s="26">
        <f t="shared" si="468"/>
        <v>0</v>
      </c>
      <c r="BT94" s="26">
        <f t="shared" si="469"/>
        <v>0</v>
      </c>
      <c r="BU94" s="26">
        <f t="shared" si="470"/>
        <v>0</v>
      </c>
      <c r="BV94" s="26">
        <f t="shared" si="471"/>
        <v>136487.1999999994</v>
      </c>
      <c r="BW94" s="26">
        <f t="shared" si="472"/>
        <v>0</v>
      </c>
      <c r="BX94" s="26">
        <f t="shared" si="473"/>
        <v>0</v>
      </c>
      <c r="BY94" s="26">
        <f t="shared" si="474"/>
        <v>0</v>
      </c>
      <c r="BZ94" s="26">
        <f t="shared" si="475"/>
        <v>0</v>
      </c>
      <c r="CA94" s="26">
        <f t="shared" si="476"/>
        <v>0</v>
      </c>
      <c r="CB94" s="26">
        <f t="shared" si="477"/>
        <v>68243.600000000195</v>
      </c>
      <c r="CC94" s="26">
        <f t="shared" si="478"/>
        <v>0</v>
      </c>
      <c r="CD94" s="26">
        <f t="shared" si="479"/>
        <v>0</v>
      </c>
      <c r="CE94" s="26">
        <f t="shared" si="480"/>
        <v>0</v>
      </c>
      <c r="CF94" s="26">
        <f t="shared" si="481"/>
        <v>0</v>
      </c>
      <c r="CG94" s="26">
        <f t="shared" si="482"/>
        <v>0</v>
      </c>
      <c r="CH94" s="26">
        <f t="shared" si="483"/>
        <v>0</v>
      </c>
      <c r="CI94" s="26">
        <f t="shared" si="484"/>
        <v>0</v>
      </c>
      <c r="CJ94" s="26">
        <f t="shared" si="485"/>
        <v>0</v>
      </c>
      <c r="CK94" s="26">
        <f t="shared" si="486"/>
        <v>0</v>
      </c>
      <c r="CL94" s="26">
        <f t="shared" si="487"/>
        <v>0</v>
      </c>
      <c r="CM94" s="110">
        <f t="shared" si="488"/>
        <v>1</v>
      </c>
      <c r="CN94" s="27">
        <f t="shared" si="489"/>
        <v>54873.600000000159</v>
      </c>
      <c r="CO94" s="27">
        <f t="shared" si="490"/>
        <v>0</v>
      </c>
      <c r="CP94" s="27">
        <f t="shared" si="491"/>
        <v>0</v>
      </c>
      <c r="CQ94" s="27">
        <f t="shared" si="492"/>
        <v>27436.800000000079</v>
      </c>
      <c r="CR94" s="27">
        <f t="shared" si="493"/>
        <v>27436.800000000079</v>
      </c>
      <c r="CS94" s="27">
        <f t="shared" si="494"/>
        <v>0</v>
      </c>
      <c r="CT94" s="27">
        <f t="shared" si="495"/>
        <v>0</v>
      </c>
      <c r="CU94" s="27">
        <f t="shared" si="496"/>
        <v>0</v>
      </c>
      <c r="CV94" s="27">
        <f t="shared" si="497"/>
        <v>0</v>
      </c>
      <c r="CW94" s="27">
        <f t="shared" si="498"/>
        <v>109747.19999999952</v>
      </c>
      <c r="CX94" s="27">
        <f t="shared" si="499"/>
        <v>0</v>
      </c>
      <c r="CY94" s="27">
        <f t="shared" si="500"/>
        <v>0</v>
      </c>
      <c r="CZ94" s="27">
        <f t="shared" si="501"/>
        <v>0</v>
      </c>
      <c r="DA94" s="27">
        <f t="shared" si="502"/>
        <v>0</v>
      </c>
      <c r="DB94" s="27">
        <f t="shared" si="503"/>
        <v>0</v>
      </c>
      <c r="DC94" s="27">
        <f t="shared" si="504"/>
        <v>54873.600000000159</v>
      </c>
      <c r="DD94" s="27">
        <f t="shared" si="505"/>
        <v>0</v>
      </c>
      <c r="DE94" s="27">
        <f t="shared" si="506"/>
        <v>0</v>
      </c>
      <c r="DF94" s="27">
        <f t="shared" si="507"/>
        <v>0</v>
      </c>
      <c r="DG94" s="27">
        <f t="shared" si="508"/>
        <v>0</v>
      </c>
      <c r="DH94" s="27">
        <f t="shared" si="509"/>
        <v>0</v>
      </c>
      <c r="DI94" s="27">
        <f t="shared" si="510"/>
        <v>0</v>
      </c>
      <c r="DJ94" s="27">
        <f t="shared" si="511"/>
        <v>0</v>
      </c>
      <c r="DK94" s="27">
        <f t="shared" si="512"/>
        <v>0</v>
      </c>
      <c r="DL94" s="27">
        <f t="shared" si="513"/>
        <v>0</v>
      </c>
      <c r="DM94" s="27">
        <f t="shared" si="514"/>
        <v>0</v>
      </c>
      <c r="DN94" s="110">
        <f t="shared" si="515"/>
        <v>1</v>
      </c>
      <c r="DO94" s="28">
        <f t="shared" si="518"/>
        <v>13370.000000000036</v>
      </c>
      <c r="DP94" s="28">
        <f t="shared" si="519"/>
        <v>0</v>
      </c>
      <c r="DQ94" s="28">
        <f t="shared" si="520"/>
        <v>0</v>
      </c>
      <c r="DR94" s="28">
        <f t="shared" si="521"/>
        <v>6685.0000000000182</v>
      </c>
      <c r="DS94" s="28">
        <f t="shared" si="522"/>
        <v>6685.0000000000182</v>
      </c>
      <c r="DT94" s="28">
        <f t="shared" si="523"/>
        <v>0</v>
      </c>
      <c r="DU94" s="28">
        <f t="shared" si="524"/>
        <v>0</v>
      </c>
      <c r="DV94" s="28">
        <f t="shared" si="525"/>
        <v>0</v>
      </c>
      <c r="DW94" s="28">
        <f t="shared" si="526"/>
        <v>0</v>
      </c>
      <c r="DX94" s="28">
        <f t="shared" si="527"/>
        <v>26739.999999999884</v>
      </c>
      <c r="DY94" s="28">
        <f t="shared" si="528"/>
        <v>0</v>
      </c>
      <c r="DZ94" s="28">
        <f t="shared" si="529"/>
        <v>0</v>
      </c>
      <c r="EA94" s="28">
        <f t="shared" si="530"/>
        <v>0</v>
      </c>
      <c r="EB94" s="28">
        <f t="shared" si="531"/>
        <v>0</v>
      </c>
      <c r="EC94" s="28">
        <f t="shared" si="532"/>
        <v>0</v>
      </c>
      <c r="ED94" s="28">
        <f t="shared" si="533"/>
        <v>13370.000000000036</v>
      </c>
      <c r="EE94" s="28">
        <f t="shared" si="534"/>
        <v>0</v>
      </c>
      <c r="EF94" s="28">
        <f t="shared" si="535"/>
        <v>0</v>
      </c>
      <c r="EG94" s="28">
        <f t="shared" si="536"/>
        <v>0</v>
      </c>
      <c r="EH94" s="28">
        <f t="shared" si="537"/>
        <v>0</v>
      </c>
      <c r="EI94" s="28">
        <f t="shared" si="538"/>
        <v>0</v>
      </c>
      <c r="EJ94" s="28">
        <f t="shared" si="539"/>
        <v>0</v>
      </c>
      <c r="EK94" s="28">
        <f t="shared" si="540"/>
        <v>0</v>
      </c>
      <c r="EL94" s="28">
        <f t="shared" si="541"/>
        <v>0</v>
      </c>
      <c r="EM94" s="28">
        <f t="shared" si="542"/>
        <v>0</v>
      </c>
      <c r="EN94" s="28">
        <f t="shared" si="543"/>
        <v>0</v>
      </c>
      <c r="EQ94" s="144">
        <v>0</v>
      </c>
      <c r="ER94" s="144">
        <v>0</v>
      </c>
      <c r="ES94" s="144">
        <v>7.0000011323048797E-2</v>
      </c>
      <c r="ET94" s="144">
        <v>0.15000000297974969</v>
      </c>
      <c r="EU94" s="144">
        <v>0.13999999284860076</v>
      </c>
      <c r="EV94" s="144">
        <v>0.16999999344455072</v>
      </c>
      <c r="EW94" s="144">
        <v>0.16999999344455072</v>
      </c>
      <c r="EX94" s="144">
        <v>0.15000000297974969</v>
      </c>
      <c r="EY94" s="144">
        <v>6.0000001191899868E-2</v>
      </c>
      <c r="EZ94" s="144">
        <v>6.0000001191899868E-2</v>
      </c>
      <c r="FA94" s="144">
        <v>3.0000000595949934E-2</v>
      </c>
      <c r="FB94" s="144">
        <v>0</v>
      </c>
      <c r="FC94" s="145">
        <f t="shared" si="544"/>
        <v>1</v>
      </c>
      <c r="FD94" s="146">
        <f t="shared" si="545"/>
        <v>7.0000011323048797E-2</v>
      </c>
      <c r="FE94" s="146">
        <f t="shared" si="546"/>
        <v>0.4599999892729012</v>
      </c>
      <c r="FF94" s="146">
        <f t="shared" si="547"/>
        <v>0.37999999761620029</v>
      </c>
      <c r="FG94" s="146">
        <f t="shared" si="548"/>
        <v>9.0000001787849809E-2</v>
      </c>
      <c r="FH94" s="145">
        <f t="shared" si="375"/>
        <v>1</v>
      </c>
      <c r="FJ94" s="52">
        <f t="shared" si="549"/>
        <v>4777.0527727256267</v>
      </c>
      <c r="FK94" s="52">
        <f t="shared" si="550"/>
        <v>0</v>
      </c>
      <c r="FL94" s="52">
        <f t="shared" si="551"/>
        <v>0</v>
      </c>
      <c r="FM94" s="52">
        <f t="shared" si="552"/>
        <v>2388.5263863628134</v>
      </c>
      <c r="FN94" s="52">
        <f t="shared" si="553"/>
        <v>2388.5263863628134</v>
      </c>
      <c r="FO94" s="52">
        <f t="shared" si="554"/>
        <v>0</v>
      </c>
      <c r="FP94" s="52">
        <f t="shared" si="555"/>
        <v>0</v>
      </c>
      <c r="FQ94" s="52">
        <f t="shared" si="556"/>
        <v>0</v>
      </c>
      <c r="FR94" s="52">
        <f t="shared" si="557"/>
        <v>0</v>
      </c>
      <c r="FS94" s="52">
        <f t="shared" si="558"/>
        <v>9554.1055454511843</v>
      </c>
      <c r="FT94" s="52">
        <f t="shared" si="559"/>
        <v>0</v>
      </c>
      <c r="FU94" s="52">
        <f t="shared" si="560"/>
        <v>0</v>
      </c>
      <c r="FV94" s="52">
        <f t="shared" si="561"/>
        <v>0</v>
      </c>
      <c r="FW94" s="52">
        <f t="shared" si="562"/>
        <v>0</v>
      </c>
      <c r="FX94" s="52">
        <f t="shared" si="563"/>
        <v>0</v>
      </c>
      <c r="FY94" s="52">
        <f t="shared" si="564"/>
        <v>4777.0527727256267</v>
      </c>
      <c r="FZ94" s="52">
        <f t="shared" si="565"/>
        <v>0</v>
      </c>
      <c r="GA94" s="52">
        <f t="shared" si="566"/>
        <v>0</v>
      </c>
      <c r="GB94" s="52">
        <f t="shared" si="567"/>
        <v>0</v>
      </c>
      <c r="GC94" s="52">
        <f t="shared" si="568"/>
        <v>0</v>
      </c>
      <c r="GD94" s="52">
        <f t="shared" si="569"/>
        <v>0</v>
      </c>
      <c r="GE94" s="52">
        <f t="shared" si="570"/>
        <v>0</v>
      </c>
      <c r="GF94" s="52">
        <f t="shared" si="571"/>
        <v>0</v>
      </c>
      <c r="GG94" s="52">
        <f t="shared" si="572"/>
        <v>0</v>
      </c>
      <c r="GH94" s="52">
        <f t="shared" si="573"/>
        <v>0</v>
      </c>
      <c r="GI94" s="52">
        <f t="shared" si="574"/>
        <v>0</v>
      </c>
      <c r="GJ94" s="26"/>
      <c r="GL94" s="150">
        <f t="shared" si="575"/>
        <v>31392.055267944252</v>
      </c>
      <c r="GM94" s="150">
        <f t="shared" si="576"/>
        <v>0</v>
      </c>
      <c r="GN94" s="150">
        <f t="shared" si="577"/>
        <v>0</v>
      </c>
      <c r="GO94" s="150">
        <f t="shared" si="578"/>
        <v>15696.027633972126</v>
      </c>
      <c r="GP94" s="150">
        <f t="shared" si="579"/>
        <v>15696.027633972126</v>
      </c>
      <c r="GQ94" s="150">
        <f t="shared" si="580"/>
        <v>0</v>
      </c>
      <c r="GR94" s="150">
        <f t="shared" si="581"/>
        <v>0</v>
      </c>
      <c r="GS94" s="150">
        <f t="shared" si="582"/>
        <v>0</v>
      </c>
      <c r="GT94" s="150">
        <f t="shared" si="583"/>
        <v>0</v>
      </c>
      <c r="GU94" s="150">
        <f t="shared" si="584"/>
        <v>62784.110535888045</v>
      </c>
      <c r="GV94" s="150">
        <f t="shared" si="585"/>
        <v>0</v>
      </c>
      <c r="GW94" s="150">
        <f t="shared" si="586"/>
        <v>0</v>
      </c>
      <c r="GX94" s="150">
        <f t="shared" si="587"/>
        <v>0</v>
      </c>
      <c r="GY94" s="150">
        <f t="shared" si="588"/>
        <v>0</v>
      </c>
      <c r="GZ94" s="150">
        <f t="shared" si="589"/>
        <v>0</v>
      </c>
      <c r="HA94" s="150">
        <f t="shared" si="590"/>
        <v>31392.055267944252</v>
      </c>
      <c r="HB94" s="150">
        <f t="shared" si="591"/>
        <v>0</v>
      </c>
      <c r="HC94" s="150">
        <f t="shared" si="592"/>
        <v>0</v>
      </c>
      <c r="HD94" s="150">
        <f t="shared" si="593"/>
        <v>0</v>
      </c>
      <c r="HE94" s="150">
        <f t="shared" si="594"/>
        <v>0</v>
      </c>
      <c r="HF94" s="150">
        <f t="shared" si="595"/>
        <v>0</v>
      </c>
      <c r="HG94" s="150">
        <f t="shared" si="596"/>
        <v>0</v>
      </c>
      <c r="HH94" s="150">
        <f t="shared" si="597"/>
        <v>0</v>
      </c>
      <c r="HI94" s="150">
        <f t="shared" si="598"/>
        <v>0</v>
      </c>
      <c r="HJ94" s="150">
        <f t="shared" si="599"/>
        <v>0</v>
      </c>
      <c r="HK94" s="150">
        <f t="shared" si="600"/>
        <v>0</v>
      </c>
      <c r="HL94" s="26"/>
      <c r="HN94" s="147">
        <f t="shared" si="601"/>
        <v>25932.567837320999</v>
      </c>
      <c r="HO94" s="147">
        <f t="shared" si="602"/>
        <v>0</v>
      </c>
      <c r="HP94" s="147">
        <f t="shared" si="603"/>
        <v>0</v>
      </c>
      <c r="HQ94" s="147">
        <f t="shared" si="604"/>
        <v>12966.2839186605</v>
      </c>
      <c r="HR94" s="147">
        <f t="shared" si="605"/>
        <v>12966.2839186605</v>
      </c>
      <c r="HS94" s="147">
        <f t="shared" si="606"/>
        <v>0</v>
      </c>
      <c r="HT94" s="147">
        <f t="shared" si="607"/>
        <v>0</v>
      </c>
      <c r="HU94" s="147">
        <f t="shared" si="608"/>
        <v>0</v>
      </c>
      <c r="HV94" s="147">
        <f t="shared" si="609"/>
        <v>0</v>
      </c>
      <c r="HW94" s="147">
        <f t="shared" si="610"/>
        <v>51865.135674641628</v>
      </c>
      <c r="HX94" s="147">
        <f t="shared" si="611"/>
        <v>0</v>
      </c>
      <c r="HY94" s="147">
        <f t="shared" si="612"/>
        <v>0</v>
      </c>
      <c r="HZ94" s="147">
        <f t="shared" si="613"/>
        <v>0</v>
      </c>
      <c r="IA94" s="147">
        <f t="shared" si="614"/>
        <v>0</v>
      </c>
      <c r="IB94" s="147">
        <f t="shared" si="615"/>
        <v>0</v>
      </c>
      <c r="IC94" s="147">
        <f t="shared" si="616"/>
        <v>25932.567837320999</v>
      </c>
      <c r="ID94" s="147">
        <f t="shared" si="617"/>
        <v>0</v>
      </c>
      <c r="IE94" s="147">
        <f t="shared" si="618"/>
        <v>0</v>
      </c>
      <c r="IF94" s="147">
        <f t="shared" si="619"/>
        <v>0</v>
      </c>
      <c r="IG94" s="147">
        <f t="shared" si="620"/>
        <v>0</v>
      </c>
      <c r="IH94" s="147">
        <f t="shared" si="621"/>
        <v>0</v>
      </c>
      <c r="II94" s="147">
        <f t="shared" si="622"/>
        <v>0</v>
      </c>
      <c r="IJ94" s="147">
        <f t="shared" si="623"/>
        <v>0</v>
      </c>
      <c r="IK94" s="147">
        <f t="shared" si="624"/>
        <v>0</v>
      </c>
      <c r="IL94" s="147">
        <f t="shared" si="625"/>
        <v>0</v>
      </c>
      <c r="IM94" s="147">
        <f t="shared" si="626"/>
        <v>0</v>
      </c>
      <c r="IN94" s="26"/>
      <c r="IP94" s="61">
        <f t="shared" si="627"/>
        <v>6141.9241220093245</v>
      </c>
      <c r="IQ94" s="61">
        <f t="shared" si="628"/>
        <v>0</v>
      </c>
      <c r="IR94" s="61">
        <f t="shared" si="629"/>
        <v>0</v>
      </c>
      <c r="IS94" s="61">
        <f t="shared" si="630"/>
        <v>3070.9620610046622</v>
      </c>
      <c r="IT94" s="61">
        <f t="shared" si="631"/>
        <v>3070.9620610046622</v>
      </c>
      <c r="IU94" s="61">
        <f t="shared" si="632"/>
        <v>0</v>
      </c>
      <c r="IV94" s="61">
        <f t="shared" si="633"/>
        <v>0</v>
      </c>
      <c r="IW94" s="61">
        <f t="shared" si="634"/>
        <v>0</v>
      </c>
      <c r="IX94" s="61">
        <f t="shared" si="635"/>
        <v>0</v>
      </c>
      <c r="IY94" s="61">
        <f t="shared" si="636"/>
        <v>12283.84824401856</v>
      </c>
      <c r="IZ94" s="61">
        <f t="shared" si="637"/>
        <v>0</v>
      </c>
      <c r="JA94" s="61">
        <f t="shared" si="638"/>
        <v>0</v>
      </c>
      <c r="JB94" s="61">
        <f t="shared" si="639"/>
        <v>0</v>
      </c>
      <c r="JC94" s="61">
        <f t="shared" si="640"/>
        <v>0</v>
      </c>
      <c r="JD94" s="61">
        <f t="shared" si="641"/>
        <v>0</v>
      </c>
      <c r="JE94" s="61">
        <f t="shared" si="642"/>
        <v>6141.9241220093245</v>
      </c>
      <c r="JF94" s="61">
        <f t="shared" si="643"/>
        <v>0</v>
      </c>
      <c r="JG94" s="61">
        <f t="shared" si="644"/>
        <v>0</v>
      </c>
      <c r="JH94" s="61">
        <f t="shared" si="645"/>
        <v>0</v>
      </c>
      <c r="JI94" s="61">
        <f t="shared" si="646"/>
        <v>0</v>
      </c>
      <c r="JJ94" s="61">
        <f t="shared" si="647"/>
        <v>0</v>
      </c>
      <c r="JK94" s="61">
        <f t="shared" si="648"/>
        <v>0</v>
      </c>
      <c r="JL94" s="61">
        <f t="shared" si="649"/>
        <v>0</v>
      </c>
      <c r="JM94" s="61">
        <f t="shared" si="650"/>
        <v>0</v>
      </c>
      <c r="JN94" s="61">
        <f t="shared" si="651"/>
        <v>0</v>
      </c>
      <c r="JO94" s="61">
        <f t="shared" si="652"/>
        <v>0</v>
      </c>
      <c r="JQ94" s="26">
        <f t="shared" si="516"/>
        <v>341217.99999999994</v>
      </c>
      <c r="JR94" s="156">
        <f t="shared" si="517"/>
        <v>0.99999999999999978</v>
      </c>
      <c r="JT94" s="157">
        <f t="shared" si="653"/>
        <v>68243.60000000021</v>
      </c>
      <c r="JU94" s="29">
        <f t="shared" si="654"/>
        <v>1.0000000000000002</v>
      </c>
    </row>
    <row r="95" spans="1:281" ht="18.75" x14ac:dyDescent="0.3">
      <c r="A95" t="s">
        <v>234</v>
      </c>
      <c r="B95" t="s">
        <v>174</v>
      </c>
      <c r="C95" t="s">
        <v>74</v>
      </c>
      <c r="D95" t="s">
        <v>29</v>
      </c>
      <c r="E95" s="11" t="s">
        <v>258</v>
      </c>
      <c r="F95" s="114">
        <v>917</v>
      </c>
      <c r="G95" s="17">
        <v>225564</v>
      </c>
      <c r="H95" s="21">
        <v>177018</v>
      </c>
      <c r="I95" s="25">
        <f t="shared" si="434"/>
        <v>1.2742432972918007</v>
      </c>
      <c r="J95" s="13">
        <v>3.9136666356062624E-2</v>
      </c>
      <c r="K95" s="13">
        <v>4.5887162430215504E-2</v>
      </c>
      <c r="L95" s="13">
        <v>1.6944032517201901E-2</v>
      </c>
      <c r="M95" s="13">
        <v>1.9614729838749467E-2</v>
      </c>
      <c r="N95" s="13">
        <v>5.1190544950680213E-2</v>
      </c>
      <c r="O95" s="13">
        <v>7.8266475088618156E-2</v>
      </c>
      <c r="P95" s="13">
        <v>1.8139605844144854E-2</v>
      </c>
      <c r="Q95" s="13">
        <v>1.0363139792280053E-2</v>
      </c>
      <c r="R95" s="13">
        <v>4.0398127983638184E-2</v>
      </c>
      <c r="S95" s="13">
        <v>5.2386204155007755E-2</v>
      </c>
      <c r="T95" s="13">
        <v>8.3222910570922015E-2</v>
      </c>
      <c r="U95" s="13">
        <v>2.7777292884143306E-2</v>
      </c>
      <c r="V95" s="13">
        <v>1.5391129403455415E-2</v>
      </c>
      <c r="W95" s="13">
        <v>4.9702378177047583E-2</v>
      </c>
      <c r="X95" s="13">
        <v>7.2412473481721473E-2</v>
      </c>
      <c r="Y95" s="13">
        <v>7.6565854763630439E-2</v>
      </c>
      <c r="Z95" s="13">
        <v>4.9548525854927819E-3</v>
      </c>
      <c r="AA95" s="13">
        <v>8.6830511949679931E-2</v>
      </c>
      <c r="AB95" s="13">
        <v>2.1559927981077531E-2</v>
      </c>
      <c r="AC95" s="13">
        <v>1.9422332105916821E-2</v>
      </c>
      <c r="AD95" s="13">
        <v>5.4461497620297034E-2</v>
      </c>
      <c r="AE95" s="13">
        <v>2.7237248204433913E-2</v>
      </c>
      <c r="AF95" s="13">
        <v>7.1778910239034377E-2</v>
      </c>
      <c r="AG95" s="9">
        <v>0</v>
      </c>
      <c r="AH95" s="13">
        <v>1.6355991076548827E-2</v>
      </c>
      <c r="AJ95" s="8">
        <f t="shared" si="461"/>
        <v>1.0000000000000002</v>
      </c>
      <c r="AK95" s="141">
        <f t="shared" si="435"/>
        <v>35.888323048509427</v>
      </c>
      <c r="AL95" s="141">
        <f t="shared" si="436"/>
        <v>42.07852794850762</v>
      </c>
      <c r="AM95" s="141">
        <f t="shared" si="437"/>
        <v>15.537677818274142</v>
      </c>
      <c r="AN95" s="141">
        <f t="shared" si="438"/>
        <v>17.986707262133262</v>
      </c>
      <c r="AO95" s="141">
        <f t="shared" si="439"/>
        <v>46.941729719773754</v>
      </c>
      <c r="AP95" s="141">
        <f t="shared" si="440"/>
        <v>71.770357656262846</v>
      </c>
      <c r="AQ95" s="141">
        <f t="shared" si="441"/>
        <v>16.634018559080832</v>
      </c>
      <c r="AR95" s="141">
        <f t="shared" si="442"/>
        <v>9.5029991895208088</v>
      </c>
      <c r="AS95" s="141">
        <f t="shared" si="443"/>
        <v>37.045083360996216</v>
      </c>
      <c r="AT95" s="141">
        <f t="shared" si="444"/>
        <v>48.038149210142109</v>
      </c>
      <c r="AU95" s="141">
        <f t="shared" si="445"/>
        <v>76.315408993535485</v>
      </c>
      <c r="AV95" s="141">
        <f t="shared" si="446"/>
        <v>25.471777574759411</v>
      </c>
      <c r="AW95" s="141">
        <f t="shared" si="447"/>
        <v>14.113665662968616</v>
      </c>
      <c r="AX95" s="141">
        <f t="shared" si="448"/>
        <v>45.577080788352632</v>
      </c>
      <c r="AY95" s="141">
        <f t="shared" si="449"/>
        <v>66.402238182738586</v>
      </c>
      <c r="AZ95" s="141">
        <f t="shared" si="450"/>
        <v>70.210888818249117</v>
      </c>
      <c r="BA95" s="141">
        <f t="shared" si="451"/>
        <v>4.5435998208968806</v>
      </c>
      <c r="BB95" s="141">
        <f t="shared" si="452"/>
        <v>79.623579457856493</v>
      </c>
      <c r="BC95" s="141">
        <f t="shared" si="453"/>
        <v>19.770453958648098</v>
      </c>
      <c r="BD95" s="141">
        <f t="shared" si="454"/>
        <v>17.810278541125726</v>
      </c>
      <c r="BE95" s="141">
        <f t="shared" si="455"/>
        <v>49.941193317812377</v>
      </c>
      <c r="BF95" s="141">
        <f t="shared" si="456"/>
        <v>24.976556603465898</v>
      </c>
      <c r="BG95" s="141">
        <f t="shared" si="457"/>
        <v>65.821260689194517</v>
      </c>
      <c r="BH95" s="141">
        <f t="shared" si="458"/>
        <v>0</v>
      </c>
      <c r="BI95" s="141">
        <f t="shared" si="459"/>
        <v>14.998443817195273</v>
      </c>
      <c r="BJ95" s="141">
        <f t="shared" si="460"/>
        <v>0</v>
      </c>
      <c r="BM95" s="26">
        <f t="shared" si="462"/>
        <v>8827.8230099389093</v>
      </c>
      <c r="BN95" s="26">
        <f t="shared" si="463"/>
        <v>10350.49190640913</v>
      </c>
      <c r="BO95" s="26">
        <f t="shared" si="464"/>
        <v>3821.9637507101297</v>
      </c>
      <c r="BP95" s="26">
        <f t="shared" si="465"/>
        <v>4424.3769213476844</v>
      </c>
      <c r="BQ95" s="26">
        <f t="shared" si="466"/>
        <v>11546.744081255232</v>
      </c>
      <c r="BR95" s="26">
        <f t="shared" si="467"/>
        <v>17654.099186889067</v>
      </c>
      <c r="BS95" s="26">
        <f t="shared" si="468"/>
        <v>4091.6420526286897</v>
      </c>
      <c r="BT95" s="26">
        <f t="shared" si="469"/>
        <v>2337.5512641058576</v>
      </c>
      <c r="BU95" s="26">
        <f t="shared" si="470"/>
        <v>9112.3633405013625</v>
      </c>
      <c r="BV95" s="26">
        <f t="shared" si="471"/>
        <v>11816.441754020168</v>
      </c>
      <c r="BW95" s="26">
        <f t="shared" si="472"/>
        <v>18772.092600019452</v>
      </c>
      <c r="BX95" s="26">
        <f t="shared" si="473"/>
        <v>6265.5572921189005</v>
      </c>
      <c r="BY95" s="26">
        <f t="shared" si="474"/>
        <v>3471.6847127610172</v>
      </c>
      <c r="BZ95" s="26">
        <f t="shared" si="475"/>
        <v>11211.067231127561</v>
      </c>
      <c r="CA95" s="26">
        <f t="shared" si="476"/>
        <v>16333.647168431022</v>
      </c>
      <c r="CB95" s="26">
        <f t="shared" si="477"/>
        <v>17270.500463903536</v>
      </c>
      <c r="CC95" s="26">
        <f t="shared" si="478"/>
        <v>1117.6363685940939</v>
      </c>
      <c r="CD95" s="26">
        <f t="shared" si="479"/>
        <v>19585.837597417605</v>
      </c>
      <c r="CE95" s="26">
        <f t="shared" si="480"/>
        <v>4863.1435951237727</v>
      </c>
      <c r="CF95" s="26">
        <f t="shared" si="481"/>
        <v>4380.9789191390219</v>
      </c>
      <c r="CG95" s="26">
        <f t="shared" si="482"/>
        <v>12284.55324922468</v>
      </c>
      <c r="CH95" s="26">
        <f t="shared" si="483"/>
        <v>6143.7426539849312</v>
      </c>
      <c r="CI95" s="26">
        <f t="shared" si="484"/>
        <v>16190.73810915755</v>
      </c>
      <c r="CJ95" s="26">
        <f t="shared" si="485"/>
        <v>0</v>
      </c>
      <c r="CK95" s="26">
        <f t="shared" si="486"/>
        <v>3689.3227711906593</v>
      </c>
      <c r="CL95" s="26">
        <f t="shared" si="487"/>
        <v>0</v>
      </c>
      <c r="CM95" s="110">
        <f t="shared" si="488"/>
        <v>1.0000000000000002</v>
      </c>
      <c r="CN95" s="27">
        <f t="shared" si="489"/>
        <v>6927.8944050174932</v>
      </c>
      <c r="CO95" s="27">
        <f t="shared" si="490"/>
        <v>8122.853719071888</v>
      </c>
      <c r="CP95" s="27">
        <f t="shared" si="491"/>
        <v>2999.398748130046</v>
      </c>
      <c r="CQ95" s="27">
        <f t="shared" si="492"/>
        <v>3472.1602465957531</v>
      </c>
      <c r="CR95" s="27">
        <f t="shared" si="493"/>
        <v>9061.6478860795105</v>
      </c>
      <c r="CS95" s="27">
        <f t="shared" si="494"/>
        <v>13854.57488723701</v>
      </c>
      <c r="CT95" s="27">
        <f t="shared" si="495"/>
        <v>3211.0367473188339</v>
      </c>
      <c r="CU95" s="27">
        <f t="shared" si="496"/>
        <v>1834.4622797498303</v>
      </c>
      <c r="CV95" s="27">
        <f t="shared" si="497"/>
        <v>7151.1958194076642</v>
      </c>
      <c r="CW95" s="27">
        <f t="shared" si="498"/>
        <v>9273.3010871111637</v>
      </c>
      <c r="CX95" s="27">
        <f t="shared" si="499"/>
        <v>14731.953183443473</v>
      </c>
      <c r="CY95" s="27">
        <f t="shared" si="500"/>
        <v>4917.08083176528</v>
      </c>
      <c r="CZ95" s="27">
        <f t="shared" si="501"/>
        <v>2724.5069447408705</v>
      </c>
      <c r="DA95" s="27">
        <f t="shared" si="502"/>
        <v>8798.2155801446097</v>
      </c>
      <c r="DB95" s="27">
        <f t="shared" si="503"/>
        <v>12818.311230787373</v>
      </c>
      <c r="DC95" s="27">
        <f t="shared" si="504"/>
        <v>13553.534478548334</v>
      </c>
      <c r="DD95" s="27">
        <f t="shared" si="505"/>
        <v>877.09809497876131</v>
      </c>
      <c r="DE95" s="27">
        <f t="shared" si="506"/>
        <v>15370.563564308442</v>
      </c>
      <c r="DF95" s="27">
        <f t="shared" si="507"/>
        <v>3816.4953313543824</v>
      </c>
      <c r="DG95" s="27">
        <f t="shared" si="508"/>
        <v>3438.1023847251836</v>
      </c>
      <c r="DH95" s="27">
        <f t="shared" si="509"/>
        <v>9640.6653857497404</v>
      </c>
      <c r="DI95" s="27">
        <f t="shared" si="510"/>
        <v>4821.4832026524828</v>
      </c>
      <c r="DJ95" s="27">
        <f t="shared" si="511"/>
        <v>12706.159132693387</v>
      </c>
      <c r="DK95" s="27">
        <f t="shared" si="512"/>
        <v>0</v>
      </c>
      <c r="DL95" s="27">
        <f t="shared" si="513"/>
        <v>2895.30482838852</v>
      </c>
      <c r="DM95" s="27">
        <f t="shared" si="514"/>
        <v>0</v>
      </c>
      <c r="DN95" s="110">
        <f t="shared" si="515"/>
        <v>1.0000000000000002</v>
      </c>
      <c r="DO95" s="28">
        <f t="shared" si="518"/>
        <v>1899.9286049214161</v>
      </c>
      <c r="DP95" s="28">
        <f t="shared" si="519"/>
        <v>2227.638187337242</v>
      </c>
      <c r="DQ95" s="28">
        <f t="shared" si="520"/>
        <v>822.56500258008373</v>
      </c>
      <c r="DR95" s="28">
        <f t="shared" si="521"/>
        <v>952.21667475193135</v>
      </c>
      <c r="DS95" s="28">
        <f t="shared" si="522"/>
        <v>2485.0961951757217</v>
      </c>
      <c r="DT95" s="28">
        <f t="shared" si="523"/>
        <v>3799.5242996520574</v>
      </c>
      <c r="DU95" s="28">
        <f t="shared" si="524"/>
        <v>880.60530530985579</v>
      </c>
      <c r="DV95" s="28">
        <f t="shared" si="525"/>
        <v>503.08898435602737</v>
      </c>
      <c r="DW95" s="28">
        <f t="shared" si="526"/>
        <v>1961.1675210936983</v>
      </c>
      <c r="DX95" s="28">
        <f t="shared" si="527"/>
        <v>2543.1406669090047</v>
      </c>
      <c r="DY95" s="28">
        <f t="shared" si="528"/>
        <v>4040.1394165759793</v>
      </c>
      <c r="DZ95" s="28">
        <f t="shared" si="529"/>
        <v>1348.4764603536205</v>
      </c>
      <c r="EA95" s="28">
        <f t="shared" si="530"/>
        <v>747.17776802014669</v>
      </c>
      <c r="EB95" s="28">
        <f t="shared" si="531"/>
        <v>2412.8516509829515</v>
      </c>
      <c r="EC95" s="28">
        <f t="shared" si="532"/>
        <v>3515.3359376436492</v>
      </c>
      <c r="ED95" s="28">
        <f t="shared" si="533"/>
        <v>3716.9659853552021</v>
      </c>
      <c r="EE95" s="28">
        <f t="shared" si="534"/>
        <v>240.53827361533263</v>
      </c>
      <c r="EF95" s="28">
        <f t="shared" si="535"/>
        <v>4215.2740331091627</v>
      </c>
      <c r="EG95" s="28">
        <f t="shared" si="536"/>
        <v>1046.6482637693903</v>
      </c>
      <c r="EH95" s="28">
        <f t="shared" si="537"/>
        <v>942.87653441383827</v>
      </c>
      <c r="EI95" s="28">
        <f t="shared" si="538"/>
        <v>2643.8878634749399</v>
      </c>
      <c r="EJ95" s="28">
        <f t="shared" si="539"/>
        <v>1322.2594513324484</v>
      </c>
      <c r="EK95" s="28">
        <f t="shared" si="540"/>
        <v>3484.5789764641631</v>
      </c>
      <c r="EL95" s="28">
        <f t="shared" si="541"/>
        <v>0</v>
      </c>
      <c r="EM95" s="28">
        <f t="shared" si="542"/>
        <v>794.01794280213926</v>
      </c>
      <c r="EN95" s="28">
        <f t="shared" si="543"/>
        <v>0</v>
      </c>
      <c r="EQ95" s="144">
        <v>2.9999996006312608E-2</v>
      </c>
      <c r="ER95" s="144">
        <v>5.0000013824302511E-2</v>
      </c>
      <c r="ES95" s="144">
        <v>8.0000009830615115E-2</v>
      </c>
      <c r="ET95" s="144">
        <v>0.11000000583692773</v>
      </c>
      <c r="EU95" s="144">
        <v>0.11999998402525043</v>
      </c>
      <c r="EV95" s="144">
        <v>0.15000001075223526</v>
      </c>
      <c r="EW95" s="144">
        <v>0.12999999293424536</v>
      </c>
      <c r="EX95" s="144">
        <v>8.0000009830615115E-2</v>
      </c>
      <c r="EY95" s="144">
        <v>7.0000000921620162E-2</v>
      </c>
      <c r="EZ95" s="144">
        <v>5.9999992012625215E-2</v>
      </c>
      <c r="FA95" s="144">
        <v>5.9999992012625215E-2</v>
      </c>
      <c r="FB95" s="144">
        <v>5.9999992012625215E-2</v>
      </c>
      <c r="FC95" s="145">
        <f t="shared" si="544"/>
        <v>0.99999999999999989</v>
      </c>
      <c r="FD95" s="146">
        <f t="shared" si="545"/>
        <v>0.16000001966123023</v>
      </c>
      <c r="FE95" s="146">
        <f t="shared" si="546"/>
        <v>0.38000000061441341</v>
      </c>
      <c r="FF95" s="146">
        <f t="shared" si="547"/>
        <v>0.28000000368648065</v>
      </c>
      <c r="FG95" s="146">
        <f t="shared" si="548"/>
        <v>0.17999997603787565</v>
      </c>
      <c r="FH95" s="145">
        <f t="shared" si="375"/>
        <v>1</v>
      </c>
      <c r="FJ95" s="52">
        <f t="shared" si="549"/>
        <v>1412.4518551560861</v>
      </c>
      <c r="FK95" s="52">
        <f t="shared" si="550"/>
        <v>1656.0789085288652</v>
      </c>
      <c r="FL95" s="52">
        <f t="shared" si="551"/>
        <v>611.51427525812994</v>
      </c>
      <c r="FM95" s="52">
        <f t="shared" si="552"/>
        <v>707.90039440432281</v>
      </c>
      <c r="FN95" s="52">
        <f t="shared" si="553"/>
        <v>1847.4792800240309</v>
      </c>
      <c r="FO95" s="52">
        <f t="shared" si="554"/>
        <v>2824.6562170035595</v>
      </c>
      <c r="FP95" s="52">
        <f t="shared" si="555"/>
        <v>654.66280886730681</v>
      </c>
      <c r="FQ95" s="52">
        <f t="shared" si="556"/>
        <v>374.0082482160708</v>
      </c>
      <c r="FR95" s="52">
        <f t="shared" si="557"/>
        <v>1457.9783136404915</v>
      </c>
      <c r="FS95" s="52">
        <f t="shared" si="558"/>
        <v>1890.6309129690087</v>
      </c>
      <c r="FT95" s="52">
        <f t="shared" si="559"/>
        <v>3003.5351850855468</v>
      </c>
      <c r="FU95" s="52">
        <f t="shared" si="560"/>
        <v>1002.4892899275885</v>
      </c>
      <c r="FV95" s="52">
        <f t="shared" si="561"/>
        <v>555.46962229935514</v>
      </c>
      <c r="FW95" s="52">
        <f t="shared" si="562"/>
        <v>1793.7709774037837</v>
      </c>
      <c r="FX95" s="52">
        <f t="shared" si="563"/>
        <v>2613.383868088561</v>
      </c>
      <c r="FY95" s="52">
        <f t="shared" si="564"/>
        <v>2763.2804137838516</v>
      </c>
      <c r="FZ95" s="52">
        <f t="shared" si="565"/>
        <v>178.82184094916099</v>
      </c>
      <c r="GA95" s="52">
        <f t="shared" si="566"/>
        <v>3133.7344006684789</v>
      </c>
      <c r="GB95" s="52">
        <f t="shared" si="567"/>
        <v>778.10307083518944</v>
      </c>
      <c r="GC95" s="52">
        <f t="shared" si="568"/>
        <v>700.95671319767871</v>
      </c>
      <c r="GD95" s="52">
        <f t="shared" si="569"/>
        <v>1965.5287614053786</v>
      </c>
      <c r="GE95" s="52">
        <f t="shared" si="570"/>
        <v>982.99894543112782</v>
      </c>
      <c r="GF95" s="52">
        <f t="shared" si="571"/>
        <v>2590.5184157950375</v>
      </c>
      <c r="GG95" s="52">
        <f t="shared" si="572"/>
        <v>0</v>
      </c>
      <c r="GH95" s="52">
        <f t="shared" si="573"/>
        <v>590.29171592712987</v>
      </c>
      <c r="GI95" s="52">
        <f t="shared" si="574"/>
        <v>0</v>
      </c>
      <c r="GJ95" s="26"/>
      <c r="GL95" s="150">
        <f t="shared" si="575"/>
        <v>3354.5727492007186</v>
      </c>
      <c r="GM95" s="150">
        <f t="shared" si="576"/>
        <v>3933.1869307949505</v>
      </c>
      <c r="GN95" s="150">
        <f t="shared" si="577"/>
        <v>1452.3462276181151</v>
      </c>
      <c r="GO95" s="150">
        <f t="shared" si="578"/>
        <v>1681.2632328305167</v>
      </c>
      <c r="GP95" s="150">
        <f t="shared" si="579"/>
        <v>4387.7627579714626</v>
      </c>
      <c r="GQ95" s="150">
        <f t="shared" si="580"/>
        <v>6708.5577018647609</v>
      </c>
      <c r="GR95" s="150">
        <f t="shared" si="581"/>
        <v>1554.8239825128619</v>
      </c>
      <c r="GS95" s="150">
        <f t="shared" si="582"/>
        <v>888.26948179644876</v>
      </c>
      <c r="GT95" s="150">
        <f t="shared" si="583"/>
        <v>3462.6980749892759</v>
      </c>
      <c r="GU95" s="150">
        <f t="shared" si="584"/>
        <v>4490.2478737878446</v>
      </c>
      <c r="GV95" s="150">
        <f t="shared" si="585"/>
        <v>7133.3951995412172</v>
      </c>
      <c r="GW95" s="150">
        <f t="shared" si="586"/>
        <v>2380.9117748548247</v>
      </c>
      <c r="GX95" s="150">
        <f t="shared" si="587"/>
        <v>1319.2401929822363</v>
      </c>
      <c r="GY95" s="150">
        <f t="shared" si="588"/>
        <v>4260.2055547167038</v>
      </c>
      <c r="GZ95" s="150">
        <f t="shared" si="589"/>
        <v>6206.7859340393998</v>
      </c>
      <c r="HA95" s="150">
        <f t="shared" si="590"/>
        <v>6562.790186894571</v>
      </c>
      <c r="HB95" s="150">
        <f t="shared" si="591"/>
        <v>424.70182075244645</v>
      </c>
      <c r="HC95" s="150">
        <f t="shared" si="592"/>
        <v>7442.6182990524912</v>
      </c>
      <c r="HD95" s="150">
        <f t="shared" si="593"/>
        <v>1847.9945691350142</v>
      </c>
      <c r="HE95" s="150">
        <f t="shared" si="594"/>
        <v>1664.7719919645606</v>
      </c>
      <c r="HF95" s="150">
        <f t="shared" si="595"/>
        <v>4668.1302422531726</v>
      </c>
      <c r="HG95" s="150">
        <f t="shared" si="596"/>
        <v>2334.6222122890717</v>
      </c>
      <c r="HH95" s="150">
        <f t="shared" si="597"/>
        <v>6152.4804914276756</v>
      </c>
      <c r="HI95" s="150">
        <f t="shared" si="598"/>
        <v>0</v>
      </c>
      <c r="HJ95" s="150">
        <f t="shared" si="599"/>
        <v>1401.94265531922</v>
      </c>
      <c r="HK95" s="150">
        <f t="shared" si="600"/>
        <v>0</v>
      </c>
      <c r="HL95" s="26"/>
      <c r="HN95" s="147">
        <f t="shared" si="601"/>
        <v>2471.7904753264934</v>
      </c>
      <c r="HO95" s="147">
        <f t="shared" si="602"/>
        <v>2898.1377719514444</v>
      </c>
      <c r="HP95" s="147">
        <f t="shared" si="603"/>
        <v>1070.1498642884317</v>
      </c>
      <c r="HQ95" s="147">
        <f t="shared" si="604"/>
        <v>1238.8255542877316</v>
      </c>
      <c r="HR95" s="147">
        <f t="shared" si="605"/>
        <v>3233.0883853183136</v>
      </c>
      <c r="HS95" s="147">
        <f t="shared" si="606"/>
        <v>4943.1478374104336</v>
      </c>
      <c r="HT95" s="147">
        <f t="shared" si="607"/>
        <v>1145.6597898197924</v>
      </c>
      <c r="HU95" s="147">
        <f t="shared" si="608"/>
        <v>654.51436256697764</v>
      </c>
      <c r="HV95" s="147">
        <f t="shared" si="609"/>
        <v>2551.4617689329325</v>
      </c>
      <c r="HW95" s="147">
        <f t="shared" si="610"/>
        <v>3308.6037346867311</v>
      </c>
      <c r="HX95" s="147">
        <f t="shared" si="611"/>
        <v>5256.185997208403</v>
      </c>
      <c r="HY95" s="147">
        <f t="shared" si="612"/>
        <v>1754.3560648911478</v>
      </c>
      <c r="HZ95" s="147">
        <f t="shared" si="613"/>
        <v>972.07173237138329</v>
      </c>
      <c r="IA95" s="147">
        <f t="shared" si="614"/>
        <v>3139.0988660450994</v>
      </c>
      <c r="IB95" s="147">
        <f t="shared" si="615"/>
        <v>4573.4212673743605</v>
      </c>
      <c r="IC95" s="147">
        <f t="shared" si="616"/>
        <v>4835.7401935603557</v>
      </c>
      <c r="ID95" s="147">
        <f t="shared" si="617"/>
        <v>312.93818732649112</v>
      </c>
      <c r="IE95" s="147">
        <f t="shared" si="618"/>
        <v>5484.0345994797408</v>
      </c>
      <c r="IF95" s="147">
        <f t="shared" si="619"/>
        <v>1361.6802245625411</v>
      </c>
      <c r="IG95" s="147">
        <f t="shared" si="620"/>
        <v>1226.67411350932</v>
      </c>
      <c r="IH95" s="147">
        <f t="shared" si="621"/>
        <v>3439.6749550696782</v>
      </c>
      <c r="II95" s="147">
        <f t="shared" si="622"/>
        <v>1720.247965764569</v>
      </c>
      <c r="IJ95" s="147">
        <f t="shared" si="623"/>
        <v>4533.4067302509566</v>
      </c>
      <c r="IK95" s="147">
        <f t="shared" si="624"/>
        <v>0</v>
      </c>
      <c r="IL95" s="147">
        <f t="shared" si="625"/>
        <v>1033.0103895340017</v>
      </c>
      <c r="IM95" s="147">
        <f t="shared" si="626"/>
        <v>0</v>
      </c>
      <c r="IN95" s="26"/>
      <c r="IP95" s="61">
        <f t="shared" si="627"/>
        <v>1589.007930255611</v>
      </c>
      <c r="IQ95" s="61">
        <f t="shared" si="628"/>
        <v>1863.0882951338692</v>
      </c>
      <c r="IR95" s="61">
        <f t="shared" si="629"/>
        <v>687.95338354545265</v>
      </c>
      <c r="IS95" s="61">
        <f t="shared" si="630"/>
        <v>796.38773982511327</v>
      </c>
      <c r="IT95" s="61">
        <f t="shared" si="631"/>
        <v>2078.4136579414244</v>
      </c>
      <c r="IU95" s="61">
        <f t="shared" si="632"/>
        <v>3177.737430610312</v>
      </c>
      <c r="IV95" s="61">
        <f t="shared" si="633"/>
        <v>736.49547142872848</v>
      </c>
      <c r="IW95" s="61">
        <f t="shared" si="634"/>
        <v>420.75917152636032</v>
      </c>
      <c r="IX95" s="61">
        <f t="shared" si="635"/>
        <v>1640.2251829386619</v>
      </c>
      <c r="IY95" s="61">
        <f t="shared" si="636"/>
        <v>2126.9592325765839</v>
      </c>
      <c r="IZ95" s="61">
        <f t="shared" si="637"/>
        <v>3378.9762181842843</v>
      </c>
      <c r="JA95" s="61">
        <f t="shared" si="638"/>
        <v>1127.8001624453391</v>
      </c>
      <c r="JB95" s="61">
        <f t="shared" si="639"/>
        <v>624.90316510804234</v>
      </c>
      <c r="JC95" s="61">
        <f t="shared" si="640"/>
        <v>2017.9918329619741</v>
      </c>
      <c r="JD95" s="61">
        <f t="shared" si="641"/>
        <v>2940.0560989286996</v>
      </c>
      <c r="JE95" s="61">
        <f t="shared" si="642"/>
        <v>3108.6896696647568</v>
      </c>
      <c r="JF95" s="61">
        <f t="shared" si="643"/>
        <v>201.17451956599527</v>
      </c>
      <c r="JG95" s="61">
        <f t="shared" si="644"/>
        <v>3525.4502982168929</v>
      </c>
      <c r="JH95" s="61">
        <f t="shared" si="645"/>
        <v>875.3657305910275</v>
      </c>
      <c r="JI95" s="61">
        <f t="shared" si="646"/>
        <v>788.57610046746231</v>
      </c>
      <c r="JJ95" s="61">
        <f t="shared" si="647"/>
        <v>2211.21929049645</v>
      </c>
      <c r="JK95" s="61">
        <f t="shared" si="648"/>
        <v>1105.8735305001621</v>
      </c>
      <c r="JL95" s="61">
        <f t="shared" si="649"/>
        <v>2914.3324716838792</v>
      </c>
      <c r="JM95" s="61">
        <f t="shared" si="650"/>
        <v>0</v>
      </c>
      <c r="JN95" s="61">
        <f t="shared" si="651"/>
        <v>664.07801041030768</v>
      </c>
      <c r="JO95" s="61">
        <f t="shared" si="652"/>
        <v>0</v>
      </c>
      <c r="JQ95" s="26">
        <f t="shared" si="516"/>
        <v>225563.99999999994</v>
      </c>
      <c r="JR95" s="156">
        <f t="shared" si="517"/>
        <v>0.99999999999999978</v>
      </c>
      <c r="JT95" s="157">
        <f t="shared" si="653"/>
        <v>8827.8230099389093</v>
      </c>
      <c r="JU95" s="29">
        <f t="shared" si="654"/>
        <v>1</v>
      </c>
    </row>
    <row r="96" spans="1:281" ht="18.75" x14ac:dyDescent="0.3">
      <c r="A96" t="s">
        <v>234</v>
      </c>
      <c r="B96" t="s">
        <v>175</v>
      </c>
      <c r="C96" t="s">
        <v>74</v>
      </c>
      <c r="D96" t="s">
        <v>29</v>
      </c>
      <c r="E96" s="11" t="s">
        <v>259</v>
      </c>
      <c r="F96" s="114">
        <v>4253</v>
      </c>
      <c r="G96" s="17">
        <v>1207724</v>
      </c>
      <c r="H96" s="21">
        <v>947781</v>
      </c>
      <c r="I96" s="25">
        <f t="shared" si="434"/>
        <v>1.2742648354419428</v>
      </c>
      <c r="J96" s="13">
        <v>3.9136666356062465E-2</v>
      </c>
      <c r="K96" s="13">
        <v>4.5887162430215719E-2</v>
      </c>
      <c r="L96" s="13">
        <v>1.6944032517201855E-2</v>
      </c>
      <c r="M96" s="13">
        <v>1.9614729838749425E-2</v>
      </c>
      <c r="N96" s="13">
        <v>5.1190544950680122E-2</v>
      </c>
      <c r="O96" s="13">
        <v>7.8266475088618462E-2</v>
      </c>
      <c r="P96" s="13">
        <v>1.8139605844144927E-2</v>
      </c>
      <c r="Q96" s="13">
        <v>1.0363139792280051E-2</v>
      </c>
      <c r="R96" s="13">
        <v>4.0398127983638073E-2</v>
      </c>
      <c r="S96" s="13">
        <v>5.2386204155007804E-2</v>
      </c>
      <c r="T96" s="13">
        <v>8.322291057092146E-2</v>
      </c>
      <c r="U96" s="13">
        <v>2.7777292884143222E-2</v>
      </c>
      <c r="V96" s="13">
        <v>1.539112940345542E-2</v>
      </c>
      <c r="W96" s="13">
        <v>4.9702378177047743E-2</v>
      </c>
      <c r="X96" s="13">
        <v>7.2412473481721432E-2</v>
      </c>
      <c r="Y96" s="13">
        <v>7.656585476363037E-2</v>
      </c>
      <c r="Z96" s="13">
        <v>4.9548525854927507E-3</v>
      </c>
      <c r="AA96" s="13">
        <v>8.683051194968E-2</v>
      </c>
      <c r="AB96" s="13">
        <v>2.1559927981077507E-2</v>
      </c>
      <c r="AC96" s="13">
        <v>1.9422332105916842E-2</v>
      </c>
      <c r="AD96" s="13">
        <v>5.446149762029695E-2</v>
      </c>
      <c r="AE96" s="13">
        <v>2.7237248204434013E-2</v>
      </c>
      <c r="AF96" s="13">
        <v>7.1778910239034446E-2</v>
      </c>
      <c r="AG96" s="9">
        <v>0</v>
      </c>
      <c r="AH96" s="13">
        <v>1.6355991076548872E-2</v>
      </c>
      <c r="AJ96" s="8">
        <f t="shared" si="461"/>
        <v>0.99999999999999978</v>
      </c>
      <c r="AK96" s="141">
        <f t="shared" si="435"/>
        <v>166.44824201233365</v>
      </c>
      <c r="AL96" s="141">
        <f t="shared" si="436"/>
        <v>195.15810181570745</v>
      </c>
      <c r="AM96" s="141">
        <f t="shared" si="437"/>
        <v>72.062970295659497</v>
      </c>
      <c r="AN96" s="141">
        <f t="shared" si="438"/>
        <v>83.4214460042013</v>
      </c>
      <c r="AO96" s="141">
        <f t="shared" si="439"/>
        <v>217.71338767524256</v>
      </c>
      <c r="AP96" s="141">
        <f t="shared" si="440"/>
        <v>332.8673185518943</v>
      </c>
      <c r="AQ96" s="141">
        <f t="shared" si="441"/>
        <v>77.147743655148375</v>
      </c>
      <c r="AR96" s="141">
        <f t="shared" si="442"/>
        <v>44.074433536567057</v>
      </c>
      <c r="AS96" s="141">
        <f t="shared" si="443"/>
        <v>171.81323831441273</v>
      </c>
      <c r="AT96" s="141">
        <f t="shared" si="444"/>
        <v>222.79852627124819</v>
      </c>
      <c r="AU96" s="141">
        <f t="shared" si="445"/>
        <v>353.94703865812897</v>
      </c>
      <c r="AV96" s="141">
        <f t="shared" si="446"/>
        <v>118.13682663626112</v>
      </c>
      <c r="AW96" s="141">
        <f t="shared" si="447"/>
        <v>65.458473352895908</v>
      </c>
      <c r="AX96" s="141">
        <f t="shared" si="448"/>
        <v>211.38421438698404</v>
      </c>
      <c r="AY96" s="141">
        <f t="shared" si="449"/>
        <v>307.97024971776125</v>
      </c>
      <c r="AZ96" s="141">
        <f t="shared" si="450"/>
        <v>325.63458030971998</v>
      </c>
      <c r="BA96" s="141">
        <f t="shared" si="451"/>
        <v>21.072988046100669</v>
      </c>
      <c r="BB96" s="141">
        <f t="shared" si="452"/>
        <v>369.29016732198903</v>
      </c>
      <c r="BC96" s="141">
        <f t="shared" si="453"/>
        <v>91.694373703522643</v>
      </c>
      <c r="BD96" s="141">
        <f t="shared" si="454"/>
        <v>82.603178446464327</v>
      </c>
      <c r="BE96" s="141">
        <f t="shared" si="455"/>
        <v>231.62474937912293</v>
      </c>
      <c r="BF96" s="141">
        <f t="shared" si="456"/>
        <v>115.84001661345786</v>
      </c>
      <c r="BG96" s="141">
        <f t="shared" si="457"/>
        <v>305.27570524661348</v>
      </c>
      <c r="BH96" s="141">
        <f t="shared" si="458"/>
        <v>0</v>
      </c>
      <c r="BI96" s="141">
        <f t="shared" si="459"/>
        <v>69.562030048562349</v>
      </c>
      <c r="BJ96" s="141">
        <f t="shared" si="460"/>
        <v>0</v>
      </c>
      <c r="BM96" s="26">
        <f t="shared" si="462"/>
        <v>47266.291238209182</v>
      </c>
      <c r="BN96" s="26">
        <f t="shared" si="463"/>
        <v>55419.027358869847</v>
      </c>
      <c r="BO96" s="26">
        <f t="shared" si="464"/>
        <v>20463.714727805094</v>
      </c>
      <c r="BP96" s="26">
        <f t="shared" si="465"/>
        <v>23689.179979773809</v>
      </c>
      <c r="BQ96" s="26">
        <f t="shared" si="466"/>
        <v>61824.049710015199</v>
      </c>
      <c r="BR96" s="26">
        <f t="shared" si="467"/>
        <v>94524.300359926638</v>
      </c>
      <c r="BS96" s="26">
        <f t="shared" si="468"/>
        <v>21907.637328514087</v>
      </c>
      <c r="BT96" s="26">
        <f t="shared" si="469"/>
        <v>12515.812642491632</v>
      </c>
      <c r="BU96" s="26">
        <f t="shared" si="470"/>
        <v>48789.788720911311</v>
      </c>
      <c r="BV96" s="26">
        <f t="shared" si="471"/>
        <v>63268.076026902643</v>
      </c>
      <c r="BW96" s="26">
        <f t="shared" si="472"/>
        <v>100510.30644635555</v>
      </c>
      <c r="BX96" s="26">
        <f t="shared" si="473"/>
        <v>33547.303271208992</v>
      </c>
      <c r="BY96" s="26">
        <f t="shared" si="474"/>
        <v>18588.236367658792</v>
      </c>
      <c r="BZ96" s="26">
        <f t="shared" si="475"/>
        <v>60026.754981496808</v>
      </c>
      <c r="CA96" s="26">
        <f t="shared" si="476"/>
        <v>87454.282123238532</v>
      </c>
      <c r="CB96" s="26">
        <f t="shared" si="477"/>
        <v>92470.420378550727</v>
      </c>
      <c r="CC96" s="26">
        <f t="shared" si="478"/>
        <v>5984.0943839616466</v>
      </c>
      <c r="CD96" s="26">
        <f t="shared" si="479"/>
        <v>104867.29321391533</v>
      </c>
      <c r="CE96" s="26">
        <f t="shared" si="480"/>
        <v>26038.442461018851</v>
      </c>
      <c r="CF96" s="26">
        <f t="shared" si="481"/>
        <v>23456.81662028631</v>
      </c>
      <c r="CG96" s="26">
        <f t="shared" si="482"/>
        <v>65774.457751975511</v>
      </c>
      <c r="CH96" s="26">
        <f t="shared" si="483"/>
        <v>32895.078350451862</v>
      </c>
      <c r="CI96" s="26">
        <f t="shared" si="484"/>
        <v>86689.112589527635</v>
      </c>
      <c r="CJ96" s="26">
        <f t="shared" si="485"/>
        <v>0</v>
      </c>
      <c r="CK96" s="26">
        <f t="shared" si="486"/>
        <v>19753.52296693391</v>
      </c>
      <c r="CL96" s="26">
        <f t="shared" si="487"/>
        <v>0</v>
      </c>
      <c r="CM96" s="110">
        <f t="shared" si="488"/>
        <v>0.99999999999999978</v>
      </c>
      <c r="CN96" s="27">
        <f t="shared" si="489"/>
        <v>37092.988775615238</v>
      </c>
      <c r="CO96" s="27">
        <f t="shared" si="490"/>
        <v>43490.980695272287</v>
      </c>
      <c r="CP96" s="27">
        <f t="shared" si="491"/>
        <v>16059.232083186092</v>
      </c>
      <c r="CQ96" s="27">
        <f t="shared" si="492"/>
        <v>18590.468261299768</v>
      </c>
      <c r="CR96" s="27">
        <f t="shared" si="493"/>
        <v>48517.425883900556</v>
      </c>
      <c r="CS96" s="27">
        <f t="shared" si="494"/>
        <v>74179.478025965887</v>
      </c>
      <c r="CT96" s="27">
        <f t="shared" si="495"/>
        <v>17192.373766569523</v>
      </c>
      <c r="CU96" s="27">
        <f t="shared" si="496"/>
        <v>9821.9869954669794</v>
      </c>
      <c r="CV96" s="27">
        <f t="shared" si="497"/>
        <v>38288.578138460478</v>
      </c>
      <c r="CW96" s="27">
        <f t="shared" si="498"/>
        <v>49650.64896023745</v>
      </c>
      <c r="CX96" s="27">
        <f t="shared" si="499"/>
        <v>78877.093403818508</v>
      </c>
      <c r="CY96" s="27">
        <f t="shared" si="500"/>
        <v>26326.790427026146</v>
      </c>
      <c r="CZ96" s="27">
        <f t="shared" si="501"/>
        <v>14587.420017136381</v>
      </c>
      <c r="DA96" s="27">
        <f t="shared" si="502"/>
        <v>47106.969691020488</v>
      </c>
      <c r="DB96" s="27">
        <f t="shared" si="503"/>
        <v>68631.166528979418</v>
      </c>
      <c r="DC96" s="27">
        <f t="shared" si="504"/>
        <v>72567.662393728358</v>
      </c>
      <c r="DD96" s="27">
        <f t="shared" si="505"/>
        <v>4696.1151383309043</v>
      </c>
      <c r="DE96" s="27">
        <f t="shared" si="506"/>
        <v>82296.309446179657</v>
      </c>
      <c r="DF96" s="27">
        <f t="shared" si="507"/>
        <v>20434.090101833619</v>
      </c>
      <c r="DG96" s="27">
        <f t="shared" si="508"/>
        <v>18408.117345677969</v>
      </c>
      <c r="DH96" s="27">
        <f t="shared" si="509"/>
        <v>51617.572676062664</v>
      </c>
      <c r="DI96" s="27">
        <f t="shared" si="510"/>
        <v>25814.946340446673</v>
      </c>
      <c r="DJ96" s="27">
        <f t="shared" si="511"/>
        <v>68030.687325262305</v>
      </c>
      <c r="DK96" s="27">
        <f t="shared" si="512"/>
        <v>0</v>
      </c>
      <c r="DL96" s="27">
        <f t="shared" si="513"/>
        <v>15501.897578522567</v>
      </c>
      <c r="DM96" s="27">
        <f t="shared" si="514"/>
        <v>0</v>
      </c>
      <c r="DN96" s="110">
        <f t="shared" si="515"/>
        <v>0.99999999999999989</v>
      </c>
      <c r="DO96" s="28">
        <f t="shared" si="518"/>
        <v>10173.302462593943</v>
      </c>
      <c r="DP96" s="28">
        <f t="shared" si="519"/>
        <v>11928.046663597561</v>
      </c>
      <c r="DQ96" s="28">
        <f t="shared" si="520"/>
        <v>4404.4826446190018</v>
      </c>
      <c r="DR96" s="28">
        <f t="shared" si="521"/>
        <v>5098.7117184740418</v>
      </c>
      <c r="DS96" s="28">
        <f t="shared" si="522"/>
        <v>13306.623826114643</v>
      </c>
      <c r="DT96" s="28">
        <f t="shared" si="523"/>
        <v>20344.82233396075</v>
      </c>
      <c r="DU96" s="28">
        <f t="shared" si="524"/>
        <v>4715.2635619445646</v>
      </c>
      <c r="DV96" s="28">
        <f t="shared" si="525"/>
        <v>2693.8256470246524</v>
      </c>
      <c r="DW96" s="28">
        <f t="shared" si="526"/>
        <v>10501.210582450833</v>
      </c>
      <c r="DX96" s="28">
        <f t="shared" si="527"/>
        <v>13617.427066665194</v>
      </c>
      <c r="DY96" s="28">
        <f t="shared" si="528"/>
        <v>21633.213042537041</v>
      </c>
      <c r="DZ96" s="28">
        <f t="shared" si="529"/>
        <v>7220.5128441828456</v>
      </c>
      <c r="EA96" s="28">
        <f t="shared" si="530"/>
        <v>4000.8163505224111</v>
      </c>
      <c r="EB96" s="28">
        <f t="shared" si="531"/>
        <v>12919.78529047632</v>
      </c>
      <c r="EC96" s="28">
        <f t="shared" si="532"/>
        <v>18823.115594259114</v>
      </c>
      <c r="ED96" s="28">
        <f t="shared" si="533"/>
        <v>19902.757984822369</v>
      </c>
      <c r="EE96" s="28">
        <f t="shared" si="534"/>
        <v>1287.9792456307423</v>
      </c>
      <c r="EF96" s="28">
        <f t="shared" si="535"/>
        <v>22570.98376773567</v>
      </c>
      <c r="EG96" s="28">
        <f t="shared" si="536"/>
        <v>5604.3523591852318</v>
      </c>
      <c r="EH96" s="28">
        <f t="shared" si="537"/>
        <v>5048.6992746083415</v>
      </c>
      <c r="EI96" s="28">
        <f t="shared" si="538"/>
        <v>14156.885075912847</v>
      </c>
      <c r="EJ96" s="28">
        <f t="shared" si="539"/>
        <v>7080.1320100051889</v>
      </c>
      <c r="EK96" s="28">
        <f t="shared" si="540"/>
        <v>18658.42526426533</v>
      </c>
      <c r="EL96" s="28">
        <f t="shared" si="541"/>
        <v>0</v>
      </c>
      <c r="EM96" s="28">
        <f t="shared" si="542"/>
        <v>4251.625388411343</v>
      </c>
      <c r="EN96" s="28">
        <f t="shared" si="543"/>
        <v>0</v>
      </c>
      <c r="EQ96" s="144">
        <v>2.9999902566754274E-2</v>
      </c>
      <c r="ER96" s="144">
        <v>5.00000008591997E-2</v>
      </c>
      <c r="ES96" s="144">
        <v>7.9999903425953964E-2</v>
      </c>
      <c r="ET96" s="144">
        <v>0.11000004656862361</v>
      </c>
      <c r="EU96" s="144">
        <v>0.12000010001084482</v>
      </c>
      <c r="EV96" s="144">
        <v>0.1500000025775991</v>
      </c>
      <c r="EW96" s="144">
        <v>0.12999990428515368</v>
      </c>
      <c r="EX96" s="144">
        <v>7.9999903425953964E-2</v>
      </c>
      <c r="EY96" s="144">
        <v>7.0000099151645123E-2</v>
      </c>
      <c r="EZ96" s="144">
        <v>6.0000045709423917E-2</v>
      </c>
      <c r="FA96" s="144">
        <v>6.0000045709423917E-2</v>
      </c>
      <c r="FB96" s="144">
        <v>6.0000045709423917E-2</v>
      </c>
      <c r="FC96" s="145">
        <f t="shared" si="544"/>
        <v>1</v>
      </c>
      <c r="FD96" s="146">
        <f t="shared" si="545"/>
        <v>0.15999980685190796</v>
      </c>
      <c r="FE96" s="146">
        <f t="shared" si="546"/>
        <v>0.38000014915706753</v>
      </c>
      <c r="FF96" s="146">
        <f t="shared" si="547"/>
        <v>0.27999990686275278</v>
      </c>
      <c r="FG96" s="146">
        <f t="shared" si="548"/>
        <v>0.18000013712827176</v>
      </c>
      <c r="FH96" s="145">
        <f t="shared" si="375"/>
        <v>1</v>
      </c>
      <c r="FJ96" s="52">
        <f t="shared" si="549"/>
        <v>7562.5974687194985</v>
      </c>
      <c r="FK96" s="52">
        <f t="shared" si="550"/>
        <v>8867.033673339778</v>
      </c>
      <c r="FL96" s="52">
        <f t="shared" si="551"/>
        <v>3274.1904039213591</v>
      </c>
      <c r="FM96" s="52">
        <f t="shared" si="552"/>
        <v>3790.2642212438941</v>
      </c>
      <c r="FN96" s="52">
        <f t="shared" si="553"/>
        <v>9891.8360124051887</v>
      </c>
      <c r="FO96" s="52">
        <f t="shared" si="554"/>
        <v>15123.869800399996</v>
      </c>
      <c r="FP96" s="52">
        <f t="shared" si="555"/>
        <v>3505.2177411439029</v>
      </c>
      <c r="FQ96" s="52">
        <f t="shared" si="556"/>
        <v>2002.5276053933287</v>
      </c>
      <c r="FR96" s="52">
        <f t="shared" si="557"/>
        <v>7806.3567716912066</v>
      </c>
      <c r="FS96" s="52">
        <f t="shared" si="558"/>
        <v>10122.879944196251</v>
      </c>
      <c r="FT96" s="52">
        <f t="shared" si="559"/>
        <v>16081.629618042967</v>
      </c>
      <c r="FU96" s="52">
        <f t="shared" si="560"/>
        <v>5367.5620437958187</v>
      </c>
      <c r="FV96" s="52">
        <f t="shared" si="561"/>
        <v>2974.1142285430178</v>
      </c>
      <c r="FW96" s="52">
        <f t="shared" si="562"/>
        <v>9604.2692029862937</v>
      </c>
      <c r="FX96" s="52">
        <f t="shared" si="563"/>
        <v>13992.668248090431</v>
      </c>
      <c r="FY96" s="52">
        <f t="shared" si="564"/>
        <v>14795.24940008285</v>
      </c>
      <c r="FZ96" s="52">
        <f t="shared" si="565"/>
        <v>957.45394561745059</v>
      </c>
      <c r="GA96" s="52">
        <f t="shared" si="566"/>
        <v>16778.74665930885</v>
      </c>
      <c r="GB96" s="52">
        <f t="shared" si="567"/>
        <v>4166.1457644875345</v>
      </c>
      <c r="GC96" s="52">
        <f t="shared" si="568"/>
        <v>3753.0861286064342</v>
      </c>
      <c r="GD96" s="52">
        <f t="shared" si="569"/>
        <v>10523.900536105062</v>
      </c>
      <c r="GE96" s="52">
        <f t="shared" si="570"/>
        <v>5263.2061824506773</v>
      </c>
      <c r="GF96" s="52">
        <f t="shared" si="571"/>
        <v>13870.241270487724</v>
      </c>
      <c r="GG96" s="52">
        <f t="shared" si="572"/>
        <v>0</v>
      </c>
      <c r="GH96" s="52">
        <f t="shared" si="573"/>
        <v>3160.5598593541531</v>
      </c>
      <c r="GI96" s="52">
        <f t="shared" si="574"/>
        <v>0</v>
      </c>
      <c r="GJ96" s="26"/>
      <c r="GL96" s="150">
        <f t="shared" si="575"/>
        <v>17961.197720620883</v>
      </c>
      <c r="GM96" s="150">
        <f t="shared" si="576"/>
        <v>21059.23866251015</v>
      </c>
      <c r="GN96" s="150">
        <f t="shared" si="577"/>
        <v>7776.2146488736153</v>
      </c>
      <c r="GO96" s="150">
        <f t="shared" si="578"/>
        <v>9001.8919257226662</v>
      </c>
      <c r="GP96" s="150">
        <f t="shared" si="579"/>
        <v>23493.148111299732</v>
      </c>
      <c r="GQ96" s="150">
        <f t="shared" si="580"/>
        <v>35919.248235739578</v>
      </c>
      <c r="GR96" s="150">
        <f t="shared" si="581"/>
        <v>8324.9054525142928</v>
      </c>
      <c r="GS96" s="150">
        <f t="shared" si="582"/>
        <v>4756.0106709687316</v>
      </c>
      <c r="GT96" s="150">
        <f t="shared" si="583"/>
        <v>18540.126991288111</v>
      </c>
      <c r="GU96" s="150">
        <f t="shared" si="584"/>
        <v>24041.878327103692</v>
      </c>
      <c r="GV96" s="150">
        <f t="shared" si="585"/>
        <v>38193.931441437679</v>
      </c>
      <c r="GW96" s="150">
        <f t="shared" si="586"/>
        <v>12747.980246876796</v>
      </c>
      <c r="GX96" s="150">
        <f t="shared" si="587"/>
        <v>7063.5325922771681</v>
      </c>
      <c r="GY96" s="150">
        <f t="shared" si="588"/>
        <v>22810.175846383532</v>
      </c>
      <c r="GZ96" s="150">
        <f t="shared" si="589"/>
        <v>33232.64025125491</v>
      </c>
      <c r="HA96" s="150">
        <f t="shared" si="590"/>
        <v>35138.773536466011</v>
      </c>
      <c r="HB96" s="150">
        <f t="shared" si="591"/>
        <v>2273.9567584753959</v>
      </c>
      <c r="HC96" s="150">
        <f t="shared" si="592"/>
        <v>39849.58706298576</v>
      </c>
      <c r="HD96" s="150">
        <f t="shared" si="593"/>
        <v>9894.6120190048841</v>
      </c>
      <c r="HE96" s="150">
        <f t="shared" si="594"/>
        <v>8913.5938144587781</v>
      </c>
      <c r="HF96" s="150">
        <f t="shared" si="595"/>
        <v>24994.303756475932</v>
      </c>
      <c r="HG96" s="150">
        <f t="shared" si="596"/>
        <v>12500.13467970513</v>
      </c>
      <c r="HH96" s="150">
        <f t="shared" si="597"/>
        <v>32941.875714314323</v>
      </c>
      <c r="HI96" s="150">
        <f t="shared" si="598"/>
        <v>0</v>
      </c>
      <c r="HJ96" s="150">
        <f t="shared" si="599"/>
        <v>7506.3416738124452</v>
      </c>
      <c r="HK96" s="150">
        <f t="shared" si="600"/>
        <v>0</v>
      </c>
      <c r="HL96" s="26"/>
      <c r="HN96" s="147">
        <f t="shared" si="601"/>
        <v>13234.557144446318</v>
      </c>
      <c r="HO96" s="147">
        <f t="shared" si="602"/>
        <v>15517.322498907906</v>
      </c>
      <c r="HP96" s="147">
        <f t="shared" si="603"/>
        <v>5729.8382178513684</v>
      </c>
      <c r="HQ96" s="147">
        <f t="shared" si="604"/>
        <v>6632.9681879916543</v>
      </c>
      <c r="HR96" s="147">
        <f t="shared" si="605"/>
        <v>17310.728160682454</v>
      </c>
      <c r="HS96" s="147">
        <f t="shared" si="606"/>
        <v>26466.795297046327</v>
      </c>
      <c r="HT96" s="147">
        <f t="shared" si="607"/>
        <v>6134.1364115669103</v>
      </c>
      <c r="HU96" s="147">
        <f t="shared" si="608"/>
        <v>3504.4263742093208</v>
      </c>
      <c r="HV96" s="147">
        <f t="shared" si="609"/>
        <v>13661.136297708554</v>
      </c>
      <c r="HW96" s="147">
        <f t="shared" si="610"/>
        <v>17715.055394918301</v>
      </c>
      <c r="HX96" s="147">
        <f t="shared" si="611"/>
        <v>28142.876443726294</v>
      </c>
      <c r="HY96" s="147">
        <f t="shared" si="612"/>
        <v>9393.241791435039</v>
      </c>
      <c r="HZ96" s="147">
        <f t="shared" si="613"/>
        <v>5204.7044516872957</v>
      </c>
      <c r="IA96" s="147">
        <f t="shared" si="614"/>
        <v>16807.485804092386</v>
      </c>
      <c r="IB96" s="147">
        <f t="shared" si="615"/>
        <v>24487.190849255694</v>
      </c>
      <c r="IC96" s="147">
        <f t="shared" si="616"/>
        <v>25891.7090935538</v>
      </c>
      <c r="ID96" s="147">
        <f t="shared" si="617"/>
        <v>1675.545870167183</v>
      </c>
      <c r="IE96" s="147">
        <f t="shared" si="618"/>
        <v>29362.832332845279</v>
      </c>
      <c r="IF96" s="147">
        <f t="shared" si="619"/>
        <v>7290.7614639364256</v>
      </c>
      <c r="IG96" s="147">
        <f t="shared" si="620"/>
        <v>6567.9064689768384</v>
      </c>
      <c r="IH96" s="147">
        <f t="shared" si="621"/>
        <v>18416.842044501209</v>
      </c>
      <c r="II96" s="147">
        <f t="shared" si="622"/>
        <v>9210.6188743694765</v>
      </c>
      <c r="IJ96" s="147">
        <f t="shared" si="623"/>
        <v>24272.943451082429</v>
      </c>
      <c r="IK96" s="147">
        <f t="shared" si="624"/>
        <v>0</v>
      </c>
      <c r="IL96" s="147">
        <f t="shared" si="625"/>
        <v>5530.984590952743</v>
      </c>
      <c r="IM96" s="147">
        <f t="shared" si="626"/>
        <v>0</v>
      </c>
      <c r="IN96" s="26"/>
      <c r="IP96" s="61">
        <f t="shared" si="627"/>
        <v>8507.9389044224827</v>
      </c>
      <c r="IQ96" s="61">
        <f t="shared" si="628"/>
        <v>9975.4325241120168</v>
      </c>
      <c r="IR96" s="61">
        <f t="shared" si="629"/>
        <v>3683.4714571587515</v>
      </c>
      <c r="IS96" s="61">
        <f t="shared" si="630"/>
        <v>4264.0556448155958</v>
      </c>
      <c r="IT96" s="61">
        <f t="shared" si="631"/>
        <v>11128.337425627826</v>
      </c>
      <c r="IU96" s="61">
        <f t="shared" si="632"/>
        <v>17014.387026740744</v>
      </c>
      <c r="IV96" s="61">
        <f t="shared" si="633"/>
        <v>3943.3777232889811</v>
      </c>
      <c r="IW96" s="61">
        <f t="shared" si="634"/>
        <v>2252.8479919202509</v>
      </c>
      <c r="IX96" s="61">
        <f t="shared" si="635"/>
        <v>8782.1686602234422</v>
      </c>
      <c r="IY96" s="61">
        <f t="shared" si="636"/>
        <v>11388.262360684399</v>
      </c>
      <c r="IZ96" s="61">
        <f t="shared" si="637"/>
        <v>18091.868943148616</v>
      </c>
      <c r="JA96" s="61">
        <f t="shared" si="638"/>
        <v>6038.5191891013383</v>
      </c>
      <c r="JB96" s="61">
        <f t="shared" si="639"/>
        <v>3345.8850951513109</v>
      </c>
      <c r="JC96" s="61">
        <f t="shared" si="640"/>
        <v>10804.824128034596</v>
      </c>
      <c r="JD96" s="61">
        <f t="shared" si="641"/>
        <v>15741.782774637501</v>
      </c>
      <c r="JE96" s="61">
        <f t="shared" si="642"/>
        <v>16644.688348448068</v>
      </c>
      <c r="JF96" s="61">
        <f t="shared" si="643"/>
        <v>1077.1378097016172</v>
      </c>
      <c r="JG96" s="61">
        <f t="shared" si="644"/>
        <v>18876.127158775442</v>
      </c>
      <c r="JH96" s="61">
        <f t="shared" si="645"/>
        <v>4686.9232135900074</v>
      </c>
      <c r="JI96" s="61">
        <f t="shared" si="646"/>
        <v>4222.2302082442602</v>
      </c>
      <c r="JJ96" s="61">
        <f t="shared" si="647"/>
        <v>11839.411414893309</v>
      </c>
      <c r="JK96" s="61">
        <f t="shared" si="648"/>
        <v>5921.1186139265792</v>
      </c>
      <c r="JL96" s="61">
        <f t="shared" si="649"/>
        <v>15604.052153643164</v>
      </c>
      <c r="JM96" s="61">
        <f t="shared" si="650"/>
        <v>0</v>
      </c>
      <c r="JN96" s="61">
        <f t="shared" si="651"/>
        <v>3555.6368428145693</v>
      </c>
      <c r="JO96" s="61">
        <f t="shared" si="652"/>
        <v>0</v>
      </c>
      <c r="JQ96" s="26">
        <f t="shared" si="516"/>
        <v>1207724.0000000005</v>
      </c>
      <c r="JR96" s="156">
        <f t="shared" si="517"/>
        <v>1.0000000000000004</v>
      </c>
      <c r="JT96" s="157">
        <f t="shared" si="653"/>
        <v>47266.291238209182</v>
      </c>
      <c r="JU96" s="29">
        <f t="shared" si="654"/>
        <v>1</v>
      </c>
    </row>
    <row r="97" spans="1:281" ht="18.75" x14ac:dyDescent="0.3">
      <c r="A97" t="s">
        <v>234</v>
      </c>
      <c r="B97" t="s">
        <v>176</v>
      </c>
      <c r="C97" t="s">
        <v>74</v>
      </c>
      <c r="D97" t="s">
        <v>29</v>
      </c>
      <c r="E97" s="11" t="s">
        <v>260</v>
      </c>
      <c r="F97" s="114">
        <v>9990</v>
      </c>
      <c r="G97" s="17">
        <v>4160236</v>
      </c>
      <c r="H97" s="21">
        <v>2473324</v>
      </c>
      <c r="I97" s="25">
        <f t="shared" si="434"/>
        <v>1.6820424659284428</v>
      </c>
      <c r="J97" s="13">
        <v>3.9136666356062409E-2</v>
      </c>
      <c r="K97" s="13">
        <v>4.588716243021565E-2</v>
      </c>
      <c r="L97" s="13">
        <v>1.6944032517201901E-2</v>
      </c>
      <c r="M97" s="13">
        <v>1.9614729838749501E-2</v>
      </c>
      <c r="N97" s="13">
        <v>5.1190544950680164E-2</v>
      </c>
      <c r="O97" s="13">
        <v>7.8266475088618309E-2</v>
      </c>
      <c r="P97" s="13">
        <v>1.8139605844144844E-2</v>
      </c>
      <c r="Q97" s="13">
        <v>1.0363139792280025E-2</v>
      </c>
      <c r="R97" s="13">
        <v>4.0398127983638073E-2</v>
      </c>
      <c r="S97" s="13">
        <v>5.2386204155007492E-2</v>
      </c>
      <c r="T97" s="13">
        <v>8.3222910570921904E-2</v>
      </c>
      <c r="U97" s="13">
        <v>2.7777292884143205E-2</v>
      </c>
      <c r="V97" s="13">
        <v>1.5391129403455394E-2</v>
      </c>
      <c r="W97" s="13">
        <v>4.970237817704784E-2</v>
      </c>
      <c r="X97" s="13">
        <v>7.2412473481721529E-2</v>
      </c>
      <c r="Y97" s="13">
        <v>7.6565854763630509E-2</v>
      </c>
      <c r="Z97" s="13">
        <v>4.9548525854927672E-3</v>
      </c>
      <c r="AA97" s="13">
        <v>8.6830511949679876E-2</v>
      </c>
      <c r="AB97" s="13">
        <v>2.155992798107749E-2</v>
      </c>
      <c r="AC97" s="13">
        <v>1.9422332105916831E-2</v>
      </c>
      <c r="AD97" s="13">
        <v>5.4461497620297068E-2</v>
      </c>
      <c r="AE97" s="13">
        <v>2.7237248204434118E-2</v>
      </c>
      <c r="AF97" s="13">
        <v>7.1778910239034308E-2</v>
      </c>
      <c r="AG97" s="9">
        <v>0</v>
      </c>
      <c r="AH97" s="13">
        <v>1.6355991076548834E-2</v>
      </c>
      <c r="AJ97" s="8">
        <f t="shared" si="461"/>
        <v>1</v>
      </c>
      <c r="AK97" s="141">
        <f t="shared" si="435"/>
        <v>390.97529689706346</v>
      </c>
      <c r="AL97" s="141">
        <f t="shared" si="436"/>
        <v>458.41275267785437</v>
      </c>
      <c r="AM97" s="141">
        <f t="shared" si="437"/>
        <v>169.270884846847</v>
      </c>
      <c r="AN97" s="141">
        <f t="shared" si="438"/>
        <v>195.95115108910753</v>
      </c>
      <c r="AO97" s="141">
        <f t="shared" si="439"/>
        <v>511.39354405729483</v>
      </c>
      <c r="AP97" s="141">
        <f t="shared" si="440"/>
        <v>781.88208613529696</v>
      </c>
      <c r="AQ97" s="141">
        <f t="shared" si="441"/>
        <v>181.21466238300698</v>
      </c>
      <c r="AR97" s="141">
        <f t="shared" si="442"/>
        <v>103.52776652487745</v>
      </c>
      <c r="AS97" s="141">
        <f t="shared" si="443"/>
        <v>403.57729855654435</v>
      </c>
      <c r="AT97" s="141">
        <f t="shared" si="444"/>
        <v>523.33817950852483</v>
      </c>
      <c r="AU97" s="141">
        <f t="shared" si="445"/>
        <v>831.39687660350978</v>
      </c>
      <c r="AV97" s="141">
        <f t="shared" si="446"/>
        <v>277.49515591259063</v>
      </c>
      <c r="AW97" s="141">
        <f t="shared" si="447"/>
        <v>153.75738274051938</v>
      </c>
      <c r="AX97" s="141">
        <f t="shared" si="448"/>
        <v>496.52675798870791</v>
      </c>
      <c r="AY97" s="141">
        <f t="shared" si="449"/>
        <v>723.40061008239809</v>
      </c>
      <c r="AZ97" s="141">
        <f t="shared" si="450"/>
        <v>764.89288908866877</v>
      </c>
      <c r="BA97" s="141">
        <f t="shared" si="451"/>
        <v>49.498977329072744</v>
      </c>
      <c r="BB97" s="141">
        <f t="shared" si="452"/>
        <v>867.43681437730197</v>
      </c>
      <c r="BC97" s="141">
        <f t="shared" si="453"/>
        <v>215.38368053096411</v>
      </c>
      <c r="BD97" s="141">
        <f t="shared" si="454"/>
        <v>194.02909773810916</v>
      </c>
      <c r="BE97" s="141">
        <f t="shared" si="455"/>
        <v>544.07036122676766</v>
      </c>
      <c r="BF97" s="141">
        <f t="shared" si="456"/>
        <v>272.10010956229684</v>
      </c>
      <c r="BG97" s="141">
        <f t="shared" si="457"/>
        <v>717.07131328795276</v>
      </c>
      <c r="BH97" s="141">
        <f t="shared" si="458"/>
        <v>0</v>
      </c>
      <c r="BI97" s="141">
        <f t="shared" si="459"/>
        <v>163.39635085472284</v>
      </c>
      <c r="BJ97" s="141">
        <f t="shared" si="460"/>
        <v>0</v>
      </c>
      <c r="BM97" s="26">
        <f t="shared" si="462"/>
        <v>162817.76829447964</v>
      </c>
      <c r="BN97" s="26">
        <f t="shared" si="463"/>
        <v>190901.42508003063</v>
      </c>
      <c r="BO97" s="26">
        <f t="shared" si="464"/>
        <v>70491.174063233964</v>
      </c>
      <c r="BP97" s="26">
        <f t="shared" si="465"/>
        <v>81601.905205439863</v>
      </c>
      <c r="BQ97" s="26">
        <f t="shared" si="466"/>
        <v>212964.74796343784</v>
      </c>
      <c r="BR97" s="26">
        <f t="shared" si="467"/>
        <v>325607.00725677307</v>
      </c>
      <c r="BS97" s="26">
        <f t="shared" si="468"/>
        <v>75465.041258621772</v>
      </c>
      <c r="BT97" s="26">
        <f t="shared" si="469"/>
        <v>43113.107236875883</v>
      </c>
      <c r="BU97" s="26">
        <f t="shared" si="470"/>
        <v>168065.74637013851</v>
      </c>
      <c r="BV97" s="26">
        <f t="shared" si="471"/>
        <v>217938.97242901174</v>
      </c>
      <c r="BW97" s="26">
        <f t="shared" si="472"/>
        <v>346226.94858192984</v>
      </c>
      <c r="BX97" s="26">
        <f t="shared" si="473"/>
        <v>115560.0938391564</v>
      </c>
      <c r="BY97" s="26">
        <f t="shared" si="474"/>
        <v>64030.730624913653</v>
      </c>
      <c r="BZ97" s="26">
        <f t="shared" si="475"/>
        <v>206773.6229777688</v>
      </c>
      <c r="CA97" s="26">
        <f t="shared" si="476"/>
        <v>301252.97902770323</v>
      </c>
      <c r="CB97" s="26">
        <f t="shared" si="477"/>
        <v>318532.02535842714</v>
      </c>
      <c r="CC97" s="26">
        <f t="shared" si="478"/>
        <v>20613.356100860088</v>
      </c>
      <c r="CD97" s="26">
        <f t="shared" si="479"/>
        <v>361235.42171148839</v>
      </c>
      <c r="CE97" s="26">
        <f t="shared" si="480"/>
        <v>89694.388544285888</v>
      </c>
      <c r="CF97" s="26">
        <f t="shared" si="481"/>
        <v>80801.48523099102</v>
      </c>
      <c r="CG97" s="26">
        <f t="shared" si="482"/>
        <v>226572.68301387419</v>
      </c>
      <c r="CH97" s="26">
        <f t="shared" si="483"/>
        <v>113313.38052102218</v>
      </c>
      <c r="CI97" s="26">
        <f t="shared" si="484"/>
        <v>298617.20641719911</v>
      </c>
      <c r="CJ97" s="26">
        <f t="shared" si="485"/>
        <v>0</v>
      </c>
      <c r="CK97" s="26">
        <f t="shared" si="486"/>
        <v>68044.782892337214</v>
      </c>
      <c r="CL97" s="26">
        <f t="shared" si="487"/>
        <v>0</v>
      </c>
      <c r="CM97" s="110">
        <f t="shared" si="488"/>
        <v>1</v>
      </c>
      <c r="CN97" s="27">
        <f t="shared" si="489"/>
        <v>96797.656178441699</v>
      </c>
      <c r="CO97" s="27">
        <f t="shared" si="490"/>
        <v>113493.8201305507</v>
      </c>
      <c r="CP97" s="27">
        <f t="shared" si="491"/>
        <v>41908.082281575873</v>
      </c>
      <c r="CQ97" s="27">
        <f t="shared" si="492"/>
        <v>48513.58206369527</v>
      </c>
      <c r="CR97" s="27">
        <f t="shared" si="493"/>
        <v>126610.80339959607</v>
      </c>
      <c r="CS97" s="27">
        <f t="shared" si="494"/>
        <v>193578.3512320818</v>
      </c>
      <c r="CT97" s="27">
        <f t="shared" si="495"/>
        <v>44865.122484863699</v>
      </c>
      <c r="CU97" s="27">
        <f t="shared" si="496"/>
        <v>25631.402363601199</v>
      </c>
      <c r="CV97" s="27">
        <f t="shared" si="497"/>
        <v>99917.659497003653</v>
      </c>
      <c r="CW97" s="27">
        <f t="shared" si="498"/>
        <v>129568.05600547975</v>
      </c>
      <c r="CX97" s="27">
        <f t="shared" si="499"/>
        <v>205837.22206491485</v>
      </c>
      <c r="CY97" s="27">
        <f t="shared" si="500"/>
        <v>68702.245145380613</v>
      </c>
      <c r="CZ97" s="27">
        <f t="shared" si="501"/>
        <v>38067.249740671912</v>
      </c>
      <c r="DA97" s="27">
        <f t="shared" si="502"/>
        <v>122930.08480236867</v>
      </c>
      <c r="DB97" s="27">
        <f t="shared" si="503"/>
        <v>179099.50856170541</v>
      </c>
      <c r="DC97" s="27">
        <f t="shared" si="504"/>
        <v>189372.16616740165</v>
      </c>
      <c r="DD97" s="27">
        <f t="shared" si="505"/>
        <v>12254.955816161313</v>
      </c>
      <c r="DE97" s="27">
        <f t="shared" si="506"/>
        <v>214759.98913743004</v>
      </c>
      <c r="DF97" s="27">
        <f t="shared" si="507"/>
        <v>53324.687313870498</v>
      </c>
      <c r="DG97" s="27">
        <f t="shared" si="508"/>
        <v>48037.72013353464</v>
      </c>
      <c r="DH97" s="27">
        <f t="shared" si="509"/>
        <v>134700.92914022363</v>
      </c>
      <c r="DI97" s="27">
        <f t="shared" si="510"/>
        <v>67366.539677983805</v>
      </c>
      <c r="DJ97" s="27">
        <f t="shared" si="511"/>
        <v>177532.50138804928</v>
      </c>
      <c r="DK97" s="27">
        <f t="shared" si="512"/>
        <v>0</v>
      </c>
      <c r="DL97" s="27">
        <f t="shared" si="513"/>
        <v>40453.665273414066</v>
      </c>
      <c r="DM97" s="27">
        <f t="shared" si="514"/>
        <v>0</v>
      </c>
      <c r="DN97" s="110">
        <f t="shared" si="515"/>
        <v>1</v>
      </c>
      <c r="DO97" s="28">
        <f t="shared" si="518"/>
        <v>66020.112116037941</v>
      </c>
      <c r="DP97" s="28">
        <f t="shared" si="519"/>
        <v>77407.604949479937</v>
      </c>
      <c r="DQ97" s="28">
        <f t="shared" si="520"/>
        <v>28583.091781658091</v>
      </c>
      <c r="DR97" s="28">
        <f t="shared" si="521"/>
        <v>33088.323141744593</v>
      </c>
      <c r="DS97" s="28">
        <f t="shared" si="522"/>
        <v>86353.944563841767</v>
      </c>
      <c r="DT97" s="28">
        <f t="shared" si="523"/>
        <v>132028.65602469127</v>
      </c>
      <c r="DU97" s="28">
        <f t="shared" si="524"/>
        <v>30599.918773758072</v>
      </c>
      <c r="DV97" s="28">
        <f t="shared" si="525"/>
        <v>17481.704873274684</v>
      </c>
      <c r="DW97" s="28">
        <f t="shared" si="526"/>
        <v>68148.08687313486</v>
      </c>
      <c r="DX97" s="28">
        <f t="shared" si="527"/>
        <v>88370.916423531991</v>
      </c>
      <c r="DY97" s="28">
        <f t="shared" si="528"/>
        <v>140389.72651701499</v>
      </c>
      <c r="DZ97" s="28">
        <f t="shared" si="529"/>
        <v>46857.848693775784</v>
      </c>
      <c r="EA97" s="28">
        <f t="shared" si="530"/>
        <v>25963.480884241741</v>
      </c>
      <c r="EB97" s="28">
        <f t="shared" si="531"/>
        <v>83843.538175400128</v>
      </c>
      <c r="EC97" s="28">
        <f t="shared" si="532"/>
        <v>122153.47046599782</v>
      </c>
      <c r="ED97" s="28">
        <f t="shared" si="533"/>
        <v>129159.85919102549</v>
      </c>
      <c r="EE97" s="28">
        <f t="shared" si="534"/>
        <v>8358.4002846987751</v>
      </c>
      <c r="EF97" s="28">
        <f t="shared" si="535"/>
        <v>146475.43257405836</v>
      </c>
      <c r="EG97" s="28">
        <f t="shared" si="536"/>
        <v>36369.70123041539</v>
      </c>
      <c r="EH97" s="28">
        <f t="shared" si="537"/>
        <v>32763.76509745638</v>
      </c>
      <c r="EI97" s="28">
        <f t="shared" si="538"/>
        <v>91871.753873650567</v>
      </c>
      <c r="EJ97" s="28">
        <f t="shared" si="539"/>
        <v>45946.840843038372</v>
      </c>
      <c r="EK97" s="28">
        <f t="shared" si="540"/>
        <v>121084.70502914983</v>
      </c>
      <c r="EL97" s="28">
        <f t="shared" si="541"/>
        <v>0</v>
      </c>
      <c r="EM97" s="28">
        <f t="shared" si="542"/>
        <v>27591.117618923148</v>
      </c>
      <c r="EN97" s="28">
        <f t="shared" si="543"/>
        <v>0</v>
      </c>
      <c r="EQ97" s="144">
        <v>3.0000001021742363E-2</v>
      </c>
      <c r="ER97" s="144">
        <v>4.9999999999999982E-2</v>
      </c>
      <c r="ES97" s="144">
        <v>8.0000001021742359E-2</v>
      </c>
      <c r="ET97" s="144">
        <v>0.10999999948912878</v>
      </c>
      <c r="EU97" s="144">
        <v>0.1199999989782576</v>
      </c>
      <c r="EV97" s="144">
        <v>0.14999999999999997</v>
      </c>
      <c r="EW97" s="144">
        <v>0.13000000102174233</v>
      </c>
      <c r="EX97" s="144">
        <v>8.0000001021742359E-2</v>
      </c>
      <c r="EY97" s="144">
        <v>6.9999998978257608E-2</v>
      </c>
      <c r="EZ97" s="144">
        <v>5.9999999489128798E-2</v>
      </c>
      <c r="FA97" s="144">
        <v>5.9999999489128798E-2</v>
      </c>
      <c r="FB97" s="144">
        <v>5.9999999489128798E-2</v>
      </c>
      <c r="FC97" s="145">
        <f t="shared" si="544"/>
        <v>0.99999999999999978</v>
      </c>
      <c r="FD97" s="146">
        <f t="shared" si="545"/>
        <v>0.16000000204348469</v>
      </c>
      <c r="FE97" s="146">
        <f t="shared" si="546"/>
        <v>0.37999999846738636</v>
      </c>
      <c r="FF97" s="146">
        <f t="shared" si="547"/>
        <v>0.28000000102174227</v>
      </c>
      <c r="FG97" s="146">
        <f t="shared" si="548"/>
        <v>0.1799999984673864</v>
      </c>
      <c r="FH97" s="145">
        <f t="shared" ref="FH97:FH160" si="655">SUM(FD97:FG97)</f>
        <v>0.99999999999999978</v>
      </c>
      <c r="FJ97" s="52">
        <f t="shared" si="549"/>
        <v>26050.84325983236</v>
      </c>
      <c r="FK97" s="52">
        <f t="shared" si="550"/>
        <v>30544.228402909041</v>
      </c>
      <c r="FL97" s="52">
        <f t="shared" si="551"/>
        <v>11278.587994165069</v>
      </c>
      <c r="FM97" s="52">
        <f t="shared" si="552"/>
        <v>13056.304999622622</v>
      </c>
      <c r="FN97" s="52">
        <f t="shared" si="553"/>
        <v>34074.360109340254</v>
      </c>
      <c r="FO97" s="52">
        <f t="shared" si="554"/>
        <v>52097.121826456627</v>
      </c>
      <c r="FP97" s="52">
        <f t="shared" si="555"/>
        <v>12074.406755591141</v>
      </c>
      <c r="FQ97" s="52">
        <f t="shared" si="556"/>
        <v>6898.0972460011162</v>
      </c>
      <c r="FR97" s="52">
        <f t="shared" si="557"/>
        <v>26890.519762661941</v>
      </c>
      <c r="FS97" s="52">
        <f t="shared" si="558"/>
        <v>34870.236033996836</v>
      </c>
      <c r="FT97" s="52">
        <f t="shared" si="559"/>
        <v>55396.312480618246</v>
      </c>
      <c r="FU97" s="52">
        <f t="shared" si="560"/>
        <v>18489.615250410305</v>
      </c>
      <c r="FV97" s="52">
        <f t="shared" si="561"/>
        <v>10244.917030832003</v>
      </c>
      <c r="FW97" s="52">
        <f t="shared" si="562"/>
        <v>33083.780098981741</v>
      </c>
      <c r="FX97" s="52">
        <f t="shared" si="563"/>
        <v>48200.477260038366</v>
      </c>
      <c r="FY97" s="52">
        <f t="shared" si="564"/>
        <v>50965.124708263662</v>
      </c>
      <c r="FZ97" s="52">
        <f t="shared" si="565"/>
        <v>3298.1370182606915</v>
      </c>
      <c r="GA97" s="52">
        <f t="shared" si="566"/>
        <v>57797.668212017197</v>
      </c>
      <c r="GB97" s="52">
        <f t="shared" si="567"/>
        <v>14351.102350374851</v>
      </c>
      <c r="GC97" s="52">
        <f t="shared" si="568"/>
        <v>12928.237802075162</v>
      </c>
      <c r="GD97" s="52">
        <f t="shared" si="569"/>
        <v>36251.62974521768</v>
      </c>
      <c r="GE97" s="52">
        <f t="shared" si="570"/>
        <v>18130.141114917707</v>
      </c>
      <c r="GF97" s="52">
        <f t="shared" si="571"/>
        <v>47778.753636971545</v>
      </c>
      <c r="GG97" s="52">
        <f t="shared" si="572"/>
        <v>0</v>
      </c>
      <c r="GH97" s="52">
        <f t="shared" si="573"/>
        <v>10887.165401822427</v>
      </c>
      <c r="GI97" s="52">
        <f t="shared" si="574"/>
        <v>0</v>
      </c>
      <c r="GJ97" s="26"/>
      <c r="GL97" s="150">
        <f t="shared" si="575"/>
        <v>61870.751702365531</v>
      </c>
      <c r="GM97" s="150">
        <f t="shared" si="576"/>
        <v>72542.541237833517</v>
      </c>
      <c r="GN97" s="150">
        <f t="shared" si="577"/>
        <v>26786.64603599317</v>
      </c>
      <c r="GO97" s="150">
        <f t="shared" si="578"/>
        <v>31008.723853002954</v>
      </c>
      <c r="GP97" s="150">
        <f t="shared" si="579"/>
        <v>80926.603899713708</v>
      </c>
      <c r="GQ97" s="150">
        <f t="shared" si="580"/>
        <v>123730.66225854402</v>
      </c>
      <c r="GR97" s="150">
        <f t="shared" si="581"/>
        <v>28676.715562617523</v>
      </c>
      <c r="GS97" s="150">
        <f t="shared" si="582"/>
        <v>16382.980683937099</v>
      </c>
      <c r="GT97" s="150">
        <f t="shared" si="583"/>
        <v>63864.983363072781</v>
      </c>
      <c r="GU97" s="150">
        <f t="shared" si="584"/>
        <v>82816.809189008214</v>
      </c>
      <c r="GV97" s="150">
        <f t="shared" si="585"/>
        <v>131566.23993050121</v>
      </c>
      <c r="GW97" s="150">
        <f t="shared" si="586"/>
        <v>43912.835481770453</v>
      </c>
      <c r="GX97" s="150">
        <f t="shared" si="587"/>
        <v>24331.677539332817</v>
      </c>
      <c r="GY97" s="150">
        <f t="shared" si="588"/>
        <v>78573.976414648074</v>
      </c>
      <c r="GZ97" s="150">
        <f t="shared" si="589"/>
        <v>114476.13156882281</v>
      </c>
      <c r="HA97" s="150">
        <f t="shared" si="590"/>
        <v>121042.16914801579</v>
      </c>
      <c r="HB97" s="150">
        <f t="shared" si="591"/>
        <v>7833.0752867345227</v>
      </c>
      <c r="HC97" s="150">
        <f t="shared" si="592"/>
        <v>137269.45969673127</v>
      </c>
      <c r="HD97" s="150">
        <f t="shared" si="593"/>
        <v>34083.867509361793</v>
      </c>
      <c r="HE97" s="150">
        <f t="shared" si="594"/>
        <v>30704.56426393913</v>
      </c>
      <c r="HF97" s="150">
        <f t="shared" si="595"/>
        <v>86097.619198023807</v>
      </c>
      <c r="HG97" s="150">
        <f t="shared" si="596"/>
        <v>43059.084424322791</v>
      </c>
      <c r="HH97" s="150">
        <f t="shared" si="597"/>
        <v>113474.53798087085</v>
      </c>
      <c r="HI97" s="150">
        <f t="shared" si="598"/>
        <v>0</v>
      </c>
      <c r="HJ97" s="150">
        <f t="shared" si="599"/>
        <v>25857.01739480178</v>
      </c>
      <c r="HK97" s="150">
        <f t="shared" si="600"/>
        <v>0</v>
      </c>
      <c r="HL97" s="26"/>
      <c r="HN97" s="147">
        <f t="shared" si="601"/>
        <v>45588.975288812093</v>
      </c>
      <c r="HO97" s="147">
        <f t="shared" si="602"/>
        <v>53452.399217460632</v>
      </c>
      <c r="HP97" s="147">
        <f t="shared" si="603"/>
        <v>19737.528809729323</v>
      </c>
      <c r="HQ97" s="147">
        <f t="shared" si="604"/>
        <v>22848.53354089928</v>
      </c>
      <c r="HR97" s="147">
        <f t="shared" si="605"/>
        <v>59630.12964735768</v>
      </c>
      <c r="HS97" s="147">
        <f t="shared" si="606"/>
        <v>91169.962364582898</v>
      </c>
      <c r="HT97" s="147">
        <f t="shared" si="607"/>
        <v>21130.211629519919</v>
      </c>
      <c r="HU97" s="147">
        <f t="shared" si="608"/>
        <v>12071.670070375732</v>
      </c>
      <c r="HV97" s="147">
        <f t="shared" si="609"/>
        <v>47058.409155358662</v>
      </c>
      <c r="HW97" s="147">
        <f t="shared" si="610"/>
        <v>61022.912502800747</v>
      </c>
      <c r="HX97" s="147">
        <f t="shared" si="611"/>
        <v>96943.545956695059</v>
      </c>
      <c r="HY97" s="147">
        <f t="shared" si="612"/>
        <v>32356.826393036423</v>
      </c>
      <c r="HZ97" s="147">
        <f t="shared" si="613"/>
        <v>17928.604640398727</v>
      </c>
      <c r="IA97" s="147">
        <f t="shared" si="614"/>
        <v>57896.614645044618</v>
      </c>
      <c r="IB97" s="147">
        <f t="shared" si="615"/>
        <v>84350.834435559809</v>
      </c>
      <c r="IC97" s="147">
        <f t="shared" si="616"/>
        <v>89188.967425817231</v>
      </c>
      <c r="ID97" s="147">
        <f t="shared" si="617"/>
        <v>5771.7397293023623</v>
      </c>
      <c r="IE97" s="147">
        <f t="shared" si="618"/>
        <v>101145.91844830626</v>
      </c>
      <c r="IF97" s="147">
        <f t="shared" si="619"/>
        <v>25114.428884044599</v>
      </c>
      <c r="IG97" s="147">
        <f t="shared" si="620"/>
        <v>22624.415947235779</v>
      </c>
      <c r="IH97" s="147">
        <f t="shared" si="621"/>
        <v>63440.351475383664</v>
      </c>
      <c r="II97" s="147">
        <f t="shared" si="622"/>
        <v>31727.746661663281</v>
      </c>
      <c r="IJ97" s="147">
        <f t="shared" si="623"/>
        <v>83612.818101925572</v>
      </c>
      <c r="IK97" s="147">
        <f t="shared" si="624"/>
        <v>0</v>
      </c>
      <c r="IL97" s="147">
        <f t="shared" si="625"/>
        <v>19052.539279378652</v>
      </c>
      <c r="IM97" s="147">
        <f t="shared" si="626"/>
        <v>0</v>
      </c>
      <c r="IN97" s="26"/>
      <c r="IP97" s="61">
        <f t="shared" si="627"/>
        <v>29307.198043469609</v>
      </c>
      <c r="IQ97" s="61">
        <f t="shared" si="628"/>
        <v>34362.256221827396</v>
      </c>
      <c r="IR97" s="61">
        <f t="shared" si="629"/>
        <v>12688.411223346382</v>
      </c>
      <c r="IS97" s="61">
        <f t="shared" si="630"/>
        <v>14688.342811914987</v>
      </c>
      <c r="IT97" s="61">
        <f t="shared" si="631"/>
        <v>38333.65430702614</v>
      </c>
      <c r="IU97" s="61">
        <f t="shared" si="632"/>
        <v>58609.260807189428</v>
      </c>
      <c r="IV97" s="61">
        <f t="shared" si="633"/>
        <v>13583.707310893171</v>
      </c>
      <c r="IW97" s="61">
        <f t="shared" si="634"/>
        <v>7760.3592365619243</v>
      </c>
      <c r="IX97" s="61">
        <f t="shared" si="635"/>
        <v>30251.834089045085</v>
      </c>
      <c r="IY97" s="61">
        <f t="shared" si="636"/>
        <v>39229.014703205881</v>
      </c>
      <c r="IZ97" s="61">
        <f t="shared" si="637"/>
        <v>62320.850214115242</v>
      </c>
      <c r="JA97" s="61">
        <f t="shared" si="638"/>
        <v>20800.816713939181</v>
      </c>
      <c r="JB97" s="61">
        <f t="shared" si="639"/>
        <v>11525.531414350089</v>
      </c>
      <c r="JC97" s="61">
        <f t="shared" si="640"/>
        <v>37219.251819094316</v>
      </c>
      <c r="JD97" s="61">
        <f t="shared" si="641"/>
        <v>54225.535763282169</v>
      </c>
      <c r="JE97" s="61">
        <f t="shared" si="642"/>
        <v>57335.764076330372</v>
      </c>
      <c r="JF97" s="61">
        <f t="shared" si="643"/>
        <v>3710.4040665625062</v>
      </c>
      <c r="JG97" s="61">
        <f t="shared" si="644"/>
        <v>65022.375354433592</v>
      </c>
      <c r="JH97" s="61">
        <f t="shared" si="645"/>
        <v>16144.98980050462</v>
      </c>
      <c r="JI97" s="61">
        <f t="shared" si="646"/>
        <v>14544.267217740929</v>
      </c>
      <c r="JJ97" s="61">
        <f t="shared" si="647"/>
        <v>40783.082595248983</v>
      </c>
      <c r="JK97" s="61">
        <f t="shared" si="648"/>
        <v>20396.408320118364</v>
      </c>
      <c r="JL97" s="61">
        <f t="shared" si="649"/>
        <v>53751.09669743105</v>
      </c>
      <c r="JM97" s="61">
        <f t="shared" si="650"/>
        <v>0</v>
      </c>
      <c r="JN97" s="61">
        <f t="shared" si="651"/>
        <v>12248.060816334339</v>
      </c>
      <c r="JO97" s="61">
        <f t="shared" si="652"/>
        <v>0</v>
      </c>
      <c r="JQ97" s="26">
        <f t="shared" si="516"/>
        <v>4160235.9999999967</v>
      </c>
      <c r="JR97" s="156">
        <f t="shared" si="517"/>
        <v>0.99999999999999922</v>
      </c>
      <c r="JT97" s="157">
        <f t="shared" si="653"/>
        <v>162817.76829447958</v>
      </c>
      <c r="JU97" s="29">
        <f t="shared" si="654"/>
        <v>0.99999999999999967</v>
      </c>
    </row>
    <row r="98" spans="1:281" ht="18.75" x14ac:dyDescent="0.3">
      <c r="A98" t="s">
        <v>234</v>
      </c>
      <c r="B98" t="s">
        <v>177</v>
      </c>
      <c r="C98" t="s">
        <v>74</v>
      </c>
      <c r="D98" t="s">
        <v>29</v>
      </c>
      <c r="E98" s="11" t="s">
        <v>261</v>
      </c>
      <c r="F98" s="114">
        <v>31530</v>
      </c>
      <c r="G98" s="17">
        <v>11539665</v>
      </c>
      <c r="H98" s="21">
        <v>7209965</v>
      </c>
      <c r="I98" s="25">
        <f t="shared" si="434"/>
        <v>1.6005160912709007</v>
      </c>
      <c r="J98" s="13">
        <v>3.913666635606261E-2</v>
      </c>
      <c r="K98" s="13">
        <v>4.5887162430215699E-2</v>
      </c>
      <c r="L98" s="13">
        <v>1.6944032517201828E-2</v>
      </c>
      <c r="M98" s="13">
        <v>1.9614729838749394E-2</v>
      </c>
      <c r="N98" s="13">
        <v>5.1190544950680192E-2</v>
      </c>
      <c r="O98" s="13">
        <v>7.8266475088618198E-2</v>
      </c>
      <c r="P98" s="13">
        <v>1.8139605844144872E-2</v>
      </c>
      <c r="Q98" s="13">
        <v>1.0363139792280027E-2</v>
      </c>
      <c r="R98" s="13">
        <v>4.0398127983638094E-2</v>
      </c>
      <c r="S98" s="13">
        <v>5.2386204155007672E-2</v>
      </c>
      <c r="T98" s="13">
        <v>8.3222910570921751E-2</v>
      </c>
      <c r="U98" s="13">
        <v>2.777729288414317E-2</v>
      </c>
      <c r="V98" s="13">
        <v>1.5391129403455536E-2</v>
      </c>
      <c r="W98" s="13">
        <v>4.9702378177047701E-2</v>
      </c>
      <c r="X98" s="13">
        <v>7.2412473481721265E-2</v>
      </c>
      <c r="Y98" s="13">
        <v>7.6565854763630245E-2</v>
      </c>
      <c r="Z98" s="13">
        <v>4.9548525854927672E-3</v>
      </c>
      <c r="AA98" s="13">
        <v>8.6830511949679903E-2</v>
      </c>
      <c r="AB98" s="13">
        <v>2.1559927981077604E-2</v>
      </c>
      <c r="AC98" s="13">
        <v>1.9422332105916873E-2</v>
      </c>
      <c r="AD98" s="13">
        <v>5.4461497620297249E-2</v>
      </c>
      <c r="AE98" s="13">
        <v>2.72372482044341E-2</v>
      </c>
      <c r="AF98" s="13">
        <v>7.1778910239034391E-2</v>
      </c>
      <c r="AG98" s="9">
        <v>0</v>
      </c>
      <c r="AH98" s="13">
        <v>1.6355991076548809E-2</v>
      </c>
      <c r="AJ98" s="8">
        <f t="shared" si="461"/>
        <v>1.0000000000000002</v>
      </c>
      <c r="AK98" s="141">
        <f t="shared" si="435"/>
        <v>1233.9790902066541</v>
      </c>
      <c r="AL98" s="141">
        <f t="shared" si="436"/>
        <v>1446.8222314247009</v>
      </c>
      <c r="AM98" s="141">
        <f t="shared" si="437"/>
        <v>534.24534526737364</v>
      </c>
      <c r="AN98" s="141">
        <f t="shared" si="438"/>
        <v>618.45243181576836</v>
      </c>
      <c r="AO98" s="141">
        <f t="shared" si="439"/>
        <v>1614.0378822949465</v>
      </c>
      <c r="AP98" s="141">
        <f t="shared" si="440"/>
        <v>2467.741959544132</v>
      </c>
      <c r="AQ98" s="141">
        <f t="shared" si="441"/>
        <v>571.94177226588783</v>
      </c>
      <c r="AR98" s="141">
        <f t="shared" si="442"/>
        <v>326.74979765058924</v>
      </c>
      <c r="AS98" s="141">
        <f t="shared" si="443"/>
        <v>1273.752975324109</v>
      </c>
      <c r="AT98" s="141">
        <f t="shared" si="444"/>
        <v>1651.7370170073918</v>
      </c>
      <c r="AU98" s="141">
        <f t="shared" si="445"/>
        <v>2624.018370301163</v>
      </c>
      <c r="AV98" s="141">
        <f t="shared" si="446"/>
        <v>875.81804463703418</v>
      </c>
      <c r="AW98" s="141">
        <f t="shared" si="447"/>
        <v>485.28231009095305</v>
      </c>
      <c r="AX98" s="141">
        <f t="shared" si="448"/>
        <v>1567.1159839223139</v>
      </c>
      <c r="AY98" s="141">
        <f t="shared" si="449"/>
        <v>2283.1652888786716</v>
      </c>
      <c r="AZ98" s="141">
        <f t="shared" si="450"/>
        <v>2414.1214006972618</v>
      </c>
      <c r="BA98" s="141">
        <f t="shared" si="451"/>
        <v>156.22650202058693</v>
      </c>
      <c r="BB98" s="141">
        <f t="shared" si="452"/>
        <v>2737.7660417734073</v>
      </c>
      <c r="BC98" s="141">
        <f t="shared" si="453"/>
        <v>679.78452924337682</v>
      </c>
      <c r="BD98" s="141">
        <f t="shared" si="454"/>
        <v>612.386131299559</v>
      </c>
      <c r="BE98" s="141">
        <f t="shared" si="455"/>
        <v>1717.1710199679721</v>
      </c>
      <c r="BF98" s="141">
        <f t="shared" si="456"/>
        <v>858.79043588580714</v>
      </c>
      <c r="BG98" s="141">
        <f t="shared" si="457"/>
        <v>2263.1890398367545</v>
      </c>
      <c r="BH98" s="141">
        <f t="shared" si="458"/>
        <v>0</v>
      </c>
      <c r="BI98" s="141">
        <f t="shared" si="459"/>
        <v>515.704398643584</v>
      </c>
      <c r="BJ98" s="141">
        <f t="shared" si="460"/>
        <v>0</v>
      </c>
      <c r="BM98" s="26">
        <f t="shared" si="462"/>
        <v>451624.01896573324</v>
      </c>
      <c r="BN98" s="26">
        <f t="shared" si="463"/>
        <v>529522.48224527505</v>
      </c>
      <c r="BO98" s="26">
        <f t="shared" si="464"/>
        <v>195528.45899761582</v>
      </c>
      <c r="BP98" s="26">
        <f t="shared" si="465"/>
        <v>226347.41140467202</v>
      </c>
      <c r="BQ98" s="26">
        <f t="shared" si="466"/>
        <v>590721.73989829095</v>
      </c>
      <c r="BR98" s="26">
        <f t="shared" si="467"/>
        <v>903168.9032534993</v>
      </c>
      <c r="BS98" s="26">
        <f t="shared" si="468"/>
        <v>209324.97467347403</v>
      </c>
      <c r="BT98" s="26">
        <f t="shared" si="469"/>
        <v>119587.1615510811</v>
      </c>
      <c r="BU98" s="26">
        <f t="shared" si="470"/>
        <v>466180.86355830909</v>
      </c>
      <c r="BV98" s="26">
        <f t="shared" si="471"/>
        <v>604519.24657039659</v>
      </c>
      <c r="BW98" s="26">
        <f t="shared" si="472"/>
        <v>960364.50831339578</v>
      </c>
      <c r="BX98" s="26">
        <f t="shared" si="473"/>
        <v>320540.65448989603</v>
      </c>
      <c r="BY98" s="26">
        <f t="shared" si="474"/>
        <v>177608.47728752674</v>
      </c>
      <c r="BZ98" s="26">
        <f t="shared" si="475"/>
        <v>573548.79386644112</v>
      </c>
      <c r="CA98" s="26">
        <f t="shared" si="476"/>
        <v>835615.68580044701</v>
      </c>
      <c r="CB98" s="26">
        <f t="shared" si="477"/>
        <v>883544.31441094726</v>
      </c>
      <c r="CC98" s="26">
        <f t="shared" si="478"/>
        <v>57177.338960970395</v>
      </c>
      <c r="CD98" s="26">
        <f t="shared" si="479"/>
        <v>1001995.0196778029</v>
      </c>
      <c r="CE98" s="26">
        <f t="shared" si="480"/>
        <v>248794.3463257619</v>
      </c>
      <c r="CF98" s="26">
        <f t="shared" si="481"/>
        <v>224127.20602102522</v>
      </c>
      <c r="CG98" s="26">
        <f t="shared" si="482"/>
        <v>628467.43793652742</v>
      </c>
      <c r="CH98" s="26">
        <f t="shared" si="483"/>
        <v>314308.71980102104</v>
      </c>
      <c r="CI98" s="26">
        <f t="shared" si="484"/>
        <v>828304.57822352683</v>
      </c>
      <c r="CJ98" s="26">
        <f t="shared" si="485"/>
        <v>0</v>
      </c>
      <c r="CK98" s="26">
        <f t="shared" si="486"/>
        <v>188742.65776636262</v>
      </c>
      <c r="CL98" s="26">
        <f t="shared" si="487"/>
        <v>0</v>
      </c>
      <c r="CM98" s="110">
        <f t="shared" si="488"/>
        <v>1.0000000000000002</v>
      </c>
      <c r="CN98" s="27">
        <f t="shared" si="489"/>
        <v>282173.99464388896</v>
      </c>
      <c r="CO98" s="27">
        <f t="shared" si="490"/>
        <v>330844.83507117012</v>
      </c>
      <c r="CP98" s="27">
        <f t="shared" si="491"/>
        <v>122165.88140788708</v>
      </c>
      <c r="CQ98" s="27">
        <f t="shared" si="492"/>
        <v>141421.51562183877</v>
      </c>
      <c r="CR98" s="27">
        <f t="shared" si="493"/>
        <v>369082.0374253309</v>
      </c>
      <c r="CS98" s="27">
        <f t="shared" si="494"/>
        <v>564298.54606230906</v>
      </c>
      <c r="CT98" s="27">
        <f t="shared" si="495"/>
        <v>130785.92325007998</v>
      </c>
      <c r="CU98" s="27">
        <f t="shared" si="496"/>
        <v>74717.875192446256</v>
      </c>
      <c r="CV98" s="27">
        <f t="shared" si="497"/>
        <v>291269.08882755123</v>
      </c>
      <c r="CW98" s="27">
        <f t="shared" si="498"/>
        <v>377702.69844045991</v>
      </c>
      <c r="CX98" s="27">
        <f t="shared" si="499"/>
        <v>600034.2724144758</v>
      </c>
      <c r="CY98" s="27">
        <f t="shared" si="500"/>
        <v>200273.30948942131</v>
      </c>
      <c r="CZ98" s="27">
        <f t="shared" si="501"/>
        <v>110969.5043093853</v>
      </c>
      <c r="DA98" s="27">
        <f t="shared" si="502"/>
        <v>358352.40707327775</v>
      </c>
      <c r="DB98" s="27">
        <f t="shared" si="503"/>
        <v>522091.39936663845</v>
      </c>
      <c r="DC98" s="27">
        <f t="shared" si="504"/>
        <v>552037.13304085738</v>
      </c>
      <c r="DD98" s="27">
        <f t="shared" si="505"/>
        <v>35724.313721562357</v>
      </c>
      <c r="DE98" s="27">
        <f t="shared" si="506"/>
        <v>626044.95208927384</v>
      </c>
      <c r="DF98" s="27">
        <f t="shared" si="507"/>
        <v>155446.3261460902</v>
      </c>
      <c r="DG98" s="27">
        <f t="shared" si="508"/>
        <v>140034.33470203695</v>
      </c>
      <c r="DH98" s="27">
        <f t="shared" si="509"/>
        <v>392665.49168992648</v>
      </c>
      <c r="DI98" s="27">
        <f t="shared" si="510"/>
        <v>196379.6062502827</v>
      </c>
      <c r="DJ98" s="27">
        <f t="shared" si="511"/>
        <v>517523.43056157959</v>
      </c>
      <c r="DK98" s="27">
        <f t="shared" si="512"/>
        <v>0</v>
      </c>
      <c r="DL98" s="27">
        <f t="shared" si="513"/>
        <v>117926.12320222924</v>
      </c>
      <c r="DM98" s="27">
        <f t="shared" si="514"/>
        <v>0</v>
      </c>
      <c r="DN98" s="110">
        <f t="shared" si="515"/>
        <v>1</v>
      </c>
      <c r="DO98" s="28">
        <f t="shared" si="518"/>
        <v>169450.02432184428</v>
      </c>
      <c r="DP98" s="28">
        <f t="shared" si="519"/>
        <v>198677.64717410493</v>
      </c>
      <c r="DQ98" s="28">
        <f t="shared" si="520"/>
        <v>73362.577589728739</v>
      </c>
      <c r="DR98" s="28">
        <f t="shared" si="521"/>
        <v>84925.89578283325</v>
      </c>
      <c r="DS98" s="28">
        <f t="shared" si="522"/>
        <v>221639.70247296005</v>
      </c>
      <c r="DT98" s="28">
        <f t="shared" si="523"/>
        <v>338870.35719119024</v>
      </c>
      <c r="DU98" s="28">
        <f t="shared" si="524"/>
        <v>78539.051423394048</v>
      </c>
      <c r="DV98" s="28">
        <f t="shared" si="525"/>
        <v>44869.286358634839</v>
      </c>
      <c r="DW98" s="28">
        <f t="shared" si="526"/>
        <v>174911.77473075787</v>
      </c>
      <c r="DX98" s="28">
        <f t="shared" si="527"/>
        <v>226816.54812993668</v>
      </c>
      <c r="DY98" s="28">
        <f t="shared" si="528"/>
        <v>360330.23589891999</v>
      </c>
      <c r="DZ98" s="28">
        <f t="shared" si="529"/>
        <v>120267.34500047471</v>
      </c>
      <c r="EA98" s="28">
        <f t="shared" si="530"/>
        <v>66638.972978141435</v>
      </c>
      <c r="EB98" s="28">
        <f t="shared" si="531"/>
        <v>215196.38679316337</v>
      </c>
      <c r="EC98" s="28">
        <f t="shared" si="532"/>
        <v>313524.28643380856</v>
      </c>
      <c r="ED98" s="28">
        <f t="shared" si="533"/>
        <v>331507.18137008988</v>
      </c>
      <c r="EE98" s="28">
        <f t="shared" si="534"/>
        <v>21453.025239408038</v>
      </c>
      <c r="EF98" s="28">
        <f t="shared" si="535"/>
        <v>375950.06758852908</v>
      </c>
      <c r="EG98" s="28">
        <f t="shared" si="536"/>
        <v>93348.020179671701</v>
      </c>
      <c r="EH98" s="28">
        <f t="shared" si="537"/>
        <v>84092.871318988269</v>
      </c>
      <c r="EI98" s="28">
        <f t="shared" si="538"/>
        <v>235801.94624660094</v>
      </c>
      <c r="EJ98" s="28">
        <f t="shared" si="539"/>
        <v>117929.11355073834</v>
      </c>
      <c r="EK98" s="28">
        <f t="shared" si="540"/>
        <v>310781.14766194724</v>
      </c>
      <c r="EL98" s="28">
        <f t="shared" si="541"/>
        <v>0</v>
      </c>
      <c r="EM98" s="28">
        <f t="shared" si="542"/>
        <v>70816.534564133384</v>
      </c>
      <c r="EN98" s="28">
        <f t="shared" si="543"/>
        <v>0</v>
      </c>
      <c r="EQ98" s="144">
        <v>0</v>
      </c>
      <c r="ER98" s="144">
        <v>0</v>
      </c>
      <c r="ES98" s="144">
        <v>0</v>
      </c>
      <c r="ET98" s="144">
        <v>0.1</v>
      </c>
      <c r="EU98" s="144">
        <v>0.17</v>
      </c>
      <c r="EV98" s="144">
        <v>0.2</v>
      </c>
      <c r="EW98" s="144">
        <v>0.2</v>
      </c>
      <c r="EX98" s="144">
        <v>0.08</v>
      </c>
      <c r="EY98" s="144">
        <v>7.0000000000000007E-2</v>
      </c>
      <c r="EZ98" s="144">
        <v>0.06</v>
      </c>
      <c r="FA98" s="144">
        <v>0.06</v>
      </c>
      <c r="FB98" s="144">
        <v>0.06</v>
      </c>
      <c r="FC98" s="145">
        <f t="shared" si="544"/>
        <v>1.0000000000000002</v>
      </c>
      <c r="FD98" s="146">
        <f t="shared" si="545"/>
        <v>0</v>
      </c>
      <c r="FE98" s="146">
        <f t="shared" si="546"/>
        <v>0.47000000000000003</v>
      </c>
      <c r="FF98" s="146">
        <f t="shared" si="547"/>
        <v>0.35000000000000003</v>
      </c>
      <c r="FG98" s="146">
        <f t="shared" si="548"/>
        <v>0.18</v>
      </c>
      <c r="FH98" s="145">
        <f t="shared" si="655"/>
        <v>1</v>
      </c>
      <c r="FJ98" s="52">
        <f t="shared" si="549"/>
        <v>0</v>
      </c>
      <c r="FK98" s="52">
        <f t="shared" si="550"/>
        <v>0</v>
      </c>
      <c r="FL98" s="52">
        <f t="shared" si="551"/>
        <v>0</v>
      </c>
      <c r="FM98" s="52">
        <f t="shared" si="552"/>
        <v>0</v>
      </c>
      <c r="FN98" s="52">
        <f t="shared" si="553"/>
        <v>0</v>
      </c>
      <c r="FO98" s="52">
        <f t="shared" si="554"/>
        <v>0</v>
      </c>
      <c r="FP98" s="52">
        <f t="shared" si="555"/>
        <v>0</v>
      </c>
      <c r="FQ98" s="52">
        <f t="shared" si="556"/>
        <v>0</v>
      </c>
      <c r="FR98" s="52">
        <f t="shared" si="557"/>
        <v>0</v>
      </c>
      <c r="FS98" s="52">
        <f t="shared" si="558"/>
        <v>0</v>
      </c>
      <c r="FT98" s="52">
        <f t="shared" si="559"/>
        <v>0</v>
      </c>
      <c r="FU98" s="52">
        <f t="shared" si="560"/>
        <v>0</v>
      </c>
      <c r="FV98" s="52">
        <f t="shared" si="561"/>
        <v>0</v>
      </c>
      <c r="FW98" s="52">
        <f t="shared" si="562"/>
        <v>0</v>
      </c>
      <c r="FX98" s="52">
        <f t="shared" si="563"/>
        <v>0</v>
      </c>
      <c r="FY98" s="52">
        <f t="shared" si="564"/>
        <v>0</v>
      </c>
      <c r="FZ98" s="52">
        <f t="shared" si="565"/>
        <v>0</v>
      </c>
      <c r="GA98" s="52">
        <f t="shared" si="566"/>
        <v>0</v>
      </c>
      <c r="GB98" s="52">
        <f t="shared" si="567"/>
        <v>0</v>
      </c>
      <c r="GC98" s="52">
        <f t="shared" si="568"/>
        <v>0</v>
      </c>
      <c r="GD98" s="52">
        <f t="shared" si="569"/>
        <v>0</v>
      </c>
      <c r="GE98" s="52">
        <f t="shared" si="570"/>
        <v>0</v>
      </c>
      <c r="GF98" s="52">
        <f t="shared" si="571"/>
        <v>0</v>
      </c>
      <c r="GG98" s="52">
        <f t="shared" si="572"/>
        <v>0</v>
      </c>
      <c r="GH98" s="52">
        <f t="shared" si="573"/>
        <v>0</v>
      </c>
      <c r="GI98" s="52">
        <f t="shared" si="574"/>
        <v>0</v>
      </c>
      <c r="GJ98" s="26"/>
      <c r="GL98" s="150">
        <f t="shared" si="575"/>
        <v>212263.28891389465</v>
      </c>
      <c r="GM98" s="150">
        <f t="shared" si="576"/>
        <v>248875.56665527928</v>
      </c>
      <c r="GN98" s="150">
        <f t="shared" si="577"/>
        <v>91898.375728879444</v>
      </c>
      <c r="GO98" s="150">
        <f t="shared" si="578"/>
        <v>106383.28336019586</v>
      </c>
      <c r="GP98" s="150">
        <f t="shared" si="579"/>
        <v>277639.21775219677</v>
      </c>
      <c r="GQ98" s="150">
        <f t="shared" si="580"/>
        <v>424489.38452914468</v>
      </c>
      <c r="GR98" s="150">
        <f t="shared" si="581"/>
        <v>98382.738096532805</v>
      </c>
      <c r="GS98" s="150">
        <f t="shared" si="582"/>
        <v>56205.965929008118</v>
      </c>
      <c r="GT98" s="150">
        <f t="shared" si="583"/>
        <v>219105.00587240528</v>
      </c>
      <c r="GU98" s="150">
        <f t="shared" si="584"/>
        <v>284124.04588808643</v>
      </c>
      <c r="GV98" s="150">
        <f t="shared" si="585"/>
        <v>451371.31890729605</v>
      </c>
      <c r="GW98" s="150">
        <f t="shared" si="586"/>
        <v>150654.10761025114</v>
      </c>
      <c r="GX98" s="150">
        <f t="shared" si="587"/>
        <v>83475.984325137571</v>
      </c>
      <c r="GY98" s="150">
        <f t="shared" si="588"/>
        <v>269567.93311722734</v>
      </c>
      <c r="GZ98" s="150">
        <f t="shared" si="589"/>
        <v>392739.37232621014</v>
      </c>
      <c r="HA98" s="150">
        <f t="shared" si="590"/>
        <v>415265.82777314523</v>
      </c>
      <c r="HB98" s="150">
        <f t="shared" si="591"/>
        <v>26873.349311656086</v>
      </c>
      <c r="HC98" s="150">
        <f t="shared" si="592"/>
        <v>470937.65924856742</v>
      </c>
      <c r="HD98" s="150">
        <f t="shared" si="593"/>
        <v>116933.3427731081</v>
      </c>
      <c r="HE98" s="150">
        <f t="shared" si="594"/>
        <v>105339.78682988186</v>
      </c>
      <c r="HF98" s="150">
        <f t="shared" si="595"/>
        <v>295379.69583016791</v>
      </c>
      <c r="HG98" s="150">
        <f t="shared" si="596"/>
        <v>147725.09830647989</v>
      </c>
      <c r="HH98" s="150">
        <f t="shared" si="597"/>
        <v>389303.15176505764</v>
      </c>
      <c r="HI98" s="150">
        <f t="shared" si="598"/>
        <v>0</v>
      </c>
      <c r="HJ98" s="150">
        <f t="shared" si="599"/>
        <v>88709.049150190433</v>
      </c>
      <c r="HK98" s="150">
        <f t="shared" si="600"/>
        <v>0</v>
      </c>
      <c r="HL98" s="26"/>
      <c r="HN98" s="147">
        <f t="shared" si="601"/>
        <v>158068.40663800665</v>
      </c>
      <c r="HO98" s="147">
        <f t="shared" si="602"/>
        <v>185332.86878584628</v>
      </c>
      <c r="HP98" s="147">
        <f t="shared" si="603"/>
        <v>68434.960649165543</v>
      </c>
      <c r="HQ98" s="147">
        <f t="shared" si="604"/>
        <v>79221.593991635222</v>
      </c>
      <c r="HR98" s="147">
        <f t="shared" si="605"/>
        <v>206752.60896440185</v>
      </c>
      <c r="HS98" s="147">
        <f t="shared" si="606"/>
        <v>316109.11613872478</v>
      </c>
      <c r="HT98" s="147">
        <f t="shared" si="607"/>
        <v>73263.741135715914</v>
      </c>
      <c r="HU98" s="147">
        <f t="shared" si="608"/>
        <v>41855.506542878386</v>
      </c>
      <c r="HV98" s="147">
        <f t="shared" si="609"/>
        <v>163163.30224540821</v>
      </c>
      <c r="HW98" s="147">
        <f t="shared" si="610"/>
        <v>211581.73629963881</v>
      </c>
      <c r="HX98" s="147">
        <f t="shared" si="611"/>
        <v>336127.57790968858</v>
      </c>
      <c r="HY98" s="147">
        <f t="shared" si="612"/>
        <v>112189.22907146362</v>
      </c>
      <c r="HZ98" s="147">
        <f t="shared" si="613"/>
        <v>62162.967050634361</v>
      </c>
      <c r="IA98" s="147">
        <f t="shared" si="614"/>
        <v>200742.07785325442</v>
      </c>
      <c r="IB98" s="147">
        <f t="shared" si="615"/>
        <v>292465.49003015651</v>
      </c>
      <c r="IC98" s="147">
        <f t="shared" si="616"/>
        <v>309240.5100438316</v>
      </c>
      <c r="ID98" s="147">
        <f t="shared" si="617"/>
        <v>20012.068636339642</v>
      </c>
      <c r="IE98" s="147">
        <f t="shared" si="618"/>
        <v>350698.25688723108</v>
      </c>
      <c r="IF98" s="147">
        <f t="shared" si="619"/>
        <v>87078.02121401667</v>
      </c>
      <c r="IG98" s="147">
        <f t="shared" si="620"/>
        <v>78444.522107358833</v>
      </c>
      <c r="IH98" s="147">
        <f t="shared" si="621"/>
        <v>219963.60327778463</v>
      </c>
      <c r="II98" s="147">
        <f t="shared" si="622"/>
        <v>110008.05193035738</v>
      </c>
      <c r="IJ98" s="147">
        <f t="shared" si="623"/>
        <v>289906.60237823444</v>
      </c>
      <c r="IK98" s="147">
        <f t="shared" si="624"/>
        <v>0</v>
      </c>
      <c r="IL98" s="147">
        <f t="shared" si="625"/>
        <v>66059.930218226931</v>
      </c>
      <c r="IM98" s="147">
        <f t="shared" si="626"/>
        <v>0</v>
      </c>
      <c r="IN98" s="26"/>
      <c r="IP98" s="61">
        <f t="shared" si="627"/>
        <v>81292.323413831982</v>
      </c>
      <c r="IQ98" s="61">
        <f t="shared" si="628"/>
        <v>95314.046804149504</v>
      </c>
      <c r="IR98" s="61">
        <f t="shared" si="629"/>
        <v>35195.122619570844</v>
      </c>
      <c r="IS98" s="61">
        <f t="shared" si="630"/>
        <v>40742.534052840965</v>
      </c>
      <c r="IT98" s="61">
        <f t="shared" si="631"/>
        <v>106329.91318169236</v>
      </c>
      <c r="IU98" s="61">
        <f t="shared" si="632"/>
        <v>162570.40258562987</v>
      </c>
      <c r="IV98" s="61">
        <f t="shared" si="633"/>
        <v>37678.495441225321</v>
      </c>
      <c r="IW98" s="61">
        <f t="shared" si="634"/>
        <v>21525.689079194595</v>
      </c>
      <c r="IX98" s="61">
        <f t="shared" si="635"/>
        <v>83912.555440495635</v>
      </c>
      <c r="IY98" s="61">
        <f t="shared" si="636"/>
        <v>108813.46438267139</v>
      </c>
      <c r="IZ98" s="61">
        <f t="shared" si="637"/>
        <v>172865.61149641123</v>
      </c>
      <c r="JA98" s="61">
        <f t="shared" si="638"/>
        <v>57697.31780818128</v>
      </c>
      <c r="JB98" s="61">
        <f t="shared" si="639"/>
        <v>31969.525911754812</v>
      </c>
      <c r="JC98" s="61">
        <f t="shared" si="640"/>
        <v>103238.7828959594</v>
      </c>
      <c r="JD98" s="61">
        <f t="shared" si="641"/>
        <v>150410.82344408045</v>
      </c>
      <c r="JE98" s="61">
        <f t="shared" si="642"/>
        <v>159037.9765939705</v>
      </c>
      <c r="JF98" s="61">
        <f t="shared" si="643"/>
        <v>10291.921012974672</v>
      </c>
      <c r="JG98" s="61">
        <f t="shared" si="644"/>
        <v>180359.10354200451</v>
      </c>
      <c r="JH98" s="61">
        <f t="shared" si="645"/>
        <v>44782.982338637143</v>
      </c>
      <c r="JI98" s="61">
        <f t="shared" si="646"/>
        <v>40342.897083784541</v>
      </c>
      <c r="JJ98" s="61">
        <f t="shared" si="647"/>
        <v>113124.13882857493</v>
      </c>
      <c r="JK98" s="61">
        <f t="shared" si="648"/>
        <v>56575.569564183788</v>
      </c>
      <c r="JL98" s="61">
        <f t="shared" si="649"/>
        <v>149094.82408023483</v>
      </c>
      <c r="JM98" s="61">
        <f t="shared" si="650"/>
        <v>0</v>
      </c>
      <c r="JN98" s="61">
        <f t="shared" si="651"/>
        <v>33973.678397945274</v>
      </c>
      <c r="JO98" s="61">
        <f t="shared" si="652"/>
        <v>0</v>
      </c>
      <c r="JQ98" s="26">
        <f t="shared" si="516"/>
        <v>11539665</v>
      </c>
      <c r="JR98" s="156">
        <f t="shared" si="517"/>
        <v>1</v>
      </c>
      <c r="JT98" s="157">
        <f t="shared" si="653"/>
        <v>451624.01896573324</v>
      </c>
      <c r="JU98" s="29">
        <f t="shared" si="654"/>
        <v>1</v>
      </c>
    </row>
    <row r="99" spans="1:281" ht="18.75" x14ac:dyDescent="0.3">
      <c r="A99" t="s">
        <v>234</v>
      </c>
      <c r="B99" t="s">
        <v>178</v>
      </c>
      <c r="C99" t="s">
        <v>74</v>
      </c>
      <c r="D99" t="s">
        <v>29</v>
      </c>
      <c r="E99" s="11" t="s">
        <v>262</v>
      </c>
      <c r="F99" s="114">
        <v>696</v>
      </c>
      <c r="G99" s="17">
        <v>408484</v>
      </c>
      <c r="H99" s="21">
        <v>230293</v>
      </c>
      <c r="I99" s="25">
        <f t="shared" si="434"/>
        <v>1.7737577781348108</v>
      </c>
      <c r="J99" s="13">
        <v>3.9136666356062444E-2</v>
      </c>
      <c r="K99" s="13">
        <v>4.5887162430215706E-2</v>
      </c>
      <c r="L99" s="13">
        <v>1.6944032517201849E-2</v>
      </c>
      <c r="M99" s="13">
        <v>1.9614729838749373E-2</v>
      </c>
      <c r="N99" s="13">
        <v>5.1190544950680233E-2</v>
      </c>
      <c r="O99" s="13">
        <v>7.826647508861842E-2</v>
      </c>
      <c r="P99" s="13">
        <v>1.8139605844144872E-2</v>
      </c>
      <c r="Q99" s="13">
        <v>1.0363139792280074E-2</v>
      </c>
      <c r="R99" s="13">
        <v>4.0398127983638107E-2</v>
      </c>
      <c r="S99" s="13">
        <v>5.2386204155007693E-2</v>
      </c>
      <c r="T99" s="13">
        <v>8.3222910570921585E-2</v>
      </c>
      <c r="U99" s="13">
        <v>2.7777292884143337E-2</v>
      </c>
      <c r="V99" s="13">
        <v>1.5391129403455413E-2</v>
      </c>
      <c r="W99" s="13">
        <v>4.9702378177047771E-2</v>
      </c>
      <c r="X99" s="13">
        <v>7.2412473481721251E-2</v>
      </c>
      <c r="Y99" s="13">
        <v>7.6565854763630134E-2</v>
      </c>
      <c r="Z99" s="13">
        <v>4.9548525854927732E-3</v>
      </c>
      <c r="AA99" s="13">
        <v>8.6830511949679848E-2</v>
      </c>
      <c r="AB99" s="13">
        <v>2.1559927981077417E-2</v>
      </c>
      <c r="AC99" s="13">
        <v>1.9422332105916873E-2</v>
      </c>
      <c r="AD99" s="13">
        <v>5.4461497620297346E-2</v>
      </c>
      <c r="AE99" s="13">
        <v>2.7237248204433993E-2</v>
      </c>
      <c r="AF99" s="13">
        <v>7.1778910239034682E-2</v>
      </c>
      <c r="AG99" s="9">
        <v>0</v>
      </c>
      <c r="AH99" s="13">
        <v>1.635599107654884E-2</v>
      </c>
      <c r="AJ99" s="8">
        <f t="shared" si="461"/>
        <v>1.0000000000000002</v>
      </c>
      <c r="AK99" s="141">
        <f t="shared" si="435"/>
        <v>27.239119783819461</v>
      </c>
      <c r="AL99" s="141">
        <f t="shared" si="436"/>
        <v>31.937465051430131</v>
      </c>
      <c r="AM99" s="141">
        <f t="shared" si="437"/>
        <v>11.793046631972487</v>
      </c>
      <c r="AN99" s="141">
        <f t="shared" si="438"/>
        <v>13.651851967769563</v>
      </c>
      <c r="AO99" s="141">
        <f t="shared" si="439"/>
        <v>35.628619285673444</v>
      </c>
      <c r="AP99" s="141">
        <f t="shared" si="440"/>
        <v>54.473466661678422</v>
      </c>
      <c r="AQ99" s="141">
        <f t="shared" si="441"/>
        <v>12.625165667524831</v>
      </c>
      <c r="AR99" s="141">
        <f t="shared" si="442"/>
        <v>7.2127452954269309</v>
      </c>
      <c r="AS99" s="141">
        <f t="shared" si="443"/>
        <v>28.117097076612122</v>
      </c>
      <c r="AT99" s="141">
        <f t="shared" si="444"/>
        <v>36.460798091885351</v>
      </c>
      <c r="AU99" s="141">
        <f t="shared" si="445"/>
        <v>57.923145757361425</v>
      </c>
      <c r="AV99" s="141">
        <f t="shared" si="446"/>
        <v>19.332995847363762</v>
      </c>
      <c r="AW99" s="141">
        <f t="shared" si="447"/>
        <v>10.712226064804968</v>
      </c>
      <c r="AX99" s="141">
        <f t="shared" si="448"/>
        <v>34.592855211225249</v>
      </c>
      <c r="AY99" s="141">
        <f t="shared" si="449"/>
        <v>50.399081543277994</v>
      </c>
      <c r="AZ99" s="141">
        <f t="shared" si="450"/>
        <v>53.289834915486573</v>
      </c>
      <c r="BA99" s="141">
        <f t="shared" si="451"/>
        <v>3.44857739950297</v>
      </c>
      <c r="BB99" s="141">
        <f t="shared" si="452"/>
        <v>60.434036316977171</v>
      </c>
      <c r="BC99" s="141">
        <f t="shared" si="453"/>
        <v>15.005709874829883</v>
      </c>
      <c r="BD99" s="141">
        <f t="shared" si="454"/>
        <v>13.517943145718144</v>
      </c>
      <c r="BE99" s="141">
        <f t="shared" si="455"/>
        <v>37.905202343726955</v>
      </c>
      <c r="BF99" s="141">
        <f t="shared" si="456"/>
        <v>18.957124750286059</v>
      </c>
      <c r="BG99" s="141">
        <f t="shared" si="457"/>
        <v>49.958121526368139</v>
      </c>
      <c r="BH99" s="141">
        <f t="shared" si="458"/>
        <v>0</v>
      </c>
      <c r="BI99" s="141">
        <f t="shared" si="459"/>
        <v>11.383769789277993</v>
      </c>
      <c r="BJ99" s="141">
        <f t="shared" si="460"/>
        <v>0</v>
      </c>
      <c r="BM99" s="26">
        <f t="shared" si="462"/>
        <v>15986.702019789811</v>
      </c>
      <c r="BN99" s="26">
        <f t="shared" si="463"/>
        <v>18744.171658144231</v>
      </c>
      <c r="BO99" s="26">
        <f t="shared" si="464"/>
        <v>6921.3661787566798</v>
      </c>
      <c r="BP99" s="26">
        <f t="shared" si="465"/>
        <v>8012.3033034516984</v>
      </c>
      <c r="BQ99" s="26">
        <f t="shared" si="466"/>
        <v>20910.518563633665</v>
      </c>
      <c r="BR99" s="26">
        <f t="shared" si="467"/>
        <v>31970.602810099208</v>
      </c>
      <c r="BS99" s="26">
        <f t="shared" si="468"/>
        <v>7409.7387536396736</v>
      </c>
      <c r="BT99" s="26">
        <f t="shared" si="469"/>
        <v>4233.1767949097339</v>
      </c>
      <c r="BU99" s="26">
        <f t="shared" si="470"/>
        <v>16501.988911268429</v>
      </c>
      <c r="BV99" s="26">
        <f t="shared" si="471"/>
        <v>21398.926218054163</v>
      </c>
      <c r="BW99" s="26">
        <f t="shared" si="472"/>
        <v>33995.22740165233</v>
      </c>
      <c r="BX99" s="26">
        <f t="shared" si="473"/>
        <v>11346.579706486407</v>
      </c>
      <c r="BY99" s="26">
        <f t="shared" si="474"/>
        <v>6287.0301032410807</v>
      </c>
      <c r="BZ99" s="26">
        <f t="shared" si="475"/>
        <v>20302.626247273183</v>
      </c>
      <c r="CA99" s="26">
        <f t="shared" si="476"/>
        <v>29579.336817707423</v>
      </c>
      <c r="CB99" s="26">
        <f t="shared" si="477"/>
        <v>31275.92661726669</v>
      </c>
      <c r="CC99" s="26">
        <f t="shared" si="478"/>
        <v>2023.97800353243</v>
      </c>
      <c r="CD99" s="26">
        <f t="shared" si="479"/>
        <v>35468.874843253026</v>
      </c>
      <c r="CE99" s="26">
        <f t="shared" si="480"/>
        <v>8806.885621422427</v>
      </c>
      <c r="CF99" s="26">
        <f t="shared" si="481"/>
        <v>7933.7119079533477</v>
      </c>
      <c r="CG99" s="26">
        <f t="shared" si="482"/>
        <v>22246.65039392954</v>
      </c>
      <c r="CH99" s="26">
        <f t="shared" si="483"/>
        <v>11125.980095540015</v>
      </c>
      <c r="CI99" s="26">
        <f t="shared" si="484"/>
        <v>29320.536370081842</v>
      </c>
      <c r="CJ99" s="26">
        <f t="shared" si="485"/>
        <v>0</v>
      </c>
      <c r="CK99" s="26">
        <f t="shared" si="486"/>
        <v>6681.1606589129769</v>
      </c>
      <c r="CL99" s="26">
        <f t="shared" si="487"/>
        <v>0</v>
      </c>
      <c r="CM99" s="110">
        <f t="shared" si="488"/>
        <v>1.0000000000000002</v>
      </c>
      <c r="CN99" s="27">
        <f t="shared" si="489"/>
        <v>9012.900305136689</v>
      </c>
      <c r="CO99" s="27">
        <f t="shared" si="490"/>
        <v>10567.492297541665</v>
      </c>
      <c r="CP99" s="27">
        <f t="shared" si="491"/>
        <v>3902.0920804839652</v>
      </c>
      <c r="CQ99" s="27">
        <f t="shared" si="492"/>
        <v>4517.1349787551089</v>
      </c>
      <c r="CR99" s="27">
        <f t="shared" si="493"/>
        <v>11788.824168327003</v>
      </c>
      <c r="CS99" s="27">
        <f t="shared" si="494"/>
        <v>18024.221347583203</v>
      </c>
      <c r="CT99" s="27">
        <f t="shared" si="495"/>
        <v>4177.4242486656549</v>
      </c>
      <c r="CU99" s="27">
        <f t="shared" si="496"/>
        <v>2386.5585521835551</v>
      </c>
      <c r="CV99" s="27">
        <f t="shared" si="497"/>
        <v>9303.4060877359698</v>
      </c>
      <c r="CW99" s="27">
        <f t="shared" si="498"/>
        <v>12064.176113469186</v>
      </c>
      <c r="CX99" s="27">
        <f t="shared" si="499"/>
        <v>19165.653744109244</v>
      </c>
      <c r="CY99" s="27">
        <f t="shared" si="500"/>
        <v>6396.9161101680211</v>
      </c>
      <c r="CZ99" s="27">
        <f t="shared" si="501"/>
        <v>3544.4693637099576</v>
      </c>
      <c r="DA99" s="27">
        <f t="shared" si="502"/>
        <v>11446.109777526863</v>
      </c>
      <c r="DB99" s="27">
        <f t="shared" si="503"/>
        <v>16676.085755526034</v>
      </c>
      <c r="DC99" s="27">
        <f t="shared" si="504"/>
        <v>17632.580391080675</v>
      </c>
      <c r="DD99" s="27">
        <f t="shared" si="505"/>
        <v>1141.0678664708873</v>
      </c>
      <c r="DE99" s="27">
        <f t="shared" si="506"/>
        <v>19996.459088427622</v>
      </c>
      <c r="DF99" s="27">
        <f t="shared" si="507"/>
        <v>4965.1004945462619</v>
      </c>
      <c r="DG99" s="27">
        <f t="shared" si="508"/>
        <v>4472.8271276679143</v>
      </c>
      <c r="DH99" s="27">
        <f t="shared" si="509"/>
        <v>12542.101671471137</v>
      </c>
      <c r="DI99" s="27">
        <f t="shared" si="510"/>
        <v>6272.5476007437173</v>
      </c>
      <c r="DJ99" s="27">
        <f t="shared" si="511"/>
        <v>16530.180575678016</v>
      </c>
      <c r="DK99" s="27">
        <f t="shared" si="512"/>
        <v>0</v>
      </c>
      <c r="DL99" s="27">
        <f t="shared" si="513"/>
        <v>3766.670252991662</v>
      </c>
      <c r="DM99" s="27">
        <f t="shared" si="514"/>
        <v>0</v>
      </c>
      <c r="DN99" s="110">
        <f t="shared" si="515"/>
        <v>1</v>
      </c>
      <c r="DO99" s="28">
        <f t="shared" si="518"/>
        <v>6973.801714653122</v>
      </c>
      <c r="DP99" s="28">
        <f t="shared" si="519"/>
        <v>8176.6793606025658</v>
      </c>
      <c r="DQ99" s="28">
        <f t="shared" si="520"/>
        <v>3019.2740982727146</v>
      </c>
      <c r="DR99" s="28">
        <f t="shared" si="521"/>
        <v>3495.1683246965895</v>
      </c>
      <c r="DS99" s="28">
        <f t="shared" si="522"/>
        <v>9121.694395306662</v>
      </c>
      <c r="DT99" s="28">
        <f t="shared" si="523"/>
        <v>13946.381462516005</v>
      </c>
      <c r="DU99" s="28">
        <f t="shared" si="524"/>
        <v>3232.3145049740187</v>
      </c>
      <c r="DV99" s="28">
        <f t="shared" si="525"/>
        <v>1846.6182427261788</v>
      </c>
      <c r="DW99" s="28">
        <f t="shared" si="526"/>
        <v>7198.5828235324589</v>
      </c>
      <c r="DX99" s="28">
        <f t="shared" si="527"/>
        <v>9334.7501045849767</v>
      </c>
      <c r="DY99" s="28">
        <f t="shared" si="528"/>
        <v>14829.573657543086</v>
      </c>
      <c r="DZ99" s="28">
        <f t="shared" si="529"/>
        <v>4949.6635963183862</v>
      </c>
      <c r="EA99" s="28">
        <f t="shared" si="530"/>
        <v>2742.5607395311231</v>
      </c>
      <c r="EB99" s="28">
        <f t="shared" si="531"/>
        <v>8856.5164697463206</v>
      </c>
      <c r="EC99" s="28">
        <f t="shared" si="532"/>
        <v>12903.251062181389</v>
      </c>
      <c r="ED99" s="28">
        <f t="shared" si="533"/>
        <v>13643.346226186015</v>
      </c>
      <c r="EE99" s="28">
        <f t="shared" si="534"/>
        <v>882.91013706154263</v>
      </c>
      <c r="EF99" s="28">
        <f t="shared" si="535"/>
        <v>15472.415754825404</v>
      </c>
      <c r="EG99" s="28">
        <f t="shared" si="536"/>
        <v>3841.7851268761651</v>
      </c>
      <c r="EH99" s="28">
        <f t="shared" si="537"/>
        <v>3460.8847802854334</v>
      </c>
      <c r="EI99" s="28">
        <f t="shared" si="538"/>
        <v>9704.5487224584031</v>
      </c>
      <c r="EJ99" s="28">
        <f t="shared" si="539"/>
        <v>4853.4324947962978</v>
      </c>
      <c r="EK99" s="28">
        <f t="shared" si="540"/>
        <v>12790.355794403826</v>
      </c>
      <c r="EL99" s="28">
        <f t="shared" si="541"/>
        <v>0</v>
      </c>
      <c r="EM99" s="28">
        <f t="shared" si="542"/>
        <v>2914.490405921315</v>
      </c>
      <c r="EN99" s="28">
        <f t="shared" si="543"/>
        <v>0</v>
      </c>
      <c r="EQ99" s="144">
        <v>2.9999722075568915E-2</v>
      </c>
      <c r="ER99" s="144">
        <v>4.9999989551713121E-2</v>
      </c>
      <c r="ES99" s="144">
        <v>7.9999711627282033E-2</v>
      </c>
      <c r="ET99" s="144">
        <v>0.10999943370285094</v>
      </c>
      <c r="EU99" s="144">
        <v>0.12000029882100489</v>
      </c>
      <c r="EV99" s="144">
        <v>0.15000286805474947</v>
      </c>
      <c r="EW99" s="144">
        <v>0.12999972729971235</v>
      </c>
      <c r="EX99" s="144">
        <v>7.9999711627282033E-2</v>
      </c>
      <c r="EY99" s="144">
        <v>7.0000283148574538E-2</v>
      </c>
      <c r="EZ99" s="144">
        <v>5.9999418030420609E-2</v>
      </c>
      <c r="FA99" s="144">
        <v>5.9999418030420609E-2</v>
      </c>
      <c r="FB99" s="144">
        <v>5.9999418030420609E-2</v>
      </c>
      <c r="FC99" s="145">
        <f t="shared" si="544"/>
        <v>1</v>
      </c>
      <c r="FD99" s="146">
        <f t="shared" si="545"/>
        <v>0.15999942325456407</v>
      </c>
      <c r="FE99" s="146">
        <f t="shared" si="546"/>
        <v>0.3800026005786053</v>
      </c>
      <c r="FF99" s="146">
        <f t="shared" si="547"/>
        <v>0.27999972207556889</v>
      </c>
      <c r="FG99" s="146">
        <f t="shared" si="548"/>
        <v>0.17999825409126183</v>
      </c>
      <c r="FH99" s="145">
        <f t="shared" si="655"/>
        <v>1</v>
      </c>
      <c r="FJ99" s="52">
        <f t="shared" si="549"/>
        <v>2557.8631029089443</v>
      </c>
      <c r="FK99" s="52">
        <f t="shared" si="550"/>
        <v>2999.0566546876225</v>
      </c>
      <c r="FL99" s="52">
        <f t="shared" si="551"/>
        <v>1107.4145967347147</v>
      </c>
      <c r="FM99" s="52">
        <f t="shared" si="552"/>
        <v>1281.9639074929103</v>
      </c>
      <c r="FN99" s="52">
        <f t="shared" si="553"/>
        <v>3345.6709101352417</v>
      </c>
      <c r="FO99" s="52">
        <f t="shared" si="554"/>
        <v>5115.2780107166182</v>
      </c>
      <c r="FP99" s="52">
        <f t="shared" si="555"/>
        <v>1185.5539270493402</v>
      </c>
      <c r="FQ99" s="52">
        <f t="shared" si="556"/>
        <v>677.30584572016141</v>
      </c>
      <c r="FR99" s="52">
        <f t="shared" si="557"/>
        <v>2640.30870835616</v>
      </c>
      <c r="FS99" s="52">
        <f t="shared" si="558"/>
        <v>3423.815853155636</v>
      </c>
      <c r="FT99" s="52">
        <f t="shared" si="559"/>
        <v>5439.2167776721253</v>
      </c>
      <c r="FU99" s="52">
        <f t="shared" si="560"/>
        <v>1815.4462089497661</v>
      </c>
      <c r="FV99" s="52">
        <f t="shared" si="561"/>
        <v>1005.9211905026552</v>
      </c>
      <c r="FW99" s="52">
        <f t="shared" si="562"/>
        <v>3248.4084901166839</v>
      </c>
      <c r="FX99" s="52">
        <f t="shared" si="563"/>
        <v>4732.6768310856796</v>
      </c>
      <c r="FY99" s="52">
        <f t="shared" si="564"/>
        <v>5004.1302205147394</v>
      </c>
      <c r="FZ99" s="52">
        <f t="shared" si="565"/>
        <v>323.83531324511284</v>
      </c>
      <c r="GA99" s="52">
        <f t="shared" si="566"/>
        <v>5674.9995184088011</v>
      </c>
      <c r="GB99" s="52">
        <f t="shared" si="567"/>
        <v>1409.0966200965013</v>
      </c>
      <c r="GC99" s="52">
        <f t="shared" si="568"/>
        <v>1269.3893295404027</v>
      </c>
      <c r="GD99" s="52">
        <f t="shared" si="569"/>
        <v>3559.4512323746467</v>
      </c>
      <c r="GE99" s="52">
        <f t="shared" si="570"/>
        <v>1780.1503984281621</v>
      </c>
      <c r="GF99" s="52">
        <f t="shared" si="571"/>
        <v>4691.2689087275639</v>
      </c>
      <c r="GG99" s="52">
        <f t="shared" si="572"/>
        <v>0</v>
      </c>
      <c r="GH99" s="52">
        <f t="shared" si="573"/>
        <v>1068.9818520971596</v>
      </c>
      <c r="GI99" s="52">
        <f t="shared" si="574"/>
        <v>0</v>
      </c>
      <c r="GJ99" s="26"/>
      <c r="GL99" s="150">
        <f t="shared" si="575"/>
        <v>6074.98834219537</v>
      </c>
      <c r="GM99" s="150">
        <f t="shared" si="576"/>
        <v>7122.8339757865961</v>
      </c>
      <c r="GN99" s="150">
        <f t="shared" si="577"/>
        <v>2630.1371474843422</v>
      </c>
      <c r="GO99" s="150">
        <f t="shared" si="578"/>
        <v>3044.6960919361954</v>
      </c>
      <c r="GP99" s="150">
        <f t="shared" si="579"/>
        <v>7946.0514336279948</v>
      </c>
      <c r="GQ99" s="150">
        <f t="shared" si="580"/>
        <v>12148.912209903365</v>
      </c>
      <c r="GR99" s="150">
        <f t="shared" si="581"/>
        <v>2815.7199959911495</v>
      </c>
      <c r="GS99" s="150">
        <f t="shared" si="582"/>
        <v>1608.6181907747041</v>
      </c>
      <c r="GT99" s="150">
        <f t="shared" si="583"/>
        <v>6270.7987010013103</v>
      </c>
      <c r="GU99" s="150">
        <f t="shared" si="584"/>
        <v>8131.6476124502806</v>
      </c>
      <c r="GV99" s="150">
        <f t="shared" si="585"/>
        <v>12918.274819888948</v>
      </c>
      <c r="GW99" s="150">
        <f t="shared" si="586"/>
        <v>4311.7297961372624</v>
      </c>
      <c r="GX99" s="150">
        <f t="shared" si="587"/>
        <v>2389.087789147588</v>
      </c>
      <c r="GY99" s="150">
        <f t="shared" si="588"/>
        <v>7715.0507725392599</v>
      </c>
      <c r="GZ99" s="150">
        <f t="shared" si="589"/>
        <v>11240.224914119308</v>
      </c>
      <c r="HA99" s="150">
        <f t="shared" si="590"/>
        <v>11884.933450066965</v>
      </c>
      <c r="HB99" s="150">
        <f t="shared" si="591"/>
        <v>769.11690485621693</v>
      </c>
      <c r="HC99" s="150">
        <f t="shared" si="592"/>
        <v>13478.264680033222</v>
      </c>
      <c r="HD99" s="150">
        <f t="shared" si="593"/>
        <v>3346.6394391388485</v>
      </c>
      <c r="HE99" s="150">
        <f t="shared" si="594"/>
        <v>3014.8311572637203</v>
      </c>
      <c r="HF99" s="150">
        <f t="shared" si="595"/>
        <v>8453.7850038562792</v>
      </c>
      <c r="HG99" s="150">
        <f t="shared" si="596"/>
        <v>4227.9013702910052</v>
      </c>
      <c r="HH99" s="150">
        <f t="shared" si="597"/>
        <v>11141.880070990679</v>
      </c>
      <c r="HI99" s="150">
        <f t="shared" si="598"/>
        <v>0</v>
      </c>
      <c r="HJ99" s="150">
        <f t="shared" si="599"/>
        <v>2538.8584252703995</v>
      </c>
      <c r="HK99" s="150">
        <f t="shared" si="600"/>
        <v>0</v>
      </c>
      <c r="HL99" s="26"/>
      <c r="HN99" s="147">
        <f t="shared" si="601"/>
        <v>4476.2721224460829</v>
      </c>
      <c r="HO99" s="147">
        <f t="shared" si="602"/>
        <v>5248.36285481714</v>
      </c>
      <c r="HP99" s="147">
        <f t="shared" si="603"/>
        <v>1937.9806064351126</v>
      </c>
      <c r="HQ99" s="147">
        <f t="shared" si="604"/>
        <v>2243.4426981516381</v>
      </c>
      <c r="HR99" s="147">
        <f t="shared" si="605"/>
        <v>5854.9393862734505</v>
      </c>
      <c r="HS99" s="147">
        <f t="shared" si="606"/>
        <v>8951.7599014161806</v>
      </c>
      <c r="HT99" s="147">
        <f t="shared" si="607"/>
        <v>2074.724791671681</v>
      </c>
      <c r="HU99" s="147">
        <f t="shared" si="608"/>
        <v>1185.288326071473</v>
      </c>
      <c r="HV99" s="147">
        <f t="shared" si="609"/>
        <v>4620.5523088492801</v>
      </c>
      <c r="HW99" s="147">
        <f t="shared" si="610"/>
        <v>5991.6933937707699</v>
      </c>
      <c r="HX99" s="147">
        <f t="shared" si="611"/>
        <v>9518.6542243584172</v>
      </c>
      <c r="HY99" s="147">
        <f t="shared" si="612"/>
        <v>3177.0391643244839</v>
      </c>
      <c r="HZ99" s="147">
        <f t="shared" si="613"/>
        <v>1760.3666815882377</v>
      </c>
      <c r="IA99" s="147">
        <f t="shared" si="614"/>
        <v>5684.7297066406418</v>
      </c>
      <c r="IB99" s="147">
        <f t="shared" si="615"/>
        <v>8282.2060881377201</v>
      </c>
      <c r="IC99" s="147">
        <f t="shared" si="616"/>
        <v>8757.2507604905604</v>
      </c>
      <c r="ID99" s="147">
        <f t="shared" si="617"/>
        <v>566.71327847614521</v>
      </c>
      <c r="IE99" s="147">
        <f t="shared" si="618"/>
        <v>9931.2750984439845</v>
      </c>
      <c r="IF99" s="147">
        <f t="shared" si="619"/>
        <v>2465.9255263496034</v>
      </c>
      <c r="IG99" s="147">
        <f t="shared" si="620"/>
        <v>2221.4371292545688</v>
      </c>
      <c r="IH99" s="147">
        <f t="shared" si="621"/>
        <v>6229.0559274126163</v>
      </c>
      <c r="II99" s="147">
        <f t="shared" si="622"/>
        <v>3115.2713345695156</v>
      </c>
      <c r="IJ99" s="147">
        <f t="shared" si="623"/>
        <v>8209.7420347295247</v>
      </c>
      <c r="IK99" s="147">
        <f t="shared" si="624"/>
        <v>0</v>
      </c>
      <c r="IL99" s="147">
        <f t="shared" si="625"/>
        <v>1870.7231276378582</v>
      </c>
      <c r="IM99" s="147">
        <f t="shared" si="626"/>
        <v>0</v>
      </c>
      <c r="IN99" s="26"/>
      <c r="IP99" s="61">
        <f t="shared" si="627"/>
        <v>2877.5784522394151</v>
      </c>
      <c r="IQ99" s="61">
        <f t="shared" si="628"/>
        <v>3373.9181728528738</v>
      </c>
      <c r="IR99" s="61">
        <f t="shared" si="629"/>
        <v>1245.8338281025108</v>
      </c>
      <c r="IS99" s="61">
        <f t="shared" si="630"/>
        <v>1442.2006058709553</v>
      </c>
      <c r="IT99" s="61">
        <f t="shared" si="631"/>
        <v>3763.8568335969799</v>
      </c>
      <c r="IU99" s="61">
        <f t="shared" si="632"/>
        <v>5754.6526880630463</v>
      </c>
      <c r="IV99" s="61">
        <f t="shared" si="633"/>
        <v>1333.7400389275037</v>
      </c>
      <c r="IW99" s="61">
        <f t="shared" si="634"/>
        <v>761.96443234339563</v>
      </c>
      <c r="IX99" s="61">
        <f t="shared" si="635"/>
        <v>2970.3291930616797</v>
      </c>
      <c r="IY99" s="61">
        <f t="shared" si="636"/>
        <v>3851.7693586774776</v>
      </c>
      <c r="IZ99" s="61">
        <f t="shared" si="637"/>
        <v>6119.0815797328423</v>
      </c>
      <c r="JA99" s="61">
        <f t="shared" si="638"/>
        <v>2042.3645370748955</v>
      </c>
      <c r="JB99" s="61">
        <f t="shared" si="639"/>
        <v>1131.6544420026</v>
      </c>
      <c r="JC99" s="61">
        <f t="shared" si="640"/>
        <v>3654.4372779765999</v>
      </c>
      <c r="JD99" s="61">
        <f t="shared" si="641"/>
        <v>5324.2289843647168</v>
      </c>
      <c r="JE99" s="61">
        <f t="shared" si="642"/>
        <v>5629.6121861944284</v>
      </c>
      <c r="JF99" s="61">
        <f t="shared" si="643"/>
        <v>364.31250695495515</v>
      </c>
      <c r="JG99" s="61">
        <f t="shared" si="644"/>
        <v>6384.3355463670232</v>
      </c>
      <c r="JH99" s="61">
        <f t="shared" si="645"/>
        <v>1585.2240358374743</v>
      </c>
      <c r="JI99" s="61">
        <f t="shared" si="646"/>
        <v>1428.0542918946564</v>
      </c>
      <c r="JJ99" s="61">
        <f t="shared" si="647"/>
        <v>4004.3582302859995</v>
      </c>
      <c r="JK99" s="61">
        <f t="shared" si="648"/>
        <v>2002.6569922513331</v>
      </c>
      <c r="JL99" s="61">
        <f t="shared" si="649"/>
        <v>5277.6453556340748</v>
      </c>
      <c r="JM99" s="61">
        <f t="shared" si="650"/>
        <v>0</v>
      </c>
      <c r="JN99" s="61">
        <f t="shared" si="651"/>
        <v>1202.5972539075603</v>
      </c>
      <c r="JO99" s="61">
        <f t="shared" si="652"/>
        <v>0</v>
      </c>
      <c r="JQ99" s="26">
        <f t="shared" si="516"/>
        <v>408484.00000000017</v>
      </c>
      <c r="JR99" s="156">
        <f t="shared" si="517"/>
        <v>1.0000000000000004</v>
      </c>
      <c r="JT99" s="157">
        <f t="shared" si="653"/>
        <v>15986.702019789813</v>
      </c>
      <c r="JU99" s="29">
        <f t="shared" si="654"/>
        <v>1.0000000000000002</v>
      </c>
    </row>
    <row r="100" spans="1:281" ht="18.75" x14ac:dyDescent="0.3">
      <c r="A100" t="s">
        <v>234</v>
      </c>
      <c r="B100" t="s">
        <v>179</v>
      </c>
      <c r="C100" t="s">
        <v>74</v>
      </c>
      <c r="D100" t="s">
        <v>29</v>
      </c>
      <c r="E100" s="11" t="s">
        <v>263</v>
      </c>
      <c r="F100" s="114">
        <v>665</v>
      </c>
      <c r="G100" s="17">
        <v>370937</v>
      </c>
      <c r="H100" s="21">
        <v>234758</v>
      </c>
      <c r="I100" s="25">
        <f t="shared" si="434"/>
        <v>1.5800824679031173</v>
      </c>
      <c r="J100" s="13">
        <v>3.9136666356062506E-2</v>
      </c>
      <c r="K100" s="13">
        <v>4.5887162430215678E-2</v>
      </c>
      <c r="L100" s="13">
        <v>1.6944032517201914E-2</v>
      </c>
      <c r="M100" s="13">
        <v>1.9614729838749397E-2</v>
      </c>
      <c r="N100" s="13">
        <v>5.1190544950680199E-2</v>
      </c>
      <c r="O100" s="13">
        <v>7.8266475088618143E-2</v>
      </c>
      <c r="P100" s="13">
        <v>1.8139605844144879E-2</v>
      </c>
      <c r="Q100" s="13">
        <v>1.0363139792280074E-2</v>
      </c>
      <c r="R100" s="13">
        <v>4.0398127983638135E-2</v>
      </c>
      <c r="S100" s="13">
        <v>5.2386204155007401E-2</v>
      </c>
      <c r="T100" s="13">
        <v>8.322291057092232E-2</v>
      </c>
      <c r="U100" s="13">
        <v>2.7777292884143299E-2</v>
      </c>
      <c r="V100" s="13">
        <v>1.5391129403455465E-2</v>
      </c>
      <c r="W100" s="13">
        <v>4.9702378177047882E-2</v>
      </c>
      <c r="X100" s="13">
        <v>7.2412473481721196E-2</v>
      </c>
      <c r="Y100" s="13">
        <v>7.6565854763630273E-2</v>
      </c>
      <c r="Z100" s="13">
        <v>4.9548525854927828E-3</v>
      </c>
      <c r="AA100" s="13">
        <v>8.6830511949679806E-2</v>
      </c>
      <c r="AB100" s="13">
        <v>2.1559927981077545E-2</v>
      </c>
      <c r="AC100" s="13">
        <v>1.9422332105916838E-2</v>
      </c>
      <c r="AD100" s="13">
        <v>5.4461497620297117E-2</v>
      </c>
      <c r="AE100" s="13">
        <v>2.7237248204433965E-2</v>
      </c>
      <c r="AF100" s="13">
        <v>7.1778910239034391E-2</v>
      </c>
      <c r="AG100" s="9">
        <v>0</v>
      </c>
      <c r="AH100" s="13">
        <v>1.6355991076548875E-2</v>
      </c>
      <c r="AJ100" s="8">
        <f t="shared" si="461"/>
        <v>1.0000000000000002</v>
      </c>
      <c r="AK100" s="141">
        <f t="shared" si="435"/>
        <v>26.025883126781565</v>
      </c>
      <c r="AL100" s="141">
        <f t="shared" si="436"/>
        <v>30.514963016093425</v>
      </c>
      <c r="AM100" s="141">
        <f t="shared" si="437"/>
        <v>11.267781623939273</v>
      </c>
      <c r="AN100" s="141">
        <f t="shared" si="438"/>
        <v>13.04379534276835</v>
      </c>
      <c r="AO100" s="141">
        <f t="shared" si="439"/>
        <v>34.041712392202335</v>
      </c>
      <c r="AP100" s="141">
        <f t="shared" si="440"/>
        <v>52.047205933931068</v>
      </c>
      <c r="AQ100" s="141">
        <f t="shared" si="441"/>
        <v>12.062837886356345</v>
      </c>
      <c r="AR100" s="141">
        <f t="shared" si="442"/>
        <v>6.8914879618662486</v>
      </c>
      <c r="AS100" s="141">
        <f t="shared" si="443"/>
        <v>26.864755109119361</v>
      </c>
      <c r="AT100" s="141">
        <f t="shared" si="444"/>
        <v>34.836825763079922</v>
      </c>
      <c r="AU100" s="141">
        <f t="shared" si="445"/>
        <v>55.343235529663346</v>
      </c>
      <c r="AV100" s="141">
        <f t="shared" si="446"/>
        <v>18.471899767955293</v>
      </c>
      <c r="AW100" s="141">
        <f t="shared" si="447"/>
        <v>10.235101053297884</v>
      </c>
      <c r="AX100" s="141">
        <f t="shared" si="448"/>
        <v>33.052081487736842</v>
      </c>
      <c r="AY100" s="141">
        <f t="shared" si="449"/>
        <v>48.154294865344596</v>
      </c>
      <c r="AZ100" s="141">
        <f t="shared" si="450"/>
        <v>50.916293417814131</v>
      </c>
      <c r="BA100" s="141">
        <f t="shared" si="451"/>
        <v>3.2949769693527005</v>
      </c>
      <c r="BB100" s="141">
        <f t="shared" si="452"/>
        <v>57.742290446537069</v>
      </c>
      <c r="BC100" s="141">
        <f t="shared" si="453"/>
        <v>14.337352107416567</v>
      </c>
      <c r="BD100" s="141">
        <f t="shared" si="454"/>
        <v>12.915850850434698</v>
      </c>
      <c r="BE100" s="141">
        <f t="shared" si="455"/>
        <v>36.216895917497581</v>
      </c>
      <c r="BF100" s="141">
        <f t="shared" si="456"/>
        <v>18.112770055948587</v>
      </c>
      <c r="BG100" s="141">
        <f t="shared" si="457"/>
        <v>47.732975308957869</v>
      </c>
      <c r="BH100" s="141">
        <f t="shared" si="458"/>
        <v>0</v>
      </c>
      <c r="BI100" s="141">
        <f t="shared" si="459"/>
        <v>10.876734065905001</v>
      </c>
      <c r="BJ100" s="141">
        <f t="shared" si="460"/>
        <v>0</v>
      </c>
      <c r="BM100" s="26">
        <f t="shared" si="462"/>
        <v>14517.237608118758</v>
      </c>
      <c r="BN100" s="26">
        <f t="shared" si="463"/>
        <v>17021.246370376914</v>
      </c>
      <c r="BO100" s="26">
        <f t="shared" si="464"/>
        <v>6285.1685898333262</v>
      </c>
      <c r="BP100" s="26">
        <f t="shared" si="465"/>
        <v>7275.8290421961856</v>
      </c>
      <c r="BQ100" s="26">
        <f t="shared" si="466"/>
        <v>18988.46717237046</v>
      </c>
      <c r="BR100" s="26">
        <f t="shared" si="467"/>
        <v>29031.931469946747</v>
      </c>
      <c r="BS100" s="26">
        <f t="shared" si="468"/>
        <v>6728.6509730095686</v>
      </c>
      <c r="BT100" s="26">
        <f t="shared" si="469"/>
        <v>3844.0719851289937</v>
      </c>
      <c r="BU100" s="26">
        <f t="shared" si="470"/>
        <v>14985.16039986678</v>
      </c>
      <c r="BV100" s="26">
        <f t="shared" si="471"/>
        <v>19431.981410645982</v>
      </c>
      <c r="BW100" s="26">
        <f t="shared" si="472"/>
        <v>30870.456778446212</v>
      </c>
      <c r="BX100" s="26">
        <f t="shared" si="473"/>
        <v>10303.625690565463</v>
      </c>
      <c r="BY100" s="26">
        <f t="shared" si="474"/>
        <v>5709.1393675295594</v>
      </c>
      <c r="BZ100" s="26">
        <f t="shared" si="475"/>
        <v>18436.451053859611</v>
      </c>
      <c r="CA100" s="26">
        <f t="shared" si="476"/>
        <v>26860.465675889216</v>
      </c>
      <c r="CB100" s="26">
        <f t="shared" si="477"/>
        <v>28401.108468456721</v>
      </c>
      <c r="CC100" s="26">
        <f t="shared" si="478"/>
        <v>1837.9381535049363</v>
      </c>
      <c r="CD100" s="26">
        <f t="shared" si="479"/>
        <v>32208.649611078377</v>
      </c>
      <c r="CE100" s="26">
        <f t="shared" si="480"/>
        <v>7997.3750055169612</v>
      </c>
      <c r="CF100" s="26">
        <f t="shared" si="481"/>
        <v>7204.4616043724745</v>
      </c>
      <c r="CG100" s="26">
        <f t="shared" si="482"/>
        <v>20201.784542780151</v>
      </c>
      <c r="CH100" s="26">
        <f t="shared" si="483"/>
        <v>10103.303137208122</v>
      </c>
      <c r="CI100" s="26">
        <f t="shared" si="484"/>
        <v>26625.453627336701</v>
      </c>
      <c r="CJ100" s="26">
        <f t="shared" si="485"/>
        <v>0</v>
      </c>
      <c r="CK100" s="26">
        <f t="shared" si="486"/>
        <v>6067.0422619618103</v>
      </c>
      <c r="CL100" s="26">
        <f t="shared" si="487"/>
        <v>0</v>
      </c>
      <c r="CM100" s="110">
        <f t="shared" si="488"/>
        <v>1.0000000000000002</v>
      </c>
      <c r="CN100" s="27">
        <f t="shared" si="489"/>
        <v>9187.6455204165213</v>
      </c>
      <c r="CO100" s="27">
        <f t="shared" si="490"/>
        <v>10772.378477792572</v>
      </c>
      <c r="CP100" s="27">
        <f t="shared" si="491"/>
        <v>3977.7471856732868</v>
      </c>
      <c r="CQ100" s="27">
        <f t="shared" si="492"/>
        <v>4604.7147474851308</v>
      </c>
      <c r="CR100" s="27">
        <f t="shared" si="493"/>
        <v>12017.389951531783</v>
      </c>
      <c r="CS100" s="27">
        <f t="shared" si="494"/>
        <v>18373.681158853818</v>
      </c>
      <c r="CT100" s="27">
        <f t="shared" si="495"/>
        <v>4258.417588759763</v>
      </c>
      <c r="CU100" s="27">
        <f t="shared" si="496"/>
        <v>2432.8299713560855</v>
      </c>
      <c r="CV100" s="27">
        <f t="shared" si="497"/>
        <v>9483.7837291829219</v>
      </c>
      <c r="CW100" s="27">
        <f t="shared" si="498"/>
        <v>12298.080515021227</v>
      </c>
      <c r="CX100" s="27">
        <f t="shared" si="499"/>
        <v>19537.244039808582</v>
      </c>
      <c r="CY100" s="27">
        <f t="shared" si="500"/>
        <v>6520.9417228957127</v>
      </c>
      <c r="CZ100" s="27">
        <f t="shared" si="501"/>
        <v>3613.1907564963981</v>
      </c>
      <c r="DA100" s="27">
        <f t="shared" si="502"/>
        <v>11668.030896087406</v>
      </c>
      <c r="DB100" s="27">
        <f t="shared" si="503"/>
        <v>16999.407449621904</v>
      </c>
      <c r="DC100" s="27">
        <f t="shared" si="504"/>
        <v>17974.446932600316</v>
      </c>
      <c r="DD100" s="27">
        <f t="shared" si="505"/>
        <v>1163.1912832651146</v>
      </c>
      <c r="DE100" s="27">
        <f t="shared" si="506"/>
        <v>20384.157324282933</v>
      </c>
      <c r="DF100" s="27">
        <f t="shared" si="507"/>
        <v>5061.365572981802</v>
      </c>
      <c r="DG100" s="27">
        <f t="shared" si="508"/>
        <v>4559.547840520825</v>
      </c>
      <c r="DH100" s="27">
        <f t="shared" si="509"/>
        <v>12785.272258345711</v>
      </c>
      <c r="DI100" s="27">
        <f t="shared" si="510"/>
        <v>6394.1619139765089</v>
      </c>
      <c r="DJ100" s="27">
        <f t="shared" si="511"/>
        <v>16850.673409895237</v>
      </c>
      <c r="DK100" s="27">
        <f t="shared" si="512"/>
        <v>0</v>
      </c>
      <c r="DL100" s="27">
        <f t="shared" si="513"/>
        <v>3839.6997531484608</v>
      </c>
      <c r="DM100" s="27">
        <f t="shared" si="514"/>
        <v>0</v>
      </c>
      <c r="DN100" s="110">
        <f t="shared" si="515"/>
        <v>1.0000000000000002</v>
      </c>
      <c r="DO100" s="28">
        <f t="shared" si="518"/>
        <v>5329.5920877022363</v>
      </c>
      <c r="DP100" s="28">
        <f t="shared" si="519"/>
        <v>6248.8678925843415</v>
      </c>
      <c r="DQ100" s="28">
        <f t="shared" si="520"/>
        <v>2307.4214041600394</v>
      </c>
      <c r="DR100" s="28">
        <f t="shared" si="521"/>
        <v>2671.1142947110548</v>
      </c>
      <c r="DS100" s="28">
        <f t="shared" si="522"/>
        <v>6971.077220838677</v>
      </c>
      <c r="DT100" s="28">
        <f t="shared" si="523"/>
        <v>10658.250311092928</v>
      </c>
      <c r="DU100" s="28">
        <f t="shared" si="524"/>
        <v>2470.2333842498056</v>
      </c>
      <c r="DV100" s="28">
        <f t="shared" si="525"/>
        <v>1411.2420137729082</v>
      </c>
      <c r="DW100" s="28">
        <f t="shared" si="526"/>
        <v>5501.3766706838578</v>
      </c>
      <c r="DX100" s="28">
        <f t="shared" si="527"/>
        <v>7133.9008956247544</v>
      </c>
      <c r="DY100" s="28">
        <f t="shared" si="528"/>
        <v>11333.212738637631</v>
      </c>
      <c r="DZ100" s="28">
        <f t="shared" si="529"/>
        <v>3782.68396766975</v>
      </c>
      <c r="EA100" s="28">
        <f t="shared" si="530"/>
        <v>2095.9486110331613</v>
      </c>
      <c r="EB100" s="28">
        <f t="shared" si="531"/>
        <v>6768.4201577722051</v>
      </c>
      <c r="EC100" s="28">
        <f t="shared" si="532"/>
        <v>9861.0582262673124</v>
      </c>
      <c r="ED100" s="28">
        <f t="shared" si="533"/>
        <v>10426.661535856405</v>
      </c>
      <c r="EE100" s="28">
        <f t="shared" si="534"/>
        <v>674.74687023982165</v>
      </c>
      <c r="EF100" s="28">
        <f t="shared" si="535"/>
        <v>11824.492286795445</v>
      </c>
      <c r="EG100" s="28">
        <f t="shared" si="536"/>
        <v>2936.0094325351592</v>
      </c>
      <c r="EH100" s="28">
        <f t="shared" si="537"/>
        <v>2644.9137638516495</v>
      </c>
      <c r="EI100" s="28">
        <f t="shared" si="538"/>
        <v>7416.5122844344405</v>
      </c>
      <c r="EJ100" s="28">
        <f t="shared" si="539"/>
        <v>3709.1412232316134</v>
      </c>
      <c r="EK100" s="28">
        <f t="shared" si="540"/>
        <v>9774.7802174414646</v>
      </c>
      <c r="EL100" s="28">
        <f t="shared" si="541"/>
        <v>0</v>
      </c>
      <c r="EM100" s="28">
        <f t="shared" si="542"/>
        <v>2227.3425088133495</v>
      </c>
      <c r="EN100" s="28">
        <f t="shared" si="543"/>
        <v>0</v>
      </c>
      <c r="EQ100" s="144">
        <v>2.9999998590576664E-2</v>
      </c>
      <c r="ER100" s="144">
        <v>4.9999997650961095E-2</v>
      </c>
      <c r="ES100" s="144">
        <v>7.9999996241537766E-2</v>
      </c>
      <c r="ET100" s="144">
        <v>0.10999999483211442</v>
      </c>
      <c r="EU100" s="144">
        <v>0.11999999436230666</v>
      </c>
      <c r="EV100" s="144">
        <v>0.15000001644327229</v>
      </c>
      <c r="EW100" s="144">
        <v>0.13000001738288783</v>
      </c>
      <c r="EX100" s="144">
        <v>7.9999996241537766E-2</v>
      </c>
      <c r="EY100" s="144">
        <v>6.9999996711345533E-2</v>
      </c>
      <c r="EZ100" s="144">
        <v>5.9999997181153328E-2</v>
      </c>
      <c r="FA100" s="144">
        <v>5.9999997181153328E-2</v>
      </c>
      <c r="FB100" s="144">
        <v>5.9999997181153328E-2</v>
      </c>
      <c r="FC100" s="145">
        <f t="shared" si="544"/>
        <v>1</v>
      </c>
      <c r="FD100" s="146">
        <f t="shared" si="545"/>
        <v>0.1599999924830755</v>
      </c>
      <c r="FE100" s="146">
        <f t="shared" si="546"/>
        <v>0.38000000563769337</v>
      </c>
      <c r="FF100" s="146">
        <f t="shared" si="547"/>
        <v>0.28000001033577115</v>
      </c>
      <c r="FG100" s="146">
        <f t="shared" si="548"/>
        <v>0.17999999154345997</v>
      </c>
      <c r="FH100" s="145">
        <f t="shared" si="655"/>
        <v>1</v>
      </c>
      <c r="FJ100" s="52">
        <f t="shared" si="549"/>
        <v>2322.7579081740223</v>
      </c>
      <c r="FK100" s="52">
        <f t="shared" si="550"/>
        <v>2723.3992913128823</v>
      </c>
      <c r="FL100" s="52">
        <f t="shared" si="551"/>
        <v>1005.6269271281944</v>
      </c>
      <c r="FM100" s="52">
        <f t="shared" si="552"/>
        <v>1164.132592059532</v>
      </c>
      <c r="FN100" s="52">
        <f t="shared" si="553"/>
        <v>3038.1546048443997</v>
      </c>
      <c r="FO100" s="52">
        <f t="shared" si="554"/>
        <v>4645.1088169606428</v>
      </c>
      <c r="FP100" s="52">
        <f t="shared" si="555"/>
        <v>1076.5841051027696</v>
      </c>
      <c r="FQ100" s="52">
        <f t="shared" si="556"/>
        <v>615.05148872504014</v>
      </c>
      <c r="FR100" s="52">
        <f t="shared" si="557"/>
        <v>2397.6255513363653</v>
      </c>
      <c r="FS100" s="52">
        <f t="shared" si="558"/>
        <v>3109.1168796346201</v>
      </c>
      <c r="FT100" s="52">
        <f t="shared" si="559"/>
        <v>4939.2728525005014</v>
      </c>
      <c r="FU100" s="52">
        <f t="shared" si="560"/>
        <v>1648.5800330388977</v>
      </c>
      <c r="FV100" s="52">
        <f t="shared" si="561"/>
        <v>913.46225588955997</v>
      </c>
      <c r="FW100" s="52">
        <f t="shared" si="562"/>
        <v>2949.8320300321275</v>
      </c>
      <c r="FX100" s="52">
        <f t="shared" si="563"/>
        <v>4297.674306234182</v>
      </c>
      <c r="FY100" s="52">
        <f t="shared" si="564"/>
        <v>4544.1771414640871</v>
      </c>
      <c r="FZ100" s="52">
        <f t="shared" si="565"/>
        <v>294.07009074514747</v>
      </c>
      <c r="GA100" s="52">
        <f t="shared" si="566"/>
        <v>5153.3836956625528</v>
      </c>
      <c r="GB100" s="52">
        <f t="shared" si="567"/>
        <v>1279.5799407670497</v>
      </c>
      <c r="GC100" s="52">
        <f t="shared" si="568"/>
        <v>1152.7138025442021</v>
      </c>
      <c r="GD100" s="52">
        <f t="shared" si="569"/>
        <v>3232.2853749895353</v>
      </c>
      <c r="GE100" s="52">
        <f t="shared" si="570"/>
        <v>1616.5284260075327</v>
      </c>
      <c r="GF100" s="52">
        <f t="shared" si="571"/>
        <v>4260.0723802323473</v>
      </c>
      <c r="GG100" s="52">
        <f t="shared" si="572"/>
        <v>0</v>
      </c>
      <c r="GH100" s="52">
        <f t="shared" si="573"/>
        <v>970.72671630839102</v>
      </c>
      <c r="GI100" s="52">
        <f t="shared" si="574"/>
        <v>0</v>
      </c>
      <c r="GJ100" s="26"/>
      <c r="GL100" s="150">
        <f t="shared" si="575"/>
        <v>5516.5503729288621</v>
      </c>
      <c r="GM100" s="150">
        <f t="shared" si="576"/>
        <v>6468.0737167037951</v>
      </c>
      <c r="GN100" s="150">
        <f t="shared" si="577"/>
        <v>2388.3640995705173</v>
      </c>
      <c r="GO100" s="150">
        <f t="shared" si="578"/>
        <v>2764.8150770534435</v>
      </c>
      <c r="GP100" s="150">
        <f t="shared" si="579"/>
        <v>7215.61763255193</v>
      </c>
      <c r="GQ100" s="150">
        <f t="shared" si="580"/>
        <v>11032.134122252892</v>
      </c>
      <c r="GR100" s="150">
        <f t="shared" si="581"/>
        <v>2556.887407677707</v>
      </c>
      <c r="GS100" s="150">
        <f t="shared" si="582"/>
        <v>1460.7473760207167</v>
      </c>
      <c r="GT100" s="150">
        <f t="shared" si="583"/>
        <v>5694.3610364311162</v>
      </c>
      <c r="GU100" s="150">
        <f t="shared" si="584"/>
        <v>7384.153045597026</v>
      </c>
      <c r="GV100" s="150">
        <f t="shared" si="585"/>
        <v>11730.773749847731</v>
      </c>
      <c r="GW100" s="150">
        <f t="shared" si="586"/>
        <v>3915.3778205035583</v>
      </c>
      <c r="GX100" s="150">
        <f t="shared" si="587"/>
        <v>2169.4729918476096</v>
      </c>
      <c r="GY100" s="150">
        <f t="shared" si="588"/>
        <v>7005.8515044057103</v>
      </c>
      <c r="GZ100" s="150">
        <f t="shared" si="589"/>
        <v>10206.977108268971</v>
      </c>
      <c r="HA100" s="150">
        <f t="shared" si="590"/>
        <v>10792.421378130295</v>
      </c>
      <c r="HB100" s="150">
        <f t="shared" si="591"/>
        <v>698.41650869360751</v>
      </c>
      <c r="HC100" s="150">
        <f t="shared" si="592"/>
        <v>12239.287033792274</v>
      </c>
      <c r="HD100" s="150">
        <f t="shared" si="593"/>
        <v>3039.0025471831932</v>
      </c>
      <c r="HE100" s="150">
        <f t="shared" si="594"/>
        <v>2737.6954502780859</v>
      </c>
      <c r="HF100" s="150">
        <f t="shared" si="595"/>
        <v>7676.678240147924</v>
      </c>
      <c r="HG100" s="150">
        <f t="shared" si="596"/>
        <v>3839.2552490984117</v>
      </c>
      <c r="HH100" s="150">
        <f t="shared" si="597"/>
        <v>10117.672528494089</v>
      </c>
      <c r="HI100" s="150">
        <f t="shared" si="598"/>
        <v>0</v>
      </c>
      <c r="HJ100" s="150">
        <f t="shared" si="599"/>
        <v>2305.4760937496117</v>
      </c>
      <c r="HK100" s="150">
        <f t="shared" si="600"/>
        <v>0</v>
      </c>
      <c r="HL100" s="26"/>
      <c r="HN100" s="147">
        <f t="shared" si="601"/>
        <v>4064.8266803200977</v>
      </c>
      <c r="HO100" s="147">
        <f t="shared" si="602"/>
        <v>4765.9491596332427</v>
      </c>
      <c r="HP100" s="147">
        <f t="shared" si="603"/>
        <v>1759.8472701153955</v>
      </c>
      <c r="HQ100" s="147">
        <f t="shared" si="604"/>
        <v>2037.2322070162359</v>
      </c>
      <c r="HR100" s="147">
        <f t="shared" si="605"/>
        <v>5316.7710045241802</v>
      </c>
      <c r="HS100" s="147">
        <f t="shared" si="606"/>
        <v>8128.9411116524889</v>
      </c>
      <c r="HT100" s="147">
        <f t="shared" si="607"/>
        <v>1884.0223419884758</v>
      </c>
      <c r="HU100" s="147">
        <f t="shared" si="608"/>
        <v>1076.3401955675665</v>
      </c>
      <c r="HV100" s="147">
        <f t="shared" si="609"/>
        <v>4195.8450668458872</v>
      </c>
      <c r="HW100" s="147">
        <f t="shared" si="610"/>
        <v>5440.9549958253874</v>
      </c>
      <c r="HX100" s="147">
        <f t="shared" si="611"/>
        <v>8643.7282170349154</v>
      </c>
      <c r="HY100" s="147">
        <f t="shared" si="612"/>
        <v>2885.0152998542467</v>
      </c>
      <c r="HZ100" s="147">
        <f t="shared" si="613"/>
        <v>1598.5590819166346</v>
      </c>
      <c r="IA100" s="147">
        <f t="shared" si="614"/>
        <v>5162.2064856356301</v>
      </c>
      <c r="IB100" s="147">
        <f t="shared" si="615"/>
        <v>7520.9306668726067</v>
      </c>
      <c r="IC100" s="147">
        <f t="shared" si="616"/>
        <v>7952.3106647152399</v>
      </c>
      <c r="ID100" s="147">
        <f t="shared" si="617"/>
        <v>514.6227019778903</v>
      </c>
      <c r="IE100" s="147">
        <f t="shared" si="618"/>
        <v>9018.4222240031777</v>
      </c>
      <c r="IF100" s="147">
        <f t="shared" si="619"/>
        <v>2239.265084203787</v>
      </c>
      <c r="IG100" s="147">
        <f t="shared" si="620"/>
        <v>2017.2493236879593</v>
      </c>
      <c r="IH100" s="147">
        <f t="shared" si="621"/>
        <v>5656.4998807794645</v>
      </c>
      <c r="II100" s="147">
        <f t="shared" si="622"/>
        <v>2828.9249828437032</v>
      </c>
      <c r="IJ100" s="147">
        <f t="shared" si="623"/>
        <v>7455.1272908488718</v>
      </c>
      <c r="IK100" s="147">
        <f t="shared" si="624"/>
        <v>0</v>
      </c>
      <c r="IL100" s="147">
        <f t="shared" si="625"/>
        <v>1698.7718960568673</v>
      </c>
      <c r="IM100" s="147">
        <f t="shared" si="626"/>
        <v>0</v>
      </c>
      <c r="IN100" s="26"/>
      <c r="IP100" s="61">
        <f t="shared" si="627"/>
        <v>2613.1026466957755</v>
      </c>
      <c r="IQ100" s="61">
        <f t="shared" si="628"/>
        <v>3063.824202726993</v>
      </c>
      <c r="IR100" s="61">
        <f t="shared" si="629"/>
        <v>1131.330293019219</v>
      </c>
      <c r="IS100" s="61">
        <f t="shared" si="630"/>
        <v>1309.6491660669737</v>
      </c>
      <c r="IT100" s="61">
        <f t="shared" si="631"/>
        <v>3417.9239304499501</v>
      </c>
      <c r="IU100" s="61">
        <f t="shared" si="632"/>
        <v>5225.7474190807234</v>
      </c>
      <c r="IV100" s="61">
        <f t="shared" si="633"/>
        <v>1211.157118240616</v>
      </c>
      <c r="IW100" s="61">
        <f t="shared" si="634"/>
        <v>691.93292481567028</v>
      </c>
      <c r="IX100" s="61">
        <f t="shared" si="635"/>
        <v>2697.3287452534114</v>
      </c>
      <c r="IY100" s="61">
        <f t="shared" si="636"/>
        <v>3497.7564895889482</v>
      </c>
      <c r="IZ100" s="61">
        <f t="shared" si="637"/>
        <v>5556.6819590630648</v>
      </c>
      <c r="JA100" s="61">
        <f t="shared" si="638"/>
        <v>1854.6525371687601</v>
      </c>
      <c r="JB100" s="61">
        <f t="shared" si="639"/>
        <v>1027.6450378757552</v>
      </c>
      <c r="JC100" s="61">
        <f t="shared" si="640"/>
        <v>3318.5610337861435</v>
      </c>
      <c r="JD100" s="61">
        <f t="shared" si="641"/>
        <v>4834.883594513456</v>
      </c>
      <c r="JE100" s="61">
        <f t="shared" si="642"/>
        <v>5112.1992841470992</v>
      </c>
      <c r="JF100" s="61">
        <f t="shared" si="643"/>
        <v>330.82885208829094</v>
      </c>
      <c r="JG100" s="61">
        <f t="shared" si="644"/>
        <v>5797.5566576203728</v>
      </c>
      <c r="JH100" s="61">
        <f t="shared" si="645"/>
        <v>1439.5274333629311</v>
      </c>
      <c r="JI100" s="61">
        <f t="shared" si="646"/>
        <v>1296.8030278622275</v>
      </c>
      <c r="JJ100" s="61">
        <f t="shared" si="647"/>
        <v>3636.3210468632274</v>
      </c>
      <c r="JK100" s="61">
        <f t="shared" si="648"/>
        <v>1818.5944792584746</v>
      </c>
      <c r="JL100" s="61">
        <f t="shared" si="649"/>
        <v>4792.5814277613918</v>
      </c>
      <c r="JM100" s="61">
        <f t="shared" si="650"/>
        <v>0</v>
      </c>
      <c r="JN100" s="61">
        <f t="shared" si="651"/>
        <v>1092.0675558469402</v>
      </c>
      <c r="JO100" s="61">
        <f t="shared" si="652"/>
        <v>0</v>
      </c>
      <c r="JQ100" s="26">
        <f t="shared" si="516"/>
        <v>370937.00000000012</v>
      </c>
      <c r="JR100" s="156">
        <f t="shared" si="517"/>
        <v>1.0000000000000002</v>
      </c>
      <c r="JT100" s="157">
        <f t="shared" si="653"/>
        <v>14517.237608118758</v>
      </c>
      <c r="JU100" s="29">
        <f t="shared" si="654"/>
        <v>1</v>
      </c>
    </row>
    <row r="101" spans="1:281" ht="18.75" x14ac:dyDescent="0.3">
      <c r="A101" t="s">
        <v>234</v>
      </c>
      <c r="B101" t="s">
        <v>180</v>
      </c>
      <c r="C101" t="s">
        <v>74</v>
      </c>
      <c r="D101" t="s">
        <v>29</v>
      </c>
      <c r="E101" s="11" t="s">
        <v>264</v>
      </c>
      <c r="F101" s="114">
        <v>680</v>
      </c>
      <c r="G101" s="17">
        <v>343441</v>
      </c>
      <c r="H101" s="21">
        <v>201742</v>
      </c>
      <c r="I101" s="25">
        <f t="shared" si="434"/>
        <v>1.7023772937712525</v>
      </c>
      <c r="J101" s="13">
        <v>3.9136666356062458E-2</v>
      </c>
      <c r="K101" s="13">
        <v>4.588716243021556E-2</v>
      </c>
      <c r="L101" s="13">
        <v>1.6944032517201928E-2</v>
      </c>
      <c r="M101" s="13">
        <v>1.9614729838749456E-2</v>
      </c>
      <c r="N101" s="13">
        <v>5.1190544950680365E-2</v>
      </c>
      <c r="O101" s="13">
        <v>7.8266475088618212E-2</v>
      </c>
      <c r="P101" s="13">
        <v>1.8139605844144813E-2</v>
      </c>
      <c r="Q101" s="13">
        <v>1.0363139792280084E-2</v>
      </c>
      <c r="R101" s="13">
        <v>4.0398127983638059E-2</v>
      </c>
      <c r="S101" s="13">
        <v>5.2386204155007748E-2</v>
      </c>
      <c r="T101" s="13">
        <v>8.3222910570921835E-2</v>
      </c>
      <c r="U101" s="13">
        <v>2.7777292884143299E-2</v>
      </c>
      <c r="V101" s="13">
        <v>1.5391129403455404E-2</v>
      </c>
      <c r="W101" s="13">
        <v>4.9702378177047757E-2</v>
      </c>
      <c r="X101" s="13">
        <v>7.2412473481721418E-2</v>
      </c>
      <c r="Y101" s="13">
        <v>7.6565854763630328E-2</v>
      </c>
      <c r="Z101" s="13">
        <v>4.9548525854927758E-3</v>
      </c>
      <c r="AA101" s="13">
        <v>8.6830511949679973E-2</v>
      </c>
      <c r="AB101" s="13">
        <v>2.1559927981077514E-2</v>
      </c>
      <c r="AC101" s="13">
        <v>1.942233210591689E-2</v>
      </c>
      <c r="AD101" s="13">
        <v>5.4461497620296978E-2</v>
      </c>
      <c r="AE101" s="13">
        <v>2.7237248204433951E-2</v>
      </c>
      <c r="AF101" s="13">
        <v>7.177891023903428E-2</v>
      </c>
      <c r="AG101" s="9">
        <v>0</v>
      </c>
      <c r="AH101" s="13">
        <v>1.6355991076548827E-2</v>
      </c>
      <c r="AJ101" s="8">
        <f t="shared" si="461"/>
        <v>1</v>
      </c>
      <c r="AK101" s="141">
        <f t="shared" si="435"/>
        <v>26.61293312212247</v>
      </c>
      <c r="AL101" s="141">
        <f t="shared" si="436"/>
        <v>31.20327045254658</v>
      </c>
      <c r="AM101" s="141">
        <f t="shared" si="437"/>
        <v>11.521942111697312</v>
      </c>
      <c r="AN101" s="141">
        <f t="shared" si="438"/>
        <v>13.33801629034963</v>
      </c>
      <c r="AO101" s="141">
        <f t="shared" si="439"/>
        <v>34.809570566462646</v>
      </c>
      <c r="AP101" s="141">
        <f t="shared" si="440"/>
        <v>53.221203060260386</v>
      </c>
      <c r="AQ101" s="141">
        <f t="shared" si="441"/>
        <v>12.334931974018472</v>
      </c>
      <c r="AR101" s="141">
        <f t="shared" si="442"/>
        <v>7.0469350587504573</v>
      </c>
      <c r="AS101" s="141">
        <f t="shared" si="443"/>
        <v>27.470727028873881</v>
      </c>
      <c r="AT101" s="141">
        <f t="shared" si="444"/>
        <v>35.622618825405269</v>
      </c>
      <c r="AU101" s="141">
        <f t="shared" si="445"/>
        <v>56.591579188226845</v>
      </c>
      <c r="AV101" s="141">
        <f t="shared" si="446"/>
        <v>18.888559161217444</v>
      </c>
      <c r="AW101" s="141">
        <f t="shared" si="447"/>
        <v>10.465967994349676</v>
      </c>
      <c r="AX101" s="141">
        <f t="shared" si="448"/>
        <v>33.797617160392477</v>
      </c>
      <c r="AY101" s="141">
        <f t="shared" si="449"/>
        <v>49.240481967570567</v>
      </c>
      <c r="AZ101" s="141">
        <f t="shared" si="450"/>
        <v>52.064781239268626</v>
      </c>
      <c r="BA101" s="141">
        <f t="shared" si="451"/>
        <v>3.3692997581350874</v>
      </c>
      <c r="BB101" s="141">
        <f t="shared" si="452"/>
        <v>59.044748125782384</v>
      </c>
      <c r="BC101" s="141">
        <f t="shared" si="453"/>
        <v>14.66075102713271</v>
      </c>
      <c r="BD101" s="141">
        <f t="shared" si="454"/>
        <v>13.207185832023486</v>
      </c>
      <c r="BE101" s="141">
        <f t="shared" si="455"/>
        <v>37.033818381801943</v>
      </c>
      <c r="BF101" s="141">
        <f t="shared" si="456"/>
        <v>18.521328779015086</v>
      </c>
      <c r="BG101" s="141">
        <f t="shared" si="457"/>
        <v>48.80965896254331</v>
      </c>
      <c r="BH101" s="141">
        <f t="shared" si="458"/>
        <v>0</v>
      </c>
      <c r="BI101" s="141">
        <f t="shared" si="459"/>
        <v>11.122073932053203</v>
      </c>
      <c r="BJ101" s="141">
        <f t="shared" si="460"/>
        <v>0</v>
      </c>
      <c r="BM101" s="26">
        <f t="shared" si="462"/>
        <v>13441.135829992447</v>
      </c>
      <c r="BN101" s="26">
        <f t="shared" si="463"/>
        <v>15759.532952195663</v>
      </c>
      <c r="BO101" s="26">
        <f t="shared" si="464"/>
        <v>5819.2754717403477</v>
      </c>
      <c r="BP101" s="26">
        <f t="shared" si="465"/>
        <v>6736.5024305499519</v>
      </c>
      <c r="BQ101" s="26">
        <f t="shared" si="466"/>
        <v>17580.931948406615</v>
      </c>
      <c r="BR101" s="26">
        <f t="shared" si="467"/>
        <v>26879.916470910128</v>
      </c>
      <c r="BS101" s="26">
        <f t="shared" si="468"/>
        <v>6229.884370718939</v>
      </c>
      <c r="BT101" s="26">
        <f t="shared" si="469"/>
        <v>3559.1270934004642</v>
      </c>
      <c r="BU101" s="26">
        <f t="shared" si="470"/>
        <v>13874.373472828638</v>
      </c>
      <c r="BV101" s="26">
        <f t="shared" si="471"/>
        <v>17991.570341200015</v>
      </c>
      <c r="BW101" s="26">
        <f t="shared" si="472"/>
        <v>28582.159629387967</v>
      </c>
      <c r="BX101" s="26">
        <f t="shared" si="473"/>
        <v>9539.8612454230588</v>
      </c>
      <c r="BY101" s="26">
        <f t="shared" si="474"/>
        <v>5285.9448734521275</v>
      </c>
      <c r="BZ101" s="26">
        <f t="shared" si="475"/>
        <v>17069.834463503459</v>
      </c>
      <c r="CA101" s="26">
        <f t="shared" si="476"/>
        <v>24869.412305035887</v>
      </c>
      <c r="CB101" s="26">
        <f t="shared" si="477"/>
        <v>26295.853725875964</v>
      </c>
      <c r="CC101" s="26">
        <f t="shared" si="478"/>
        <v>1701.6995268142243</v>
      </c>
      <c r="CD101" s="26">
        <f t="shared" si="479"/>
        <v>29821.157854510038</v>
      </c>
      <c r="CE101" s="26">
        <f t="shared" si="480"/>
        <v>7404.5632257492425</v>
      </c>
      <c r="CF101" s="26">
        <f t="shared" si="481"/>
        <v>6670.4251607882024</v>
      </c>
      <c r="CG101" s="26">
        <f t="shared" si="482"/>
        <v>18704.311204212416</v>
      </c>
      <c r="CH101" s="26">
        <f t="shared" si="483"/>
        <v>9354.3877605790003</v>
      </c>
      <c r="CI101" s="26">
        <f t="shared" si="484"/>
        <v>24651.820711404172</v>
      </c>
      <c r="CJ101" s="26">
        <f t="shared" si="485"/>
        <v>0</v>
      </c>
      <c r="CK101" s="26">
        <f t="shared" si="486"/>
        <v>5617.3179313210057</v>
      </c>
      <c r="CL101" s="26">
        <f t="shared" si="487"/>
        <v>0</v>
      </c>
      <c r="CM101" s="110">
        <f t="shared" si="488"/>
        <v>0.99999999999999967</v>
      </c>
      <c r="CN101" s="27">
        <f t="shared" si="489"/>
        <v>7895.5093440047522</v>
      </c>
      <c r="CO101" s="27">
        <f t="shared" si="490"/>
        <v>9257.3679229965473</v>
      </c>
      <c r="CP101" s="27">
        <f t="shared" si="491"/>
        <v>3418.3230080853514</v>
      </c>
      <c r="CQ101" s="27">
        <f t="shared" si="492"/>
        <v>3957.1148271289926</v>
      </c>
      <c r="CR101" s="27">
        <f t="shared" si="493"/>
        <v>10327.282919440158</v>
      </c>
      <c r="CS101" s="27">
        <f t="shared" si="494"/>
        <v>15789.635217328016</v>
      </c>
      <c r="CT101" s="27">
        <f t="shared" si="495"/>
        <v>3659.5203622094627</v>
      </c>
      <c r="CU101" s="27">
        <f t="shared" si="496"/>
        <v>2090.6805479741688</v>
      </c>
      <c r="CV101" s="27">
        <f t="shared" si="497"/>
        <v>8149.9991356751088</v>
      </c>
      <c r="CW101" s="27">
        <f t="shared" si="498"/>
        <v>10568.497598639573</v>
      </c>
      <c r="CX101" s="27">
        <f t="shared" si="499"/>
        <v>16789.556424398914</v>
      </c>
      <c r="CY101" s="27">
        <f t="shared" si="500"/>
        <v>5603.846621032837</v>
      </c>
      <c r="CZ101" s="27">
        <f t="shared" si="501"/>
        <v>3105.0372281119003</v>
      </c>
      <c r="DA101" s="27">
        <f t="shared" si="502"/>
        <v>10027.057178193969</v>
      </c>
      <c r="DB101" s="27">
        <f t="shared" si="503"/>
        <v>14608.637225149443</v>
      </c>
      <c r="DC101" s="27">
        <f t="shared" si="504"/>
        <v>15446.548671724309</v>
      </c>
      <c r="DD101" s="27">
        <f t="shared" si="505"/>
        <v>999.60187030248358</v>
      </c>
      <c r="DE101" s="27">
        <f t="shared" si="506"/>
        <v>17517.361141752335</v>
      </c>
      <c r="DF101" s="27">
        <f t="shared" si="507"/>
        <v>4349.5429907585394</v>
      </c>
      <c r="DG101" s="27">
        <f t="shared" si="508"/>
        <v>3918.3001237118851</v>
      </c>
      <c r="DH101" s="27">
        <f t="shared" si="509"/>
        <v>10987.171452913954</v>
      </c>
      <c r="DI101" s="27">
        <f t="shared" si="510"/>
        <v>5494.8969272589138</v>
      </c>
      <c r="DJ101" s="27">
        <f t="shared" si="511"/>
        <v>14480.820909443253</v>
      </c>
      <c r="DK101" s="27">
        <f t="shared" si="512"/>
        <v>0</v>
      </c>
      <c r="DL101" s="27">
        <f t="shared" si="513"/>
        <v>3299.6903517651135</v>
      </c>
      <c r="DM101" s="27">
        <f t="shared" si="514"/>
        <v>0</v>
      </c>
      <c r="DN101" s="110">
        <f t="shared" si="515"/>
        <v>0.99999999999999989</v>
      </c>
      <c r="DO101" s="28">
        <f t="shared" si="518"/>
        <v>5545.6264859876947</v>
      </c>
      <c r="DP101" s="28">
        <f t="shared" si="519"/>
        <v>6502.1650291991155</v>
      </c>
      <c r="DQ101" s="28">
        <f t="shared" si="520"/>
        <v>2400.9524636549963</v>
      </c>
      <c r="DR101" s="28">
        <f t="shared" si="521"/>
        <v>2779.3876034209593</v>
      </c>
      <c r="DS101" s="28">
        <f t="shared" si="522"/>
        <v>7253.6490289664562</v>
      </c>
      <c r="DT101" s="28">
        <f t="shared" si="523"/>
        <v>11090.281253582112</v>
      </c>
      <c r="DU101" s="28">
        <f t="shared" si="524"/>
        <v>2570.3640085094762</v>
      </c>
      <c r="DV101" s="28">
        <f t="shared" si="525"/>
        <v>1468.4465454262954</v>
      </c>
      <c r="DW101" s="28">
        <f t="shared" si="526"/>
        <v>5724.3743371535293</v>
      </c>
      <c r="DX101" s="28">
        <f t="shared" si="527"/>
        <v>7423.0727425604418</v>
      </c>
      <c r="DY101" s="28">
        <f t="shared" si="528"/>
        <v>11792.603204989053</v>
      </c>
      <c r="DZ101" s="28">
        <f t="shared" si="529"/>
        <v>3936.0146243902218</v>
      </c>
      <c r="EA101" s="28">
        <f t="shared" si="530"/>
        <v>2180.9076453402272</v>
      </c>
      <c r="EB101" s="28">
        <f t="shared" si="531"/>
        <v>7042.7772853094903</v>
      </c>
      <c r="EC101" s="28">
        <f t="shared" si="532"/>
        <v>10260.775079886444</v>
      </c>
      <c r="ED101" s="28">
        <f t="shared" si="533"/>
        <v>10849.305054151655</v>
      </c>
      <c r="EE101" s="28">
        <f t="shared" si="534"/>
        <v>702.09765651174075</v>
      </c>
      <c r="EF101" s="28">
        <f t="shared" si="535"/>
        <v>12303.796712757703</v>
      </c>
      <c r="EG101" s="28">
        <f t="shared" si="536"/>
        <v>3055.0202349907031</v>
      </c>
      <c r="EH101" s="28">
        <f t="shared" si="537"/>
        <v>2752.1250370763173</v>
      </c>
      <c r="EI101" s="28">
        <f t="shared" si="538"/>
        <v>7717.1397512984622</v>
      </c>
      <c r="EJ101" s="28">
        <f t="shared" si="539"/>
        <v>3859.4908333200865</v>
      </c>
      <c r="EK101" s="28">
        <f t="shared" si="540"/>
        <v>10170.999801960919</v>
      </c>
      <c r="EL101" s="28">
        <f t="shared" si="541"/>
        <v>0</v>
      </c>
      <c r="EM101" s="28">
        <f t="shared" si="542"/>
        <v>2317.6275795558922</v>
      </c>
      <c r="EN101" s="28">
        <f t="shared" si="543"/>
        <v>0</v>
      </c>
      <c r="EQ101" s="144">
        <v>3.0000000000000002E-2</v>
      </c>
      <c r="ER101" s="144">
        <v>5.000000000000001E-2</v>
      </c>
      <c r="ES101" s="144">
        <v>8.0000000000000016E-2</v>
      </c>
      <c r="ET101" s="144">
        <v>0.11000000000000001</v>
      </c>
      <c r="EU101" s="144">
        <v>0.12000000000000001</v>
      </c>
      <c r="EV101" s="144">
        <v>0.15000000000000002</v>
      </c>
      <c r="EW101" s="144">
        <v>0.13000000000000003</v>
      </c>
      <c r="EX101" s="144">
        <v>8.0000000000000016E-2</v>
      </c>
      <c r="EY101" s="144">
        <v>7.0000000000000021E-2</v>
      </c>
      <c r="EZ101" s="144">
        <v>6.0000000000000005E-2</v>
      </c>
      <c r="FA101" s="144">
        <v>6.0000000000000005E-2</v>
      </c>
      <c r="FB101" s="144">
        <v>6.0000000000000005E-2</v>
      </c>
      <c r="FC101" s="145">
        <f t="shared" si="544"/>
        <v>1.0000000000000002</v>
      </c>
      <c r="FD101" s="146">
        <f t="shared" si="545"/>
        <v>0.16000000000000003</v>
      </c>
      <c r="FE101" s="146">
        <f t="shared" si="546"/>
        <v>0.38000000000000006</v>
      </c>
      <c r="FF101" s="146">
        <f t="shared" si="547"/>
        <v>0.28000000000000008</v>
      </c>
      <c r="FG101" s="146">
        <f t="shared" si="548"/>
        <v>0.18000000000000002</v>
      </c>
      <c r="FH101" s="145">
        <f t="shared" si="655"/>
        <v>1</v>
      </c>
      <c r="FJ101" s="52">
        <f t="shared" si="549"/>
        <v>2150.581732798792</v>
      </c>
      <c r="FK101" s="52">
        <f t="shared" si="550"/>
        <v>2521.5252723513067</v>
      </c>
      <c r="FL101" s="52">
        <f t="shared" si="551"/>
        <v>931.08407547845582</v>
      </c>
      <c r="FM101" s="52">
        <f t="shared" si="552"/>
        <v>1077.8403888879925</v>
      </c>
      <c r="FN101" s="52">
        <f t="shared" si="553"/>
        <v>2812.9491117450589</v>
      </c>
      <c r="FO101" s="52">
        <f t="shared" si="554"/>
        <v>4300.7866353456211</v>
      </c>
      <c r="FP101" s="52">
        <f t="shared" si="555"/>
        <v>996.78149931503037</v>
      </c>
      <c r="FQ101" s="52">
        <f t="shared" si="556"/>
        <v>569.46033494407436</v>
      </c>
      <c r="FR101" s="52">
        <f t="shared" si="557"/>
        <v>2219.8997556525824</v>
      </c>
      <c r="FS101" s="52">
        <f t="shared" si="558"/>
        <v>2878.6512545920027</v>
      </c>
      <c r="FT101" s="52">
        <f t="shared" si="559"/>
        <v>4573.1455407020758</v>
      </c>
      <c r="FU101" s="52">
        <f t="shared" si="560"/>
        <v>1526.3777992676896</v>
      </c>
      <c r="FV101" s="52">
        <f t="shared" si="561"/>
        <v>845.75117975234059</v>
      </c>
      <c r="FW101" s="52">
        <f t="shared" si="562"/>
        <v>2731.1735141605541</v>
      </c>
      <c r="FX101" s="52">
        <f t="shared" si="563"/>
        <v>3979.1059688057426</v>
      </c>
      <c r="FY101" s="52">
        <f t="shared" si="564"/>
        <v>4207.3365961401551</v>
      </c>
      <c r="FZ101" s="52">
        <f t="shared" si="565"/>
        <v>272.27192429027593</v>
      </c>
      <c r="GA101" s="52">
        <f t="shared" si="566"/>
        <v>4771.3852567216072</v>
      </c>
      <c r="GB101" s="52">
        <f t="shared" si="567"/>
        <v>1184.7301161198791</v>
      </c>
      <c r="GC101" s="52">
        <f t="shared" si="568"/>
        <v>1067.2680257261127</v>
      </c>
      <c r="GD101" s="52">
        <f t="shared" si="569"/>
        <v>2992.6897926739871</v>
      </c>
      <c r="GE101" s="52">
        <f t="shared" si="570"/>
        <v>1496.7020416926403</v>
      </c>
      <c r="GF101" s="52">
        <f t="shared" si="571"/>
        <v>3944.2913138246686</v>
      </c>
      <c r="GG101" s="52">
        <f t="shared" si="572"/>
        <v>0</v>
      </c>
      <c r="GH101" s="52">
        <f t="shared" si="573"/>
        <v>898.77086901136113</v>
      </c>
      <c r="GI101" s="52">
        <f t="shared" si="574"/>
        <v>0</v>
      </c>
      <c r="GJ101" s="26"/>
      <c r="GL101" s="150">
        <f t="shared" si="575"/>
        <v>5107.6316153971302</v>
      </c>
      <c r="GM101" s="150">
        <f t="shared" si="576"/>
        <v>5988.6225218343525</v>
      </c>
      <c r="GN101" s="150">
        <f t="shared" si="577"/>
        <v>2211.3246792613327</v>
      </c>
      <c r="GO101" s="150">
        <f t="shared" si="578"/>
        <v>2559.8709236089821</v>
      </c>
      <c r="GP101" s="150">
        <f t="shared" si="579"/>
        <v>6680.7541403945143</v>
      </c>
      <c r="GQ101" s="150">
        <f t="shared" si="580"/>
        <v>10214.368258945849</v>
      </c>
      <c r="GR101" s="150">
        <f t="shared" si="581"/>
        <v>2367.3560608731973</v>
      </c>
      <c r="GS101" s="150">
        <f t="shared" si="582"/>
        <v>1352.4682954921766</v>
      </c>
      <c r="GT101" s="150">
        <f t="shared" si="583"/>
        <v>5272.2619196748838</v>
      </c>
      <c r="GU101" s="150">
        <f t="shared" si="584"/>
        <v>6836.7967296560064</v>
      </c>
      <c r="GV101" s="150">
        <f t="shared" si="585"/>
        <v>10861.220659167429</v>
      </c>
      <c r="GW101" s="150">
        <f t="shared" si="586"/>
        <v>3625.1472732607631</v>
      </c>
      <c r="GX101" s="150">
        <f t="shared" si="587"/>
        <v>2008.6590519118088</v>
      </c>
      <c r="GY101" s="150">
        <f t="shared" si="588"/>
        <v>6486.5370961313156</v>
      </c>
      <c r="GZ101" s="150">
        <f t="shared" si="589"/>
        <v>9450.3766759136379</v>
      </c>
      <c r="HA101" s="150">
        <f t="shared" si="590"/>
        <v>9992.4244158328675</v>
      </c>
      <c r="HB101" s="150">
        <f t="shared" si="591"/>
        <v>646.6458201894053</v>
      </c>
      <c r="HC101" s="150">
        <f t="shared" si="592"/>
        <v>11332.039984713816</v>
      </c>
      <c r="HD101" s="150">
        <f t="shared" si="593"/>
        <v>2813.7340257847127</v>
      </c>
      <c r="HE101" s="150">
        <f t="shared" si="594"/>
        <v>2534.7615610995172</v>
      </c>
      <c r="HF101" s="150">
        <f t="shared" si="595"/>
        <v>7107.638257600719</v>
      </c>
      <c r="HG101" s="150">
        <f t="shared" si="596"/>
        <v>3554.6673490200205</v>
      </c>
      <c r="HH101" s="150">
        <f t="shared" si="597"/>
        <v>9367.6918703335868</v>
      </c>
      <c r="HI101" s="150">
        <f t="shared" si="598"/>
        <v>0</v>
      </c>
      <c r="HJ101" s="150">
        <f t="shared" si="599"/>
        <v>2134.5808139019823</v>
      </c>
      <c r="HK101" s="150">
        <f t="shared" si="600"/>
        <v>0</v>
      </c>
      <c r="HL101" s="26"/>
      <c r="HN101" s="147">
        <f t="shared" si="601"/>
        <v>3763.5180323978861</v>
      </c>
      <c r="HO101" s="147">
        <f t="shared" si="602"/>
        <v>4412.6692266147866</v>
      </c>
      <c r="HP101" s="147">
        <f t="shared" si="603"/>
        <v>1629.3971320872979</v>
      </c>
      <c r="HQ101" s="147">
        <f t="shared" si="604"/>
        <v>1886.220680553987</v>
      </c>
      <c r="HR101" s="147">
        <f t="shared" si="605"/>
        <v>4922.6609455538537</v>
      </c>
      <c r="HS101" s="147">
        <f t="shared" si="606"/>
        <v>7526.3766118548383</v>
      </c>
      <c r="HT101" s="147">
        <f t="shared" si="607"/>
        <v>1744.3676238013034</v>
      </c>
      <c r="HU101" s="147">
        <f t="shared" si="608"/>
        <v>996.55558615213022</v>
      </c>
      <c r="HV101" s="147">
        <f t="shared" si="609"/>
        <v>3884.8245723920199</v>
      </c>
      <c r="HW101" s="147">
        <f t="shared" si="610"/>
        <v>5037.639695536006</v>
      </c>
      <c r="HX101" s="147">
        <f t="shared" si="611"/>
        <v>8003.0046962286333</v>
      </c>
      <c r="HY101" s="147">
        <f t="shared" si="612"/>
        <v>2671.1611487184573</v>
      </c>
      <c r="HZ101" s="147">
        <f t="shared" si="613"/>
        <v>1480.0645645665961</v>
      </c>
      <c r="IA101" s="147">
        <f t="shared" si="614"/>
        <v>4779.5536497809699</v>
      </c>
      <c r="IB101" s="147">
        <f t="shared" si="615"/>
        <v>6963.4354454100503</v>
      </c>
      <c r="IC101" s="147">
        <f t="shared" si="616"/>
        <v>7362.8390432452725</v>
      </c>
      <c r="ID101" s="147">
        <f t="shared" si="617"/>
        <v>476.47586750798297</v>
      </c>
      <c r="IE101" s="147">
        <f t="shared" si="618"/>
        <v>8349.924199262814</v>
      </c>
      <c r="IF101" s="147">
        <f t="shared" si="619"/>
        <v>2073.2777032097883</v>
      </c>
      <c r="IG101" s="147">
        <f t="shared" si="620"/>
        <v>1867.7190450206972</v>
      </c>
      <c r="IH101" s="147">
        <f t="shared" si="621"/>
        <v>5237.2071371794782</v>
      </c>
      <c r="II101" s="147">
        <f t="shared" si="622"/>
        <v>2619.2285729621208</v>
      </c>
      <c r="IJ101" s="147">
        <f t="shared" si="623"/>
        <v>6902.5097991931707</v>
      </c>
      <c r="IK101" s="147">
        <f t="shared" si="624"/>
        <v>0</v>
      </c>
      <c r="IL101" s="147">
        <f t="shared" si="625"/>
        <v>1572.8490207698821</v>
      </c>
      <c r="IM101" s="147">
        <f t="shared" si="626"/>
        <v>0</v>
      </c>
      <c r="IN101" s="26"/>
      <c r="IP101" s="61">
        <f t="shared" si="627"/>
        <v>2419.4044493986407</v>
      </c>
      <c r="IQ101" s="61">
        <f t="shared" si="628"/>
        <v>2836.7159313952197</v>
      </c>
      <c r="IR101" s="61">
        <f t="shared" si="629"/>
        <v>1047.4695849132627</v>
      </c>
      <c r="IS101" s="61">
        <f t="shared" si="630"/>
        <v>1212.5704374989914</v>
      </c>
      <c r="IT101" s="61">
        <f t="shared" si="631"/>
        <v>3164.5677507131909</v>
      </c>
      <c r="IU101" s="61">
        <f t="shared" si="632"/>
        <v>4838.3849647638235</v>
      </c>
      <c r="IV101" s="61">
        <f t="shared" si="633"/>
        <v>1121.3791867294092</v>
      </c>
      <c r="IW101" s="61">
        <f t="shared" si="634"/>
        <v>640.64287681208361</v>
      </c>
      <c r="IX101" s="61">
        <f t="shared" si="635"/>
        <v>2497.3872251091552</v>
      </c>
      <c r="IY101" s="61">
        <f t="shared" si="636"/>
        <v>3238.4826614160029</v>
      </c>
      <c r="IZ101" s="61">
        <f t="shared" si="637"/>
        <v>5144.7887332898345</v>
      </c>
      <c r="JA101" s="61">
        <f t="shared" si="638"/>
        <v>1717.1750241761508</v>
      </c>
      <c r="JB101" s="61">
        <f t="shared" si="639"/>
        <v>951.47007722138301</v>
      </c>
      <c r="JC101" s="61">
        <f t="shared" si="640"/>
        <v>3072.5702034306232</v>
      </c>
      <c r="JD101" s="61">
        <f t="shared" si="641"/>
        <v>4476.49421490646</v>
      </c>
      <c r="JE101" s="61">
        <f t="shared" si="642"/>
        <v>4733.2536706576739</v>
      </c>
      <c r="JF101" s="61">
        <f t="shared" si="643"/>
        <v>306.30591482656041</v>
      </c>
      <c r="JG101" s="61">
        <f t="shared" si="644"/>
        <v>5367.8084138118074</v>
      </c>
      <c r="JH101" s="61">
        <f t="shared" si="645"/>
        <v>1332.8213806348638</v>
      </c>
      <c r="JI101" s="61">
        <f t="shared" si="646"/>
        <v>1200.6765289418765</v>
      </c>
      <c r="JJ101" s="61">
        <f t="shared" si="647"/>
        <v>3366.7760167582351</v>
      </c>
      <c r="JK101" s="61">
        <f t="shared" si="648"/>
        <v>1683.7897969042203</v>
      </c>
      <c r="JL101" s="61">
        <f t="shared" si="649"/>
        <v>4437.3277280527518</v>
      </c>
      <c r="JM101" s="61">
        <f t="shared" si="650"/>
        <v>0</v>
      </c>
      <c r="JN101" s="61">
        <f t="shared" si="651"/>
        <v>1011.1172276377812</v>
      </c>
      <c r="JO101" s="61">
        <f t="shared" si="652"/>
        <v>0</v>
      </c>
      <c r="JQ101" s="26">
        <f t="shared" si="516"/>
        <v>343440.99999999988</v>
      </c>
      <c r="JR101" s="156">
        <f t="shared" si="517"/>
        <v>0.99999999999999967</v>
      </c>
      <c r="JT101" s="157">
        <f t="shared" si="653"/>
        <v>13441.135829992449</v>
      </c>
      <c r="JU101" s="29">
        <f t="shared" si="654"/>
        <v>1.0000000000000002</v>
      </c>
    </row>
    <row r="102" spans="1:281" ht="18.75" x14ac:dyDescent="0.3">
      <c r="A102" t="s">
        <v>234</v>
      </c>
      <c r="B102" t="s">
        <v>181</v>
      </c>
      <c r="C102" t="s">
        <v>74</v>
      </c>
      <c r="D102" t="s">
        <v>29</v>
      </c>
      <c r="E102" s="11" t="s">
        <v>265</v>
      </c>
      <c r="F102" s="114">
        <v>526</v>
      </c>
      <c r="G102" s="17">
        <v>307305</v>
      </c>
      <c r="H102" s="21">
        <v>192011</v>
      </c>
      <c r="I102" s="25">
        <f t="shared" si="434"/>
        <v>1.6004551822551834</v>
      </c>
      <c r="J102" s="13">
        <v>3.9136666356062479E-2</v>
      </c>
      <c r="K102" s="13">
        <v>4.5887162430215817E-2</v>
      </c>
      <c r="L102" s="13">
        <v>1.6944032517201859E-2</v>
      </c>
      <c r="M102" s="13">
        <v>1.9614729838749411E-2</v>
      </c>
      <c r="N102" s="13">
        <v>5.1190544950680046E-2</v>
      </c>
      <c r="O102" s="13">
        <v>7.8266475088618059E-2</v>
      </c>
      <c r="P102" s="13">
        <v>1.8139605844144917E-2</v>
      </c>
      <c r="Q102" s="13">
        <v>1.0363139792280077E-2</v>
      </c>
      <c r="R102" s="13">
        <v>4.0398127983637934E-2</v>
      </c>
      <c r="S102" s="13">
        <v>5.2386204155007811E-2</v>
      </c>
      <c r="T102" s="13">
        <v>8.322291057092196E-2</v>
      </c>
      <c r="U102" s="13">
        <v>2.7777292884143288E-2</v>
      </c>
      <c r="V102" s="13">
        <v>1.5391129403455455E-2</v>
      </c>
      <c r="W102" s="13">
        <v>4.9702378177047646E-2</v>
      </c>
      <c r="X102" s="13">
        <v>7.2412473481721168E-2</v>
      </c>
      <c r="Y102" s="13">
        <v>7.6565854763630287E-2</v>
      </c>
      <c r="Z102" s="13">
        <v>4.9548525854927923E-3</v>
      </c>
      <c r="AA102" s="13">
        <v>8.6830511949679751E-2</v>
      </c>
      <c r="AB102" s="13">
        <v>2.1559927981077476E-2</v>
      </c>
      <c r="AC102" s="13">
        <v>1.9422332105916835E-2</v>
      </c>
      <c r="AD102" s="13">
        <v>5.4461497620297145E-2</v>
      </c>
      <c r="AE102" s="13">
        <v>2.7237248204434118E-2</v>
      </c>
      <c r="AF102" s="13">
        <v>7.1778910239034779E-2</v>
      </c>
      <c r="AG102" s="9">
        <v>0</v>
      </c>
      <c r="AH102" s="13">
        <v>1.6355991076548861E-2</v>
      </c>
      <c r="AJ102" s="8">
        <f t="shared" si="461"/>
        <v>1.0000000000000002</v>
      </c>
      <c r="AK102" s="141">
        <f t="shared" si="435"/>
        <v>20.585886503288865</v>
      </c>
      <c r="AL102" s="141">
        <f t="shared" si="436"/>
        <v>24.136647438293519</v>
      </c>
      <c r="AM102" s="141">
        <f t="shared" si="437"/>
        <v>8.9125611040481783</v>
      </c>
      <c r="AN102" s="141">
        <f t="shared" si="438"/>
        <v>10.31734789518219</v>
      </c>
      <c r="AO102" s="141">
        <f t="shared" si="439"/>
        <v>26.926226644057703</v>
      </c>
      <c r="AP102" s="141">
        <f t="shared" si="440"/>
        <v>41.168165896613097</v>
      </c>
      <c r="AQ102" s="141">
        <f t="shared" si="441"/>
        <v>9.5414326740202267</v>
      </c>
      <c r="AR102" s="141">
        <f t="shared" si="442"/>
        <v>5.4510115307393203</v>
      </c>
      <c r="AS102" s="141">
        <f t="shared" si="443"/>
        <v>21.249415319393552</v>
      </c>
      <c r="AT102" s="141">
        <f t="shared" si="444"/>
        <v>27.555143385534109</v>
      </c>
      <c r="AU102" s="141">
        <f t="shared" si="445"/>
        <v>43.775250960304952</v>
      </c>
      <c r="AV102" s="141">
        <f t="shared" si="446"/>
        <v>14.610856057059369</v>
      </c>
      <c r="AW102" s="141">
        <f t="shared" si="447"/>
        <v>8.0957340662175685</v>
      </c>
      <c r="AX102" s="141">
        <f t="shared" si="448"/>
        <v>26.143450921127062</v>
      </c>
      <c r="AY102" s="141">
        <f t="shared" si="449"/>
        <v>38.088961051385333</v>
      </c>
      <c r="AZ102" s="141">
        <f t="shared" si="450"/>
        <v>40.27363960566953</v>
      </c>
      <c r="BA102" s="141">
        <f t="shared" si="451"/>
        <v>2.606252459969209</v>
      </c>
      <c r="BB102" s="141">
        <f t="shared" si="452"/>
        <v>45.672849285531548</v>
      </c>
      <c r="BC102" s="141">
        <f t="shared" si="453"/>
        <v>11.340522118046753</v>
      </c>
      <c r="BD102" s="141">
        <f t="shared" si="454"/>
        <v>10.216146687712255</v>
      </c>
      <c r="BE102" s="141">
        <f t="shared" si="455"/>
        <v>28.646747748276297</v>
      </c>
      <c r="BF102" s="141">
        <f t="shared" si="456"/>
        <v>14.326792555532347</v>
      </c>
      <c r="BG102" s="141">
        <f t="shared" si="457"/>
        <v>37.755706785732293</v>
      </c>
      <c r="BH102" s="141">
        <f t="shared" si="458"/>
        <v>0</v>
      </c>
      <c r="BI102" s="141">
        <f t="shared" si="459"/>
        <v>8.6032513062647009</v>
      </c>
      <c r="BJ102" s="141">
        <f t="shared" si="460"/>
        <v>0</v>
      </c>
      <c r="BM102" s="26">
        <f t="shared" si="462"/>
        <v>12026.893254549779</v>
      </c>
      <c r="BN102" s="26">
        <f t="shared" si="463"/>
        <v>14101.354450617471</v>
      </c>
      <c r="BO102" s="26">
        <f t="shared" si="464"/>
        <v>5206.9859126987176</v>
      </c>
      <c r="BP102" s="26">
        <f t="shared" si="465"/>
        <v>6027.704553096888</v>
      </c>
      <c r="BQ102" s="26">
        <f t="shared" si="466"/>
        <v>15731.110416068732</v>
      </c>
      <c r="BR102" s="26">
        <f t="shared" si="467"/>
        <v>24051.679127107775</v>
      </c>
      <c r="BS102" s="26">
        <f t="shared" si="468"/>
        <v>5574.3915739349541</v>
      </c>
      <c r="BT102" s="26">
        <f t="shared" si="469"/>
        <v>3184.6446738666291</v>
      </c>
      <c r="BU102" s="26">
        <f t="shared" si="470"/>
        <v>12414.546720011855</v>
      </c>
      <c r="BV102" s="26">
        <f t="shared" si="471"/>
        <v>16098.542467854675</v>
      </c>
      <c r="BW102" s="26">
        <f t="shared" si="472"/>
        <v>25574.816532997174</v>
      </c>
      <c r="BX102" s="26">
        <f t="shared" si="473"/>
        <v>8536.1009897616532</v>
      </c>
      <c r="BY102" s="26">
        <f t="shared" si="474"/>
        <v>4729.7710213288783</v>
      </c>
      <c r="BZ102" s="26">
        <f t="shared" si="475"/>
        <v>15273.789325697628</v>
      </c>
      <c r="CA102" s="26">
        <f t="shared" si="476"/>
        <v>22252.715163300323</v>
      </c>
      <c r="CB102" s="26">
        <f t="shared" si="477"/>
        <v>23529.069998137405</v>
      </c>
      <c r="CC102" s="26">
        <f t="shared" si="478"/>
        <v>1522.6509737848626</v>
      </c>
      <c r="CD102" s="26">
        <f t="shared" si="479"/>
        <v>26683.450474696336</v>
      </c>
      <c r="CE102" s="26">
        <f t="shared" si="480"/>
        <v>6625.4736682250141</v>
      </c>
      <c r="CF102" s="26">
        <f t="shared" si="481"/>
        <v>5968.5797678087729</v>
      </c>
      <c r="CG102" s="26">
        <f t="shared" si="482"/>
        <v>16736.290526205416</v>
      </c>
      <c r="CH102" s="26">
        <f t="shared" si="483"/>
        <v>8370.1425594636257</v>
      </c>
      <c r="CI102" s="26">
        <f t="shared" si="484"/>
        <v>22058.018011006581</v>
      </c>
      <c r="CJ102" s="26">
        <f t="shared" si="485"/>
        <v>0</v>
      </c>
      <c r="CK102" s="26">
        <f t="shared" si="486"/>
        <v>5026.2778377788482</v>
      </c>
      <c r="CL102" s="26">
        <f t="shared" si="487"/>
        <v>0</v>
      </c>
      <c r="CM102" s="110">
        <f t="shared" si="488"/>
        <v>1</v>
      </c>
      <c r="CN102" s="27">
        <f t="shared" si="489"/>
        <v>7514.6704436939126</v>
      </c>
      <c r="CO102" s="27">
        <f t="shared" si="490"/>
        <v>8810.8399453881684</v>
      </c>
      <c r="CP102" s="27">
        <f t="shared" si="491"/>
        <v>3253.4406276604464</v>
      </c>
      <c r="CQ102" s="27">
        <f t="shared" si="492"/>
        <v>3766.243891068113</v>
      </c>
      <c r="CR102" s="27">
        <f t="shared" si="493"/>
        <v>9829.1477265250269</v>
      </c>
      <c r="CS102" s="27">
        <f t="shared" si="494"/>
        <v>15028.024148240642</v>
      </c>
      <c r="CT102" s="27">
        <f t="shared" si="495"/>
        <v>3483.0038577401097</v>
      </c>
      <c r="CU102" s="27">
        <f t="shared" si="496"/>
        <v>1989.8368346554898</v>
      </c>
      <c r="CV102" s="27">
        <f t="shared" si="497"/>
        <v>7756.8849522663031</v>
      </c>
      <c r="CW102" s="27">
        <f t="shared" si="498"/>
        <v>10058.727446007204</v>
      </c>
      <c r="CX102" s="27">
        <f t="shared" si="499"/>
        <v>15979.714281633296</v>
      </c>
      <c r="CY102" s="27">
        <f t="shared" si="500"/>
        <v>5333.5457839772371</v>
      </c>
      <c r="CZ102" s="27">
        <f t="shared" si="501"/>
        <v>2955.2661478868854</v>
      </c>
      <c r="DA102" s="27">
        <f t="shared" si="502"/>
        <v>9543.4033361530946</v>
      </c>
      <c r="DB102" s="27">
        <f t="shared" si="503"/>
        <v>13903.991445698763</v>
      </c>
      <c r="DC102" s="27">
        <f t="shared" si="504"/>
        <v>14701.486339019415</v>
      </c>
      <c r="DD102" s="27">
        <f t="shared" si="505"/>
        <v>951.38619979305656</v>
      </c>
      <c r="DE102" s="27">
        <f t="shared" si="506"/>
        <v>16672.413429969958</v>
      </c>
      <c r="DF102" s="27">
        <f t="shared" si="507"/>
        <v>4139.7433315746675</v>
      </c>
      <c r="DG102" s="27">
        <f t="shared" si="508"/>
        <v>3729.3014099891975</v>
      </c>
      <c r="DH102" s="27">
        <f t="shared" si="509"/>
        <v>10457.206619570876</v>
      </c>
      <c r="DI102" s="27">
        <f t="shared" si="510"/>
        <v>5229.8512649815993</v>
      </c>
      <c r="DJ102" s="27">
        <f t="shared" si="511"/>
        <v>13782.340333907307</v>
      </c>
      <c r="DK102" s="27">
        <f t="shared" si="512"/>
        <v>0</v>
      </c>
      <c r="DL102" s="27">
        <f t="shared" si="513"/>
        <v>3140.5302025992232</v>
      </c>
      <c r="DM102" s="27">
        <f t="shared" si="514"/>
        <v>0</v>
      </c>
      <c r="DN102" s="110">
        <f t="shared" si="515"/>
        <v>0.99999999999999989</v>
      </c>
      <c r="DO102" s="28">
        <f t="shared" si="518"/>
        <v>4512.2228108558666</v>
      </c>
      <c r="DP102" s="28">
        <f t="shared" si="519"/>
        <v>5290.5145052293028</v>
      </c>
      <c r="DQ102" s="28">
        <f t="shared" si="520"/>
        <v>1953.5452850382712</v>
      </c>
      <c r="DR102" s="28">
        <f t="shared" si="521"/>
        <v>2261.460662028775</v>
      </c>
      <c r="DS102" s="28">
        <f t="shared" si="522"/>
        <v>5901.962689543705</v>
      </c>
      <c r="DT102" s="28">
        <f t="shared" si="523"/>
        <v>9023.6549788671327</v>
      </c>
      <c r="DU102" s="28">
        <f t="shared" si="524"/>
        <v>2091.3877161948444</v>
      </c>
      <c r="DV102" s="28">
        <f t="shared" si="525"/>
        <v>1194.8078392111393</v>
      </c>
      <c r="DW102" s="28">
        <f t="shared" si="526"/>
        <v>4657.6617677455515</v>
      </c>
      <c r="DX102" s="28">
        <f t="shared" si="527"/>
        <v>6039.8150218474711</v>
      </c>
      <c r="DY102" s="28">
        <f t="shared" si="528"/>
        <v>9595.1022513638782</v>
      </c>
      <c r="DZ102" s="28">
        <f t="shared" si="529"/>
        <v>3202.5552057844161</v>
      </c>
      <c r="EA102" s="28">
        <f t="shared" si="530"/>
        <v>1774.5048734419929</v>
      </c>
      <c r="EB102" s="28">
        <f t="shared" si="531"/>
        <v>5730.385989544533</v>
      </c>
      <c r="EC102" s="28">
        <f t="shared" si="532"/>
        <v>8348.7237176015606</v>
      </c>
      <c r="ED102" s="28">
        <f t="shared" si="533"/>
        <v>8827.5836591179905</v>
      </c>
      <c r="EE102" s="28">
        <f t="shared" si="534"/>
        <v>571.26477399180601</v>
      </c>
      <c r="EF102" s="28">
        <f t="shared" si="535"/>
        <v>10011.037044726378</v>
      </c>
      <c r="EG102" s="28">
        <f t="shared" si="536"/>
        <v>2485.7303366503465</v>
      </c>
      <c r="EH102" s="28">
        <f t="shared" si="537"/>
        <v>2239.2783578195754</v>
      </c>
      <c r="EI102" s="28">
        <f t="shared" si="538"/>
        <v>6279.0839066345397</v>
      </c>
      <c r="EJ102" s="28">
        <f t="shared" si="539"/>
        <v>3140.2912944820264</v>
      </c>
      <c r="EK102" s="28">
        <f t="shared" si="540"/>
        <v>8275.6776770992747</v>
      </c>
      <c r="EL102" s="28">
        <f t="shared" si="541"/>
        <v>0</v>
      </c>
      <c r="EM102" s="28">
        <f t="shared" si="542"/>
        <v>1885.7476351796249</v>
      </c>
      <c r="EN102" s="28">
        <f t="shared" si="543"/>
        <v>0</v>
      </c>
      <c r="EQ102" s="144">
        <v>3.0000491686887083E-2</v>
      </c>
      <c r="ER102" s="144">
        <v>5.0000848902854125E-2</v>
      </c>
      <c r="ES102" s="144">
        <v>7.9999663381329245E-2</v>
      </c>
      <c r="ET102" s="144">
        <v>0.11000015506821634</v>
      </c>
      <c r="EU102" s="144">
        <v>0.12000031896384539</v>
      </c>
      <c r="EV102" s="144">
        <v>0.15000084007544143</v>
      </c>
      <c r="EW102" s="144">
        <v>0.13000051228418338</v>
      </c>
      <c r="EX102" s="144">
        <v>7.9999663381329245E-2</v>
      </c>
      <c r="EY102" s="144">
        <v>6.9999499485700223E-2</v>
      </c>
      <c r="EZ102" s="144">
        <v>5.9999335590071194E-2</v>
      </c>
      <c r="FA102" s="144">
        <v>5.9999335590071194E-2</v>
      </c>
      <c r="FB102" s="144">
        <v>5.9999335590071194E-2</v>
      </c>
      <c r="FC102" s="145">
        <f t="shared" si="544"/>
        <v>1</v>
      </c>
      <c r="FD102" s="146">
        <f t="shared" si="545"/>
        <v>0.16000100397107045</v>
      </c>
      <c r="FE102" s="146">
        <f t="shared" si="546"/>
        <v>0.38000131410750315</v>
      </c>
      <c r="FF102" s="146">
        <f t="shared" si="547"/>
        <v>0.27999967515121282</v>
      </c>
      <c r="FG102" s="146">
        <f t="shared" si="548"/>
        <v>0.17999800677021358</v>
      </c>
      <c r="FH102" s="145">
        <f t="shared" si="655"/>
        <v>1</v>
      </c>
      <c r="FJ102" s="52">
        <f t="shared" si="549"/>
        <v>1924.3149953808595</v>
      </c>
      <c r="FK102" s="52">
        <f t="shared" si="550"/>
        <v>2256.2308694507178</v>
      </c>
      <c r="FL102" s="52">
        <f t="shared" si="551"/>
        <v>833.12297369501539</v>
      </c>
      <c r="FM102" s="52">
        <f t="shared" si="552"/>
        <v>964.43878013649464</v>
      </c>
      <c r="FN102" s="52">
        <f t="shared" si="553"/>
        <v>2516.9934601507607</v>
      </c>
      <c r="FO102" s="52">
        <f t="shared" si="554"/>
        <v>3848.2928075272835</v>
      </c>
      <c r="FP102" s="52">
        <f t="shared" si="555"/>
        <v>891.90824835746821</v>
      </c>
      <c r="FQ102" s="52">
        <f t="shared" si="556"/>
        <v>509.54634510978286</v>
      </c>
      <c r="FR102" s="52">
        <f t="shared" si="557"/>
        <v>1986.3399390476563</v>
      </c>
      <c r="FS102" s="52">
        <f t="shared" si="558"/>
        <v>2575.7829573276622</v>
      </c>
      <c r="FT102" s="52">
        <f t="shared" si="559"/>
        <v>4091.9963216554793</v>
      </c>
      <c r="FU102" s="52">
        <f t="shared" si="560"/>
        <v>1365.7847283603126</v>
      </c>
      <c r="FV102" s="52">
        <f t="shared" si="561"/>
        <v>756.76811196589574</v>
      </c>
      <c r="FW102" s="52">
        <f t="shared" si="562"/>
        <v>2443.8216265542396</v>
      </c>
      <c r="FX102" s="52">
        <f t="shared" si="563"/>
        <v>3560.4567672103144</v>
      </c>
      <c r="FY102" s="52">
        <f t="shared" si="564"/>
        <v>3764.6748222075776</v>
      </c>
      <c r="FZ102" s="52">
        <f t="shared" si="565"/>
        <v>243.62568450310607</v>
      </c>
      <c r="GA102" s="52">
        <f t="shared" si="566"/>
        <v>4269.3788653637503</v>
      </c>
      <c r="GB102" s="52">
        <f t="shared" si="567"/>
        <v>1060.0824386998931</v>
      </c>
      <c r="GC102" s="52">
        <f t="shared" si="568"/>
        <v>954.97875513082226</v>
      </c>
      <c r="GD102" s="52">
        <f t="shared" si="569"/>
        <v>2677.8232869443814</v>
      </c>
      <c r="GE102" s="52">
        <f t="shared" si="570"/>
        <v>1339.2312128951653</v>
      </c>
      <c r="GF102" s="52">
        <f t="shared" si="571"/>
        <v>3529.3050273730073</v>
      </c>
      <c r="GG102" s="52">
        <f t="shared" si="572"/>
        <v>0</v>
      </c>
      <c r="GH102" s="52">
        <f t="shared" si="573"/>
        <v>804.20950028215691</v>
      </c>
      <c r="GI102" s="52">
        <f t="shared" si="574"/>
        <v>0</v>
      </c>
      <c r="GJ102" s="26"/>
      <c r="GL102" s="150">
        <f t="shared" si="575"/>
        <v>4570.2352413595818</v>
      </c>
      <c r="GM102" s="150">
        <f t="shared" si="576"/>
        <v>5358.5332219303273</v>
      </c>
      <c r="GN102" s="150">
        <f t="shared" si="577"/>
        <v>1978.6614893647693</v>
      </c>
      <c r="GO102" s="150">
        <f t="shared" si="578"/>
        <v>2290.5356512285975</v>
      </c>
      <c r="GP102" s="150">
        <f t="shared" si="579"/>
        <v>5977.8426304763489</v>
      </c>
      <c r="GQ102" s="150">
        <f t="shared" si="580"/>
        <v>9139.6696747929582</v>
      </c>
      <c r="GR102" s="150">
        <f t="shared" si="581"/>
        <v>2118.2761234450754</v>
      </c>
      <c r="GS102" s="150">
        <f t="shared" si="582"/>
        <v>1210.1691610347798</v>
      </c>
      <c r="GT102" s="150">
        <f t="shared" si="583"/>
        <v>4717.5440676534981</v>
      </c>
      <c r="GU102" s="150">
        <f t="shared" si="584"/>
        <v>6117.4672930002234</v>
      </c>
      <c r="GV102" s="150">
        <f t="shared" si="585"/>
        <v>9718.4638905972242</v>
      </c>
      <c r="GW102" s="150">
        <f t="shared" si="586"/>
        <v>3243.7295934637864</v>
      </c>
      <c r="GX102" s="150">
        <f t="shared" si="587"/>
        <v>1797.319203532561</v>
      </c>
      <c r="GY102" s="150">
        <f t="shared" si="588"/>
        <v>5804.0600151662529</v>
      </c>
      <c r="GZ102" s="150">
        <f t="shared" si="589"/>
        <v>8456.0610045140838</v>
      </c>
      <c r="HA102" s="150">
        <f t="shared" si="590"/>
        <v>8941.07751901964</v>
      </c>
      <c r="HB102" s="150">
        <f t="shared" si="591"/>
        <v>578.60937096531711</v>
      </c>
      <c r="HC102" s="150">
        <f t="shared" si="592"/>
        <v>10139.746245307086</v>
      </c>
      <c r="HD102" s="150">
        <f t="shared" si="593"/>
        <v>2517.6887005101648</v>
      </c>
      <c r="HE102" s="150">
        <f t="shared" si="594"/>
        <v>2268.0681551227899</v>
      </c>
      <c r="HF102" s="150">
        <f t="shared" si="595"/>
        <v>6359.8123932430135</v>
      </c>
      <c r="HG102" s="150">
        <f t="shared" si="596"/>
        <v>3180.6651718633175</v>
      </c>
      <c r="HH102" s="150">
        <f t="shared" si="597"/>
        <v>8382.0758307894739</v>
      </c>
      <c r="HI102" s="150">
        <f t="shared" si="598"/>
        <v>0</v>
      </c>
      <c r="HJ102" s="150">
        <f t="shared" si="599"/>
        <v>1909.9921834253819</v>
      </c>
      <c r="HK102" s="150">
        <f t="shared" si="600"/>
        <v>0</v>
      </c>
      <c r="HL102" s="26"/>
      <c r="HN102" s="147">
        <f t="shared" si="601"/>
        <v>3367.5262043522507</v>
      </c>
      <c r="HO102" s="147">
        <f t="shared" si="602"/>
        <v>3948.374665365001</v>
      </c>
      <c r="HP102" s="147">
        <f t="shared" si="603"/>
        <v>1457.9543640725824</v>
      </c>
      <c r="HQ102" s="147">
        <f t="shared" si="604"/>
        <v>1687.755316774615</v>
      </c>
      <c r="HR102" s="147">
        <f t="shared" si="605"/>
        <v>4404.7058062671049</v>
      </c>
      <c r="HS102" s="147">
        <f t="shared" si="606"/>
        <v>6734.4623424313831</v>
      </c>
      <c r="HT102" s="147">
        <f t="shared" si="607"/>
        <v>1560.8278298674452</v>
      </c>
      <c r="HU102" s="147">
        <f t="shared" si="608"/>
        <v>891.6994741546963</v>
      </c>
      <c r="HV102" s="147">
        <f t="shared" si="609"/>
        <v>3476.0690487528741</v>
      </c>
      <c r="HW102" s="147">
        <f t="shared" si="610"/>
        <v>4507.5866614073129</v>
      </c>
      <c r="HX102" s="147">
        <f t="shared" si="611"/>
        <v>7160.9403212910756</v>
      </c>
      <c r="HY102" s="147">
        <f t="shared" si="612"/>
        <v>2390.1055041912091</v>
      </c>
      <c r="HZ102" s="147">
        <f t="shared" si="613"/>
        <v>1324.334349511706</v>
      </c>
      <c r="IA102" s="147">
        <f t="shared" si="614"/>
        <v>4276.656049523398</v>
      </c>
      <c r="IB102" s="147">
        <f t="shared" si="615"/>
        <v>6230.753016956558</v>
      </c>
      <c r="IC102" s="147">
        <f t="shared" si="616"/>
        <v>6588.1319560886213</v>
      </c>
      <c r="ID102" s="147">
        <f t="shared" si="617"/>
        <v>426.34177802843942</v>
      </c>
      <c r="IE102" s="147">
        <f t="shared" si="618"/>
        <v>7471.3574648284493</v>
      </c>
      <c r="IF102" s="147">
        <f t="shared" si="619"/>
        <v>1855.1304748259183</v>
      </c>
      <c r="IG102" s="147">
        <f t="shared" si="620"/>
        <v>1671.2003961005578</v>
      </c>
      <c r="IH102" s="147">
        <f t="shared" si="621"/>
        <v>4686.155910573837</v>
      </c>
      <c r="II102" s="147">
        <f t="shared" si="622"/>
        <v>2343.6371976191563</v>
      </c>
      <c r="IJ102" s="147">
        <f t="shared" si="623"/>
        <v>6176.2378775614443</v>
      </c>
      <c r="IK102" s="147">
        <f t="shared" si="624"/>
        <v>0</v>
      </c>
      <c r="IL102" s="147">
        <f t="shared" si="625"/>
        <v>1407.3561617978178</v>
      </c>
      <c r="IM102" s="147">
        <f t="shared" si="626"/>
        <v>0</v>
      </c>
      <c r="IN102" s="26"/>
      <c r="IP102" s="61">
        <f t="shared" si="627"/>
        <v>2164.8168134570869</v>
      </c>
      <c r="IQ102" s="61">
        <f t="shared" si="628"/>
        <v>2538.2156938714247</v>
      </c>
      <c r="IR102" s="61">
        <f t="shared" si="629"/>
        <v>937.24708556635051</v>
      </c>
      <c r="IS102" s="61">
        <f t="shared" si="630"/>
        <v>1084.9748049571808</v>
      </c>
      <c r="IT102" s="61">
        <f t="shared" si="631"/>
        <v>2831.568519174517</v>
      </c>
      <c r="IU102" s="61">
        <f t="shared" si="632"/>
        <v>4329.2543023561493</v>
      </c>
      <c r="IV102" s="61">
        <f t="shared" si="633"/>
        <v>1003.3793722649654</v>
      </c>
      <c r="IW102" s="61">
        <f t="shared" si="634"/>
        <v>573.22969356737008</v>
      </c>
      <c r="IX102" s="61">
        <f t="shared" si="635"/>
        <v>2234.5936645578267</v>
      </c>
      <c r="IY102" s="61">
        <f t="shared" si="636"/>
        <v>2897.7055561194766</v>
      </c>
      <c r="IZ102" s="61">
        <f t="shared" si="637"/>
        <v>4603.4159994533957</v>
      </c>
      <c r="JA102" s="61">
        <f t="shared" si="638"/>
        <v>1536.4811637463449</v>
      </c>
      <c r="JB102" s="61">
        <f t="shared" si="639"/>
        <v>851.34935631871542</v>
      </c>
      <c r="JC102" s="61">
        <f t="shared" si="640"/>
        <v>2749.2516344537376</v>
      </c>
      <c r="JD102" s="61">
        <f t="shared" si="641"/>
        <v>4005.444374619366</v>
      </c>
      <c r="JE102" s="61">
        <f t="shared" si="642"/>
        <v>4235.1857008215657</v>
      </c>
      <c r="JF102" s="61">
        <f t="shared" si="643"/>
        <v>274.07414028799997</v>
      </c>
      <c r="JG102" s="61">
        <f t="shared" si="644"/>
        <v>4802.9678991970495</v>
      </c>
      <c r="JH102" s="61">
        <f t="shared" si="645"/>
        <v>1192.5720541890378</v>
      </c>
      <c r="JI102" s="61">
        <f t="shared" si="646"/>
        <v>1074.3324614546032</v>
      </c>
      <c r="JJ102" s="61">
        <f t="shared" si="647"/>
        <v>3012.4989354441836</v>
      </c>
      <c r="JK102" s="61">
        <f t="shared" si="648"/>
        <v>1506.6089770859865</v>
      </c>
      <c r="JL102" s="61">
        <f t="shared" si="649"/>
        <v>3970.3992752826557</v>
      </c>
      <c r="JM102" s="61">
        <f t="shared" si="650"/>
        <v>0</v>
      </c>
      <c r="JN102" s="61">
        <f t="shared" si="651"/>
        <v>904.71999227349158</v>
      </c>
      <c r="JO102" s="61">
        <f t="shared" si="652"/>
        <v>0</v>
      </c>
      <c r="JQ102" s="26">
        <f t="shared" si="516"/>
        <v>307305.00000000006</v>
      </c>
      <c r="JR102" s="156">
        <f t="shared" si="517"/>
        <v>1.0000000000000002</v>
      </c>
      <c r="JT102" s="157">
        <f t="shared" si="653"/>
        <v>12026.893254549779</v>
      </c>
      <c r="JU102" s="29">
        <f t="shared" si="654"/>
        <v>1</v>
      </c>
    </row>
    <row r="103" spans="1:281" ht="18.75" x14ac:dyDescent="0.3">
      <c r="A103" t="s">
        <v>234</v>
      </c>
      <c r="B103" t="s">
        <v>101</v>
      </c>
      <c r="C103" t="s">
        <v>74</v>
      </c>
      <c r="D103" t="s">
        <v>29</v>
      </c>
      <c r="E103" s="11" t="s">
        <v>127</v>
      </c>
      <c r="F103" s="114">
        <v>1461</v>
      </c>
      <c r="G103" s="17">
        <v>622780</v>
      </c>
      <c r="H103" s="21">
        <v>389122</v>
      </c>
      <c r="I103" s="25">
        <f t="shared" si="434"/>
        <v>1.6004749153221869</v>
      </c>
      <c r="J103" s="13">
        <v>3.4537273174692351E-2</v>
      </c>
      <c r="K103" s="13">
        <v>4.2374783275552642E-2</v>
      </c>
      <c r="L103" s="13">
        <v>1.4952747237165233E-2</v>
      </c>
      <c r="M103" s="13">
        <v>1.7309580650671275E-2</v>
      </c>
      <c r="N103" s="13">
        <v>4.5174563894585046E-2</v>
      </c>
      <c r="O103" s="13">
        <v>7.6589859925543249E-2</v>
      </c>
      <c r="P103" s="13">
        <v>1.6007815193575612E-2</v>
      </c>
      <c r="Q103" s="13">
        <v>9.145249794584441E-3</v>
      </c>
      <c r="R103" s="13">
        <v>3.5650486150845942E-2</v>
      </c>
      <c r="S103" s="13">
        <v>4.6229707635955353E-2</v>
      </c>
      <c r="T103" s="13">
        <v>7.3442443222701131E-2</v>
      </c>
      <c r="U103" s="13">
        <v>2.4512868410021916E-2</v>
      </c>
      <c r="V103" s="13">
        <v>1.3582343366653113E-2</v>
      </c>
      <c r="W103" s="13">
        <v>8.3348456196950638E-2</v>
      </c>
      <c r="X103" s="13">
        <v>6.3902463105572321E-2</v>
      </c>
      <c r="Y103" s="13">
        <v>7.6969440087947191E-2</v>
      </c>
      <c r="Z103" s="13">
        <v>7.1930636880821316E-3</v>
      </c>
      <c r="AA103" s="13">
        <v>8.4147439762764301E-2</v>
      </c>
      <c r="AB103" s="13">
        <v>1.9026176515257082E-2</v>
      </c>
      <c r="AC103" s="13">
        <v>1.7139793755779016E-2</v>
      </c>
      <c r="AD103" s="13">
        <v>5.3702133809750474E-2</v>
      </c>
      <c r="AE103" s="13">
        <v>2.403629050070373E-2</v>
      </c>
      <c r="AF103" s="13">
        <v>0.10659120743443891</v>
      </c>
      <c r="AG103" s="9">
        <v>0</v>
      </c>
      <c r="AH103" s="13">
        <v>1.443381321020692E-2</v>
      </c>
      <c r="AJ103" s="8">
        <f t="shared" si="461"/>
        <v>1</v>
      </c>
      <c r="AK103" s="141">
        <f t="shared" si="435"/>
        <v>50.458956108225522</v>
      </c>
      <c r="AL103" s="141">
        <f t="shared" si="436"/>
        <v>61.909558365582413</v>
      </c>
      <c r="AM103" s="141">
        <f t="shared" si="437"/>
        <v>21.845963713498406</v>
      </c>
      <c r="AN103" s="141">
        <f t="shared" si="438"/>
        <v>25.289297330630735</v>
      </c>
      <c r="AO103" s="141">
        <f t="shared" si="439"/>
        <v>66.000037849988757</v>
      </c>
      <c r="AP103" s="141">
        <f t="shared" si="440"/>
        <v>111.89778535121869</v>
      </c>
      <c r="AQ103" s="141">
        <f t="shared" si="441"/>
        <v>23.387417997813969</v>
      </c>
      <c r="AR103" s="141">
        <f t="shared" si="442"/>
        <v>13.361209949887868</v>
      </c>
      <c r="AS103" s="141">
        <f t="shared" si="443"/>
        <v>52.085360266385919</v>
      </c>
      <c r="AT103" s="141">
        <f t="shared" si="444"/>
        <v>67.541602856130766</v>
      </c>
      <c r="AU103" s="141">
        <f t="shared" si="445"/>
        <v>107.29940954836636</v>
      </c>
      <c r="AV103" s="141">
        <f t="shared" si="446"/>
        <v>35.813300747042021</v>
      </c>
      <c r="AW103" s="141">
        <f t="shared" si="447"/>
        <v>19.843803658680198</v>
      </c>
      <c r="AX103" s="141">
        <f t="shared" si="448"/>
        <v>121.77209450374488</v>
      </c>
      <c r="AY103" s="141">
        <f t="shared" si="449"/>
        <v>93.361498597241166</v>
      </c>
      <c r="AZ103" s="141">
        <f t="shared" si="450"/>
        <v>112.45235196849085</v>
      </c>
      <c r="BA103" s="141">
        <f t="shared" si="451"/>
        <v>10.509066048287995</v>
      </c>
      <c r="BB103" s="141">
        <f t="shared" si="452"/>
        <v>122.93940949339864</v>
      </c>
      <c r="BC103" s="141">
        <f t="shared" si="453"/>
        <v>27.797243888790597</v>
      </c>
      <c r="BD103" s="141">
        <f t="shared" si="454"/>
        <v>25.041238677193142</v>
      </c>
      <c r="BE103" s="141">
        <f t="shared" si="455"/>
        <v>78.458817496045441</v>
      </c>
      <c r="BF103" s="141">
        <f t="shared" si="456"/>
        <v>35.117020421528153</v>
      </c>
      <c r="BG103" s="141">
        <f t="shared" si="457"/>
        <v>155.72975406171525</v>
      </c>
      <c r="BH103" s="141">
        <f t="shared" si="458"/>
        <v>0</v>
      </c>
      <c r="BI103" s="141">
        <f t="shared" si="459"/>
        <v>21.087801100112308</v>
      </c>
      <c r="BJ103" s="141">
        <f t="shared" si="460"/>
        <v>0</v>
      </c>
      <c r="BM103" s="26">
        <f t="shared" si="462"/>
        <v>21509.122987734903</v>
      </c>
      <c r="BN103" s="26">
        <f t="shared" si="463"/>
        <v>26390.167528348673</v>
      </c>
      <c r="BO103" s="26">
        <f t="shared" si="464"/>
        <v>9312.271924361763</v>
      </c>
      <c r="BP103" s="26">
        <f t="shared" si="465"/>
        <v>10780.060637625056</v>
      </c>
      <c r="BQ103" s="26">
        <f t="shared" si="466"/>
        <v>28133.814902269674</v>
      </c>
      <c r="BR103" s="26">
        <f t="shared" si="467"/>
        <v>47698.632964429824</v>
      </c>
      <c r="BS103" s="26">
        <f t="shared" si="468"/>
        <v>9969.3471462550206</v>
      </c>
      <c r="BT103" s="26">
        <f t="shared" si="469"/>
        <v>5695.4786670712983</v>
      </c>
      <c r="BU103" s="26">
        <f t="shared" si="470"/>
        <v>22202.409765023836</v>
      </c>
      <c r="BV103" s="26">
        <f t="shared" si="471"/>
        <v>28790.937321520276</v>
      </c>
      <c r="BW103" s="26">
        <f t="shared" si="472"/>
        <v>45738.484790233808</v>
      </c>
      <c r="BX103" s="26">
        <f t="shared" si="473"/>
        <v>15266.124188393449</v>
      </c>
      <c r="BY103" s="26">
        <f t="shared" si="474"/>
        <v>8458.8118018842251</v>
      </c>
      <c r="BZ103" s="26">
        <f t="shared" si="475"/>
        <v>51907.751550336921</v>
      </c>
      <c r="CA103" s="26">
        <f t="shared" si="476"/>
        <v>39797.175972888333</v>
      </c>
      <c r="CB103" s="26">
        <f t="shared" si="477"/>
        <v>47935.027897971755</v>
      </c>
      <c r="CC103" s="26">
        <f t="shared" si="478"/>
        <v>4479.6962036637897</v>
      </c>
      <c r="CD103" s="26">
        <f t="shared" si="479"/>
        <v>52405.342535454351</v>
      </c>
      <c r="CE103" s="26">
        <f t="shared" si="480"/>
        <v>11849.122210171805</v>
      </c>
      <c r="CF103" s="26">
        <f t="shared" si="481"/>
        <v>10674.320755224056</v>
      </c>
      <c r="CG103" s="26">
        <f t="shared" si="482"/>
        <v>33444.6148940364</v>
      </c>
      <c r="CH103" s="26">
        <f t="shared" si="483"/>
        <v>14969.32099802827</v>
      </c>
      <c r="CI103" s="26">
        <f t="shared" si="484"/>
        <v>66382.872166019864</v>
      </c>
      <c r="CJ103" s="26">
        <f t="shared" si="485"/>
        <v>0</v>
      </c>
      <c r="CK103" s="26">
        <f t="shared" si="486"/>
        <v>8989.0901910526663</v>
      </c>
      <c r="CL103" s="26">
        <f t="shared" si="487"/>
        <v>0</v>
      </c>
      <c r="CM103" s="110">
        <f t="shared" si="488"/>
        <v>1</v>
      </c>
      <c r="CN103" s="27">
        <f t="shared" si="489"/>
        <v>13439.212812282638</v>
      </c>
      <c r="CO103" s="27">
        <f t="shared" si="490"/>
        <v>16488.960417749597</v>
      </c>
      <c r="CP103" s="27">
        <f t="shared" si="491"/>
        <v>5818.44291042021</v>
      </c>
      <c r="CQ103" s="27">
        <f t="shared" si="492"/>
        <v>6735.5386419505076</v>
      </c>
      <c r="CR103" s="27">
        <f t="shared" si="493"/>
        <v>17578.416651788721</v>
      </c>
      <c r="CS103" s="27">
        <f t="shared" si="494"/>
        <v>29802.799473947241</v>
      </c>
      <c r="CT103" s="27">
        <f t="shared" si="495"/>
        <v>6228.9930637545294</v>
      </c>
      <c r="CU103" s="27">
        <f t="shared" si="496"/>
        <v>3558.6178905682868</v>
      </c>
      <c r="CV103" s="27">
        <f t="shared" si="497"/>
        <v>13872.388471989474</v>
      </c>
      <c r="CW103" s="27">
        <f t="shared" si="498"/>
        <v>17988.996294718218</v>
      </c>
      <c r="CX103" s="27">
        <f t="shared" si="499"/>
        <v>28578.07039170391</v>
      </c>
      <c r="CY103" s="27">
        <f t="shared" si="500"/>
        <v>9538.4963814445473</v>
      </c>
      <c r="CZ103" s="27">
        <f t="shared" si="501"/>
        <v>5285.1886155187922</v>
      </c>
      <c r="DA103" s="27">
        <f t="shared" si="502"/>
        <v>32432.717972269827</v>
      </c>
      <c r="DB103" s="27">
        <f t="shared" si="503"/>
        <v>24865.854248566513</v>
      </c>
      <c r="DC103" s="27">
        <f t="shared" si="504"/>
        <v>29950.502465902187</v>
      </c>
      <c r="DD103" s="27">
        <f t="shared" si="505"/>
        <v>2798.9793284338953</v>
      </c>
      <c r="DE103" s="27">
        <f t="shared" si="506"/>
        <v>32743.620055366369</v>
      </c>
      <c r="DF103" s="27">
        <f t="shared" si="507"/>
        <v>7403.5038579698667</v>
      </c>
      <c r="DG103" s="27">
        <f t="shared" si="508"/>
        <v>6669.4708258362425</v>
      </c>
      <c r="DH103" s="27">
        <f t="shared" si="509"/>
        <v>20896.681712317724</v>
      </c>
      <c r="DI103" s="27">
        <f t="shared" si="510"/>
        <v>9353.049432214837</v>
      </c>
      <c r="DJ103" s="27">
        <f t="shared" si="511"/>
        <v>41476.983819303736</v>
      </c>
      <c r="DK103" s="27">
        <f t="shared" si="512"/>
        <v>0</v>
      </c>
      <c r="DL103" s="27">
        <f t="shared" si="513"/>
        <v>5616.514263982137</v>
      </c>
      <c r="DM103" s="27">
        <f t="shared" si="514"/>
        <v>0</v>
      </c>
      <c r="DN103" s="110">
        <f t="shared" si="515"/>
        <v>1</v>
      </c>
      <c r="DO103" s="28">
        <f t="shared" si="518"/>
        <v>8069.9101754522653</v>
      </c>
      <c r="DP103" s="28">
        <f t="shared" si="519"/>
        <v>9901.2071105990763</v>
      </c>
      <c r="DQ103" s="28">
        <f t="shared" si="520"/>
        <v>3493.8290139415531</v>
      </c>
      <c r="DR103" s="28">
        <f t="shared" si="521"/>
        <v>4044.5219956745486</v>
      </c>
      <c r="DS103" s="28">
        <f t="shared" si="522"/>
        <v>10555.398250480954</v>
      </c>
      <c r="DT103" s="28">
        <f t="shared" si="523"/>
        <v>17895.833490482582</v>
      </c>
      <c r="DU103" s="28">
        <f t="shared" si="524"/>
        <v>3740.3540825004911</v>
      </c>
      <c r="DV103" s="28">
        <f t="shared" si="525"/>
        <v>2136.8607765030115</v>
      </c>
      <c r="DW103" s="28">
        <f t="shared" si="526"/>
        <v>8330.0212930343623</v>
      </c>
      <c r="DX103" s="28">
        <f t="shared" si="527"/>
        <v>10801.941026802058</v>
      </c>
      <c r="DY103" s="28">
        <f t="shared" si="528"/>
        <v>17160.414398529898</v>
      </c>
      <c r="DZ103" s="28">
        <f t="shared" si="529"/>
        <v>5727.6278069489017</v>
      </c>
      <c r="EA103" s="28">
        <f t="shared" si="530"/>
        <v>3173.623186365433</v>
      </c>
      <c r="EB103" s="28">
        <f t="shared" si="531"/>
        <v>19475.033578067094</v>
      </c>
      <c r="EC103" s="28">
        <f t="shared" si="532"/>
        <v>14931.321724321821</v>
      </c>
      <c r="ED103" s="28">
        <f t="shared" si="533"/>
        <v>17984.525432069568</v>
      </c>
      <c r="EE103" s="28">
        <f t="shared" si="534"/>
        <v>1680.7168752298944</v>
      </c>
      <c r="EF103" s="28">
        <f t="shared" si="535"/>
        <v>19661.722480087981</v>
      </c>
      <c r="EG103" s="28">
        <f t="shared" si="536"/>
        <v>4445.6183522019383</v>
      </c>
      <c r="EH103" s="28">
        <f t="shared" si="537"/>
        <v>4004.849929387814</v>
      </c>
      <c r="EI103" s="28">
        <f t="shared" si="538"/>
        <v>12547.933181718676</v>
      </c>
      <c r="EJ103" s="28">
        <f t="shared" si="539"/>
        <v>5616.271565813433</v>
      </c>
      <c r="EK103" s="28">
        <f t="shared" si="540"/>
        <v>24905.888346716129</v>
      </c>
      <c r="EL103" s="28">
        <f t="shared" si="541"/>
        <v>0</v>
      </c>
      <c r="EM103" s="28">
        <f t="shared" si="542"/>
        <v>3372.5759270705294</v>
      </c>
      <c r="EN103" s="28">
        <f t="shared" si="543"/>
        <v>0</v>
      </c>
      <c r="EQ103" s="144">
        <v>3.0000214331167372E-2</v>
      </c>
      <c r="ER103" s="144">
        <v>5.0000214539965386E-2</v>
      </c>
      <c r="ES103" s="144">
        <v>8.000000083519207E-2</v>
      </c>
      <c r="ET103" s="144">
        <v>0.11000021516635944</v>
      </c>
      <c r="EU103" s="144">
        <v>0.1199995627769464</v>
      </c>
      <c r="EV103" s="144">
        <v>0.1499997875480148</v>
      </c>
      <c r="EW103" s="144">
        <v>0.12999978733921677</v>
      </c>
      <c r="EX103" s="144">
        <v>8.000000083519207E-2</v>
      </c>
      <c r="EY103" s="144">
        <v>7.0000214748763404E-2</v>
      </c>
      <c r="EZ103" s="144">
        <v>6.0000000626394046E-2</v>
      </c>
      <c r="FA103" s="144">
        <v>6.0000000626394046E-2</v>
      </c>
      <c r="FB103" s="144">
        <v>6.0000000626394046E-2</v>
      </c>
      <c r="FC103" s="145">
        <f t="shared" si="544"/>
        <v>1</v>
      </c>
      <c r="FD103" s="146">
        <f t="shared" si="545"/>
        <v>0.16000042970632483</v>
      </c>
      <c r="FE103" s="146">
        <f t="shared" si="546"/>
        <v>0.37999956549132063</v>
      </c>
      <c r="FF103" s="146">
        <f t="shared" si="547"/>
        <v>0.28000000292317223</v>
      </c>
      <c r="FG103" s="146">
        <f t="shared" si="548"/>
        <v>0.18000000187918214</v>
      </c>
      <c r="FH103" s="145">
        <f t="shared" si="655"/>
        <v>0.99999999999999978</v>
      </c>
      <c r="FJ103" s="52">
        <f t="shared" si="549"/>
        <v>3441.4689206437738</v>
      </c>
      <c r="FK103" s="52">
        <f t="shared" si="550"/>
        <v>4222.4381445576882</v>
      </c>
      <c r="FL103" s="52">
        <f t="shared" si="551"/>
        <v>1489.9675094400266</v>
      </c>
      <c r="FM103" s="52">
        <f t="shared" si="552"/>
        <v>1724.8143342802471</v>
      </c>
      <c r="FN103" s="52">
        <f t="shared" si="553"/>
        <v>4501.4224736413535</v>
      </c>
      <c r="FO103" s="52">
        <f t="shared" si="554"/>
        <v>7631.8017707130421</v>
      </c>
      <c r="FP103" s="52">
        <f t="shared" si="555"/>
        <v>1595.0998272923264</v>
      </c>
      <c r="FQ103" s="52">
        <f t="shared" si="556"/>
        <v>911.27903411461386</v>
      </c>
      <c r="FR103" s="52">
        <f t="shared" si="557"/>
        <v>3552.3951029197165</v>
      </c>
      <c r="FS103" s="52">
        <f t="shared" si="558"/>
        <v>4606.5623430911091</v>
      </c>
      <c r="FT103" s="52">
        <f t="shared" si="559"/>
        <v>7318.1772205536117</v>
      </c>
      <c r="FU103" s="52">
        <f t="shared" si="560"/>
        <v>2442.5864300930712</v>
      </c>
      <c r="FV103" s="52">
        <f t="shared" si="561"/>
        <v>1353.4135231064079</v>
      </c>
      <c r="FW103" s="52">
        <f t="shared" si="562"/>
        <v>8305.2625531430567</v>
      </c>
      <c r="FX103" s="52">
        <f t="shared" si="563"/>
        <v>6367.5652567603593</v>
      </c>
      <c r="FY103" s="52">
        <f t="shared" si="564"/>
        <v>7669.6250616601492</v>
      </c>
      <c r="FZ103" s="52">
        <f t="shared" si="565"/>
        <v>716.75331753999842</v>
      </c>
      <c r="GA103" s="52">
        <f t="shared" si="566"/>
        <v>8384.8773245798384</v>
      </c>
      <c r="GB103" s="52">
        <f t="shared" si="567"/>
        <v>1895.8646452702462</v>
      </c>
      <c r="GC103" s="52">
        <f t="shared" si="568"/>
        <v>1707.8959076589908</v>
      </c>
      <c r="GD103" s="52">
        <f t="shared" si="569"/>
        <v>5351.1527544083756</v>
      </c>
      <c r="GE103" s="52">
        <f t="shared" si="570"/>
        <v>2395.0977920964347</v>
      </c>
      <c r="GF103" s="52">
        <f t="shared" si="571"/>
        <v>10621.288071703209</v>
      </c>
      <c r="GG103" s="52">
        <f t="shared" si="572"/>
        <v>0</v>
      </c>
      <c r="GH103" s="52">
        <f t="shared" si="573"/>
        <v>1438.2582932373361</v>
      </c>
      <c r="GI103" s="52">
        <f t="shared" si="574"/>
        <v>0</v>
      </c>
      <c r="GJ103" s="26"/>
      <c r="GL103" s="150">
        <f t="shared" si="575"/>
        <v>8173.4573894386394</v>
      </c>
      <c r="GM103" s="150">
        <f t="shared" si="576"/>
        <v>10028.252194015655</v>
      </c>
      <c r="GN103" s="150">
        <f t="shared" si="577"/>
        <v>3538.6592849944941</v>
      </c>
      <c r="GO103" s="150">
        <f t="shared" si="578"/>
        <v>4096.4183582676105</v>
      </c>
      <c r="GP103" s="150">
        <f t="shared" si="579"/>
        <v>10690.837438475717</v>
      </c>
      <c r="GQ103" s="150">
        <f t="shared" si="580"/>
        <v>18125.459801013316</v>
      </c>
      <c r="GR103" s="150">
        <f t="shared" si="581"/>
        <v>3788.3475838090453</v>
      </c>
      <c r="GS103" s="150">
        <f t="shared" si="582"/>
        <v>2164.2794187521795</v>
      </c>
      <c r="GT103" s="150">
        <f t="shared" si="583"/>
        <v>8436.9060635693113</v>
      </c>
      <c r="GU103" s="150">
        <f t="shared" si="584"/>
        <v>10940.543672265552</v>
      </c>
      <c r="GV103" s="150">
        <f t="shared" si="585"/>
        <v>17380.604346520224</v>
      </c>
      <c r="GW103" s="150">
        <f t="shared" si="586"/>
        <v>5801.1205583260507</v>
      </c>
      <c r="GX103" s="150">
        <f t="shared" si="587"/>
        <v>3214.3448092888607</v>
      </c>
      <c r="GY103" s="150">
        <f t="shared" si="588"/>
        <v>19724.923034759457</v>
      </c>
      <c r="GZ103" s="150">
        <f t="shared" si="589"/>
        <v>15122.909577479193</v>
      </c>
      <c r="HA103" s="150">
        <f t="shared" si="590"/>
        <v>18215.289773043598</v>
      </c>
      <c r="HB103" s="150">
        <f t="shared" si="591"/>
        <v>1702.2826109253588</v>
      </c>
      <c r="HC103" s="150">
        <f t="shared" si="592"/>
        <v>19914.007392896478</v>
      </c>
      <c r="HD103" s="150">
        <f t="shared" si="593"/>
        <v>4502.6612913188428</v>
      </c>
      <c r="HE103" s="150">
        <f t="shared" si="594"/>
        <v>4056.2372489001268</v>
      </c>
      <c r="HF103" s="150">
        <f t="shared" si="595"/>
        <v>12708.939127758382</v>
      </c>
      <c r="HG103" s="150">
        <f t="shared" si="596"/>
        <v>5688.3354749508444</v>
      </c>
      <c r="HH103" s="150">
        <f t="shared" si="597"/>
        <v>25225.462579153431</v>
      </c>
      <c r="HI103" s="150">
        <f t="shared" si="598"/>
        <v>0</v>
      </c>
      <c r="HJ103" s="150">
        <f t="shared" si="599"/>
        <v>3415.8503667623054</v>
      </c>
      <c r="HK103" s="150">
        <f t="shared" si="600"/>
        <v>0</v>
      </c>
      <c r="HL103" s="26"/>
      <c r="HN103" s="147">
        <f t="shared" si="601"/>
        <v>6022.5544994406437</v>
      </c>
      <c r="HO103" s="147">
        <f t="shared" si="602"/>
        <v>7389.2469850806337</v>
      </c>
      <c r="HP103" s="147">
        <f t="shared" si="603"/>
        <v>2607.4361660426684</v>
      </c>
      <c r="HQ103" s="147">
        <f t="shared" si="604"/>
        <v>3018.4170100469896</v>
      </c>
      <c r="HR103" s="147">
        <f t="shared" si="605"/>
        <v>7877.4682548754954</v>
      </c>
      <c r="HS103" s="147">
        <f t="shared" si="606"/>
        <v>13355.617369471671</v>
      </c>
      <c r="HT103" s="147">
        <f t="shared" si="607"/>
        <v>2791.4172300935247</v>
      </c>
      <c r="HU103" s="147">
        <f t="shared" si="608"/>
        <v>1594.7340434288287</v>
      </c>
      <c r="HV103" s="147">
        <f t="shared" si="609"/>
        <v>6216.674799108142</v>
      </c>
      <c r="HW103" s="147">
        <f t="shared" si="610"/>
        <v>8061.4625341865458</v>
      </c>
      <c r="HX103" s="147">
        <f t="shared" si="611"/>
        <v>12806.775874966936</v>
      </c>
      <c r="HY103" s="147">
        <f t="shared" si="612"/>
        <v>4274.5148173756761</v>
      </c>
      <c r="HZ103" s="147">
        <f t="shared" si="613"/>
        <v>2368.467329254147</v>
      </c>
      <c r="IA103" s="147">
        <f t="shared" si="614"/>
        <v>14534.170585829635</v>
      </c>
      <c r="IB103" s="147">
        <f t="shared" si="615"/>
        <v>11143.209388742733</v>
      </c>
      <c r="IC103" s="147">
        <f t="shared" si="616"/>
        <v>13421.807951554434</v>
      </c>
      <c r="ID103" s="147">
        <f t="shared" si="617"/>
        <v>1254.3149501207847</v>
      </c>
      <c r="IE103" s="147">
        <f t="shared" si="618"/>
        <v>14673.49606311706</v>
      </c>
      <c r="IF103" s="147">
        <f t="shared" si="619"/>
        <v>3317.7542534851304</v>
      </c>
      <c r="IG103" s="147">
        <f t="shared" si="620"/>
        <v>2988.8098426656138</v>
      </c>
      <c r="IH103" s="147">
        <f t="shared" si="621"/>
        <v>9364.492268094562</v>
      </c>
      <c r="II103" s="147">
        <f t="shared" si="622"/>
        <v>4191.4099232058188</v>
      </c>
      <c r="IJ103" s="147">
        <f t="shared" si="623"/>
        <v>18587.20440053413</v>
      </c>
      <c r="IK103" s="147">
        <f t="shared" si="624"/>
        <v>0</v>
      </c>
      <c r="IL103" s="147">
        <f t="shared" si="625"/>
        <v>2516.9452797714052</v>
      </c>
      <c r="IM103" s="147">
        <f t="shared" si="626"/>
        <v>0</v>
      </c>
      <c r="IN103" s="26"/>
      <c r="IP103" s="61">
        <f t="shared" si="627"/>
        <v>3871.6421782118423</v>
      </c>
      <c r="IQ103" s="61">
        <f t="shared" si="628"/>
        <v>4750.2302046946925</v>
      </c>
      <c r="IR103" s="61">
        <f t="shared" si="629"/>
        <v>1676.2089638845723</v>
      </c>
      <c r="IS103" s="61">
        <f t="shared" si="630"/>
        <v>1940.4109350302074</v>
      </c>
      <c r="IT103" s="61">
        <f t="shared" si="631"/>
        <v>5064.0867352771038</v>
      </c>
      <c r="IU103" s="61">
        <f t="shared" si="632"/>
        <v>8585.7540232317879</v>
      </c>
      <c r="IV103" s="61">
        <f t="shared" si="633"/>
        <v>1794.4825050601228</v>
      </c>
      <c r="IW103" s="61">
        <f t="shared" si="634"/>
        <v>1025.1861707756755</v>
      </c>
      <c r="IX103" s="61">
        <f t="shared" si="635"/>
        <v>3996.4337994266625</v>
      </c>
      <c r="IY103" s="61">
        <f t="shared" si="636"/>
        <v>5182.3687719770651</v>
      </c>
      <c r="IZ103" s="61">
        <f t="shared" si="637"/>
        <v>8232.9273481930286</v>
      </c>
      <c r="JA103" s="61">
        <f t="shared" si="638"/>
        <v>2747.9023825986487</v>
      </c>
      <c r="JB103" s="61">
        <f t="shared" si="639"/>
        <v>1522.5861402348085</v>
      </c>
      <c r="JC103" s="61">
        <f t="shared" si="640"/>
        <v>9343.3953766047653</v>
      </c>
      <c r="JD103" s="61">
        <f t="shared" si="641"/>
        <v>7163.4917499060421</v>
      </c>
      <c r="JE103" s="61">
        <f t="shared" si="642"/>
        <v>8628.3051117135637</v>
      </c>
      <c r="JF103" s="61">
        <f t="shared" si="643"/>
        <v>806.3453250776472</v>
      </c>
      <c r="JG103" s="61">
        <f t="shared" si="644"/>
        <v>9432.9617548609658</v>
      </c>
      <c r="JH103" s="61">
        <f t="shared" si="645"/>
        <v>2132.8420200975838</v>
      </c>
      <c r="JI103" s="61">
        <f t="shared" si="646"/>
        <v>1921.377755999323</v>
      </c>
      <c r="JJ103" s="61">
        <f t="shared" si="647"/>
        <v>6020.0307437750753</v>
      </c>
      <c r="JK103" s="61">
        <f t="shared" si="648"/>
        <v>2694.4778077751694</v>
      </c>
      <c r="JL103" s="61">
        <f t="shared" si="649"/>
        <v>11948.917114629083</v>
      </c>
      <c r="JM103" s="61">
        <f t="shared" si="650"/>
        <v>0</v>
      </c>
      <c r="JN103" s="61">
        <f t="shared" si="651"/>
        <v>1618.0362512816178</v>
      </c>
      <c r="JO103" s="61">
        <f t="shared" si="652"/>
        <v>0</v>
      </c>
      <c r="JQ103" s="26">
        <f t="shared" si="516"/>
        <v>622779.99999999977</v>
      </c>
      <c r="JR103" s="156">
        <f t="shared" si="517"/>
        <v>0.99999999999999967</v>
      </c>
      <c r="JT103" s="157">
        <f t="shared" si="653"/>
        <v>21509.1229877349</v>
      </c>
      <c r="JU103" s="29">
        <f t="shared" si="654"/>
        <v>0.99999999999999978</v>
      </c>
    </row>
    <row r="104" spans="1:281" ht="18.75" x14ac:dyDescent="0.3">
      <c r="A104" t="s">
        <v>234</v>
      </c>
      <c r="B104" t="s">
        <v>182</v>
      </c>
      <c r="C104" t="s">
        <v>74</v>
      </c>
      <c r="D104" t="s">
        <v>29</v>
      </c>
      <c r="E104" s="11" t="s">
        <v>266</v>
      </c>
      <c r="F104" s="114">
        <v>536</v>
      </c>
      <c r="G104" s="17">
        <v>503324</v>
      </c>
      <c r="H104" s="21">
        <v>333611</v>
      </c>
      <c r="I104" s="25">
        <f t="shared" si="434"/>
        <v>1.5087152402049093</v>
      </c>
      <c r="J104" s="13">
        <v>3.9136666356062375E-2</v>
      </c>
      <c r="K104" s="13">
        <v>4.5887162430215594E-2</v>
      </c>
      <c r="L104" s="13">
        <v>1.6944032517201911E-2</v>
      </c>
      <c r="M104" s="13">
        <v>1.9614729838749428E-2</v>
      </c>
      <c r="N104" s="13">
        <v>5.1190544950680254E-2</v>
      </c>
      <c r="O104" s="13">
        <v>7.8266475088618462E-2</v>
      </c>
      <c r="P104" s="13">
        <v>1.8139605844144858E-2</v>
      </c>
      <c r="Q104" s="13">
        <v>1.0363139792280054E-2</v>
      </c>
      <c r="R104" s="13">
        <v>4.0398127983638212E-2</v>
      </c>
      <c r="S104" s="13">
        <v>5.2386204155007533E-2</v>
      </c>
      <c r="T104" s="13">
        <v>8.3222910570922015E-2</v>
      </c>
      <c r="U104" s="13">
        <v>2.7777292884143268E-2</v>
      </c>
      <c r="V104" s="13">
        <v>1.5391129403455441E-2</v>
      </c>
      <c r="W104" s="13">
        <v>4.9702378177047708E-2</v>
      </c>
      <c r="X104" s="13">
        <v>7.241247348172121E-2</v>
      </c>
      <c r="Y104" s="13">
        <v>7.6565854763630536E-2</v>
      </c>
      <c r="Z104" s="13">
        <v>4.9548525854927654E-3</v>
      </c>
      <c r="AA104" s="13">
        <v>8.6830511949679709E-2</v>
      </c>
      <c r="AB104" s="13">
        <v>2.1559927981077476E-2</v>
      </c>
      <c r="AC104" s="13">
        <v>1.9422332105916925E-2</v>
      </c>
      <c r="AD104" s="13">
        <v>5.4461497620297242E-2</v>
      </c>
      <c r="AE104" s="13">
        <v>2.7237248204433986E-2</v>
      </c>
      <c r="AF104" s="13">
        <v>7.1778910239034294E-2</v>
      </c>
      <c r="AG104" s="9">
        <v>0</v>
      </c>
      <c r="AH104" s="13">
        <v>1.6355991076548823E-2</v>
      </c>
      <c r="AJ104" s="8">
        <f t="shared" si="461"/>
        <v>1</v>
      </c>
      <c r="AK104" s="141">
        <f t="shared" si="435"/>
        <v>20.977253166849433</v>
      </c>
      <c r="AL104" s="141">
        <f t="shared" si="436"/>
        <v>24.59551906259556</v>
      </c>
      <c r="AM104" s="141">
        <f t="shared" si="437"/>
        <v>9.0820014292202238</v>
      </c>
      <c r="AN104" s="141">
        <f t="shared" si="438"/>
        <v>10.513495193569694</v>
      </c>
      <c r="AO104" s="141">
        <f t="shared" si="439"/>
        <v>27.438132093564615</v>
      </c>
      <c r="AP104" s="141">
        <f t="shared" si="440"/>
        <v>41.950830647499494</v>
      </c>
      <c r="AQ104" s="141">
        <f t="shared" si="441"/>
        <v>9.7228287324616431</v>
      </c>
      <c r="AR104" s="141">
        <f t="shared" si="442"/>
        <v>5.5546429286621093</v>
      </c>
      <c r="AS104" s="141">
        <f t="shared" si="443"/>
        <v>21.653396599230081</v>
      </c>
      <c r="AT104" s="141">
        <f t="shared" si="444"/>
        <v>28.079005427084038</v>
      </c>
      <c r="AU104" s="141">
        <f t="shared" si="445"/>
        <v>44.607480066014197</v>
      </c>
      <c r="AV104" s="141">
        <f t="shared" si="446"/>
        <v>14.888628985900791</v>
      </c>
      <c r="AW104" s="141">
        <f t="shared" si="447"/>
        <v>8.2496453602521171</v>
      </c>
      <c r="AX104" s="141">
        <f t="shared" si="448"/>
        <v>26.640474702897571</v>
      </c>
      <c r="AY104" s="141">
        <f t="shared" si="449"/>
        <v>38.813085786202571</v>
      </c>
      <c r="AZ104" s="141">
        <f t="shared" si="450"/>
        <v>41.039298153305964</v>
      </c>
      <c r="BA104" s="141">
        <f t="shared" si="451"/>
        <v>2.6558009858241221</v>
      </c>
      <c r="BB104" s="141">
        <f t="shared" si="452"/>
        <v>46.541154405028323</v>
      </c>
      <c r="BC104" s="141">
        <f t="shared" si="453"/>
        <v>11.556121397857527</v>
      </c>
      <c r="BD104" s="141">
        <f t="shared" si="454"/>
        <v>10.410370008771471</v>
      </c>
      <c r="BE104" s="141">
        <f t="shared" si="455"/>
        <v>29.191362724479323</v>
      </c>
      <c r="BF104" s="141">
        <f t="shared" si="456"/>
        <v>14.599165037576617</v>
      </c>
      <c r="BG104" s="141">
        <f t="shared" si="457"/>
        <v>38.473495888122379</v>
      </c>
      <c r="BH104" s="141">
        <f t="shared" si="458"/>
        <v>0</v>
      </c>
      <c r="BI104" s="141">
        <f t="shared" si="459"/>
        <v>8.7668112170301686</v>
      </c>
      <c r="BJ104" s="141">
        <f t="shared" si="460"/>
        <v>0</v>
      </c>
      <c r="BM104" s="26">
        <f t="shared" si="462"/>
        <v>19698.423456998738</v>
      </c>
      <c r="BN104" s="26">
        <f t="shared" si="463"/>
        <v>23096.110143025835</v>
      </c>
      <c r="BO104" s="26">
        <f t="shared" si="464"/>
        <v>8528.3382226881349</v>
      </c>
      <c r="BP104" s="26">
        <f t="shared" si="465"/>
        <v>9872.5642813587165</v>
      </c>
      <c r="BQ104" s="26">
        <f t="shared" si="466"/>
        <v>25765.429846756189</v>
      </c>
      <c r="BR104" s="26">
        <f t="shared" si="467"/>
        <v>39393.395307503801</v>
      </c>
      <c r="BS104" s="26">
        <f t="shared" si="468"/>
        <v>9130.0989718983656</v>
      </c>
      <c r="BT104" s="26">
        <f t="shared" si="469"/>
        <v>5216.0169728095661</v>
      </c>
      <c r="BU104" s="26">
        <f t="shared" si="470"/>
        <v>20333.347369236719</v>
      </c>
      <c r="BV104" s="26">
        <f t="shared" si="471"/>
        <v>26367.233820115012</v>
      </c>
      <c r="BW104" s="26">
        <f t="shared" si="472"/>
        <v>41888.088240198755</v>
      </c>
      <c r="BX104" s="26">
        <f t="shared" si="473"/>
        <v>13980.978163618525</v>
      </c>
      <c r="BY104" s="26">
        <f t="shared" si="474"/>
        <v>7746.7248158648063</v>
      </c>
      <c r="BZ104" s="26">
        <f t="shared" si="475"/>
        <v>25016.399793584362</v>
      </c>
      <c r="CA104" s="26">
        <f t="shared" si="476"/>
        <v>36446.935802713844</v>
      </c>
      <c r="CB104" s="26">
        <f t="shared" si="477"/>
        <v>38537.432283049573</v>
      </c>
      <c r="CC104" s="26">
        <f t="shared" si="478"/>
        <v>2493.8962227405605</v>
      </c>
      <c r="CD104" s="26">
        <f t="shared" si="479"/>
        <v>43703.880596560593</v>
      </c>
      <c r="CE104" s="26">
        <f t="shared" si="480"/>
        <v>10851.62919114784</v>
      </c>
      <c r="CF104" s="26">
        <f t="shared" si="481"/>
        <v>9775.7258848785295</v>
      </c>
      <c r="CG104" s="26">
        <f t="shared" si="482"/>
        <v>27411.77882823849</v>
      </c>
      <c r="CH104" s="26">
        <f t="shared" si="483"/>
        <v>13709.160715248532</v>
      </c>
      <c r="CI104" s="26">
        <f t="shared" si="484"/>
        <v>36128.0482171517</v>
      </c>
      <c r="CJ104" s="26">
        <f t="shared" si="485"/>
        <v>0</v>
      </c>
      <c r="CK104" s="26">
        <f t="shared" si="486"/>
        <v>8232.3628526128596</v>
      </c>
      <c r="CL104" s="26">
        <f t="shared" si="487"/>
        <v>0</v>
      </c>
      <c r="CM104" s="110">
        <f t="shared" si="488"/>
        <v>1.0000000000000004</v>
      </c>
      <c r="CN104" s="27">
        <f t="shared" si="489"/>
        <v>13056.422399712324</v>
      </c>
      <c r="CO104" s="27">
        <f t="shared" si="490"/>
        <v>15308.462145506655</v>
      </c>
      <c r="CP104" s="27">
        <f t="shared" si="491"/>
        <v>5652.7156320962467</v>
      </c>
      <c r="CQ104" s="27">
        <f t="shared" si="492"/>
        <v>6543.6896362350353</v>
      </c>
      <c r="CR104" s="27">
        <f t="shared" si="493"/>
        <v>17077.728891541392</v>
      </c>
      <c r="CS104" s="27">
        <f t="shared" si="494"/>
        <v>26110.557020789092</v>
      </c>
      <c r="CT104" s="27">
        <f t="shared" si="495"/>
        <v>6051.5720452710102</v>
      </c>
      <c r="CU104" s="27">
        <f t="shared" si="496"/>
        <v>3457.2574292423415</v>
      </c>
      <c r="CV104" s="27">
        <f t="shared" si="497"/>
        <v>13477.259874749527</v>
      </c>
      <c r="CW104" s="27">
        <f t="shared" si="498"/>
        <v>17476.613954356217</v>
      </c>
      <c r="CX104" s="27">
        <f t="shared" si="499"/>
        <v>27764.078418475863</v>
      </c>
      <c r="CY104" s="27">
        <f t="shared" si="500"/>
        <v>9266.8104563719189</v>
      </c>
      <c r="CZ104" s="27">
        <f t="shared" si="501"/>
        <v>5134.650071416173</v>
      </c>
      <c r="DA104" s="27">
        <f t="shared" si="502"/>
        <v>16581.260086023063</v>
      </c>
      <c r="DB104" s="27">
        <f t="shared" si="503"/>
        <v>24157.597690710496</v>
      </c>
      <c r="DC104" s="27">
        <f t="shared" si="504"/>
        <v>25543.211373549548</v>
      </c>
      <c r="DD104" s="27">
        <f t="shared" si="505"/>
        <v>1652.9933258988269</v>
      </c>
      <c r="DE104" s="27">
        <f t="shared" si="506"/>
        <v>28967.613922044598</v>
      </c>
      <c r="DF104" s="27">
        <f t="shared" si="507"/>
        <v>7192.6291336952381</v>
      </c>
      <c r="DG104" s="27">
        <f t="shared" si="508"/>
        <v>6479.5036361870516</v>
      </c>
      <c r="DH104" s="27">
        <f t="shared" si="509"/>
        <v>18168.954682604985</v>
      </c>
      <c r="DI104" s="27">
        <f t="shared" si="510"/>
        <v>9086.6456107294271</v>
      </c>
      <c r="DJ104" s="27">
        <f t="shared" si="511"/>
        <v>23946.23402375447</v>
      </c>
      <c r="DK104" s="27">
        <f t="shared" si="512"/>
        <v>0</v>
      </c>
      <c r="DL104" s="27">
        <f t="shared" si="513"/>
        <v>5456.5385390385291</v>
      </c>
      <c r="DM104" s="27">
        <f t="shared" si="514"/>
        <v>0</v>
      </c>
      <c r="DN104" s="110">
        <f t="shared" si="515"/>
        <v>1</v>
      </c>
      <c r="DO104" s="28">
        <f t="shared" si="518"/>
        <v>6642.0010572864139</v>
      </c>
      <c r="DP104" s="28">
        <f t="shared" si="519"/>
        <v>7787.6479975191796</v>
      </c>
      <c r="DQ104" s="28">
        <f t="shared" si="520"/>
        <v>2875.6225905918882</v>
      </c>
      <c r="DR104" s="28">
        <f t="shared" si="521"/>
        <v>3328.8746451236811</v>
      </c>
      <c r="DS104" s="28">
        <f t="shared" si="522"/>
        <v>8687.7009552147974</v>
      </c>
      <c r="DT104" s="28">
        <f t="shared" si="523"/>
        <v>13282.838286714708</v>
      </c>
      <c r="DU104" s="28">
        <f t="shared" si="524"/>
        <v>3078.5269266273554</v>
      </c>
      <c r="DV104" s="28">
        <f t="shared" si="525"/>
        <v>1758.7595435672247</v>
      </c>
      <c r="DW104" s="28">
        <f t="shared" si="526"/>
        <v>6856.0874944871921</v>
      </c>
      <c r="DX104" s="28">
        <f t="shared" si="527"/>
        <v>8890.6198657587956</v>
      </c>
      <c r="DY104" s="28">
        <f t="shared" si="528"/>
        <v>14124.009821722892</v>
      </c>
      <c r="DZ104" s="28">
        <f t="shared" si="529"/>
        <v>4714.1677072466064</v>
      </c>
      <c r="EA104" s="28">
        <f t="shared" si="530"/>
        <v>2612.0747444486333</v>
      </c>
      <c r="EB104" s="28">
        <f t="shared" si="531"/>
        <v>8435.1397075612986</v>
      </c>
      <c r="EC104" s="28">
        <f t="shared" si="532"/>
        <v>12289.338112003348</v>
      </c>
      <c r="ED104" s="28">
        <f t="shared" si="533"/>
        <v>12994.220909500025</v>
      </c>
      <c r="EE104" s="28">
        <f t="shared" si="534"/>
        <v>840.90289684173354</v>
      </c>
      <c r="EF104" s="28">
        <f t="shared" si="535"/>
        <v>14736.266674515995</v>
      </c>
      <c r="EG104" s="28">
        <f t="shared" si="536"/>
        <v>3659.0000574526021</v>
      </c>
      <c r="EH104" s="28">
        <f t="shared" si="537"/>
        <v>3296.2222486914779</v>
      </c>
      <c r="EI104" s="28">
        <f t="shared" si="538"/>
        <v>9242.8241456335054</v>
      </c>
      <c r="EJ104" s="28">
        <f t="shared" si="539"/>
        <v>4622.5151045191051</v>
      </c>
      <c r="EK104" s="28">
        <f t="shared" si="540"/>
        <v>12181.814193397229</v>
      </c>
      <c r="EL104" s="28">
        <f t="shared" si="541"/>
        <v>0</v>
      </c>
      <c r="EM104" s="28">
        <f t="shared" si="542"/>
        <v>2775.8243135743305</v>
      </c>
      <c r="EN104" s="28">
        <f t="shared" si="543"/>
        <v>0</v>
      </c>
      <c r="EQ104" s="144">
        <v>3.0000339473385703E-2</v>
      </c>
      <c r="ER104" s="144">
        <v>4.9999995400089627E-2</v>
      </c>
      <c r="ES104" s="144">
        <v>8.0000334873475326E-2</v>
      </c>
      <c r="ET104" s="144">
        <v>0.11000067434686102</v>
      </c>
      <c r="EU104" s="144">
        <v>0.11999966512652468</v>
      </c>
      <c r="EV104" s="144">
        <v>0.14999831183289225</v>
      </c>
      <c r="EW104" s="144">
        <v>0.12999863750654683</v>
      </c>
      <c r="EX104" s="144">
        <v>8.0000334873475326E-2</v>
      </c>
      <c r="EY104" s="144">
        <v>6.9999669726435051E-2</v>
      </c>
      <c r="EZ104" s="144">
        <v>6.0000678946771406E-2</v>
      </c>
      <c r="FA104" s="144">
        <v>6.0000678946771406E-2</v>
      </c>
      <c r="FB104" s="144">
        <v>6.0000678946771406E-2</v>
      </c>
      <c r="FC104" s="145">
        <f t="shared" si="544"/>
        <v>1</v>
      </c>
      <c r="FD104" s="146">
        <f t="shared" si="545"/>
        <v>0.16000066974695065</v>
      </c>
      <c r="FE104" s="146">
        <f t="shared" si="546"/>
        <v>0.37999865130627797</v>
      </c>
      <c r="FF104" s="146">
        <f t="shared" si="547"/>
        <v>0.2799986421064572</v>
      </c>
      <c r="FG104" s="146">
        <f t="shared" si="548"/>
        <v>0.18000203684031421</v>
      </c>
      <c r="FH104" s="145">
        <f t="shared" si="655"/>
        <v>1</v>
      </c>
      <c r="FJ104" s="52">
        <f t="shared" si="549"/>
        <v>3151.7609460788412</v>
      </c>
      <c r="FK104" s="52">
        <f t="shared" si="550"/>
        <v>3695.3930914334737</v>
      </c>
      <c r="FL104" s="52">
        <f t="shared" si="551"/>
        <v>1364.5398274586203</v>
      </c>
      <c r="FM104" s="52">
        <f t="shared" si="552"/>
        <v>1579.6168971372172</v>
      </c>
      <c r="FN104" s="52">
        <f t="shared" si="553"/>
        <v>4122.4860317990624</v>
      </c>
      <c r="FO104" s="52">
        <f t="shared" si="554"/>
        <v>6302.9696328069913</v>
      </c>
      <c r="FP104" s="52">
        <f t="shared" si="555"/>
        <v>1460.821950359684</v>
      </c>
      <c r="FQ104" s="52">
        <f t="shared" si="556"/>
        <v>834.56620906099272</v>
      </c>
      <c r="FR104" s="52">
        <f t="shared" si="557"/>
        <v>3253.3491972752722</v>
      </c>
      <c r="FS104" s="52">
        <f t="shared" si="558"/>
        <v>4218.7750705928502</v>
      </c>
      <c r="FT104" s="52">
        <f t="shared" si="559"/>
        <v>6702.1221728511682</v>
      </c>
      <c r="FU104" s="52">
        <f t="shared" si="560"/>
        <v>2236.9658698964563</v>
      </c>
      <c r="FV104" s="52">
        <f t="shared" si="561"/>
        <v>1239.4811588836919</v>
      </c>
      <c r="FW104" s="52">
        <f t="shared" si="562"/>
        <v>4002.6407216309758</v>
      </c>
      <c r="FX104" s="52">
        <f t="shared" si="563"/>
        <v>5831.5341386583295</v>
      </c>
      <c r="FY104" s="52">
        <f t="shared" si="564"/>
        <v>6166.0149756156889</v>
      </c>
      <c r="FZ104" s="52">
        <f t="shared" si="565"/>
        <v>399.02506591788011</v>
      </c>
      <c r="GA104" s="52">
        <f t="shared" si="566"/>
        <v>6992.6501659904561</v>
      </c>
      <c r="GB104" s="52">
        <f t="shared" si="567"/>
        <v>1736.2679384292148</v>
      </c>
      <c r="GC104" s="52">
        <f t="shared" si="568"/>
        <v>1564.1226888431665</v>
      </c>
      <c r="GD104" s="52">
        <f t="shared" si="569"/>
        <v>4385.9029714734406</v>
      </c>
      <c r="GE104" s="52">
        <f t="shared" si="570"/>
        <v>2193.4748961083501</v>
      </c>
      <c r="GF104" s="52">
        <f t="shared" si="571"/>
        <v>5780.5119113943983</v>
      </c>
      <c r="GG104" s="52">
        <f t="shared" si="572"/>
        <v>0</v>
      </c>
      <c r="GH104" s="52">
        <f t="shared" si="573"/>
        <v>1317.1835700179747</v>
      </c>
      <c r="GI104" s="52">
        <f t="shared" si="574"/>
        <v>0</v>
      </c>
      <c r="GJ104" s="26"/>
      <c r="GL104" s="150">
        <f t="shared" si="575"/>
        <v>7485.3743465194702</v>
      </c>
      <c r="GM104" s="150">
        <f t="shared" si="576"/>
        <v>8776.490704771064</v>
      </c>
      <c r="GN104" s="150">
        <f t="shared" si="577"/>
        <v>3240.7570225052709</v>
      </c>
      <c r="GO104" s="150">
        <f t="shared" si="578"/>
        <v>3751.5611118508455</v>
      </c>
      <c r="GP104" s="150">
        <f t="shared" si="579"/>
        <v>9790.8285920938724</v>
      </c>
      <c r="GQ104" s="150">
        <f t="shared" si="580"/>
        <v>14969.437087226503</v>
      </c>
      <c r="GR104" s="150">
        <f t="shared" si="581"/>
        <v>3469.4252956142141</v>
      </c>
      <c r="GS104" s="150">
        <f t="shared" si="582"/>
        <v>1982.07941485829</v>
      </c>
      <c r="GT104" s="150">
        <f t="shared" si="583"/>
        <v>7726.644576852008</v>
      </c>
      <c r="GU104" s="150">
        <f t="shared" si="584"/>
        <v>10019.513290320983</v>
      </c>
      <c r="GV104" s="150">
        <f t="shared" si="585"/>
        <v>15917.417037073888</v>
      </c>
      <c r="GW104" s="150">
        <f t="shared" si="586"/>
        <v>5312.7528461175625</v>
      </c>
      <c r="GX104" s="150">
        <f t="shared" si="587"/>
        <v>2943.744982069501</v>
      </c>
      <c r="GY104" s="150">
        <f t="shared" si="588"/>
        <v>9506.1981821007084</v>
      </c>
      <c r="GZ104" s="150">
        <f t="shared" si="589"/>
        <v>13849.786449277757</v>
      </c>
      <c r="HA104" s="150">
        <f t="shared" si="590"/>
        <v>14644.172292365854</v>
      </c>
      <c r="HB104" s="150">
        <f t="shared" si="591"/>
        <v>947.67720113923394</v>
      </c>
      <c r="HC104" s="150">
        <f t="shared" si="592"/>
        <v>16607.415683543637</v>
      </c>
      <c r="HD104" s="150">
        <f t="shared" si="593"/>
        <v>4123.6044571120156</v>
      </c>
      <c r="HE104" s="150">
        <f t="shared" si="594"/>
        <v>3714.7626517937119</v>
      </c>
      <c r="HF104" s="150">
        <f t="shared" si="595"/>
        <v>10416.43898463661</v>
      </c>
      <c r="HG104" s="150">
        <f t="shared" si="596"/>
        <v>5209.4625823354509</v>
      </c>
      <c r="HH104" s="150">
        <f t="shared" si="597"/>
        <v>13728.609596845827</v>
      </c>
      <c r="HI104" s="150">
        <f t="shared" si="598"/>
        <v>0</v>
      </c>
      <c r="HJ104" s="150">
        <f t="shared" si="599"/>
        <v>3128.28678105679</v>
      </c>
      <c r="HK104" s="150">
        <f t="shared" si="600"/>
        <v>0</v>
      </c>
      <c r="HL104" s="26"/>
      <c r="HN104" s="147">
        <f t="shared" si="601"/>
        <v>5515.5318195976315</v>
      </c>
      <c r="HO104" s="147">
        <f t="shared" si="602"/>
        <v>6466.8794779884065</v>
      </c>
      <c r="HP104" s="147">
        <f t="shared" si="603"/>
        <v>2387.9231217772744</v>
      </c>
      <c r="HQ104" s="147">
        <f t="shared" si="604"/>
        <v>2764.304592889152</v>
      </c>
      <c r="HR104" s="147">
        <f t="shared" si="605"/>
        <v>7214.2853703809169</v>
      </c>
      <c r="HS104" s="147">
        <f t="shared" si="606"/>
        <v>11030.097194063947</v>
      </c>
      <c r="HT104" s="147">
        <f t="shared" si="607"/>
        <v>2556.4153144291031</v>
      </c>
      <c r="HU104" s="147">
        <f t="shared" si="608"/>
        <v>1460.477669590912</v>
      </c>
      <c r="HV104" s="147">
        <f t="shared" si="609"/>
        <v>5693.3096528651849</v>
      </c>
      <c r="HW104" s="147">
        <f t="shared" si="610"/>
        <v>7382.7896657356578</v>
      </c>
      <c r="HX104" s="147">
        <f t="shared" si="611"/>
        <v>11728.60782769111</v>
      </c>
      <c r="HY104" s="147">
        <f t="shared" si="612"/>
        <v>3914.6549011332168</v>
      </c>
      <c r="HZ104" s="147">
        <f t="shared" si="613"/>
        <v>2169.0724292145405</v>
      </c>
      <c r="IA104" s="147">
        <f t="shared" si="614"/>
        <v>7004.5579725958778</v>
      </c>
      <c r="IB104" s="147">
        <f t="shared" si="615"/>
        <v>10205.092533701094</v>
      </c>
      <c r="IC104" s="147">
        <f t="shared" si="616"/>
        <v>10790.428709523427</v>
      </c>
      <c r="ID104" s="147">
        <f t="shared" si="617"/>
        <v>698.2875559217797</v>
      </c>
      <c r="IE104" s="147">
        <f t="shared" si="618"/>
        <v>12237.027221819708</v>
      </c>
      <c r="IF104" s="147">
        <f t="shared" si="619"/>
        <v>3038.4414381641877</v>
      </c>
      <c r="IG104" s="147">
        <f t="shared" si="620"/>
        <v>2737.1899733709329</v>
      </c>
      <c r="IH104" s="147">
        <f t="shared" si="621"/>
        <v>7675.2608496293096</v>
      </c>
      <c r="II104" s="147">
        <f t="shared" si="622"/>
        <v>3838.5463846887765</v>
      </c>
      <c r="IJ104" s="147">
        <f t="shared" si="623"/>
        <v>10115.804442759088</v>
      </c>
      <c r="IK104" s="147">
        <f t="shared" si="624"/>
        <v>0</v>
      </c>
      <c r="IL104" s="147">
        <f t="shared" si="625"/>
        <v>2305.0504200592409</v>
      </c>
      <c r="IM104" s="147">
        <f t="shared" si="626"/>
        <v>0</v>
      </c>
      <c r="IN104" s="26"/>
      <c r="IP104" s="61">
        <f t="shared" si="627"/>
        <v>3545.7563448027963</v>
      </c>
      <c r="IQ104" s="61">
        <f t="shared" si="628"/>
        <v>4157.3468688328912</v>
      </c>
      <c r="IR104" s="61">
        <f t="shared" si="629"/>
        <v>1535.1182509469695</v>
      </c>
      <c r="IS104" s="61">
        <f t="shared" si="630"/>
        <v>1777.0816794815019</v>
      </c>
      <c r="IT104" s="61">
        <f t="shared" si="631"/>
        <v>4637.8298524823385</v>
      </c>
      <c r="IU104" s="61">
        <f t="shared" si="632"/>
        <v>7090.8913934063603</v>
      </c>
      <c r="IV104" s="61">
        <f t="shared" si="633"/>
        <v>1643.4364114953646</v>
      </c>
      <c r="IW104" s="61">
        <f t="shared" si="634"/>
        <v>938.89367929937168</v>
      </c>
      <c r="IX104" s="61">
        <f t="shared" si="635"/>
        <v>3660.0439422442537</v>
      </c>
      <c r="IY104" s="61">
        <f t="shared" si="636"/>
        <v>4746.1557934655211</v>
      </c>
      <c r="IZ104" s="61">
        <f t="shared" si="637"/>
        <v>7539.9412025825886</v>
      </c>
      <c r="JA104" s="61">
        <f t="shared" si="638"/>
        <v>2516.6045464712902</v>
      </c>
      <c r="JB104" s="61">
        <f t="shared" si="639"/>
        <v>1394.4262456970732</v>
      </c>
      <c r="JC104" s="61">
        <f t="shared" si="640"/>
        <v>4503.0029172568011</v>
      </c>
      <c r="JD104" s="61">
        <f t="shared" si="641"/>
        <v>6560.5226810766644</v>
      </c>
      <c r="JE104" s="61">
        <f t="shared" si="642"/>
        <v>6936.8163055446039</v>
      </c>
      <c r="JF104" s="61">
        <f t="shared" si="643"/>
        <v>448.90639976166682</v>
      </c>
      <c r="JG104" s="61">
        <f t="shared" si="644"/>
        <v>7866.7875252067934</v>
      </c>
      <c r="JH104" s="61">
        <f t="shared" si="645"/>
        <v>1953.3153574424227</v>
      </c>
      <c r="JI104" s="61">
        <f t="shared" si="646"/>
        <v>1759.6505708707184</v>
      </c>
      <c r="JJ104" s="61">
        <f t="shared" si="647"/>
        <v>4934.1760224991294</v>
      </c>
      <c r="JK104" s="61">
        <f t="shared" si="648"/>
        <v>2467.6768521159547</v>
      </c>
      <c r="JL104" s="61">
        <f t="shared" si="649"/>
        <v>6503.122266152388</v>
      </c>
      <c r="JM104" s="61">
        <f t="shared" si="650"/>
        <v>0</v>
      </c>
      <c r="JN104" s="61">
        <f t="shared" si="651"/>
        <v>1481.8420814788542</v>
      </c>
      <c r="JO104" s="61">
        <f t="shared" si="652"/>
        <v>0</v>
      </c>
      <c r="JQ104" s="26">
        <f t="shared" si="516"/>
        <v>503324.00000000017</v>
      </c>
      <c r="JR104" s="156">
        <f t="shared" si="517"/>
        <v>1.0000000000000004</v>
      </c>
      <c r="JT104" s="157">
        <f t="shared" si="653"/>
        <v>19698.423456998738</v>
      </c>
      <c r="JU104" s="29">
        <f t="shared" si="654"/>
        <v>1</v>
      </c>
    </row>
    <row r="105" spans="1:281" ht="18.75" x14ac:dyDescent="0.3">
      <c r="A105" t="s">
        <v>234</v>
      </c>
      <c r="B105" t="s">
        <v>102</v>
      </c>
      <c r="C105" t="s">
        <v>74</v>
      </c>
      <c r="D105" t="s">
        <v>29</v>
      </c>
      <c r="E105" s="11" t="s">
        <v>128</v>
      </c>
      <c r="F105" s="114">
        <v>15200.000999988582</v>
      </c>
      <c r="G105" s="17">
        <v>5328160.9742517555</v>
      </c>
      <c r="H105" s="21">
        <v>3330100.6089073471</v>
      </c>
      <c r="I105" s="25">
        <f t="shared" si="434"/>
        <v>1.6</v>
      </c>
      <c r="J105" s="13">
        <v>3.8068833134687952E-2</v>
      </c>
      <c r="K105" s="13">
        <v>4.5071699389872731E-2</v>
      </c>
      <c r="L105" s="13">
        <v>1.6481719231207982E-2</v>
      </c>
      <c r="M105" s="13">
        <v>1.9079547307883225E-2</v>
      </c>
      <c r="N105" s="13">
        <v>4.9793824953599061E-2</v>
      </c>
      <c r="O105" s="13">
        <v>7.7877218223638273E-2</v>
      </c>
      <c r="P105" s="13">
        <v>1.7644671667411661E-2</v>
      </c>
      <c r="Q105" s="13">
        <v>1.0080384361675273E-2</v>
      </c>
      <c r="R105" s="13">
        <v>3.9295876127289388E-2</v>
      </c>
      <c r="S105" s="13">
        <v>5.0956860924046554E-2</v>
      </c>
      <c r="T105" s="13">
        <v>8.0952196252063319E-2</v>
      </c>
      <c r="U105" s="13">
        <v>2.7019397056438299E-2</v>
      </c>
      <c r="V105" s="13">
        <v>1.4971186653555442E-2</v>
      </c>
      <c r="W105" s="13">
        <v>5.751393036704968E-2</v>
      </c>
      <c r="X105" s="13">
        <v>7.0436718977692173E-2</v>
      </c>
      <c r="Y105" s="13">
        <v>7.6659554475738134E-2</v>
      </c>
      <c r="Z105" s="13">
        <v>5.4744942159311374E-3</v>
      </c>
      <c r="AA105" s="13">
        <v>8.6207587684769924E-2</v>
      </c>
      <c r="AB105" s="13">
        <v>2.0971671251718348E-2</v>
      </c>
      <c r="AC105" s="13">
        <v>1.889239909449018E-2</v>
      </c>
      <c r="AD105" s="13">
        <v>5.4285197427633422E-2</v>
      </c>
      <c r="AE105" s="13">
        <v>2.6494087347888259E-2</v>
      </c>
      <c r="AF105" s="13">
        <v>7.9861221533530521E-2</v>
      </c>
      <c r="AG105" s="9">
        <v>0</v>
      </c>
      <c r="AH105" s="13">
        <v>1.5909722340189333E-2</v>
      </c>
      <c r="AJ105" s="8">
        <f t="shared" si="461"/>
        <v>1.0000000000000002</v>
      </c>
      <c r="AK105" s="141">
        <f t="shared" si="435"/>
        <v>578.64630171565534</v>
      </c>
      <c r="AL105" s="141">
        <f t="shared" si="436"/>
        <v>685.08987579725033</v>
      </c>
      <c r="AM105" s="141">
        <f t="shared" si="437"/>
        <v>250.52214879589238</v>
      </c>
      <c r="AN105" s="141">
        <f t="shared" si="438"/>
        <v>290.00913815915447</v>
      </c>
      <c r="AO105" s="141">
        <f t="shared" si="439"/>
        <v>756.8661890879622</v>
      </c>
      <c r="AP105" s="141">
        <f t="shared" si="440"/>
        <v>1183.7337948756308</v>
      </c>
      <c r="AQ105" s="141">
        <f t="shared" si="441"/>
        <v>268.19902698912745</v>
      </c>
      <c r="AR105" s="141">
        <f t="shared" si="442"/>
        <v>153.2218523777334</v>
      </c>
      <c r="AS105" s="141">
        <f t="shared" si="443"/>
        <v>597.29735643022616</v>
      </c>
      <c r="AT105" s="141">
        <f t="shared" si="444"/>
        <v>774.54433700178674</v>
      </c>
      <c r="AU105" s="141">
        <f t="shared" si="445"/>
        <v>1230.4734639826345</v>
      </c>
      <c r="AV105" s="141">
        <f t="shared" si="446"/>
        <v>410.69486227695069</v>
      </c>
      <c r="AW105" s="141">
        <f t="shared" si="447"/>
        <v>227.56205210505843</v>
      </c>
      <c r="AX105" s="141">
        <f t="shared" si="448"/>
        <v>874.21179909242881</v>
      </c>
      <c r="AY105" s="141">
        <f t="shared" si="449"/>
        <v>1070.6381988968358</v>
      </c>
      <c r="AZ105" s="141">
        <f t="shared" si="450"/>
        <v>1165.2253046898988</v>
      </c>
      <c r="BA105" s="141">
        <f t="shared" si="451"/>
        <v>83.212317556585006</v>
      </c>
      <c r="BB105" s="141">
        <f t="shared" si="452"/>
        <v>1310.3554190151062</v>
      </c>
      <c r="BC105" s="141">
        <f t="shared" si="453"/>
        <v>318.76942399755069</v>
      </c>
      <c r="BD105" s="141">
        <f t="shared" si="454"/>
        <v>287.16448512843414</v>
      </c>
      <c r="BE105" s="141">
        <f t="shared" si="455"/>
        <v>825.13505518460568</v>
      </c>
      <c r="BF105" s="141">
        <f t="shared" si="456"/>
        <v>402.71015418168639</v>
      </c>
      <c r="BG105" s="141">
        <f t="shared" si="457"/>
        <v>1213.8906471699736</v>
      </c>
      <c r="BH105" s="141">
        <f t="shared" si="458"/>
        <v>0</v>
      </c>
      <c r="BI105" s="141">
        <f t="shared" si="459"/>
        <v>241.82779548041856</v>
      </c>
      <c r="BJ105" s="141">
        <f t="shared" si="460"/>
        <v>0</v>
      </c>
      <c r="BM105" s="26">
        <f t="shared" si="462"/>
        <v>202836.87104354647</v>
      </c>
      <c r="BN105" s="26">
        <f t="shared" si="463"/>
        <v>240149.26973232653</v>
      </c>
      <c r="BO105" s="26">
        <f t="shared" si="464"/>
        <v>87817.253196297024</v>
      </c>
      <c r="BP105" s="26">
        <f t="shared" si="465"/>
        <v>101658.89937225354</v>
      </c>
      <c r="BQ105" s="26">
        <f t="shared" si="466"/>
        <v>265309.51487648976</v>
      </c>
      <c r="BR105" s="26">
        <f t="shared" si="467"/>
        <v>414942.35492247704</v>
      </c>
      <c r="BS105" s="26">
        <f t="shared" si="468"/>
        <v>94013.650981788465</v>
      </c>
      <c r="BT105" s="26">
        <f t="shared" si="469"/>
        <v>53709.910561335884</v>
      </c>
      <c r="BU105" s="26">
        <f t="shared" si="470"/>
        <v>209374.75363045454</v>
      </c>
      <c r="BV105" s="26">
        <f t="shared" si="471"/>
        <v>271506.3577458791</v>
      </c>
      <c r="BW105" s="26">
        <f t="shared" si="472"/>
        <v>431326.33285021299</v>
      </c>
      <c r="BX105" s="26">
        <f t="shared" si="473"/>
        <v>143963.69694392729</v>
      </c>
      <c r="BY105" s="26">
        <f t="shared" si="474"/>
        <v>79768.892465712837</v>
      </c>
      <c r="BZ105" s="26">
        <f t="shared" si="475"/>
        <v>306443.47925754706</v>
      </c>
      <c r="CA105" s="26">
        <f t="shared" si="476"/>
        <v>375298.17721127742</v>
      </c>
      <c r="CB105" s="26">
        <f t="shared" si="477"/>
        <v>408454.44646115444</v>
      </c>
      <c r="CC105" s="26">
        <f t="shared" si="478"/>
        <v>29168.98643509125</v>
      </c>
      <c r="CD105" s="26">
        <f t="shared" si="479"/>
        <v>459327.90438637737</v>
      </c>
      <c r="CE105" s="26">
        <f t="shared" si="480"/>
        <v>111740.44032824317</v>
      </c>
      <c r="CF105" s="26">
        <f t="shared" si="481"/>
        <v>100661.74356525179</v>
      </c>
      <c r="CG105" s="26">
        <f t="shared" si="482"/>
        <v>289240.27041346818</v>
      </c>
      <c r="CH105" s="26">
        <f t="shared" si="483"/>
        <v>141164.76225543543</v>
      </c>
      <c r="CI105" s="26">
        <f t="shared" si="484"/>
        <v>425513.44393103127</v>
      </c>
      <c r="CJ105" s="26">
        <f t="shared" si="485"/>
        <v>0</v>
      </c>
      <c r="CK105" s="26">
        <f t="shared" si="486"/>
        <v>84769.561684178116</v>
      </c>
      <c r="CL105" s="26">
        <f t="shared" si="487"/>
        <v>0</v>
      </c>
      <c r="CM105" s="110">
        <f t="shared" si="488"/>
        <v>1.0000000000000004</v>
      </c>
      <c r="CN105" s="27">
        <f t="shared" si="489"/>
        <v>126773.04440221653</v>
      </c>
      <c r="CO105" s="27">
        <f t="shared" si="490"/>
        <v>150093.29358270409</v>
      </c>
      <c r="CP105" s="27">
        <f t="shared" si="491"/>
        <v>54885.783247685635</v>
      </c>
      <c r="CQ105" s="27">
        <f t="shared" si="492"/>
        <v>63536.812107658458</v>
      </c>
      <c r="CR105" s="27">
        <f t="shared" si="493"/>
        <v>165818.4467978061</v>
      </c>
      <c r="CS105" s="27">
        <f t="shared" si="494"/>
        <v>259338.97182654816</v>
      </c>
      <c r="CT105" s="27">
        <f t="shared" si="495"/>
        <v>58758.531863617791</v>
      </c>
      <c r="CU105" s="27">
        <f t="shared" si="496"/>
        <v>33568.694100834924</v>
      </c>
      <c r="CV105" s="27">
        <f t="shared" si="497"/>
        <v>130859.22101903407</v>
      </c>
      <c r="CW105" s="27">
        <f t="shared" si="498"/>
        <v>169691.47359117444</v>
      </c>
      <c r="CX105" s="27">
        <f t="shared" si="499"/>
        <v>269578.95803138311</v>
      </c>
      <c r="CY105" s="27">
        <f t="shared" si="500"/>
        <v>89977.310589954563</v>
      </c>
      <c r="CZ105" s="27">
        <f t="shared" si="501"/>
        <v>49855.557791070525</v>
      </c>
      <c r="DA105" s="27">
        <f t="shared" si="502"/>
        <v>191527.17453596689</v>
      </c>
      <c r="DB105" s="27">
        <f t="shared" si="503"/>
        <v>234561.36075704839</v>
      </c>
      <c r="DC105" s="27">
        <f t="shared" si="504"/>
        <v>255284.02903822152</v>
      </c>
      <c r="DD105" s="27">
        <f t="shared" si="505"/>
        <v>18230.616521932032</v>
      </c>
      <c r="DE105" s="27">
        <f t="shared" si="506"/>
        <v>287079.94024148583</v>
      </c>
      <c r="DF105" s="27">
        <f t="shared" si="507"/>
        <v>69837.775205151978</v>
      </c>
      <c r="DG105" s="27">
        <f t="shared" si="508"/>
        <v>62913.589728282364</v>
      </c>
      <c r="DH105" s="27">
        <f t="shared" si="509"/>
        <v>180775.16900841761</v>
      </c>
      <c r="DI105" s="27">
        <f t="shared" si="510"/>
        <v>88227.976409647134</v>
      </c>
      <c r="DJ105" s="27">
        <f t="shared" si="511"/>
        <v>265945.90245689452</v>
      </c>
      <c r="DK105" s="27">
        <f t="shared" si="512"/>
        <v>0</v>
      </c>
      <c r="DL105" s="27">
        <f t="shared" si="513"/>
        <v>52980.976052611317</v>
      </c>
      <c r="DM105" s="27">
        <f t="shared" si="514"/>
        <v>0</v>
      </c>
      <c r="DN105" s="110">
        <f t="shared" si="515"/>
        <v>1.0000000000000002</v>
      </c>
      <c r="DO105" s="28">
        <f t="shared" si="518"/>
        <v>76063.826641329943</v>
      </c>
      <c r="DP105" s="28">
        <f t="shared" si="519"/>
        <v>90055.976149622438</v>
      </c>
      <c r="DQ105" s="28">
        <f t="shared" si="520"/>
        <v>32931.46994861139</v>
      </c>
      <c r="DR105" s="28">
        <f t="shared" si="521"/>
        <v>38122.08726459508</v>
      </c>
      <c r="DS105" s="28">
        <f t="shared" si="522"/>
        <v>99491.06807868366</v>
      </c>
      <c r="DT105" s="28">
        <f t="shared" si="523"/>
        <v>155603.38309592888</v>
      </c>
      <c r="DU105" s="28">
        <f t="shared" si="524"/>
        <v>35255.119118170674</v>
      </c>
      <c r="DV105" s="28">
        <f t="shared" si="525"/>
        <v>20141.21646050096</v>
      </c>
      <c r="DW105" s="28">
        <f t="shared" si="526"/>
        <v>78515.532611420465</v>
      </c>
      <c r="DX105" s="28">
        <f t="shared" si="527"/>
        <v>101814.88415470466</v>
      </c>
      <c r="DY105" s="28">
        <f t="shared" si="528"/>
        <v>161747.37481882988</v>
      </c>
      <c r="DZ105" s="28">
        <f t="shared" si="529"/>
        <v>53986.386353972732</v>
      </c>
      <c r="EA105" s="28">
        <f t="shared" si="530"/>
        <v>29913.334674642312</v>
      </c>
      <c r="EB105" s="28">
        <f t="shared" si="531"/>
        <v>114916.30472158018</v>
      </c>
      <c r="EC105" s="28">
        <f t="shared" si="532"/>
        <v>140736.81645422903</v>
      </c>
      <c r="ED105" s="28">
        <f t="shared" si="533"/>
        <v>153170.41742293292</v>
      </c>
      <c r="EE105" s="28">
        <f t="shared" si="534"/>
        <v>10938.369913159218</v>
      </c>
      <c r="EF105" s="28">
        <f t="shared" si="535"/>
        <v>172247.96414489154</v>
      </c>
      <c r="EG105" s="28">
        <f t="shared" si="536"/>
        <v>41902.665123091196</v>
      </c>
      <c r="EH105" s="28">
        <f t="shared" si="537"/>
        <v>37748.153836969424</v>
      </c>
      <c r="EI105" s="28">
        <f t="shared" si="538"/>
        <v>108465.10140505058</v>
      </c>
      <c r="EJ105" s="28">
        <f t="shared" si="539"/>
        <v>52936.785845788298</v>
      </c>
      <c r="EK105" s="28">
        <f t="shared" si="540"/>
        <v>159567.54147413676</v>
      </c>
      <c r="EL105" s="28">
        <f t="shared" si="541"/>
        <v>0</v>
      </c>
      <c r="EM105" s="28">
        <f t="shared" si="542"/>
        <v>31788.585631566799</v>
      </c>
      <c r="EN105" s="28">
        <f t="shared" si="543"/>
        <v>0</v>
      </c>
      <c r="EQ105" s="144">
        <v>7.0000000000000007E-2</v>
      </c>
      <c r="ER105" s="144">
        <v>0.12</v>
      </c>
      <c r="ES105" s="144">
        <v>0.16</v>
      </c>
      <c r="ET105" s="144">
        <v>0.17</v>
      </c>
      <c r="EU105" s="144">
        <v>0.12000000000000001</v>
      </c>
      <c r="EV105" s="144">
        <v>0.12</v>
      </c>
      <c r="EW105" s="144">
        <v>0.1</v>
      </c>
      <c r="EX105" s="144">
        <v>8.0000000000000016E-2</v>
      </c>
      <c r="EY105" s="144">
        <v>0.05</v>
      </c>
      <c r="EZ105" s="144">
        <v>0.01</v>
      </c>
      <c r="FA105" s="144">
        <v>0</v>
      </c>
      <c r="FB105" s="144">
        <v>0</v>
      </c>
      <c r="FC105" s="145">
        <f t="shared" si="544"/>
        <v>1</v>
      </c>
      <c r="FD105" s="146">
        <f t="shared" si="545"/>
        <v>0.35</v>
      </c>
      <c r="FE105" s="146">
        <f t="shared" si="546"/>
        <v>0.41000000000000003</v>
      </c>
      <c r="FF105" s="146">
        <f t="shared" si="547"/>
        <v>0.23000000000000004</v>
      </c>
      <c r="FG105" s="146">
        <f t="shared" si="548"/>
        <v>0.01</v>
      </c>
      <c r="FH105" s="145">
        <f t="shared" si="655"/>
        <v>1</v>
      </c>
      <c r="FJ105" s="52">
        <f t="shared" si="549"/>
        <v>70992.90486524126</v>
      </c>
      <c r="FK105" s="52">
        <f t="shared" si="550"/>
        <v>84052.244406314276</v>
      </c>
      <c r="FL105" s="52">
        <f t="shared" si="551"/>
        <v>30736.038618703955</v>
      </c>
      <c r="FM105" s="52">
        <f t="shared" si="552"/>
        <v>35580.614780288735</v>
      </c>
      <c r="FN105" s="52">
        <f t="shared" si="553"/>
        <v>92858.33020677141</v>
      </c>
      <c r="FO105" s="52">
        <f t="shared" si="554"/>
        <v>145229.82422286694</v>
      </c>
      <c r="FP105" s="52">
        <f t="shared" si="555"/>
        <v>32904.777843625961</v>
      </c>
      <c r="FQ105" s="52">
        <f t="shared" si="556"/>
        <v>18798.468696467557</v>
      </c>
      <c r="FR105" s="52">
        <f t="shared" si="557"/>
        <v>73281.163770659085</v>
      </c>
      <c r="FS105" s="52">
        <f t="shared" si="558"/>
        <v>95027.225211057681</v>
      </c>
      <c r="FT105" s="52">
        <f t="shared" si="559"/>
        <v>150964.21649757453</v>
      </c>
      <c r="FU105" s="52">
        <f t="shared" si="560"/>
        <v>50387.293930374552</v>
      </c>
      <c r="FV105" s="52">
        <f t="shared" si="561"/>
        <v>27919.112362999491</v>
      </c>
      <c r="FW105" s="52">
        <f t="shared" si="562"/>
        <v>107255.21774014147</v>
      </c>
      <c r="FX105" s="52">
        <f t="shared" si="563"/>
        <v>131354.36202394709</v>
      </c>
      <c r="FY105" s="52">
        <f t="shared" si="564"/>
        <v>142959.05626140404</v>
      </c>
      <c r="FZ105" s="52">
        <f t="shared" si="565"/>
        <v>10209.145252281936</v>
      </c>
      <c r="GA105" s="52">
        <f t="shared" si="566"/>
        <v>160764.76653523208</v>
      </c>
      <c r="GB105" s="52">
        <f t="shared" si="567"/>
        <v>39109.15411488511</v>
      </c>
      <c r="GC105" s="52">
        <f t="shared" si="568"/>
        <v>35231.610247838122</v>
      </c>
      <c r="GD105" s="52">
        <f t="shared" si="569"/>
        <v>101234.09464471386</v>
      </c>
      <c r="GE105" s="52">
        <f t="shared" si="570"/>
        <v>49407.666789402399</v>
      </c>
      <c r="GF105" s="52">
        <f t="shared" si="571"/>
        <v>148929.70537586094</v>
      </c>
      <c r="GG105" s="52">
        <f t="shared" si="572"/>
        <v>0</v>
      </c>
      <c r="GH105" s="52">
        <f t="shared" si="573"/>
        <v>29669.346589462337</v>
      </c>
      <c r="GI105" s="52">
        <f t="shared" si="574"/>
        <v>0</v>
      </c>
      <c r="GJ105" s="26"/>
      <c r="GL105" s="150">
        <f t="shared" si="575"/>
        <v>83163.117127854057</v>
      </c>
      <c r="GM105" s="150">
        <f t="shared" si="576"/>
        <v>98461.20059025388</v>
      </c>
      <c r="GN105" s="150">
        <f t="shared" si="577"/>
        <v>36005.073810481779</v>
      </c>
      <c r="GO105" s="150">
        <f t="shared" si="578"/>
        <v>41680.148742623955</v>
      </c>
      <c r="GP105" s="150">
        <f t="shared" si="579"/>
        <v>108776.90109936081</v>
      </c>
      <c r="GQ105" s="150">
        <f t="shared" si="580"/>
        <v>170126.36551821561</v>
      </c>
      <c r="GR105" s="150">
        <f t="shared" si="581"/>
        <v>38545.596902533274</v>
      </c>
      <c r="GS105" s="150">
        <f t="shared" si="582"/>
        <v>22021.063330147714</v>
      </c>
      <c r="GT105" s="150">
        <f t="shared" si="583"/>
        <v>85843.648988486369</v>
      </c>
      <c r="GU105" s="150">
        <f t="shared" si="584"/>
        <v>111317.60667581044</v>
      </c>
      <c r="GV105" s="150">
        <f t="shared" si="585"/>
        <v>176843.79646858733</v>
      </c>
      <c r="GW105" s="150">
        <f t="shared" si="586"/>
        <v>59025.115747010197</v>
      </c>
      <c r="GX105" s="150">
        <f t="shared" si="587"/>
        <v>32705.245910942267</v>
      </c>
      <c r="GY105" s="150">
        <f t="shared" si="588"/>
        <v>125641.8264955943</v>
      </c>
      <c r="GZ105" s="150">
        <f t="shared" si="589"/>
        <v>153872.25265662375</v>
      </c>
      <c r="HA105" s="150">
        <f t="shared" si="590"/>
        <v>167466.32304907334</v>
      </c>
      <c r="HB105" s="150">
        <f t="shared" si="591"/>
        <v>11959.284438387414</v>
      </c>
      <c r="HC105" s="150">
        <f t="shared" si="592"/>
        <v>188324.44079841473</v>
      </c>
      <c r="HD105" s="150">
        <f t="shared" si="593"/>
        <v>45813.580534579705</v>
      </c>
      <c r="HE105" s="150">
        <f t="shared" si="594"/>
        <v>41271.314861753235</v>
      </c>
      <c r="HF105" s="150">
        <f t="shared" si="595"/>
        <v>118588.51086952197</v>
      </c>
      <c r="HG105" s="150">
        <f t="shared" si="596"/>
        <v>57877.552524728533</v>
      </c>
      <c r="HH105" s="150">
        <f t="shared" si="597"/>
        <v>174460.51201172284</v>
      </c>
      <c r="HI105" s="150">
        <f t="shared" si="598"/>
        <v>0</v>
      </c>
      <c r="HJ105" s="150">
        <f t="shared" si="599"/>
        <v>34755.520290513028</v>
      </c>
      <c r="HK105" s="150">
        <f t="shared" si="600"/>
        <v>0</v>
      </c>
      <c r="HL105" s="26"/>
      <c r="HN105" s="147">
        <f t="shared" si="601"/>
        <v>46652.480340015696</v>
      </c>
      <c r="HO105" s="147">
        <f t="shared" si="602"/>
        <v>55234.33203843511</v>
      </c>
      <c r="HP105" s="147">
        <f t="shared" si="603"/>
        <v>20197.968235148321</v>
      </c>
      <c r="HQ105" s="147">
        <f t="shared" si="604"/>
        <v>23381.546855618319</v>
      </c>
      <c r="HR105" s="147">
        <f t="shared" si="605"/>
        <v>61021.188421592655</v>
      </c>
      <c r="HS105" s="147">
        <f t="shared" si="606"/>
        <v>95436.741632169738</v>
      </c>
      <c r="HT105" s="147">
        <f t="shared" si="607"/>
        <v>21623.13972581135</v>
      </c>
      <c r="HU105" s="147">
        <f t="shared" si="608"/>
        <v>12353.279429107255</v>
      </c>
      <c r="HV105" s="147">
        <f t="shared" si="609"/>
        <v>48156.193335004551</v>
      </c>
      <c r="HW105" s="147">
        <f t="shared" si="610"/>
        <v>62446.462281552202</v>
      </c>
      <c r="HX105" s="147">
        <f t="shared" si="611"/>
        <v>99205.056555549003</v>
      </c>
      <c r="HY105" s="147">
        <f t="shared" si="612"/>
        <v>33111.650297103282</v>
      </c>
      <c r="HZ105" s="147">
        <f t="shared" si="613"/>
        <v>18346.845267113957</v>
      </c>
      <c r="IA105" s="147">
        <f t="shared" si="614"/>
        <v>70482.00022923584</v>
      </c>
      <c r="IB105" s="147">
        <f t="shared" si="615"/>
        <v>86318.580758593816</v>
      </c>
      <c r="IC105" s="147">
        <f t="shared" si="616"/>
        <v>93944.522686065538</v>
      </c>
      <c r="ID105" s="147">
        <f t="shared" si="617"/>
        <v>6708.8668800709884</v>
      </c>
      <c r="IE105" s="147">
        <f t="shared" si="618"/>
        <v>105645.41800886681</v>
      </c>
      <c r="IF105" s="147">
        <f t="shared" si="619"/>
        <v>25700.301275495935</v>
      </c>
      <c r="IG105" s="147">
        <f t="shared" si="620"/>
        <v>23152.201020007917</v>
      </c>
      <c r="IH105" s="147">
        <f t="shared" si="621"/>
        <v>66525.26219509769</v>
      </c>
      <c r="II105" s="147">
        <f t="shared" si="622"/>
        <v>32467.895318750154</v>
      </c>
      <c r="IJ105" s="147">
        <f t="shared" si="623"/>
        <v>97868.092104137206</v>
      </c>
      <c r="IK105" s="147">
        <f t="shared" si="624"/>
        <v>0</v>
      </c>
      <c r="IL105" s="147">
        <f t="shared" si="625"/>
        <v>19496.999187360969</v>
      </c>
      <c r="IM105" s="147">
        <f t="shared" si="626"/>
        <v>0</v>
      </c>
      <c r="IN105" s="26"/>
      <c r="IP105" s="61">
        <f t="shared" si="627"/>
        <v>2028.3687104354649</v>
      </c>
      <c r="IQ105" s="61">
        <f t="shared" si="628"/>
        <v>2401.4926973232655</v>
      </c>
      <c r="IR105" s="61">
        <f t="shared" si="629"/>
        <v>878.17253196297031</v>
      </c>
      <c r="IS105" s="61">
        <f t="shared" si="630"/>
        <v>1016.5889937225354</v>
      </c>
      <c r="IT105" s="61">
        <f t="shared" si="631"/>
        <v>2653.0951487648977</v>
      </c>
      <c r="IU105" s="61">
        <f t="shared" si="632"/>
        <v>4149.4235492247708</v>
      </c>
      <c r="IV105" s="61">
        <f t="shared" si="633"/>
        <v>940.13650981788464</v>
      </c>
      <c r="IW105" s="61">
        <f t="shared" si="634"/>
        <v>537.0991056133588</v>
      </c>
      <c r="IX105" s="61">
        <f t="shared" si="635"/>
        <v>2093.7475363045455</v>
      </c>
      <c r="IY105" s="61">
        <f t="shared" si="636"/>
        <v>2715.0635774587909</v>
      </c>
      <c r="IZ105" s="61">
        <f t="shared" si="637"/>
        <v>4313.2633285021302</v>
      </c>
      <c r="JA105" s="61">
        <f t="shared" si="638"/>
        <v>1439.6369694392729</v>
      </c>
      <c r="JB105" s="61">
        <f t="shared" si="639"/>
        <v>797.68892465712838</v>
      </c>
      <c r="JC105" s="61">
        <f t="shared" si="640"/>
        <v>3064.4347925754705</v>
      </c>
      <c r="JD105" s="61">
        <f t="shared" si="641"/>
        <v>3752.9817721127743</v>
      </c>
      <c r="JE105" s="61">
        <f t="shared" si="642"/>
        <v>4084.5444646115443</v>
      </c>
      <c r="JF105" s="61">
        <f t="shared" si="643"/>
        <v>291.6898643509125</v>
      </c>
      <c r="JG105" s="61">
        <f t="shared" si="644"/>
        <v>4593.2790438637739</v>
      </c>
      <c r="JH105" s="61">
        <f t="shared" si="645"/>
        <v>1117.4044032824318</v>
      </c>
      <c r="JI105" s="61">
        <f t="shared" si="646"/>
        <v>1006.6174356525179</v>
      </c>
      <c r="JJ105" s="61">
        <f t="shared" si="647"/>
        <v>2892.4027041346817</v>
      </c>
      <c r="JK105" s="61">
        <f t="shared" si="648"/>
        <v>1411.6476225543543</v>
      </c>
      <c r="JL105" s="61">
        <f t="shared" si="649"/>
        <v>4255.1344393103127</v>
      </c>
      <c r="JM105" s="61">
        <f t="shared" si="650"/>
        <v>0</v>
      </c>
      <c r="JN105" s="61">
        <f t="shared" si="651"/>
        <v>847.6956168417812</v>
      </c>
      <c r="JO105" s="61">
        <f t="shared" si="652"/>
        <v>0</v>
      </c>
      <c r="JQ105" s="26">
        <f t="shared" si="516"/>
        <v>5328160.9742517564</v>
      </c>
      <c r="JR105" s="156">
        <f t="shared" si="517"/>
        <v>1.0000000000000002</v>
      </c>
      <c r="JT105" s="157">
        <f t="shared" si="653"/>
        <v>202836.87104354647</v>
      </c>
      <c r="JU105" s="29">
        <f t="shared" si="654"/>
        <v>1</v>
      </c>
    </row>
    <row r="106" spans="1:281" ht="18.75" x14ac:dyDescent="0.3">
      <c r="A106" t="s">
        <v>234</v>
      </c>
      <c r="B106" t="s">
        <v>183</v>
      </c>
      <c r="C106" t="s">
        <v>74</v>
      </c>
      <c r="D106" t="s">
        <v>29</v>
      </c>
      <c r="E106" s="11" t="s">
        <v>267</v>
      </c>
      <c r="F106" s="114">
        <v>1564</v>
      </c>
      <c r="G106" s="17">
        <v>308999</v>
      </c>
      <c r="H106" s="21">
        <v>242498</v>
      </c>
      <c r="I106" s="25">
        <f t="shared" si="434"/>
        <v>1.2742331895520789</v>
      </c>
      <c r="J106" s="13">
        <v>3.9136666356062479E-2</v>
      </c>
      <c r="K106" s="13">
        <v>4.5887162430215588E-2</v>
      </c>
      <c r="L106" s="13">
        <v>1.6944032517201817E-2</v>
      </c>
      <c r="M106" s="13">
        <v>1.961472983874948E-2</v>
      </c>
      <c r="N106" s="13">
        <v>5.1190544950680102E-2</v>
      </c>
      <c r="O106" s="13">
        <v>7.8266475088618281E-2</v>
      </c>
      <c r="P106" s="13">
        <v>1.8139605844144903E-2</v>
      </c>
      <c r="Q106" s="13">
        <v>1.0363139792280061E-2</v>
      </c>
      <c r="R106" s="13">
        <v>4.0398127983638038E-2</v>
      </c>
      <c r="S106" s="13">
        <v>5.2386204155007797E-2</v>
      </c>
      <c r="T106" s="13">
        <v>8.3222910570921904E-2</v>
      </c>
      <c r="U106" s="13">
        <v>2.7777292884143268E-2</v>
      </c>
      <c r="V106" s="13">
        <v>1.5391129403455443E-2</v>
      </c>
      <c r="W106" s="13">
        <v>4.9702378177048021E-2</v>
      </c>
      <c r="X106" s="13">
        <v>7.2412473481721334E-2</v>
      </c>
      <c r="Y106" s="13">
        <v>7.6565854763630245E-2</v>
      </c>
      <c r="Z106" s="13">
        <v>4.9548525854927698E-3</v>
      </c>
      <c r="AA106" s="13">
        <v>8.6830511949679862E-2</v>
      </c>
      <c r="AB106" s="13">
        <v>2.1559927981077538E-2</v>
      </c>
      <c r="AC106" s="13">
        <v>1.9422332105916821E-2</v>
      </c>
      <c r="AD106" s="13">
        <v>5.4461497620297061E-2</v>
      </c>
      <c r="AE106" s="13">
        <v>2.72372482044341E-2</v>
      </c>
      <c r="AF106" s="13">
        <v>7.1778910239034474E-2</v>
      </c>
      <c r="AG106" s="9">
        <v>0</v>
      </c>
      <c r="AH106" s="13">
        <v>1.635599107654891E-2</v>
      </c>
      <c r="AJ106" s="8">
        <f t="shared" si="461"/>
        <v>1.0000000000000002</v>
      </c>
      <c r="AK106" s="141">
        <f t="shared" si="435"/>
        <v>61.209746180881716</v>
      </c>
      <c r="AL106" s="141">
        <f t="shared" si="436"/>
        <v>71.767522040857173</v>
      </c>
      <c r="AM106" s="141">
        <f t="shared" si="437"/>
        <v>26.500466856903643</v>
      </c>
      <c r="AN106" s="141">
        <f t="shared" si="438"/>
        <v>30.677437467804186</v>
      </c>
      <c r="AO106" s="141">
        <f t="shared" si="439"/>
        <v>80.062012302863678</v>
      </c>
      <c r="AP106" s="141">
        <f t="shared" si="440"/>
        <v>122.408767038599</v>
      </c>
      <c r="AQ106" s="141">
        <f t="shared" si="441"/>
        <v>28.370343540242629</v>
      </c>
      <c r="AR106" s="141">
        <f t="shared" si="442"/>
        <v>16.207950635126014</v>
      </c>
      <c r="AS106" s="141">
        <f t="shared" si="443"/>
        <v>63.182672166409894</v>
      </c>
      <c r="AT106" s="141">
        <f t="shared" si="444"/>
        <v>81.932023298432199</v>
      </c>
      <c r="AU106" s="141">
        <f t="shared" si="445"/>
        <v>130.16063213292185</v>
      </c>
      <c r="AV106" s="141">
        <f t="shared" si="446"/>
        <v>43.443686070800069</v>
      </c>
      <c r="AW106" s="141">
        <f t="shared" si="447"/>
        <v>24.071726387004311</v>
      </c>
      <c r="AX106" s="141">
        <f t="shared" si="448"/>
        <v>77.734519468903102</v>
      </c>
      <c r="AY106" s="141">
        <f t="shared" si="449"/>
        <v>113.25310852541217</v>
      </c>
      <c r="AZ106" s="141">
        <f t="shared" si="450"/>
        <v>119.74899685031771</v>
      </c>
      <c r="BA106" s="141">
        <f t="shared" si="451"/>
        <v>7.749389443710692</v>
      </c>
      <c r="BB106" s="141">
        <f t="shared" si="452"/>
        <v>135.8029206892993</v>
      </c>
      <c r="BC106" s="141">
        <f t="shared" si="453"/>
        <v>33.719727362405273</v>
      </c>
      <c r="BD106" s="141">
        <f t="shared" si="454"/>
        <v>30.376527413653907</v>
      </c>
      <c r="BE106" s="141">
        <f t="shared" si="455"/>
        <v>85.177782278144605</v>
      </c>
      <c r="BF106" s="141">
        <f t="shared" si="456"/>
        <v>42.599056191734931</v>
      </c>
      <c r="BG106" s="141">
        <f t="shared" si="457"/>
        <v>112.26221561384992</v>
      </c>
      <c r="BH106" s="141">
        <f t="shared" si="458"/>
        <v>0</v>
      </c>
      <c r="BI106" s="141">
        <f t="shared" si="459"/>
        <v>25.580770043722495</v>
      </c>
      <c r="BJ106" s="141">
        <f t="shared" si="460"/>
        <v>0</v>
      </c>
      <c r="BM106" s="26">
        <f t="shared" si="462"/>
        <v>12093.190767356949</v>
      </c>
      <c r="BN106" s="26">
        <f t="shared" si="463"/>
        <v>14179.087303774186</v>
      </c>
      <c r="BO106" s="26">
        <f t="shared" si="464"/>
        <v>5235.6891037828445</v>
      </c>
      <c r="BP106" s="26">
        <f t="shared" si="465"/>
        <v>6060.931905443751</v>
      </c>
      <c r="BQ106" s="26">
        <f t="shared" si="466"/>
        <v>15817.8271992152</v>
      </c>
      <c r="BR106" s="26">
        <f t="shared" si="467"/>
        <v>24184.262535907961</v>
      </c>
      <c r="BS106" s="26">
        <f t="shared" si="468"/>
        <v>5605.1200662349311</v>
      </c>
      <c r="BT106" s="26">
        <f t="shared" si="469"/>
        <v>3202.1998326747466</v>
      </c>
      <c r="BU106" s="26">
        <f t="shared" si="470"/>
        <v>12482.98114881617</v>
      </c>
      <c r="BV106" s="26">
        <f t="shared" si="471"/>
        <v>16187.284697693254</v>
      </c>
      <c r="BW106" s="26">
        <f t="shared" si="472"/>
        <v>25715.796143504296</v>
      </c>
      <c r="BX106" s="26">
        <f t="shared" si="473"/>
        <v>8583.1557239073863</v>
      </c>
      <c r="BY106" s="26">
        <f t="shared" si="474"/>
        <v>4755.843594538328</v>
      </c>
      <c r="BZ106" s="26">
        <f t="shared" si="475"/>
        <v>15357.985154329661</v>
      </c>
      <c r="CA106" s="26">
        <f t="shared" si="476"/>
        <v>22375.38189337841</v>
      </c>
      <c r="CB106" s="26">
        <f t="shared" si="477"/>
        <v>23658.772556106982</v>
      </c>
      <c r="CC106" s="26">
        <f t="shared" si="478"/>
        <v>1531.0444940646803</v>
      </c>
      <c r="CD106" s="26">
        <f t="shared" si="479"/>
        <v>26830.541361939129</v>
      </c>
      <c r="CE106" s="26">
        <f t="shared" si="480"/>
        <v>6661.9961862249784</v>
      </c>
      <c r="CF106" s="26">
        <f t="shared" si="481"/>
        <v>6001.4811983961918</v>
      </c>
      <c r="CG106" s="26">
        <f t="shared" si="482"/>
        <v>16828.548303174171</v>
      </c>
      <c r="CH106" s="26">
        <f t="shared" si="483"/>
        <v>8416.2824579219323</v>
      </c>
      <c r="CI106" s="26">
        <f t="shared" si="484"/>
        <v>22179.611484951412</v>
      </c>
      <c r="CJ106" s="26">
        <f t="shared" si="485"/>
        <v>0</v>
      </c>
      <c r="CK106" s="26">
        <f t="shared" si="486"/>
        <v>5053.9848866625362</v>
      </c>
      <c r="CL106" s="26">
        <f t="shared" si="487"/>
        <v>0</v>
      </c>
      <c r="CM106" s="110">
        <f t="shared" si="488"/>
        <v>1</v>
      </c>
      <c r="CN106" s="27">
        <f t="shared" si="489"/>
        <v>9490.5633180124387</v>
      </c>
      <c r="CO106" s="27">
        <f t="shared" si="490"/>
        <v>11127.54511500242</v>
      </c>
      <c r="CP106" s="27">
        <f t="shared" si="491"/>
        <v>4108.8939973564065</v>
      </c>
      <c r="CQ106" s="27">
        <f t="shared" si="492"/>
        <v>4756.5327564370718</v>
      </c>
      <c r="CR106" s="27">
        <f t="shared" si="493"/>
        <v>12413.604769450023</v>
      </c>
      <c r="CS106" s="27">
        <f t="shared" si="494"/>
        <v>18979.463676039755</v>
      </c>
      <c r="CT106" s="27">
        <f t="shared" si="495"/>
        <v>4398.8181379934504</v>
      </c>
      <c r="CU106" s="27">
        <f t="shared" si="496"/>
        <v>2513.0406733483305</v>
      </c>
      <c r="CV106" s="27">
        <f t="shared" si="497"/>
        <v>9796.4652397762566</v>
      </c>
      <c r="CW106" s="27">
        <f t="shared" si="498"/>
        <v>12703.549735181081</v>
      </c>
      <c r="CX106" s="27">
        <f t="shared" si="499"/>
        <v>20181.38936762742</v>
      </c>
      <c r="CY106" s="27">
        <f t="shared" si="500"/>
        <v>6735.9379698189741</v>
      </c>
      <c r="CZ106" s="27">
        <f t="shared" si="501"/>
        <v>3732.3180980791381</v>
      </c>
      <c r="DA106" s="27">
        <f t="shared" si="502"/>
        <v>12052.727303177791</v>
      </c>
      <c r="DB106" s="27">
        <f t="shared" si="503"/>
        <v>17559.879994370462</v>
      </c>
      <c r="DC106" s="27">
        <f t="shared" si="504"/>
        <v>18567.066648470805</v>
      </c>
      <c r="DD106" s="27">
        <f t="shared" si="505"/>
        <v>1201.5418422768257</v>
      </c>
      <c r="DE106" s="27">
        <f t="shared" si="506"/>
        <v>21056.225486773466</v>
      </c>
      <c r="DF106" s="27">
        <f t="shared" si="507"/>
        <v>5228.2394155553411</v>
      </c>
      <c r="DG106" s="27">
        <f t="shared" si="508"/>
        <v>4709.8766910206168</v>
      </c>
      <c r="DH106" s="27">
        <f t="shared" si="509"/>
        <v>13206.804249926798</v>
      </c>
      <c r="DI106" s="27">
        <f t="shared" si="510"/>
        <v>6604.9782150788606</v>
      </c>
      <c r="DJ106" s="27">
        <f t="shared" si="511"/>
        <v>17406.24217514538</v>
      </c>
      <c r="DK106" s="27">
        <f t="shared" si="512"/>
        <v>0</v>
      </c>
      <c r="DL106" s="27">
        <f t="shared" si="513"/>
        <v>3966.2951240809575</v>
      </c>
      <c r="DM106" s="27">
        <f t="shared" si="514"/>
        <v>0</v>
      </c>
      <c r="DN106" s="110">
        <f t="shared" si="515"/>
        <v>1.0000000000000002</v>
      </c>
      <c r="DO106" s="28">
        <f t="shared" si="518"/>
        <v>2602.6274493445108</v>
      </c>
      <c r="DP106" s="28">
        <f t="shared" si="519"/>
        <v>3051.5421887717657</v>
      </c>
      <c r="DQ106" s="28">
        <f t="shared" si="520"/>
        <v>1126.795106426438</v>
      </c>
      <c r="DR106" s="28">
        <f t="shared" si="521"/>
        <v>1304.3991490066792</v>
      </c>
      <c r="DS106" s="28">
        <f t="shared" si="522"/>
        <v>3404.2224297651774</v>
      </c>
      <c r="DT106" s="28">
        <f t="shared" si="523"/>
        <v>5204.7988598682059</v>
      </c>
      <c r="DU106" s="28">
        <f t="shared" si="524"/>
        <v>1206.3019282414807</v>
      </c>
      <c r="DV106" s="28">
        <f t="shared" si="525"/>
        <v>689.1591593264161</v>
      </c>
      <c r="DW106" s="28">
        <f t="shared" si="526"/>
        <v>2686.5159090399138</v>
      </c>
      <c r="DX106" s="28">
        <f t="shared" si="527"/>
        <v>3483.7349625121733</v>
      </c>
      <c r="DY106" s="28">
        <f t="shared" si="528"/>
        <v>5534.4067758768761</v>
      </c>
      <c r="DZ106" s="28">
        <f t="shared" si="529"/>
        <v>1847.2177540884122</v>
      </c>
      <c r="EA106" s="28">
        <f t="shared" si="530"/>
        <v>1023.52549645919</v>
      </c>
      <c r="EB106" s="28">
        <f t="shared" si="531"/>
        <v>3305.2578511518695</v>
      </c>
      <c r="EC106" s="28">
        <f t="shared" si="532"/>
        <v>4815.5018990079479</v>
      </c>
      <c r="ED106" s="28">
        <f t="shared" si="533"/>
        <v>5091.7059076361766</v>
      </c>
      <c r="EE106" s="28">
        <f t="shared" si="534"/>
        <v>329.50265178785457</v>
      </c>
      <c r="EF106" s="28">
        <f t="shared" si="535"/>
        <v>5774.3158751656629</v>
      </c>
      <c r="EG106" s="28">
        <f t="shared" si="536"/>
        <v>1433.7567706696373</v>
      </c>
      <c r="EH106" s="28">
        <f t="shared" si="537"/>
        <v>1291.6045073755749</v>
      </c>
      <c r="EI106" s="28">
        <f t="shared" si="538"/>
        <v>3621.7440532473738</v>
      </c>
      <c r="EJ106" s="28">
        <f t="shared" si="539"/>
        <v>1811.3042428430717</v>
      </c>
      <c r="EK106" s="28">
        <f t="shared" si="540"/>
        <v>4773.3693098060321</v>
      </c>
      <c r="EL106" s="28">
        <f t="shared" si="541"/>
        <v>0</v>
      </c>
      <c r="EM106" s="28">
        <f t="shared" si="542"/>
        <v>1087.6897625815786</v>
      </c>
      <c r="EN106" s="28">
        <f t="shared" si="543"/>
        <v>0</v>
      </c>
      <c r="EQ106" s="144">
        <v>3.0000001249255698E-2</v>
      </c>
      <c r="ER106" s="144">
        <v>5.0000002082092834E-2</v>
      </c>
      <c r="ES106" s="144">
        <v>8.0000003331348532E-2</v>
      </c>
      <c r="ET106" s="144">
        <v>0.11000000458060423</v>
      </c>
      <c r="EU106" s="144">
        <v>0.12000000499702279</v>
      </c>
      <c r="EV106" s="144">
        <v>0.14999998542535009</v>
      </c>
      <c r="EW106" s="144">
        <v>0.12999998459251297</v>
      </c>
      <c r="EX106" s="144">
        <v>8.0000003331348532E-2</v>
      </c>
      <c r="EY106" s="144">
        <v>7.0000002914929957E-2</v>
      </c>
      <c r="EZ106" s="144">
        <v>6.0000002498511396E-2</v>
      </c>
      <c r="FA106" s="144">
        <v>6.0000002498511396E-2</v>
      </c>
      <c r="FB106" s="144">
        <v>6.0000002498511396E-2</v>
      </c>
      <c r="FC106" s="145">
        <f t="shared" si="544"/>
        <v>0.99999999999999978</v>
      </c>
      <c r="FD106" s="146">
        <f t="shared" si="545"/>
        <v>0.16000000666269706</v>
      </c>
      <c r="FE106" s="146">
        <f t="shared" si="546"/>
        <v>0.3799999950029771</v>
      </c>
      <c r="FF106" s="146">
        <f t="shared" si="547"/>
        <v>0.27999999083879146</v>
      </c>
      <c r="FG106" s="146">
        <f t="shared" si="548"/>
        <v>0.18000000749553419</v>
      </c>
      <c r="FH106" s="145">
        <f t="shared" si="655"/>
        <v>0.99999999999999978</v>
      </c>
      <c r="FJ106" s="52">
        <f t="shared" si="549"/>
        <v>1934.9106033503786</v>
      </c>
      <c r="FK106" s="52">
        <f t="shared" si="550"/>
        <v>2268.6540630748332</v>
      </c>
      <c r="FL106" s="52">
        <f t="shared" si="551"/>
        <v>837.71029148906553</v>
      </c>
      <c r="FM106" s="52">
        <f t="shared" si="552"/>
        <v>969.74914525315342</v>
      </c>
      <c r="FN106" s="52">
        <f t="shared" si="553"/>
        <v>2530.852457263823</v>
      </c>
      <c r="FO106" s="52">
        <f t="shared" si="554"/>
        <v>3869.482166877689</v>
      </c>
      <c r="FP106" s="52">
        <f t="shared" si="555"/>
        <v>896.81924794280599</v>
      </c>
      <c r="FQ106" s="52">
        <f t="shared" si="556"/>
        <v>512.35199456324688</v>
      </c>
      <c r="FR106" s="52">
        <f t="shared" si="557"/>
        <v>1997.277066980909</v>
      </c>
      <c r="FS106" s="52">
        <f t="shared" si="558"/>
        <v>2589.9656594818948</v>
      </c>
      <c r="FT106" s="52">
        <f t="shared" si="559"/>
        <v>4114.5275542972468</v>
      </c>
      <c r="FU106" s="52">
        <f t="shared" si="560"/>
        <v>1373.3049730121484</v>
      </c>
      <c r="FV106" s="52">
        <f t="shared" si="561"/>
        <v>760.93500681287765</v>
      </c>
      <c r="FW106" s="52">
        <f t="shared" si="562"/>
        <v>2457.2777270183483</v>
      </c>
      <c r="FX106" s="52">
        <f t="shared" si="563"/>
        <v>3580.061252020937</v>
      </c>
      <c r="FY106" s="52">
        <f t="shared" si="564"/>
        <v>3785.4037666083514</v>
      </c>
      <c r="FZ106" s="52">
        <f t="shared" si="565"/>
        <v>244.9671292512345</v>
      </c>
      <c r="GA106" s="52">
        <f t="shared" si="566"/>
        <v>4292.8867966740299</v>
      </c>
      <c r="GB106" s="52">
        <f t="shared" si="567"/>
        <v>1065.919434182859</v>
      </c>
      <c r="GC106" s="52">
        <f t="shared" si="568"/>
        <v>960.23703172944181</v>
      </c>
      <c r="GD106" s="52">
        <f t="shared" si="569"/>
        <v>2692.5678406313868</v>
      </c>
      <c r="GE106" s="52">
        <f t="shared" si="570"/>
        <v>1346.6052493426496</v>
      </c>
      <c r="GF106" s="52">
        <f t="shared" si="571"/>
        <v>3548.7379853682583</v>
      </c>
      <c r="GG106" s="52">
        <f t="shared" si="572"/>
        <v>0</v>
      </c>
      <c r="GH106" s="52">
        <f t="shared" si="573"/>
        <v>808.63761553917607</v>
      </c>
      <c r="GI106" s="52">
        <f t="shared" si="574"/>
        <v>0</v>
      </c>
      <c r="GJ106" s="26"/>
      <c r="GL106" s="150">
        <f t="shared" si="575"/>
        <v>4595.4124311656897</v>
      </c>
      <c r="GM106" s="150">
        <f t="shared" si="576"/>
        <v>5388.0531045809666</v>
      </c>
      <c r="GN106" s="150">
        <f t="shared" si="577"/>
        <v>1989.5618332746226</v>
      </c>
      <c r="GO106" s="150">
        <f t="shared" si="578"/>
        <v>2303.15409378201</v>
      </c>
      <c r="GP106" s="150">
        <f t="shared" si="579"/>
        <v>6010.7742566597317</v>
      </c>
      <c r="GQ106" s="150">
        <f t="shared" si="580"/>
        <v>9190.0196427957108</v>
      </c>
      <c r="GR106" s="150">
        <f t="shared" si="581"/>
        <v>2129.9455971603606</v>
      </c>
      <c r="GS106" s="150">
        <f t="shared" si="582"/>
        <v>1216.8359204149378</v>
      </c>
      <c r="GT106" s="150">
        <f t="shared" si="583"/>
        <v>4743.5327741724022</v>
      </c>
      <c r="GU106" s="150">
        <f t="shared" si="584"/>
        <v>6151.1681042352038</v>
      </c>
      <c r="GV106" s="150">
        <f t="shared" si="585"/>
        <v>9772.0024060292108</v>
      </c>
      <c r="GW106" s="150">
        <f t="shared" si="586"/>
        <v>3261.5991321945812</v>
      </c>
      <c r="GX106" s="150">
        <f t="shared" si="587"/>
        <v>1807.2205421595054</v>
      </c>
      <c r="GY106" s="150">
        <f t="shared" si="588"/>
        <v>5836.0342819010675</v>
      </c>
      <c r="GZ106" s="150">
        <f t="shared" si="589"/>
        <v>8502.6450076735</v>
      </c>
      <c r="HA106" s="150">
        <f t="shared" si="590"/>
        <v>8990.3334530972243</v>
      </c>
      <c r="HB106" s="150">
        <f t="shared" si="591"/>
        <v>581.79690009391413</v>
      </c>
      <c r="HC106" s="150">
        <f t="shared" si="592"/>
        <v>10195.605583464039</v>
      </c>
      <c r="HD106" s="150">
        <f t="shared" si="593"/>
        <v>2531.5585174753442</v>
      </c>
      <c r="HE106" s="150">
        <f t="shared" si="594"/>
        <v>2280.5628254010139</v>
      </c>
      <c r="HF106" s="150">
        <f t="shared" si="595"/>
        <v>6394.8482711135439</v>
      </c>
      <c r="HG106" s="150">
        <f t="shared" si="596"/>
        <v>3198.1872919539783</v>
      </c>
      <c r="HH106" s="150">
        <f t="shared" si="597"/>
        <v>8428.252253449511</v>
      </c>
      <c r="HI106" s="150">
        <f t="shared" si="598"/>
        <v>0</v>
      </c>
      <c r="HJ106" s="150">
        <f t="shared" si="599"/>
        <v>1920.5142316768854</v>
      </c>
      <c r="HK106" s="150">
        <f t="shared" si="600"/>
        <v>0</v>
      </c>
      <c r="HL106" s="26"/>
      <c r="HN106" s="147">
        <f t="shared" si="601"/>
        <v>3386.0933040717032</v>
      </c>
      <c r="HO106" s="147">
        <f t="shared" si="602"/>
        <v>3970.1443151591961</v>
      </c>
      <c r="HP106" s="147">
        <f t="shared" si="603"/>
        <v>1465.9929010939568</v>
      </c>
      <c r="HQ106" s="147">
        <f t="shared" si="604"/>
        <v>1697.0608779987892</v>
      </c>
      <c r="HR106" s="147">
        <f t="shared" si="605"/>
        <v>4428.9914708698425</v>
      </c>
      <c r="HS106" s="147">
        <f t="shared" si="606"/>
        <v>6771.5932884971562</v>
      </c>
      <c r="HT106" s="147">
        <f t="shared" si="607"/>
        <v>1569.4335671961069</v>
      </c>
      <c r="HU106" s="147">
        <f t="shared" si="608"/>
        <v>896.61592381290859</v>
      </c>
      <c r="HV106" s="147">
        <f t="shared" si="609"/>
        <v>3495.234607309334</v>
      </c>
      <c r="HW106" s="147">
        <f t="shared" si="610"/>
        <v>4532.4395670590202</v>
      </c>
      <c r="HX106" s="147">
        <f t="shared" si="611"/>
        <v>7200.4226845934318</v>
      </c>
      <c r="HY106" s="147">
        <f t="shared" si="612"/>
        <v>2403.2835240619888</v>
      </c>
      <c r="HZ106" s="147">
        <f t="shared" si="613"/>
        <v>1331.6361629014568</v>
      </c>
      <c r="IA106" s="147">
        <f t="shared" si="614"/>
        <v>4300.2357025146002</v>
      </c>
      <c r="IB106" s="147">
        <f t="shared" si="615"/>
        <v>6265.1067251604145</v>
      </c>
      <c r="IC106" s="147">
        <f t="shared" si="616"/>
        <v>6624.4560989670053</v>
      </c>
      <c r="ID106" s="147">
        <f t="shared" si="617"/>
        <v>428.69244431189259</v>
      </c>
      <c r="IE106" s="147">
        <f t="shared" si="618"/>
        <v>7512.5513355427711</v>
      </c>
      <c r="IF106" s="147">
        <f t="shared" si="619"/>
        <v>1865.3588711110576</v>
      </c>
      <c r="IG106" s="147">
        <f t="shared" si="620"/>
        <v>1680.414680570113</v>
      </c>
      <c r="IH106" s="147">
        <f t="shared" si="621"/>
        <v>4711.9933707189275</v>
      </c>
      <c r="II106" s="147">
        <f t="shared" si="622"/>
        <v>2356.5590111148222</v>
      </c>
      <c r="IJ106" s="147">
        <f t="shared" si="623"/>
        <v>6210.291012594349</v>
      </c>
      <c r="IK106" s="147">
        <f t="shared" si="624"/>
        <v>0</v>
      </c>
      <c r="IL106" s="147">
        <f t="shared" si="625"/>
        <v>1415.1157219649006</v>
      </c>
      <c r="IM106" s="147">
        <f t="shared" si="626"/>
        <v>0</v>
      </c>
      <c r="IN106" s="26"/>
      <c r="IP106" s="61">
        <f t="shared" si="627"/>
        <v>2176.7744287691758</v>
      </c>
      <c r="IQ106" s="61">
        <f t="shared" si="628"/>
        <v>2552.2358209591871</v>
      </c>
      <c r="IR106" s="61">
        <f t="shared" si="629"/>
        <v>942.42407792519873</v>
      </c>
      <c r="IS106" s="61">
        <f t="shared" si="630"/>
        <v>1090.9677884097975</v>
      </c>
      <c r="IT106" s="61">
        <f t="shared" si="631"/>
        <v>2847.2090144218005</v>
      </c>
      <c r="IU106" s="61">
        <f t="shared" si="632"/>
        <v>4353.1674377373993</v>
      </c>
      <c r="IV106" s="61">
        <f t="shared" si="633"/>
        <v>1008.9216539356566</v>
      </c>
      <c r="IW106" s="61">
        <f t="shared" si="634"/>
        <v>576.39599388365275</v>
      </c>
      <c r="IX106" s="61">
        <f t="shared" si="635"/>
        <v>2246.9367003535226</v>
      </c>
      <c r="IY106" s="61">
        <f t="shared" si="636"/>
        <v>2913.7113669171317</v>
      </c>
      <c r="IZ106" s="61">
        <f t="shared" si="637"/>
        <v>4628.8434985844024</v>
      </c>
      <c r="JA106" s="61">
        <f t="shared" si="638"/>
        <v>1544.9680946386668</v>
      </c>
      <c r="JB106" s="61">
        <f t="shared" si="639"/>
        <v>856.05188266448727</v>
      </c>
      <c r="JC106" s="61">
        <f t="shared" si="640"/>
        <v>2764.4374428956417</v>
      </c>
      <c r="JD106" s="61">
        <f t="shared" si="641"/>
        <v>4027.5689085235535</v>
      </c>
      <c r="JE106" s="61">
        <f t="shared" si="642"/>
        <v>4258.5792374343955</v>
      </c>
      <c r="JF106" s="61">
        <f t="shared" si="643"/>
        <v>275.58802040763879</v>
      </c>
      <c r="JG106" s="61">
        <f t="shared" si="644"/>
        <v>4829.4976462582836</v>
      </c>
      <c r="JH106" s="61">
        <f t="shared" si="645"/>
        <v>1199.1593634557162</v>
      </c>
      <c r="JI106" s="61">
        <f t="shared" si="646"/>
        <v>1080.266660695622</v>
      </c>
      <c r="JJ106" s="61">
        <f t="shared" si="647"/>
        <v>3029.13882071031</v>
      </c>
      <c r="JK106" s="61">
        <f t="shared" si="648"/>
        <v>1514.9309055104807</v>
      </c>
      <c r="JL106" s="61">
        <f t="shared" si="649"/>
        <v>3992.3302335392905</v>
      </c>
      <c r="JM106" s="61">
        <f t="shared" si="650"/>
        <v>0</v>
      </c>
      <c r="JN106" s="61">
        <f t="shared" si="651"/>
        <v>909.71731748157299</v>
      </c>
      <c r="JO106" s="61">
        <f t="shared" si="652"/>
        <v>0</v>
      </c>
      <c r="JQ106" s="26">
        <f t="shared" si="516"/>
        <v>308998.99999999994</v>
      </c>
      <c r="JR106" s="156">
        <f t="shared" si="517"/>
        <v>0.99999999999999978</v>
      </c>
      <c r="JT106" s="157">
        <f t="shared" si="653"/>
        <v>12093.190767356948</v>
      </c>
      <c r="JU106" s="29">
        <f t="shared" si="654"/>
        <v>0.99999999999999989</v>
      </c>
    </row>
    <row r="107" spans="1:281" ht="18.75" x14ac:dyDescent="0.3">
      <c r="A107" t="s">
        <v>234</v>
      </c>
      <c r="B107" t="s">
        <v>184</v>
      </c>
      <c r="C107" t="s">
        <v>74</v>
      </c>
      <c r="D107" t="s">
        <v>29</v>
      </c>
      <c r="E107" s="11" t="s">
        <v>268</v>
      </c>
      <c r="F107" s="114">
        <v>7741.9999999999991</v>
      </c>
      <c r="G107" s="17">
        <v>1500090</v>
      </c>
      <c r="H107" s="21">
        <v>1177171</v>
      </c>
      <c r="I107" s="25">
        <f t="shared" si="434"/>
        <v>1.2743178348770059</v>
      </c>
      <c r="J107" s="13">
        <v>3.9136666356062465E-2</v>
      </c>
      <c r="K107" s="13">
        <v>4.5887162430215504E-2</v>
      </c>
      <c r="L107" s="13">
        <v>1.6944032517201911E-2</v>
      </c>
      <c r="M107" s="13">
        <v>1.9614729838749363E-2</v>
      </c>
      <c r="N107" s="13">
        <v>5.1190544950680102E-2</v>
      </c>
      <c r="O107" s="13">
        <v>7.8266475088618379E-2</v>
      </c>
      <c r="P107" s="13">
        <v>1.8139605844144858E-2</v>
      </c>
      <c r="Q107" s="13">
        <v>1.0363139792280042E-2</v>
      </c>
      <c r="R107" s="13">
        <v>4.0398127983637934E-2</v>
      </c>
      <c r="S107" s="13">
        <v>5.2386204155007887E-2</v>
      </c>
      <c r="T107" s="13">
        <v>8.3222910570922029E-2</v>
      </c>
      <c r="U107" s="13">
        <v>2.7777292884143275E-2</v>
      </c>
      <c r="V107" s="13">
        <v>1.5391129403455417E-2</v>
      </c>
      <c r="W107" s="13">
        <v>4.9702378177047708E-2</v>
      </c>
      <c r="X107" s="13">
        <v>7.2412473481721126E-2</v>
      </c>
      <c r="Y107" s="13">
        <v>7.6565854763630398E-2</v>
      </c>
      <c r="Z107" s="13">
        <v>4.9548525854927732E-3</v>
      </c>
      <c r="AA107" s="13">
        <v>8.6830511949679723E-2</v>
      </c>
      <c r="AB107" s="13">
        <v>2.1559927981077497E-2</v>
      </c>
      <c r="AC107" s="13">
        <v>1.9422332105916863E-2</v>
      </c>
      <c r="AD107" s="13">
        <v>5.4461497620297034E-2</v>
      </c>
      <c r="AE107" s="13">
        <v>2.7237248204434111E-2</v>
      </c>
      <c r="AF107" s="13">
        <v>7.177891023903446E-2</v>
      </c>
      <c r="AG107" s="9">
        <v>0</v>
      </c>
      <c r="AH107" s="13">
        <v>1.6355991076548858E-2</v>
      </c>
      <c r="AJ107" s="8">
        <f t="shared" si="461"/>
        <v>0.99999999999999978</v>
      </c>
      <c r="AK107" s="141">
        <f t="shared" si="435"/>
        <v>302.99607092863556</v>
      </c>
      <c r="AL107" s="141">
        <f t="shared" si="436"/>
        <v>355.2584115347284</v>
      </c>
      <c r="AM107" s="141">
        <f t="shared" si="437"/>
        <v>131.18069974817718</v>
      </c>
      <c r="AN107" s="141">
        <f t="shared" si="438"/>
        <v>151.85723841159754</v>
      </c>
      <c r="AO107" s="141">
        <f t="shared" si="439"/>
        <v>396.31719900816529</v>
      </c>
      <c r="AP107" s="141">
        <f t="shared" si="440"/>
        <v>605.93905013608344</v>
      </c>
      <c r="AQ107" s="141">
        <f t="shared" si="441"/>
        <v>140.43682844536949</v>
      </c>
      <c r="AR107" s="141">
        <f t="shared" si="442"/>
        <v>80.231428271832073</v>
      </c>
      <c r="AS107" s="141">
        <f t="shared" si="443"/>
        <v>312.76230684932483</v>
      </c>
      <c r="AT107" s="141">
        <f t="shared" si="444"/>
        <v>405.57399256807099</v>
      </c>
      <c r="AU107" s="141">
        <f t="shared" si="445"/>
        <v>644.31177364007829</v>
      </c>
      <c r="AV107" s="141">
        <f t="shared" si="446"/>
        <v>215.0518015090372</v>
      </c>
      <c r="AW107" s="141">
        <f t="shared" si="447"/>
        <v>119.15812384155183</v>
      </c>
      <c r="AX107" s="141">
        <f t="shared" si="448"/>
        <v>384.79581184670332</v>
      </c>
      <c r="AY107" s="141">
        <f t="shared" si="449"/>
        <v>560.61736969548485</v>
      </c>
      <c r="AZ107" s="141">
        <f t="shared" si="450"/>
        <v>592.77284758002645</v>
      </c>
      <c r="BA107" s="141">
        <f t="shared" si="451"/>
        <v>38.360468716885045</v>
      </c>
      <c r="BB107" s="141">
        <f t="shared" si="452"/>
        <v>672.24182351442039</v>
      </c>
      <c r="BC107" s="141">
        <f t="shared" si="453"/>
        <v>166.91696242950195</v>
      </c>
      <c r="BD107" s="141">
        <f t="shared" si="454"/>
        <v>150.36769516400832</v>
      </c>
      <c r="BE107" s="141">
        <f t="shared" si="455"/>
        <v>421.64091457633958</v>
      </c>
      <c r="BF107" s="141">
        <f t="shared" si="456"/>
        <v>210.87077559872887</v>
      </c>
      <c r="BG107" s="141">
        <f t="shared" si="457"/>
        <v>555.71232307060473</v>
      </c>
      <c r="BH107" s="141">
        <f t="shared" si="458"/>
        <v>0</v>
      </c>
      <c r="BI107" s="141">
        <f t="shared" si="459"/>
        <v>126.62808291464124</v>
      </c>
      <c r="BJ107" s="141">
        <f t="shared" si="460"/>
        <v>0</v>
      </c>
      <c r="BM107" s="26">
        <f t="shared" si="462"/>
        <v>58708.521834065745</v>
      </c>
      <c r="BN107" s="26">
        <f t="shared" si="463"/>
        <v>68834.87348994198</v>
      </c>
      <c r="BO107" s="26">
        <f t="shared" si="464"/>
        <v>25417.573738729414</v>
      </c>
      <c r="BP107" s="26">
        <f t="shared" si="465"/>
        <v>29423.86008380953</v>
      </c>
      <c r="BQ107" s="26">
        <f t="shared" si="466"/>
        <v>76790.424575065714</v>
      </c>
      <c r="BR107" s="26">
        <f t="shared" si="467"/>
        <v>117406.75661568555</v>
      </c>
      <c r="BS107" s="26">
        <f t="shared" si="468"/>
        <v>27211.041330743261</v>
      </c>
      <c r="BT107" s="26">
        <f t="shared" si="469"/>
        <v>15545.642371001368</v>
      </c>
      <c r="BU107" s="26">
        <f t="shared" si="470"/>
        <v>60600.827806975431</v>
      </c>
      <c r="BV107" s="26">
        <f t="shared" si="471"/>
        <v>78584.02099088578</v>
      </c>
      <c r="BW107" s="26">
        <f t="shared" si="472"/>
        <v>124841.85591833443</v>
      </c>
      <c r="BX107" s="26">
        <f t="shared" si="473"/>
        <v>41668.439282574487</v>
      </c>
      <c r="BY107" s="26">
        <f t="shared" si="474"/>
        <v>23088.079306829437</v>
      </c>
      <c r="BZ107" s="26">
        <f t="shared" si="475"/>
        <v>74558.040479607502</v>
      </c>
      <c r="CA107" s="26">
        <f t="shared" si="476"/>
        <v>108625.22734519505</v>
      </c>
      <c r="CB107" s="26">
        <f t="shared" si="477"/>
        <v>114855.67307237432</v>
      </c>
      <c r="CC107" s="26">
        <f t="shared" si="478"/>
        <v>7432.7248149718544</v>
      </c>
      <c r="CD107" s="26">
        <f t="shared" si="479"/>
        <v>130253.58267059506</v>
      </c>
      <c r="CE107" s="26">
        <f t="shared" si="480"/>
        <v>32341.832365134542</v>
      </c>
      <c r="CF107" s="26">
        <f t="shared" si="481"/>
        <v>29135.246168764825</v>
      </c>
      <c r="CG107" s="26">
        <f t="shared" si="482"/>
        <v>81697.147965231372</v>
      </c>
      <c r="CH107" s="26">
        <f t="shared" si="483"/>
        <v>40858.323658989568</v>
      </c>
      <c r="CI107" s="26">
        <f t="shared" si="484"/>
        <v>107674.82546047321</v>
      </c>
      <c r="CJ107" s="26">
        <f t="shared" si="485"/>
        <v>0</v>
      </c>
      <c r="CK107" s="26">
        <f t="shared" si="486"/>
        <v>24535.458654020174</v>
      </c>
      <c r="CL107" s="26">
        <f t="shared" si="487"/>
        <v>0</v>
      </c>
      <c r="CM107" s="110">
        <f t="shared" si="488"/>
        <v>0.99999999999999967</v>
      </c>
      <c r="CN107" s="27">
        <f t="shared" si="489"/>
        <v>46070.548671032411</v>
      </c>
      <c r="CO107" s="27">
        <f t="shared" si="490"/>
        <v>54017.036885139212</v>
      </c>
      <c r="CP107" s="27">
        <f t="shared" si="491"/>
        <v>19946.023702307091</v>
      </c>
      <c r="CQ107" s="27">
        <f t="shared" si="492"/>
        <v>23089.891139010426</v>
      </c>
      <c r="CR107" s="27">
        <f t="shared" si="493"/>
        <v>60260.024990137048</v>
      </c>
      <c r="CS107" s="27">
        <f t="shared" si="494"/>
        <v>92133.02474654399</v>
      </c>
      <c r="CT107" s="27">
        <f t="shared" si="495"/>
        <v>21353.417951157848</v>
      </c>
      <c r="CU107" s="27">
        <f t="shared" si="496"/>
        <v>12199.18763241809</v>
      </c>
      <c r="CV107" s="27">
        <f t="shared" si="497"/>
        <v>47555.504716627052</v>
      </c>
      <c r="CW107" s="27">
        <f t="shared" si="498"/>
        <v>61667.52033135479</v>
      </c>
      <c r="CX107" s="27">
        <f t="shared" si="499"/>
        <v>97967.596859682861</v>
      </c>
      <c r="CY107" s="27">
        <f t="shared" si="500"/>
        <v>32698.623641719823</v>
      </c>
      <c r="CZ107" s="27">
        <f t="shared" si="501"/>
        <v>18117.991190995017</v>
      </c>
      <c r="DA107" s="27">
        <f t="shared" si="502"/>
        <v>58508.198221053426</v>
      </c>
      <c r="DB107" s="27">
        <f t="shared" si="503"/>
        <v>85241.863820951141</v>
      </c>
      <c r="DC107" s="27">
        <f t="shared" si="504"/>
        <v>90131.103817957555</v>
      </c>
      <c r="DD107" s="27">
        <f t="shared" si="505"/>
        <v>5832.7087729171135</v>
      </c>
      <c r="DE107" s="27">
        <f t="shared" si="506"/>
        <v>102214.36058231643</v>
      </c>
      <c r="DF107" s="27">
        <f t="shared" si="507"/>
        <v>25379.721981412978</v>
      </c>
      <c r="DG107" s="27">
        <f t="shared" si="508"/>
        <v>22863.406107454259</v>
      </c>
      <c r="DH107" s="27">
        <f t="shared" si="509"/>
        <v>64110.495615182677</v>
      </c>
      <c r="DI107" s="27">
        <f t="shared" si="510"/>
        <v>32062.898706061907</v>
      </c>
      <c r="DJ107" s="27">
        <f t="shared" si="511"/>
        <v>84496.051544994436</v>
      </c>
      <c r="DK107" s="27">
        <f t="shared" si="512"/>
        <v>0</v>
      </c>
      <c r="DL107" s="27">
        <f t="shared" si="513"/>
        <v>19253.798371572095</v>
      </c>
      <c r="DM107" s="27">
        <f t="shared" si="514"/>
        <v>0</v>
      </c>
      <c r="DN107" s="110">
        <f t="shared" si="515"/>
        <v>0.99999999999999956</v>
      </c>
      <c r="DO107" s="28">
        <f t="shared" si="518"/>
        <v>12637.973163033334</v>
      </c>
      <c r="DP107" s="28">
        <f t="shared" si="519"/>
        <v>14817.836604802767</v>
      </c>
      <c r="DQ107" s="28">
        <f t="shared" si="520"/>
        <v>5471.5500364223226</v>
      </c>
      <c r="DR107" s="28">
        <f t="shared" si="521"/>
        <v>6333.9689447991041</v>
      </c>
      <c r="DS107" s="28">
        <f t="shared" si="522"/>
        <v>16530.399584928666</v>
      </c>
      <c r="DT107" s="28">
        <f t="shared" si="523"/>
        <v>25273.731869141557</v>
      </c>
      <c r="DU107" s="28">
        <f t="shared" si="524"/>
        <v>5857.6233795854132</v>
      </c>
      <c r="DV107" s="28">
        <f t="shared" si="525"/>
        <v>3346.4547385832775</v>
      </c>
      <c r="DW107" s="28">
        <f t="shared" si="526"/>
        <v>13045.323090348378</v>
      </c>
      <c r="DX107" s="28">
        <f t="shared" si="527"/>
        <v>16916.50065953099</v>
      </c>
      <c r="DY107" s="28">
        <f t="shared" si="528"/>
        <v>26874.259058651573</v>
      </c>
      <c r="DZ107" s="28">
        <f t="shared" si="529"/>
        <v>8969.8156408546638</v>
      </c>
      <c r="EA107" s="28">
        <f t="shared" si="530"/>
        <v>4970.08811583442</v>
      </c>
      <c r="EB107" s="28">
        <f t="shared" si="531"/>
        <v>16049.842258554076</v>
      </c>
      <c r="EC107" s="28">
        <f t="shared" si="532"/>
        <v>23383.363524243905</v>
      </c>
      <c r="ED107" s="28">
        <f t="shared" si="533"/>
        <v>24724.569254416769</v>
      </c>
      <c r="EE107" s="28">
        <f t="shared" si="534"/>
        <v>1600.0160420547409</v>
      </c>
      <c r="EF107" s="28">
        <f t="shared" si="535"/>
        <v>28039.222088278635</v>
      </c>
      <c r="EG107" s="28">
        <f t="shared" si="536"/>
        <v>6962.1103837215633</v>
      </c>
      <c r="EH107" s="28">
        <f t="shared" si="537"/>
        <v>6271.8400613105659</v>
      </c>
      <c r="EI107" s="28">
        <f t="shared" si="538"/>
        <v>17586.652350048695</v>
      </c>
      <c r="EJ107" s="28">
        <f t="shared" si="539"/>
        <v>8795.4249529276603</v>
      </c>
      <c r="EK107" s="28">
        <f t="shared" si="540"/>
        <v>23178.773915478771</v>
      </c>
      <c r="EL107" s="28">
        <f t="shared" si="541"/>
        <v>0</v>
      </c>
      <c r="EM107" s="28">
        <f t="shared" si="542"/>
        <v>5281.6602824480797</v>
      </c>
      <c r="EN107" s="28">
        <f t="shared" si="543"/>
        <v>0</v>
      </c>
      <c r="EQ107" s="144">
        <v>2.9999948576309849E-2</v>
      </c>
      <c r="ER107" s="144">
        <v>4.9999998594981138E-2</v>
      </c>
      <c r="ES107" s="144">
        <v>7.9999947171290983E-2</v>
      </c>
      <c r="ET107" s="144">
        <v>0.11000002922439221</v>
      </c>
      <c r="EU107" s="144">
        <v>0.12000005423372787</v>
      </c>
      <c r="EV107" s="144">
        <v>0.1500000028100377</v>
      </c>
      <c r="EW107" s="144">
        <v>0.12999994576627213</v>
      </c>
      <c r="EX107" s="144">
        <v>7.9999947171290983E-2</v>
      </c>
      <c r="EY107" s="144">
        <v>7.0000055638746714E-2</v>
      </c>
      <c r="EZ107" s="144">
        <v>6.0000023604316784E-2</v>
      </c>
      <c r="FA107" s="144">
        <v>6.0000023604316784E-2</v>
      </c>
      <c r="FB107" s="144">
        <v>6.0000023604316784E-2</v>
      </c>
      <c r="FC107" s="145">
        <f t="shared" si="544"/>
        <v>0.99999999999999989</v>
      </c>
      <c r="FD107" s="146">
        <f t="shared" si="545"/>
        <v>0.15999989434258197</v>
      </c>
      <c r="FE107" s="146">
        <f t="shared" si="546"/>
        <v>0.38000008626815773</v>
      </c>
      <c r="FF107" s="146">
        <f t="shared" si="547"/>
        <v>0.27999994857630983</v>
      </c>
      <c r="FG107" s="146">
        <f t="shared" si="548"/>
        <v>0.18000007081295036</v>
      </c>
      <c r="FH107" s="145">
        <f t="shared" si="655"/>
        <v>0.99999999999999989</v>
      </c>
      <c r="FJ107" s="52">
        <f t="shared" si="549"/>
        <v>9393.3572904596858</v>
      </c>
      <c r="FK107" s="52">
        <f t="shared" si="550"/>
        <v>11013.572485475714</v>
      </c>
      <c r="FL107" s="52">
        <f t="shared" si="551"/>
        <v>4066.8091126414924</v>
      </c>
      <c r="FM107" s="52">
        <f t="shared" si="552"/>
        <v>4707.8145045604397</v>
      </c>
      <c r="FN107" s="52">
        <f t="shared" si="553"/>
        <v>12286.459818532523</v>
      </c>
      <c r="FO107" s="52">
        <f t="shared" si="554"/>
        <v>18785.068653614922</v>
      </c>
      <c r="FP107" s="52">
        <f t="shared" si="555"/>
        <v>4353.7637378705531</v>
      </c>
      <c r="FQ107" s="52">
        <f t="shared" si="556"/>
        <v>2487.3011368477842</v>
      </c>
      <c r="FR107" s="52">
        <f t="shared" si="557"/>
        <v>9696.1260461890724</v>
      </c>
      <c r="FS107" s="52">
        <f t="shared" si="558"/>
        <v>12573.435055556969</v>
      </c>
      <c r="FT107" s="52">
        <f t="shared" si="559"/>
        <v>19974.683756465351</v>
      </c>
      <c r="FU107" s="52">
        <f t="shared" si="560"/>
        <v>6666.9458826322098</v>
      </c>
      <c r="FV107" s="52">
        <f t="shared" si="561"/>
        <v>3694.0902496658632</v>
      </c>
      <c r="FW107" s="52">
        <f t="shared" si="562"/>
        <v>11929.27859912715</v>
      </c>
      <c r="FX107" s="52">
        <f t="shared" si="563"/>
        <v>17380.024898170152</v>
      </c>
      <c r="FY107" s="52">
        <f t="shared" si="564"/>
        <v>18376.895556226027</v>
      </c>
      <c r="FZ107" s="52">
        <f t="shared" si="565"/>
        <v>1189.2351850729838</v>
      </c>
      <c r="GA107" s="52">
        <f t="shared" si="566"/>
        <v>20840.559465037975</v>
      </c>
      <c r="GB107" s="52">
        <f t="shared" si="567"/>
        <v>5174.6897612670246</v>
      </c>
      <c r="GC107" s="52">
        <f t="shared" si="568"/>
        <v>4661.6363086474876</v>
      </c>
      <c r="GD107" s="52">
        <f t="shared" si="569"/>
        <v>13071.535042527305</v>
      </c>
      <c r="GE107" s="52">
        <f t="shared" si="570"/>
        <v>6537.327468453348</v>
      </c>
      <c r="GF107" s="52">
        <f t="shared" si="571"/>
        <v>17227.960697031667</v>
      </c>
      <c r="GG107" s="52">
        <f t="shared" si="572"/>
        <v>0</v>
      </c>
      <c r="GH107" s="52">
        <f t="shared" si="573"/>
        <v>3925.6707922900164</v>
      </c>
      <c r="GI107" s="52">
        <f t="shared" si="574"/>
        <v>0</v>
      </c>
      <c r="GJ107" s="26"/>
      <c r="GL107" s="150">
        <f t="shared" si="575"/>
        <v>22309.243361621004</v>
      </c>
      <c r="GM107" s="150">
        <f t="shared" si="576"/>
        <v>26157.257864435676</v>
      </c>
      <c r="GN107" s="150">
        <f t="shared" si="577"/>
        <v>9658.680213444437</v>
      </c>
      <c r="GO107" s="150">
        <f t="shared" si="578"/>
        <v>11181.069370189824</v>
      </c>
      <c r="GP107" s="150">
        <f t="shared" si="579"/>
        <v>29180.367963093431</v>
      </c>
      <c r="GQ107" s="150">
        <f t="shared" si="580"/>
        <v>44614.577642425109</v>
      </c>
      <c r="GR107" s="150">
        <f t="shared" si="581"/>
        <v>10340.198053128845</v>
      </c>
      <c r="GS107" s="150">
        <f t="shared" si="582"/>
        <v>5907.3454420744483</v>
      </c>
      <c r="GT107" s="150">
        <f t="shared" si="583"/>
        <v>23028.319794572435</v>
      </c>
      <c r="GU107" s="150">
        <f t="shared" si="584"/>
        <v>29861.934755835315</v>
      </c>
      <c r="GV107" s="150">
        <f t="shared" si="585"/>
        <v>47439.916018844</v>
      </c>
      <c r="GW107" s="150">
        <f t="shared" si="586"/>
        <v>15834.010522037797</v>
      </c>
      <c r="GX107" s="150">
        <f t="shared" si="587"/>
        <v>8773.4721283612525</v>
      </c>
      <c r="GY107" s="150">
        <f t="shared" si="588"/>
        <v>28332.061814235647</v>
      </c>
      <c r="GZ107" s="150">
        <f t="shared" si="589"/>
        <v>41277.595762072364</v>
      </c>
      <c r="HA107" s="150">
        <f t="shared" si="590"/>
        <v>43645.165675889562</v>
      </c>
      <c r="HB107" s="150">
        <f t="shared" si="591"/>
        <v>2824.4360708967815</v>
      </c>
      <c r="HC107" s="150">
        <f t="shared" si="592"/>
        <v>49496.372651562735</v>
      </c>
      <c r="HD107" s="150">
        <f t="shared" si="593"/>
        <v>12289.899088821421</v>
      </c>
      <c r="HE107" s="150">
        <f t="shared" si="594"/>
        <v>11071.396057574646</v>
      </c>
      <c r="HF107" s="150">
        <f t="shared" si="595"/>
        <v>31044.923274650369</v>
      </c>
      <c r="HG107" s="150">
        <f t="shared" si="596"/>
        <v>15526.166515188346</v>
      </c>
      <c r="HH107" s="150">
        <f t="shared" si="597"/>
        <v>40916.442963888643</v>
      </c>
      <c r="HI107" s="150">
        <f t="shared" si="598"/>
        <v>0</v>
      </c>
      <c r="HJ107" s="150">
        <f t="shared" si="599"/>
        <v>9323.4764051564835</v>
      </c>
      <c r="HK107" s="150">
        <f t="shared" si="600"/>
        <v>0</v>
      </c>
      <c r="HL107" s="26"/>
      <c r="HN107" s="147">
        <f t="shared" si="601"/>
        <v>16438.38309452957</v>
      </c>
      <c r="HO107" s="147">
        <f t="shared" si="602"/>
        <v>19273.761037440549</v>
      </c>
      <c r="HP107" s="147">
        <f t="shared" si="603"/>
        <v>7116.9193397787994</v>
      </c>
      <c r="HQ107" s="147">
        <f t="shared" si="604"/>
        <v>8238.6793103832042</v>
      </c>
      <c r="HR107" s="147">
        <f t="shared" si="605"/>
        <v>21501.314932171397</v>
      </c>
      <c r="HS107" s="147">
        <f t="shared" si="606"/>
        <v>32873.885814903275</v>
      </c>
      <c r="HT107" s="147">
        <f t="shared" si="607"/>
        <v>7619.0901733159544</v>
      </c>
      <c r="HU107" s="147">
        <f t="shared" si="608"/>
        <v>4352.7790644660863</v>
      </c>
      <c r="HV107" s="147">
        <f t="shared" si="609"/>
        <v>16968.228669634929</v>
      </c>
      <c r="HW107" s="147">
        <f t="shared" si="610"/>
        <v>22003.521836367672</v>
      </c>
      <c r="HX107" s="147">
        <f t="shared" si="611"/>
        <v>34955.713237304721</v>
      </c>
      <c r="HY107" s="147">
        <f t="shared" si="612"/>
        <v>11667.160856375946</v>
      </c>
      <c r="HZ107" s="147">
        <f t="shared" si="613"/>
        <v>6464.6610186380058</v>
      </c>
      <c r="IA107" s="147">
        <f t="shared" si="614"/>
        <v>20876.247500240526</v>
      </c>
      <c r="IB107" s="147">
        <f t="shared" si="615"/>
        <v>30415.058070744577</v>
      </c>
      <c r="IC107" s="147">
        <f t="shared" si="616"/>
        <v>32159.582553962264</v>
      </c>
      <c r="ID107" s="147">
        <f t="shared" si="617"/>
        <v>2081.1625659739811</v>
      </c>
      <c r="IE107" s="147">
        <f t="shared" si="618"/>
        <v>36470.996449646736</v>
      </c>
      <c r="IF107" s="147">
        <f t="shared" si="619"/>
        <v>9055.7113991013048</v>
      </c>
      <c r="IG107" s="147">
        <f t="shared" si="620"/>
        <v>8157.867429012279</v>
      </c>
      <c r="IH107" s="147">
        <f t="shared" si="621"/>
        <v>22875.19722909596</v>
      </c>
      <c r="II107" s="147">
        <f t="shared" si="622"/>
        <v>11440.328523431303</v>
      </c>
      <c r="IJ107" s="147">
        <f t="shared" si="623"/>
        <v>30148.945591895634</v>
      </c>
      <c r="IK107" s="147">
        <f t="shared" si="624"/>
        <v>0</v>
      </c>
      <c r="IL107" s="147">
        <f t="shared" si="625"/>
        <v>6869.9271614218251</v>
      </c>
      <c r="IM107" s="147">
        <f t="shared" si="626"/>
        <v>0</v>
      </c>
      <c r="IN107" s="26"/>
      <c r="IP107" s="61">
        <f t="shared" si="627"/>
        <v>10567.538087455476</v>
      </c>
      <c r="IQ107" s="61">
        <f t="shared" si="628"/>
        <v>12390.282102590036</v>
      </c>
      <c r="IR107" s="61">
        <f t="shared" si="629"/>
        <v>4575.1650728646819</v>
      </c>
      <c r="IS107" s="61">
        <f t="shared" si="630"/>
        <v>5296.2968986760588</v>
      </c>
      <c r="IT107" s="61">
        <f t="shared" si="631"/>
        <v>13822.281861268351</v>
      </c>
      <c r="IU107" s="61">
        <f t="shared" si="632"/>
        <v>21133.224504742226</v>
      </c>
      <c r="IV107" s="61">
        <f t="shared" si="633"/>
        <v>4897.9893664279061</v>
      </c>
      <c r="IW107" s="61">
        <f t="shared" si="634"/>
        <v>2798.2167276130476</v>
      </c>
      <c r="IX107" s="61">
        <f t="shared" si="635"/>
        <v>10908.153296578988</v>
      </c>
      <c r="IY107" s="61">
        <f t="shared" si="636"/>
        <v>14145.129343125818</v>
      </c>
      <c r="IZ107" s="61">
        <f t="shared" si="637"/>
        <v>22471.542905720344</v>
      </c>
      <c r="JA107" s="61">
        <f t="shared" si="638"/>
        <v>7500.3220215285301</v>
      </c>
      <c r="JB107" s="61">
        <f t="shared" si="639"/>
        <v>4155.8559101643123</v>
      </c>
      <c r="JC107" s="61">
        <f t="shared" si="640"/>
        <v>13420.452566004169</v>
      </c>
      <c r="JD107" s="61">
        <f t="shared" si="641"/>
        <v>19552.548614207939</v>
      </c>
      <c r="JE107" s="61">
        <f t="shared" si="642"/>
        <v>20674.029286296452</v>
      </c>
      <c r="JF107" s="61">
        <f t="shared" si="643"/>
        <v>1337.8909930281072</v>
      </c>
      <c r="JG107" s="61">
        <f t="shared" si="644"/>
        <v>23445.654104347595</v>
      </c>
      <c r="JH107" s="61">
        <f t="shared" si="645"/>
        <v>5821.5321159447876</v>
      </c>
      <c r="JI107" s="61">
        <f t="shared" si="646"/>
        <v>5244.3463735304094</v>
      </c>
      <c r="JJ107" s="61">
        <f t="shared" si="647"/>
        <v>14705.49241895773</v>
      </c>
      <c r="JK107" s="61">
        <f t="shared" si="648"/>
        <v>7354.5011519165673</v>
      </c>
      <c r="JL107" s="61">
        <f t="shared" si="649"/>
        <v>19381.476207657248</v>
      </c>
      <c r="JM107" s="61">
        <f t="shared" si="650"/>
        <v>0</v>
      </c>
      <c r="JN107" s="61">
        <f t="shared" si="651"/>
        <v>4416.3842951518473</v>
      </c>
      <c r="JO107" s="61">
        <f t="shared" si="652"/>
        <v>0</v>
      </c>
      <c r="JQ107" s="26">
        <f t="shared" si="516"/>
        <v>1500089.9999999995</v>
      </c>
      <c r="JR107" s="156">
        <f t="shared" si="517"/>
        <v>0.99999999999999967</v>
      </c>
      <c r="JT107" s="157">
        <f t="shared" si="653"/>
        <v>58708.521834065737</v>
      </c>
      <c r="JU107" s="29">
        <f t="shared" si="654"/>
        <v>0.99999999999999989</v>
      </c>
    </row>
    <row r="108" spans="1:281" ht="18.75" x14ac:dyDescent="0.3">
      <c r="A108" t="s">
        <v>234</v>
      </c>
      <c r="B108" t="s">
        <v>185</v>
      </c>
      <c r="C108" t="s">
        <v>74</v>
      </c>
      <c r="D108" t="s">
        <v>29</v>
      </c>
      <c r="E108" s="11" t="s">
        <v>269</v>
      </c>
      <c r="F108" s="114">
        <v>7160.0009999912181</v>
      </c>
      <c r="G108" s="17">
        <v>2060791.2874635758</v>
      </c>
      <c r="H108" s="21">
        <v>1312605.9155818953</v>
      </c>
      <c r="I108" s="25">
        <f t="shared" si="434"/>
        <v>1.5700000000000003</v>
      </c>
      <c r="J108" s="13">
        <v>3.9136666356062583E-2</v>
      </c>
      <c r="K108" s="13">
        <v>4.5887162430215692E-2</v>
      </c>
      <c r="L108" s="13">
        <v>1.6944032517201932E-2</v>
      </c>
      <c r="M108" s="13">
        <v>1.9614729838749411E-2</v>
      </c>
      <c r="N108" s="13">
        <v>5.1190544950680116E-2</v>
      </c>
      <c r="O108" s="13">
        <v>7.8266475088618462E-2</v>
      </c>
      <c r="P108" s="13">
        <v>1.813960584414483E-2</v>
      </c>
      <c r="Q108" s="13">
        <v>1.0363139792280084E-2</v>
      </c>
      <c r="R108" s="13">
        <v>4.0398127983637962E-2</v>
      </c>
      <c r="S108" s="13">
        <v>5.2386204155007603E-2</v>
      </c>
      <c r="T108" s="13">
        <v>8.3222910570922085E-2</v>
      </c>
      <c r="U108" s="13">
        <v>2.7777292884143302E-2</v>
      </c>
      <c r="V108" s="13">
        <v>1.5391129403455489E-2</v>
      </c>
      <c r="W108" s="13">
        <v>4.9702378177047889E-2</v>
      </c>
      <c r="X108" s="13">
        <v>7.2412473481721112E-2</v>
      </c>
      <c r="Y108" s="13">
        <v>7.6565854763630384E-2</v>
      </c>
      <c r="Z108" s="13">
        <v>4.9548525854927654E-3</v>
      </c>
      <c r="AA108" s="13">
        <v>8.6830511949679653E-2</v>
      </c>
      <c r="AB108" s="13">
        <v>2.1559927981077493E-2</v>
      </c>
      <c r="AC108" s="13">
        <v>1.9422332105916804E-2</v>
      </c>
      <c r="AD108" s="13">
        <v>5.4461497620297027E-2</v>
      </c>
      <c r="AE108" s="13">
        <v>2.7237248204434131E-2</v>
      </c>
      <c r="AF108" s="13">
        <v>7.1778910239034543E-2</v>
      </c>
      <c r="AG108" s="9">
        <v>0</v>
      </c>
      <c r="AH108" s="13">
        <v>1.6355991076548847E-2</v>
      </c>
      <c r="AJ108" s="8">
        <f t="shared" si="461"/>
        <v>1.0000000000000004</v>
      </c>
      <c r="AK108" s="141">
        <f t="shared" si="435"/>
        <v>280.21857024573075</v>
      </c>
      <c r="AL108" s="141">
        <f t="shared" si="436"/>
        <v>328.55212888710383</v>
      </c>
      <c r="AM108" s="141">
        <f t="shared" si="437"/>
        <v>121.31928976704955</v>
      </c>
      <c r="AN108" s="141">
        <f t="shared" si="438"/>
        <v>140.44148526000336</v>
      </c>
      <c r="AO108" s="141">
        <f t="shared" si="439"/>
        <v>366.52435303696501</v>
      </c>
      <c r="AP108" s="141">
        <f t="shared" si="440"/>
        <v>560.38803990029589</v>
      </c>
      <c r="AQ108" s="141">
        <f t="shared" si="441"/>
        <v>129.87959598352353</v>
      </c>
      <c r="AR108" s="141">
        <f t="shared" si="442"/>
        <v>74.200091275774184</v>
      </c>
      <c r="AS108" s="141">
        <f t="shared" si="443"/>
        <v>289.25063676062103</v>
      </c>
      <c r="AT108" s="141">
        <f t="shared" si="444"/>
        <v>375.08527413559852</v>
      </c>
      <c r="AU108" s="141">
        <f t="shared" si="445"/>
        <v>595.87612290998186</v>
      </c>
      <c r="AV108" s="141">
        <f t="shared" si="446"/>
        <v>198.88544482751499</v>
      </c>
      <c r="AW108" s="141">
        <f t="shared" si="447"/>
        <v>110.20050191973554</v>
      </c>
      <c r="AX108" s="141">
        <f t="shared" si="448"/>
        <v>355.86907744960456</v>
      </c>
      <c r="AY108" s="141">
        <f t="shared" si="449"/>
        <v>518.47338254096076</v>
      </c>
      <c r="AZ108" s="141">
        <f t="shared" si="450"/>
        <v>548.21159667277595</v>
      </c>
      <c r="BA108" s="141">
        <f t="shared" si="451"/>
        <v>35.476749466937271</v>
      </c>
      <c r="BB108" s="141">
        <f t="shared" si="452"/>
        <v>621.70655238945574</v>
      </c>
      <c r="BC108" s="141">
        <f t="shared" si="453"/>
        <v>154.3691059042535</v>
      </c>
      <c r="BD108" s="141">
        <f t="shared" si="454"/>
        <v>139.06391730052584</v>
      </c>
      <c r="BE108" s="141">
        <f t="shared" si="455"/>
        <v>389.94437742234607</v>
      </c>
      <c r="BF108" s="141">
        <f t="shared" si="456"/>
        <v>195.01872438075739</v>
      </c>
      <c r="BG108" s="141">
        <f t="shared" si="457"/>
        <v>513.93706908976719</v>
      </c>
      <c r="BH108" s="141">
        <f t="shared" si="458"/>
        <v>0</v>
      </c>
      <c r="BI108" s="141">
        <f t="shared" si="459"/>
        <v>117.10891246393719</v>
      </c>
      <c r="BJ108" s="141">
        <f t="shared" si="460"/>
        <v>0</v>
      </c>
      <c r="BM108" s="26">
        <f t="shared" si="462"/>
        <v>80652.50104694262</v>
      </c>
      <c r="BN108" s="26">
        <f t="shared" si="463"/>
        <v>94563.864542614421</v>
      </c>
      <c r="BO108" s="26">
        <f t="shared" si="464"/>
        <v>34918.114585949261</v>
      </c>
      <c r="BP108" s="26">
        <f t="shared" si="465"/>
        <v>40421.864357646613</v>
      </c>
      <c r="BQ108" s="26">
        <f t="shared" si="466"/>
        <v>105493.02903487413</v>
      </c>
      <c r="BR108" s="26">
        <f t="shared" si="467"/>
        <v>161290.86996310993</v>
      </c>
      <c r="BS108" s="26">
        <f t="shared" si="468"/>
        <v>37381.941681637029</v>
      </c>
      <c r="BT108" s="26">
        <f t="shared" si="469"/>
        <v>21356.268194697888</v>
      </c>
      <c r="BU108" s="26">
        <f t="shared" si="470"/>
        <v>83252.110178519579</v>
      </c>
      <c r="BV108" s="26">
        <f t="shared" si="471"/>
        <v>107957.03310592784</v>
      </c>
      <c r="BW108" s="26">
        <f t="shared" si="472"/>
        <v>171505.04902191655</v>
      </c>
      <c r="BX108" s="26">
        <f t="shared" si="473"/>
        <v>57243.2031649665</v>
      </c>
      <c r="BY108" s="26">
        <f t="shared" si="474"/>
        <v>31717.905378865536</v>
      </c>
      <c r="BZ108" s="26">
        <f t="shared" si="475"/>
        <v>102426.22791348005</v>
      </c>
      <c r="CA108" s="26">
        <f t="shared" si="476"/>
        <v>149226.99445481811</v>
      </c>
      <c r="CB108" s="26">
        <f t="shared" si="477"/>
        <v>157786.24641409103</v>
      </c>
      <c r="CC108" s="26">
        <f t="shared" si="478"/>
        <v>10210.917038849864</v>
      </c>
      <c r="CD108" s="26">
        <f t="shared" si="479"/>
        <v>178939.56251190175</v>
      </c>
      <c r="CE108" s="26">
        <f t="shared" si="480"/>
        <v>44430.511741746661</v>
      </c>
      <c r="CF108" s="26">
        <f t="shared" si="481"/>
        <v>40025.372786097432</v>
      </c>
      <c r="CG108" s="26">
        <f t="shared" si="482"/>
        <v>112233.77979812639</v>
      </c>
      <c r="CH108" s="26">
        <f t="shared" si="483"/>
        <v>56130.283794180781</v>
      </c>
      <c r="CI108" s="26">
        <f t="shared" si="484"/>
        <v>147921.35284423243</v>
      </c>
      <c r="CJ108" s="26">
        <f t="shared" si="485"/>
        <v>0</v>
      </c>
      <c r="CK108" s="26">
        <f t="shared" si="486"/>
        <v>33706.283908383855</v>
      </c>
      <c r="CL108" s="26">
        <f t="shared" si="487"/>
        <v>0</v>
      </c>
      <c r="CM108" s="110">
        <f t="shared" si="488"/>
        <v>1.0000000000000004</v>
      </c>
      <c r="CN108" s="27">
        <f t="shared" si="489"/>
        <v>51371.019775122681</v>
      </c>
      <c r="CO108" s="27">
        <f t="shared" si="490"/>
        <v>60231.760855168417</v>
      </c>
      <c r="CP108" s="27">
        <f t="shared" si="491"/>
        <v>22240.837315891247</v>
      </c>
      <c r="CQ108" s="27">
        <f t="shared" si="492"/>
        <v>25746.410418883192</v>
      </c>
      <c r="CR108" s="27">
        <f t="shared" si="493"/>
        <v>67193.012124123634</v>
      </c>
      <c r="CS108" s="27">
        <f t="shared" si="494"/>
        <v>102733.03819306364</v>
      </c>
      <c r="CT108" s="27">
        <f t="shared" si="495"/>
        <v>23810.153937348423</v>
      </c>
      <c r="CU108" s="27">
        <f t="shared" si="496"/>
        <v>13602.718595348972</v>
      </c>
      <c r="CV108" s="27">
        <f t="shared" si="497"/>
        <v>53026.821769757691</v>
      </c>
      <c r="CW108" s="27">
        <f t="shared" si="498"/>
        <v>68762.44146874384</v>
      </c>
      <c r="CX108" s="27">
        <f t="shared" si="499"/>
        <v>109238.88472733537</v>
      </c>
      <c r="CY108" s="27">
        <f t="shared" si="500"/>
        <v>36460.638958577387</v>
      </c>
      <c r="CZ108" s="27">
        <f t="shared" si="501"/>
        <v>20202.487502462121</v>
      </c>
      <c r="DA108" s="27">
        <f t="shared" si="502"/>
        <v>65239.635613681552</v>
      </c>
      <c r="DB108" s="27">
        <f t="shared" si="503"/>
        <v>95049.041054024259</v>
      </c>
      <c r="DC108" s="27">
        <f t="shared" si="504"/>
        <v>100500.79389432547</v>
      </c>
      <c r="DD108" s="27">
        <f t="shared" si="505"/>
        <v>6503.7688145540524</v>
      </c>
      <c r="DE108" s="27">
        <f t="shared" si="506"/>
        <v>113974.24363815396</v>
      </c>
      <c r="DF108" s="27">
        <f t="shared" si="507"/>
        <v>28299.689007481946</v>
      </c>
      <c r="DG108" s="27">
        <f t="shared" si="508"/>
        <v>25493.868016622568</v>
      </c>
      <c r="DH108" s="27">
        <f t="shared" si="509"/>
        <v>71486.483947851186</v>
      </c>
      <c r="DI108" s="27">
        <f t="shared" si="510"/>
        <v>35751.773117312594</v>
      </c>
      <c r="DJ108" s="27">
        <f t="shared" si="511"/>
        <v>94217.422193778621</v>
      </c>
      <c r="DK108" s="27">
        <f t="shared" si="512"/>
        <v>0</v>
      </c>
      <c r="DL108" s="27">
        <f t="shared" si="513"/>
        <v>21468.970642282708</v>
      </c>
      <c r="DM108" s="27">
        <f t="shared" si="514"/>
        <v>0</v>
      </c>
      <c r="DN108" s="110">
        <f t="shared" si="515"/>
        <v>1.0000000000000004</v>
      </c>
      <c r="DO108" s="28">
        <f t="shared" si="518"/>
        <v>29281.481271819939</v>
      </c>
      <c r="DP108" s="28">
        <f t="shared" si="519"/>
        <v>34332.103687446004</v>
      </c>
      <c r="DQ108" s="28">
        <f t="shared" si="520"/>
        <v>12677.277270058014</v>
      </c>
      <c r="DR108" s="28">
        <f t="shared" si="521"/>
        <v>14675.453938763421</v>
      </c>
      <c r="DS108" s="28">
        <f t="shared" si="522"/>
        <v>38300.016910750492</v>
      </c>
      <c r="DT108" s="28">
        <f t="shared" si="523"/>
        <v>58557.831770046294</v>
      </c>
      <c r="DU108" s="28">
        <f t="shared" si="524"/>
        <v>13571.787744288606</v>
      </c>
      <c r="DV108" s="28">
        <f t="shared" si="525"/>
        <v>7753.5495993489167</v>
      </c>
      <c r="DW108" s="28">
        <f t="shared" si="526"/>
        <v>30225.288408761888</v>
      </c>
      <c r="DX108" s="28">
        <f t="shared" si="527"/>
        <v>39194.591637183999</v>
      </c>
      <c r="DY108" s="28">
        <f t="shared" si="528"/>
        <v>62266.164294581176</v>
      </c>
      <c r="DZ108" s="28">
        <f t="shared" si="529"/>
        <v>20782.564206389114</v>
      </c>
      <c r="EA108" s="28">
        <f t="shared" si="530"/>
        <v>11515.417876403415</v>
      </c>
      <c r="EB108" s="28">
        <f t="shared" si="531"/>
        <v>37186.592299798496</v>
      </c>
      <c r="EC108" s="28">
        <f t="shared" si="532"/>
        <v>54177.953400793849</v>
      </c>
      <c r="ED108" s="28">
        <f t="shared" si="533"/>
        <v>57285.45251976556</v>
      </c>
      <c r="EE108" s="28">
        <f t="shared" si="534"/>
        <v>3707.1482242958118</v>
      </c>
      <c r="EF108" s="28">
        <f t="shared" si="535"/>
        <v>64965.31887374779</v>
      </c>
      <c r="EG108" s="28">
        <f t="shared" si="536"/>
        <v>16130.822734264715</v>
      </c>
      <c r="EH108" s="28">
        <f t="shared" si="537"/>
        <v>14531.504769474865</v>
      </c>
      <c r="EI108" s="28">
        <f t="shared" si="538"/>
        <v>40747.295850275201</v>
      </c>
      <c r="EJ108" s="28">
        <f t="shared" si="539"/>
        <v>20378.510676868187</v>
      </c>
      <c r="EK108" s="28">
        <f t="shared" si="540"/>
        <v>53703.930650453811</v>
      </c>
      <c r="EL108" s="28">
        <f t="shared" si="541"/>
        <v>0</v>
      </c>
      <c r="EM108" s="28">
        <f t="shared" si="542"/>
        <v>12237.313266101148</v>
      </c>
      <c r="EN108" s="28">
        <f t="shared" si="543"/>
        <v>0</v>
      </c>
      <c r="EQ108" s="144">
        <v>0.08</v>
      </c>
      <c r="ER108" s="144">
        <v>0.16</v>
      </c>
      <c r="ES108" s="144">
        <v>0.24</v>
      </c>
      <c r="ET108" s="144">
        <v>0.2</v>
      </c>
      <c r="EU108" s="144">
        <v>0.1</v>
      </c>
      <c r="EV108" s="144">
        <v>0.1</v>
      </c>
      <c r="EW108" s="144">
        <v>0.08</v>
      </c>
      <c r="EX108" s="144">
        <v>0.02</v>
      </c>
      <c r="EY108" s="144">
        <v>0.02</v>
      </c>
      <c r="EZ108" s="144">
        <v>0</v>
      </c>
      <c r="FA108" s="144">
        <v>0</v>
      </c>
      <c r="FB108" s="144">
        <v>0</v>
      </c>
      <c r="FC108" s="145">
        <f t="shared" si="544"/>
        <v>0.99999999999999989</v>
      </c>
      <c r="FD108" s="146">
        <f t="shared" si="545"/>
        <v>0.48</v>
      </c>
      <c r="FE108" s="146">
        <f t="shared" si="546"/>
        <v>0.4</v>
      </c>
      <c r="FF108" s="146">
        <f t="shared" si="547"/>
        <v>0.12000000000000001</v>
      </c>
      <c r="FG108" s="146">
        <f t="shared" si="548"/>
        <v>0</v>
      </c>
      <c r="FH108" s="145">
        <f t="shared" si="655"/>
        <v>1</v>
      </c>
      <c r="FJ108" s="52">
        <f t="shared" si="549"/>
        <v>38713.200502532454</v>
      </c>
      <c r="FK108" s="52">
        <f t="shared" si="550"/>
        <v>45390.654980454921</v>
      </c>
      <c r="FL108" s="52">
        <f t="shared" si="551"/>
        <v>16760.695001255644</v>
      </c>
      <c r="FM108" s="52">
        <f t="shared" si="552"/>
        <v>19402.494891670372</v>
      </c>
      <c r="FN108" s="52">
        <f t="shared" si="553"/>
        <v>50636.653936739582</v>
      </c>
      <c r="FO108" s="52">
        <f t="shared" si="554"/>
        <v>77419.617582292762</v>
      </c>
      <c r="FP108" s="52">
        <f t="shared" si="555"/>
        <v>17943.332007185774</v>
      </c>
      <c r="FQ108" s="52">
        <f t="shared" si="556"/>
        <v>10251.008733454986</v>
      </c>
      <c r="FR108" s="52">
        <f t="shared" si="557"/>
        <v>39961.012885689393</v>
      </c>
      <c r="FS108" s="52">
        <f t="shared" si="558"/>
        <v>51819.37589084536</v>
      </c>
      <c r="FT108" s="52">
        <f t="shared" si="559"/>
        <v>82322.42353051994</v>
      </c>
      <c r="FU108" s="52">
        <f t="shared" si="560"/>
        <v>27476.73751918392</v>
      </c>
      <c r="FV108" s="52">
        <f t="shared" si="561"/>
        <v>15224.594581855457</v>
      </c>
      <c r="FW108" s="52">
        <f t="shared" si="562"/>
        <v>49164.589398470423</v>
      </c>
      <c r="FX108" s="52">
        <f t="shared" si="563"/>
        <v>71628.957338312684</v>
      </c>
      <c r="FY108" s="52">
        <f t="shared" si="564"/>
        <v>75737.398278763692</v>
      </c>
      <c r="FZ108" s="52">
        <f t="shared" si="565"/>
        <v>4901.240178647935</v>
      </c>
      <c r="GA108" s="52">
        <f t="shared" si="566"/>
        <v>85890.99000571284</v>
      </c>
      <c r="GB108" s="52">
        <f t="shared" si="567"/>
        <v>21326.645636038396</v>
      </c>
      <c r="GC108" s="52">
        <f t="shared" si="568"/>
        <v>19212.178937326767</v>
      </c>
      <c r="GD108" s="52">
        <f t="shared" si="569"/>
        <v>53872.214303100664</v>
      </c>
      <c r="GE108" s="52">
        <f t="shared" si="570"/>
        <v>26942.536221206774</v>
      </c>
      <c r="GF108" s="52">
        <f t="shared" si="571"/>
        <v>71002.249365231561</v>
      </c>
      <c r="GG108" s="52">
        <f t="shared" si="572"/>
        <v>0</v>
      </c>
      <c r="GH108" s="52">
        <f t="shared" si="573"/>
        <v>16179.016276024249</v>
      </c>
      <c r="GI108" s="52">
        <f t="shared" si="574"/>
        <v>0</v>
      </c>
      <c r="GJ108" s="26"/>
      <c r="GL108" s="150">
        <f t="shared" si="575"/>
        <v>32261.00041877705</v>
      </c>
      <c r="GM108" s="150">
        <f t="shared" si="576"/>
        <v>37825.545817045771</v>
      </c>
      <c r="GN108" s="150">
        <f t="shared" si="577"/>
        <v>13967.245834379704</v>
      </c>
      <c r="GO108" s="150">
        <f t="shared" si="578"/>
        <v>16168.745743058646</v>
      </c>
      <c r="GP108" s="150">
        <f t="shared" si="579"/>
        <v>42197.21161394965</v>
      </c>
      <c r="GQ108" s="150">
        <f t="shared" si="580"/>
        <v>64516.347985243978</v>
      </c>
      <c r="GR108" s="150">
        <f t="shared" si="581"/>
        <v>14952.776672654813</v>
      </c>
      <c r="GS108" s="150">
        <f t="shared" si="582"/>
        <v>8542.5072778791564</v>
      </c>
      <c r="GT108" s="150">
        <f t="shared" si="583"/>
        <v>33300.844071407832</v>
      </c>
      <c r="GU108" s="150">
        <f t="shared" si="584"/>
        <v>43182.813242371136</v>
      </c>
      <c r="GV108" s="150">
        <f t="shared" si="585"/>
        <v>68602.019608766626</v>
      </c>
      <c r="GW108" s="150">
        <f t="shared" si="586"/>
        <v>22897.281265986603</v>
      </c>
      <c r="GX108" s="150">
        <f t="shared" si="587"/>
        <v>12687.162151546216</v>
      </c>
      <c r="GY108" s="150">
        <f t="shared" si="588"/>
        <v>40970.491165392021</v>
      </c>
      <c r="GZ108" s="150">
        <f t="shared" si="589"/>
        <v>59690.797781927249</v>
      </c>
      <c r="HA108" s="150">
        <f t="shared" si="590"/>
        <v>63114.498565636415</v>
      </c>
      <c r="HB108" s="150">
        <f t="shared" si="591"/>
        <v>4084.3668155399459</v>
      </c>
      <c r="HC108" s="150">
        <f t="shared" si="592"/>
        <v>71575.8250047607</v>
      </c>
      <c r="HD108" s="150">
        <f t="shared" si="593"/>
        <v>17772.204696698664</v>
      </c>
      <c r="HE108" s="150">
        <f t="shared" si="594"/>
        <v>16010.149114438973</v>
      </c>
      <c r="HF108" s="150">
        <f t="shared" si="595"/>
        <v>44893.511919250559</v>
      </c>
      <c r="HG108" s="150">
        <f t="shared" si="596"/>
        <v>22452.113517672315</v>
      </c>
      <c r="HH108" s="150">
        <f t="shared" si="597"/>
        <v>59168.541137692977</v>
      </c>
      <c r="HI108" s="150">
        <f t="shared" si="598"/>
        <v>0</v>
      </c>
      <c r="HJ108" s="150">
        <f t="shared" si="599"/>
        <v>13482.513563353543</v>
      </c>
      <c r="HK108" s="150">
        <f t="shared" si="600"/>
        <v>0</v>
      </c>
      <c r="HL108" s="26"/>
      <c r="HN108" s="147">
        <f t="shared" si="601"/>
        <v>9678.3001256331154</v>
      </c>
      <c r="HO108" s="147">
        <f t="shared" si="602"/>
        <v>11347.663745113732</v>
      </c>
      <c r="HP108" s="147">
        <f t="shared" si="603"/>
        <v>4190.173750313912</v>
      </c>
      <c r="HQ108" s="147">
        <f t="shared" si="604"/>
        <v>4850.623722917594</v>
      </c>
      <c r="HR108" s="147">
        <f t="shared" si="605"/>
        <v>12659.163484184895</v>
      </c>
      <c r="HS108" s="147">
        <f t="shared" si="606"/>
        <v>19354.904395573194</v>
      </c>
      <c r="HT108" s="147">
        <f t="shared" si="607"/>
        <v>4485.8330017964436</v>
      </c>
      <c r="HU108" s="147">
        <f t="shared" si="608"/>
        <v>2562.752183363747</v>
      </c>
      <c r="HV108" s="147">
        <f t="shared" si="609"/>
        <v>9990.2532214223502</v>
      </c>
      <c r="HW108" s="147">
        <f t="shared" si="610"/>
        <v>12954.843972711342</v>
      </c>
      <c r="HX108" s="147">
        <f t="shared" si="611"/>
        <v>20580.605882629989</v>
      </c>
      <c r="HY108" s="147">
        <f t="shared" si="612"/>
        <v>6869.1843797959809</v>
      </c>
      <c r="HZ108" s="147">
        <f t="shared" si="613"/>
        <v>3806.1486454638648</v>
      </c>
      <c r="IA108" s="147">
        <f t="shared" si="614"/>
        <v>12291.147349617606</v>
      </c>
      <c r="IB108" s="147">
        <f t="shared" si="615"/>
        <v>17907.239334578175</v>
      </c>
      <c r="IC108" s="147">
        <f t="shared" si="616"/>
        <v>18934.349569690927</v>
      </c>
      <c r="ID108" s="147">
        <f t="shared" si="617"/>
        <v>1225.3100446619837</v>
      </c>
      <c r="IE108" s="147">
        <f t="shared" si="618"/>
        <v>21472.74750142821</v>
      </c>
      <c r="IF108" s="147">
        <f t="shared" si="619"/>
        <v>5331.6614090096</v>
      </c>
      <c r="IG108" s="147">
        <f t="shared" si="620"/>
        <v>4803.0447343316919</v>
      </c>
      <c r="IH108" s="147">
        <f t="shared" si="621"/>
        <v>13468.053575775168</v>
      </c>
      <c r="II108" s="147">
        <f t="shared" si="622"/>
        <v>6735.6340553016944</v>
      </c>
      <c r="IJ108" s="147">
        <f t="shared" si="623"/>
        <v>17750.562341307894</v>
      </c>
      <c r="IK108" s="147">
        <f t="shared" si="624"/>
        <v>0</v>
      </c>
      <c r="IL108" s="147">
        <f t="shared" si="625"/>
        <v>4044.7540690060628</v>
      </c>
      <c r="IM108" s="147">
        <f t="shared" si="626"/>
        <v>0</v>
      </c>
      <c r="IN108" s="26"/>
      <c r="IP108" s="61">
        <f t="shared" si="627"/>
        <v>0</v>
      </c>
      <c r="IQ108" s="61">
        <f t="shared" si="628"/>
        <v>0</v>
      </c>
      <c r="IR108" s="61">
        <f t="shared" si="629"/>
        <v>0</v>
      </c>
      <c r="IS108" s="61">
        <f t="shared" si="630"/>
        <v>0</v>
      </c>
      <c r="IT108" s="61">
        <f t="shared" si="631"/>
        <v>0</v>
      </c>
      <c r="IU108" s="61">
        <f t="shared" si="632"/>
        <v>0</v>
      </c>
      <c r="IV108" s="61">
        <f t="shared" si="633"/>
        <v>0</v>
      </c>
      <c r="IW108" s="61">
        <f t="shared" si="634"/>
        <v>0</v>
      </c>
      <c r="IX108" s="61">
        <f t="shared" si="635"/>
        <v>0</v>
      </c>
      <c r="IY108" s="61">
        <f t="shared" si="636"/>
        <v>0</v>
      </c>
      <c r="IZ108" s="61">
        <f t="shared" si="637"/>
        <v>0</v>
      </c>
      <c r="JA108" s="61">
        <f t="shared" si="638"/>
        <v>0</v>
      </c>
      <c r="JB108" s="61">
        <f t="shared" si="639"/>
        <v>0</v>
      </c>
      <c r="JC108" s="61">
        <f t="shared" si="640"/>
        <v>0</v>
      </c>
      <c r="JD108" s="61">
        <f t="shared" si="641"/>
        <v>0</v>
      </c>
      <c r="JE108" s="61">
        <f t="shared" si="642"/>
        <v>0</v>
      </c>
      <c r="JF108" s="61">
        <f t="shared" si="643"/>
        <v>0</v>
      </c>
      <c r="JG108" s="61">
        <f t="shared" si="644"/>
        <v>0</v>
      </c>
      <c r="JH108" s="61">
        <f t="shared" si="645"/>
        <v>0</v>
      </c>
      <c r="JI108" s="61">
        <f t="shared" si="646"/>
        <v>0</v>
      </c>
      <c r="JJ108" s="61">
        <f t="shared" si="647"/>
        <v>0</v>
      </c>
      <c r="JK108" s="61">
        <f t="shared" si="648"/>
        <v>0</v>
      </c>
      <c r="JL108" s="61">
        <f t="shared" si="649"/>
        <v>0</v>
      </c>
      <c r="JM108" s="61">
        <f t="shared" si="650"/>
        <v>0</v>
      </c>
      <c r="JN108" s="61">
        <f t="shared" si="651"/>
        <v>0</v>
      </c>
      <c r="JO108" s="61">
        <f t="shared" si="652"/>
        <v>0</v>
      </c>
      <c r="JQ108" s="26">
        <f t="shared" si="516"/>
        <v>2060791.2874635765</v>
      </c>
      <c r="JR108" s="156">
        <f t="shared" si="517"/>
        <v>1.0000000000000004</v>
      </c>
      <c r="JT108" s="157">
        <f t="shared" si="653"/>
        <v>80652.50104694262</v>
      </c>
      <c r="JU108" s="29">
        <f t="shared" si="654"/>
        <v>1</v>
      </c>
    </row>
    <row r="109" spans="1:281" ht="18.75" x14ac:dyDescent="0.3">
      <c r="A109" t="s">
        <v>234</v>
      </c>
      <c r="B109" t="s">
        <v>103</v>
      </c>
      <c r="C109" t="s">
        <v>74</v>
      </c>
      <c r="D109" t="s">
        <v>29</v>
      </c>
      <c r="E109" s="11" t="s">
        <v>129</v>
      </c>
      <c r="F109" s="114">
        <v>17700</v>
      </c>
      <c r="G109" s="17">
        <v>5276370</v>
      </c>
      <c r="H109" s="21">
        <v>3405126</v>
      </c>
      <c r="I109" s="25">
        <f t="shared" si="434"/>
        <v>1.5495373739473959</v>
      </c>
      <c r="J109" s="13">
        <v>3.826755299678377E-2</v>
      </c>
      <c r="K109" s="13">
        <v>4.522345408309391E-2</v>
      </c>
      <c r="L109" s="13">
        <v>1.6567754045071041E-2</v>
      </c>
      <c r="M109" s="13">
        <v>1.9179142822052492E-2</v>
      </c>
      <c r="N109" s="13">
        <v>5.0053749443351447E-2</v>
      </c>
      <c r="O109" s="13">
        <v>7.7949657504398737E-2</v>
      </c>
      <c r="P109" s="13">
        <v>1.7736777109889221E-2</v>
      </c>
      <c r="Q109" s="13">
        <v>1.0133004114509197E-2</v>
      </c>
      <c r="R109" s="13">
        <v>3.9501001171635138E-2</v>
      </c>
      <c r="S109" s="13">
        <v>5.1222856478463204E-2</v>
      </c>
      <c r="T109" s="13">
        <v>8.1374767892718414E-2</v>
      </c>
      <c r="U109" s="13">
        <v>2.7160438701659528E-2</v>
      </c>
      <c r="V109" s="13">
        <v>1.5049336465415411E-2</v>
      </c>
      <c r="W109" s="13">
        <v>5.6060229037217697E-2</v>
      </c>
      <c r="X109" s="13">
        <v>7.0804399674187196E-2</v>
      </c>
      <c r="Y109" s="13">
        <v>7.6642117301565435E-2</v>
      </c>
      <c r="Z109" s="13">
        <v>5.3777908065663115E-3</v>
      </c>
      <c r="AA109" s="13">
        <v>8.6323511615156695E-2</v>
      </c>
      <c r="AB109" s="13">
        <v>2.1081143680366628E-2</v>
      </c>
      <c r="AC109" s="13">
        <v>1.8991017692266313E-2</v>
      </c>
      <c r="AD109" s="13">
        <v>5.4318006249528324E-2</v>
      </c>
      <c r="AE109" s="13">
        <v>2.6632386868798128E-2</v>
      </c>
      <c r="AF109" s="13">
        <v>7.8357132923335779E-2</v>
      </c>
      <c r="AG109" s="9">
        <v>0</v>
      </c>
      <c r="AH109" s="13">
        <v>1.5992771321970287E-2</v>
      </c>
      <c r="AJ109" s="8">
        <f t="shared" si="461"/>
        <v>1.0000000000000002</v>
      </c>
      <c r="AK109" s="141">
        <f t="shared" si="435"/>
        <v>677.33568804307276</v>
      </c>
      <c r="AL109" s="141">
        <f t="shared" si="436"/>
        <v>800.45513727076218</v>
      </c>
      <c r="AM109" s="141">
        <f t="shared" si="437"/>
        <v>293.24924659775741</v>
      </c>
      <c r="AN109" s="141">
        <f t="shared" si="438"/>
        <v>339.47082795032912</v>
      </c>
      <c r="AO109" s="141">
        <f t="shared" si="439"/>
        <v>885.95136514732064</v>
      </c>
      <c r="AP109" s="141">
        <f t="shared" si="440"/>
        <v>1379.7089378278577</v>
      </c>
      <c r="AQ109" s="141">
        <f t="shared" si="441"/>
        <v>313.94095484503924</v>
      </c>
      <c r="AR109" s="141">
        <f t="shared" si="442"/>
        <v>179.35417282681277</v>
      </c>
      <c r="AS109" s="141">
        <f t="shared" si="443"/>
        <v>699.16772073794198</v>
      </c>
      <c r="AT109" s="141">
        <f t="shared" si="444"/>
        <v>906.64455966879871</v>
      </c>
      <c r="AU109" s="141">
        <f t="shared" si="445"/>
        <v>1440.3333917011159</v>
      </c>
      <c r="AV109" s="141">
        <f t="shared" si="446"/>
        <v>480.73976501937364</v>
      </c>
      <c r="AW109" s="141">
        <f t="shared" si="447"/>
        <v>266.37325543785278</v>
      </c>
      <c r="AX109" s="141">
        <f t="shared" si="448"/>
        <v>992.26605395875322</v>
      </c>
      <c r="AY109" s="141">
        <f t="shared" si="449"/>
        <v>1253.2378742331134</v>
      </c>
      <c r="AZ109" s="141">
        <f t="shared" si="450"/>
        <v>1356.5654762377083</v>
      </c>
      <c r="BA109" s="141">
        <f t="shared" si="451"/>
        <v>95.186897276223718</v>
      </c>
      <c r="BB109" s="141">
        <f t="shared" si="452"/>
        <v>1527.9261555882736</v>
      </c>
      <c r="BC109" s="141">
        <f t="shared" si="453"/>
        <v>373.13624314248932</v>
      </c>
      <c r="BD109" s="141">
        <f t="shared" si="454"/>
        <v>336.14101315311376</v>
      </c>
      <c r="BE109" s="141">
        <f t="shared" si="455"/>
        <v>961.4287106166513</v>
      </c>
      <c r="BF109" s="141">
        <f t="shared" si="456"/>
        <v>471.39324757772687</v>
      </c>
      <c r="BG109" s="141">
        <f t="shared" si="457"/>
        <v>1386.9212527430434</v>
      </c>
      <c r="BH109" s="141">
        <f t="shared" si="458"/>
        <v>0</v>
      </c>
      <c r="BI109" s="141">
        <f t="shared" si="459"/>
        <v>283.07205239887406</v>
      </c>
      <c r="BJ109" s="141">
        <f t="shared" si="460"/>
        <v>0</v>
      </c>
      <c r="BM109" s="26">
        <f t="shared" si="462"/>
        <v>201913.76860563998</v>
      </c>
      <c r="BN109" s="26">
        <f t="shared" si="463"/>
        <v>238615.67642041421</v>
      </c>
      <c r="BO109" s="26">
        <f t="shared" si="464"/>
        <v>87417.600410791492</v>
      </c>
      <c r="BP109" s="26">
        <f t="shared" si="465"/>
        <v>101196.25381199311</v>
      </c>
      <c r="BQ109" s="26">
        <f t="shared" si="466"/>
        <v>264102.10195041628</v>
      </c>
      <c r="BR109" s="26">
        <f t="shared" si="467"/>
        <v>411291.23436648434</v>
      </c>
      <c r="BS109" s="26">
        <f t="shared" si="468"/>
        <v>93585.798639306187</v>
      </c>
      <c r="BT109" s="26">
        <f t="shared" si="469"/>
        <v>53465.478919672889</v>
      </c>
      <c r="BU109" s="26">
        <f t="shared" si="470"/>
        <v>208421.89755198048</v>
      </c>
      <c r="BV109" s="26">
        <f t="shared" si="471"/>
        <v>270270.74323726888</v>
      </c>
      <c r="BW109" s="26">
        <f t="shared" si="472"/>
        <v>429363.38406610268</v>
      </c>
      <c r="BX109" s="26">
        <f t="shared" si="473"/>
        <v>143308.52395227528</v>
      </c>
      <c r="BY109" s="26">
        <f t="shared" si="474"/>
        <v>79405.867446023913</v>
      </c>
      <c r="BZ109" s="26">
        <f t="shared" si="475"/>
        <v>295794.51068510435</v>
      </c>
      <c r="CA109" s="26">
        <f t="shared" si="476"/>
        <v>373590.21030889108</v>
      </c>
      <c r="CB109" s="26">
        <f t="shared" si="477"/>
        <v>404392.16846646083</v>
      </c>
      <c r="CC109" s="26">
        <f t="shared" si="478"/>
        <v>28375.214078042289</v>
      </c>
      <c r="CD109" s="26">
        <f t="shared" si="479"/>
        <v>455474.78698086436</v>
      </c>
      <c r="CE109" s="26">
        <f t="shared" si="480"/>
        <v>111231.91408077607</v>
      </c>
      <c r="CF109" s="26">
        <f t="shared" si="481"/>
        <v>100203.6360209432</v>
      </c>
      <c r="CG109" s="26">
        <f t="shared" si="482"/>
        <v>286601.89863482374</v>
      </c>
      <c r="CH109" s="26">
        <f t="shared" si="483"/>
        <v>140522.32710292039</v>
      </c>
      <c r="CI109" s="26">
        <f t="shared" si="484"/>
        <v>413441.22544270119</v>
      </c>
      <c r="CJ109" s="26">
        <f t="shared" si="485"/>
        <v>0</v>
      </c>
      <c r="CK109" s="26">
        <f t="shared" si="486"/>
        <v>84383.778820104359</v>
      </c>
      <c r="CL109" s="26">
        <f t="shared" si="487"/>
        <v>0</v>
      </c>
      <c r="CM109" s="110">
        <f t="shared" si="488"/>
        <v>1.0000000000000004</v>
      </c>
      <c r="CN109" s="27">
        <f t="shared" si="489"/>
        <v>130305.83966572634</v>
      </c>
      <c r="CO109" s="27">
        <f t="shared" si="490"/>
        <v>153991.55930814924</v>
      </c>
      <c r="CP109" s="27">
        <f t="shared" si="491"/>
        <v>56415.290060476575</v>
      </c>
      <c r="CQ109" s="27">
        <f t="shared" si="492"/>
        <v>65307.397881084311</v>
      </c>
      <c r="CR109" s="27">
        <f t="shared" si="493"/>
        <v>170439.32362704154</v>
      </c>
      <c r="CS109" s="27">
        <f t="shared" si="494"/>
        <v>265428.40545932326</v>
      </c>
      <c r="CT109" s="27">
        <f t="shared" si="495"/>
        <v>60395.960893088646</v>
      </c>
      <c r="CU109" s="27">
        <f t="shared" si="496"/>
        <v>34504.155768422243</v>
      </c>
      <c r="CV109" s="27">
        <f t="shared" si="497"/>
        <v>134505.88611556526</v>
      </c>
      <c r="CW109" s="27">
        <f t="shared" si="498"/>
        <v>174420.28038908349</v>
      </c>
      <c r="CX109" s="27">
        <f t="shared" si="499"/>
        <v>277091.33789546066</v>
      </c>
      <c r="CY109" s="27">
        <f t="shared" si="500"/>
        <v>92484.715994427097</v>
      </c>
      <c r="CZ109" s="27">
        <f t="shared" si="501"/>
        <v>51244.886881134116</v>
      </c>
      <c r="DA109" s="27">
        <f t="shared" si="502"/>
        <v>190892.14346058495</v>
      </c>
      <c r="DB109" s="27">
        <f t="shared" si="503"/>
        <v>241097.90224496636</v>
      </c>
      <c r="DC109" s="27">
        <f t="shared" si="504"/>
        <v>260976.0663186103</v>
      </c>
      <c r="DD109" s="27">
        <f t="shared" si="505"/>
        <v>18312.055297999919</v>
      </c>
      <c r="DE109" s="27">
        <f t="shared" si="506"/>
        <v>293942.43381207203</v>
      </c>
      <c r="DF109" s="27">
        <f t="shared" si="507"/>
        <v>71783.9504557521</v>
      </c>
      <c r="DG109" s="27">
        <f t="shared" si="508"/>
        <v>64666.808110396021</v>
      </c>
      <c r="DH109" s="27">
        <f t="shared" si="509"/>
        <v>184959.65534843138</v>
      </c>
      <c r="DI109" s="27">
        <f t="shared" si="510"/>
        <v>90686.632969003098</v>
      </c>
      <c r="DJ109" s="27">
        <f t="shared" si="511"/>
        <v>266815.91060270666</v>
      </c>
      <c r="DK109" s="27">
        <f t="shared" si="512"/>
        <v>0</v>
      </c>
      <c r="DL109" s="27">
        <f t="shared" si="513"/>
        <v>54457.401440495392</v>
      </c>
      <c r="DM109" s="27">
        <f t="shared" si="514"/>
        <v>0</v>
      </c>
      <c r="DN109" s="110">
        <f t="shared" si="515"/>
        <v>1.0000000000000002</v>
      </c>
      <c r="DO109" s="28">
        <f t="shared" si="518"/>
        <v>71607.928939913647</v>
      </c>
      <c r="DP109" s="28">
        <f t="shared" si="519"/>
        <v>84624.117112264968</v>
      </c>
      <c r="DQ109" s="28">
        <f t="shared" si="520"/>
        <v>31002.310350314918</v>
      </c>
      <c r="DR109" s="28">
        <f t="shared" si="521"/>
        <v>35888.855930908801</v>
      </c>
      <c r="DS109" s="28">
        <f t="shared" si="522"/>
        <v>93662.778323374747</v>
      </c>
      <c r="DT109" s="28">
        <f t="shared" si="523"/>
        <v>145862.82890716108</v>
      </c>
      <c r="DU109" s="28">
        <f t="shared" si="524"/>
        <v>33189.837746217541</v>
      </c>
      <c r="DV109" s="28">
        <f t="shared" si="525"/>
        <v>18961.323151250646</v>
      </c>
      <c r="DW109" s="28">
        <f t="shared" si="526"/>
        <v>73916.011436415225</v>
      </c>
      <c r="DX109" s="28">
        <f t="shared" si="527"/>
        <v>95850.462848185387</v>
      </c>
      <c r="DY109" s="28">
        <f t="shared" si="528"/>
        <v>152272.04617064202</v>
      </c>
      <c r="DZ109" s="28">
        <f t="shared" si="529"/>
        <v>50823.807957848185</v>
      </c>
      <c r="EA109" s="28">
        <f t="shared" si="530"/>
        <v>28160.980564889796</v>
      </c>
      <c r="EB109" s="28">
        <f t="shared" si="531"/>
        <v>104902.3672245194</v>
      </c>
      <c r="EC109" s="28">
        <f t="shared" si="532"/>
        <v>132492.30806392472</v>
      </c>
      <c r="ED109" s="28">
        <f t="shared" si="533"/>
        <v>143416.10214785053</v>
      </c>
      <c r="EE109" s="28">
        <f t="shared" si="534"/>
        <v>10063.158780042369</v>
      </c>
      <c r="EF109" s="28">
        <f t="shared" si="535"/>
        <v>161532.35316879232</v>
      </c>
      <c r="EG109" s="28">
        <f t="shared" si="536"/>
        <v>39447.963625023971</v>
      </c>
      <c r="EH109" s="28">
        <f t="shared" si="537"/>
        <v>35536.827910547181</v>
      </c>
      <c r="EI109" s="28">
        <f t="shared" si="538"/>
        <v>101642.24328639236</v>
      </c>
      <c r="EJ109" s="28">
        <f t="shared" si="539"/>
        <v>49835.694133917292</v>
      </c>
      <c r="EK109" s="28">
        <f t="shared" si="540"/>
        <v>146625.31483999453</v>
      </c>
      <c r="EL109" s="28">
        <f t="shared" si="541"/>
        <v>0</v>
      </c>
      <c r="EM109" s="28">
        <f t="shared" si="542"/>
        <v>29926.377379608966</v>
      </c>
      <c r="EN109" s="28">
        <f t="shared" si="543"/>
        <v>0</v>
      </c>
      <c r="EQ109" s="144">
        <v>0.03</v>
      </c>
      <c r="ER109" s="144">
        <v>4.9999999999999996E-2</v>
      </c>
      <c r="ES109" s="144">
        <v>0.08</v>
      </c>
      <c r="ET109" s="144">
        <v>0.10999999999999999</v>
      </c>
      <c r="EU109" s="144">
        <v>0.12</v>
      </c>
      <c r="EV109" s="144">
        <v>0.15</v>
      </c>
      <c r="EW109" s="144">
        <v>0.13</v>
      </c>
      <c r="EX109" s="144">
        <v>0.08</v>
      </c>
      <c r="EY109" s="144">
        <v>7.0000000000000007E-2</v>
      </c>
      <c r="EZ109" s="144">
        <v>0.06</v>
      </c>
      <c r="FA109" s="144">
        <v>0.06</v>
      </c>
      <c r="FB109" s="144">
        <v>0.06</v>
      </c>
      <c r="FC109" s="145">
        <f t="shared" si="544"/>
        <v>1</v>
      </c>
      <c r="FD109" s="146">
        <f t="shared" si="545"/>
        <v>0.15999999999999998</v>
      </c>
      <c r="FE109" s="146">
        <f t="shared" si="546"/>
        <v>0.38</v>
      </c>
      <c r="FF109" s="146">
        <f t="shared" si="547"/>
        <v>0.28000000000000003</v>
      </c>
      <c r="FG109" s="146">
        <f t="shared" si="548"/>
        <v>0.18</v>
      </c>
      <c r="FH109" s="145">
        <f t="shared" si="655"/>
        <v>1</v>
      </c>
      <c r="FJ109" s="52">
        <f t="shared" si="549"/>
        <v>32306.202976902394</v>
      </c>
      <c r="FK109" s="52">
        <f t="shared" si="550"/>
        <v>38178.508227266269</v>
      </c>
      <c r="FL109" s="52">
        <f t="shared" si="551"/>
        <v>13986.816065726636</v>
      </c>
      <c r="FM109" s="52">
        <f t="shared" si="552"/>
        <v>16191.400609918895</v>
      </c>
      <c r="FN109" s="52">
        <f t="shared" si="553"/>
        <v>42256.336312066596</v>
      </c>
      <c r="FO109" s="52">
        <f t="shared" si="554"/>
        <v>65806.597498637479</v>
      </c>
      <c r="FP109" s="52">
        <f t="shared" si="555"/>
        <v>14973.727782288988</v>
      </c>
      <c r="FQ109" s="52">
        <f t="shared" si="556"/>
        <v>8554.4766271476601</v>
      </c>
      <c r="FR109" s="52">
        <f t="shared" si="557"/>
        <v>33347.503608316874</v>
      </c>
      <c r="FS109" s="52">
        <f t="shared" si="558"/>
        <v>43243.318917963014</v>
      </c>
      <c r="FT109" s="52">
        <f t="shared" si="559"/>
        <v>68698.141450576411</v>
      </c>
      <c r="FU109" s="52">
        <f t="shared" si="560"/>
        <v>22929.363832364041</v>
      </c>
      <c r="FV109" s="52">
        <f t="shared" si="561"/>
        <v>12704.938791363824</v>
      </c>
      <c r="FW109" s="52">
        <f t="shared" si="562"/>
        <v>47327.121709616687</v>
      </c>
      <c r="FX109" s="52">
        <f t="shared" si="563"/>
        <v>59774.433649422564</v>
      </c>
      <c r="FY109" s="52">
        <f t="shared" si="564"/>
        <v>64702.746954633723</v>
      </c>
      <c r="FZ109" s="52">
        <f t="shared" si="565"/>
        <v>4540.0342524867656</v>
      </c>
      <c r="GA109" s="52">
        <f t="shared" si="566"/>
        <v>72875.965916938279</v>
      </c>
      <c r="GB109" s="52">
        <f t="shared" si="567"/>
        <v>17797.106252924168</v>
      </c>
      <c r="GC109" s="52">
        <f t="shared" si="568"/>
        <v>16032.58176335091</v>
      </c>
      <c r="GD109" s="52">
        <f t="shared" si="569"/>
        <v>45856.303781571791</v>
      </c>
      <c r="GE109" s="52">
        <f t="shared" si="570"/>
        <v>22483.572336467259</v>
      </c>
      <c r="GF109" s="52">
        <f t="shared" si="571"/>
        <v>66150.59607083218</v>
      </c>
      <c r="GG109" s="52">
        <f t="shared" si="572"/>
        <v>0</v>
      </c>
      <c r="GH109" s="52">
        <f t="shared" si="573"/>
        <v>13501.404611216696</v>
      </c>
      <c r="GI109" s="52">
        <f t="shared" si="574"/>
        <v>0</v>
      </c>
      <c r="GJ109" s="26"/>
      <c r="GL109" s="150">
        <f t="shared" si="575"/>
        <v>76727.232070143189</v>
      </c>
      <c r="GM109" s="150">
        <f t="shared" si="576"/>
        <v>90673.957039757399</v>
      </c>
      <c r="GN109" s="150">
        <f t="shared" si="577"/>
        <v>33218.688156100769</v>
      </c>
      <c r="GO109" s="150">
        <f t="shared" si="578"/>
        <v>38454.576448557382</v>
      </c>
      <c r="GP109" s="150">
        <f t="shared" si="579"/>
        <v>100358.79874115819</v>
      </c>
      <c r="GQ109" s="150">
        <f t="shared" si="580"/>
        <v>156290.66905926404</v>
      </c>
      <c r="GR109" s="150">
        <f t="shared" si="581"/>
        <v>35562.603482936349</v>
      </c>
      <c r="GS109" s="150">
        <f t="shared" si="582"/>
        <v>20316.8819894757</v>
      </c>
      <c r="GT109" s="150">
        <f t="shared" si="583"/>
        <v>79200.321069752579</v>
      </c>
      <c r="GU109" s="150">
        <f t="shared" si="584"/>
        <v>102702.88243016218</v>
      </c>
      <c r="GV109" s="150">
        <f t="shared" si="585"/>
        <v>163158.08594511903</v>
      </c>
      <c r="GW109" s="150">
        <f t="shared" si="586"/>
        <v>54457.239101864609</v>
      </c>
      <c r="GX109" s="150">
        <f t="shared" si="587"/>
        <v>30174.229629489088</v>
      </c>
      <c r="GY109" s="150">
        <f t="shared" si="588"/>
        <v>112401.91406033965</v>
      </c>
      <c r="GZ109" s="150">
        <f t="shared" si="589"/>
        <v>141964.27991737862</v>
      </c>
      <c r="HA109" s="150">
        <f t="shared" si="590"/>
        <v>153669.02401725511</v>
      </c>
      <c r="HB109" s="150">
        <f t="shared" si="591"/>
        <v>10782.58134965607</v>
      </c>
      <c r="HC109" s="150">
        <f t="shared" si="592"/>
        <v>173080.41905272845</v>
      </c>
      <c r="HD109" s="150">
        <f t="shared" si="593"/>
        <v>42268.127350694907</v>
      </c>
      <c r="HE109" s="150">
        <f t="shared" si="594"/>
        <v>38077.381687958419</v>
      </c>
      <c r="HF109" s="150">
        <f t="shared" si="595"/>
        <v>108908.72148123302</v>
      </c>
      <c r="HG109" s="150">
        <f t="shared" si="596"/>
        <v>53398.484299109747</v>
      </c>
      <c r="HH109" s="150">
        <f t="shared" si="597"/>
        <v>157107.66566822646</v>
      </c>
      <c r="HI109" s="150">
        <f t="shared" si="598"/>
        <v>0</v>
      </c>
      <c r="HJ109" s="150">
        <f t="shared" si="599"/>
        <v>32065.835951639656</v>
      </c>
      <c r="HK109" s="150">
        <f t="shared" si="600"/>
        <v>0</v>
      </c>
      <c r="HL109" s="26"/>
      <c r="HN109" s="147">
        <f t="shared" si="601"/>
        <v>56535.855209579204</v>
      </c>
      <c r="HO109" s="147">
        <f t="shared" si="602"/>
        <v>66812.38939771599</v>
      </c>
      <c r="HP109" s="147">
        <f t="shared" si="603"/>
        <v>24476.928115021619</v>
      </c>
      <c r="HQ109" s="147">
        <f t="shared" si="604"/>
        <v>28334.951067358073</v>
      </c>
      <c r="HR109" s="147">
        <f t="shared" si="605"/>
        <v>73948.58854611656</v>
      </c>
      <c r="HS109" s="147">
        <f t="shared" si="606"/>
        <v>115161.54562261562</v>
      </c>
      <c r="HT109" s="147">
        <f t="shared" si="607"/>
        <v>26204.023619005737</v>
      </c>
      <c r="HU109" s="147">
        <f t="shared" si="608"/>
        <v>14970.33409750841</v>
      </c>
      <c r="HV109" s="147">
        <f t="shared" si="609"/>
        <v>58358.131314554543</v>
      </c>
      <c r="HW109" s="147">
        <f t="shared" si="610"/>
        <v>75675.808106435288</v>
      </c>
      <c r="HX109" s="147">
        <f t="shared" si="611"/>
        <v>120221.74753850876</v>
      </c>
      <c r="HY109" s="147">
        <f t="shared" si="612"/>
        <v>40126.38670663708</v>
      </c>
      <c r="HZ109" s="147">
        <f t="shared" si="613"/>
        <v>22233.642884886696</v>
      </c>
      <c r="IA109" s="147">
        <f t="shared" si="614"/>
        <v>82822.462991829234</v>
      </c>
      <c r="IB109" s="147">
        <f t="shared" si="615"/>
        <v>104605.25888648951</v>
      </c>
      <c r="IC109" s="147">
        <f t="shared" si="616"/>
        <v>113229.80717060904</v>
      </c>
      <c r="ID109" s="147">
        <f t="shared" si="617"/>
        <v>7945.0599418518414</v>
      </c>
      <c r="IE109" s="147">
        <f t="shared" si="618"/>
        <v>127532.94035464204</v>
      </c>
      <c r="IF109" s="147">
        <f t="shared" si="619"/>
        <v>31144.935942617303</v>
      </c>
      <c r="IG109" s="147">
        <f t="shared" si="620"/>
        <v>28057.0180858641</v>
      </c>
      <c r="IH109" s="147">
        <f t="shared" si="621"/>
        <v>80248.531617750661</v>
      </c>
      <c r="II109" s="147">
        <f t="shared" si="622"/>
        <v>39346.251588817715</v>
      </c>
      <c r="IJ109" s="147">
        <f t="shared" si="623"/>
        <v>115763.54312395635</v>
      </c>
      <c r="IK109" s="147">
        <f t="shared" si="624"/>
        <v>0</v>
      </c>
      <c r="IL109" s="147">
        <f t="shared" si="625"/>
        <v>23627.458069629221</v>
      </c>
      <c r="IM109" s="147">
        <f t="shared" si="626"/>
        <v>0</v>
      </c>
      <c r="IN109" s="26"/>
      <c r="IP109" s="61">
        <f t="shared" si="627"/>
        <v>36344.478349015197</v>
      </c>
      <c r="IQ109" s="61">
        <f t="shared" si="628"/>
        <v>42950.821755674559</v>
      </c>
      <c r="IR109" s="61">
        <f t="shared" si="629"/>
        <v>15735.168073942468</v>
      </c>
      <c r="IS109" s="61">
        <f t="shared" si="630"/>
        <v>18215.325686158758</v>
      </c>
      <c r="IT109" s="61">
        <f t="shared" si="631"/>
        <v>47538.378351074927</v>
      </c>
      <c r="IU109" s="61">
        <f t="shared" si="632"/>
        <v>74032.422185967182</v>
      </c>
      <c r="IV109" s="61">
        <f t="shared" si="633"/>
        <v>16845.443755075114</v>
      </c>
      <c r="IW109" s="61">
        <f t="shared" si="634"/>
        <v>9623.7862055411188</v>
      </c>
      <c r="IX109" s="61">
        <f t="shared" si="635"/>
        <v>37515.941559356485</v>
      </c>
      <c r="IY109" s="61">
        <f t="shared" si="636"/>
        <v>48648.733782708397</v>
      </c>
      <c r="IZ109" s="61">
        <f t="shared" si="637"/>
        <v>77285.409131898472</v>
      </c>
      <c r="JA109" s="61">
        <f t="shared" si="638"/>
        <v>25795.534311409549</v>
      </c>
      <c r="JB109" s="61">
        <f t="shared" si="639"/>
        <v>14293.056140284303</v>
      </c>
      <c r="JC109" s="61">
        <f t="shared" si="640"/>
        <v>53243.01192331878</v>
      </c>
      <c r="JD109" s="61">
        <f t="shared" si="641"/>
        <v>67246.237855600397</v>
      </c>
      <c r="JE109" s="61">
        <f t="shared" si="642"/>
        <v>72790.590323962941</v>
      </c>
      <c r="JF109" s="61">
        <f t="shared" si="643"/>
        <v>5107.5385340476114</v>
      </c>
      <c r="JG109" s="61">
        <f t="shared" si="644"/>
        <v>81985.461656555577</v>
      </c>
      <c r="JH109" s="61">
        <f t="shared" si="645"/>
        <v>20021.744534539692</v>
      </c>
      <c r="JI109" s="61">
        <f t="shared" si="646"/>
        <v>18036.654483769777</v>
      </c>
      <c r="JJ109" s="61">
        <f t="shared" si="647"/>
        <v>51588.341754268273</v>
      </c>
      <c r="JK109" s="61">
        <f t="shared" si="648"/>
        <v>25294.018878525669</v>
      </c>
      <c r="JL109" s="61">
        <f t="shared" si="649"/>
        <v>74419.420579686208</v>
      </c>
      <c r="JM109" s="61">
        <f t="shared" si="650"/>
        <v>0</v>
      </c>
      <c r="JN109" s="61">
        <f t="shared" si="651"/>
        <v>15189.080187618783</v>
      </c>
      <c r="JO109" s="61">
        <f t="shared" si="652"/>
        <v>0</v>
      </c>
      <c r="JQ109" s="26">
        <f t="shared" si="516"/>
        <v>5276370.0000000028</v>
      </c>
      <c r="JR109" s="156">
        <f t="shared" si="517"/>
        <v>1.0000000000000004</v>
      </c>
      <c r="JT109" s="157">
        <f t="shared" si="653"/>
        <v>201913.76860563998</v>
      </c>
      <c r="JU109" s="29">
        <f t="shared" si="654"/>
        <v>1</v>
      </c>
    </row>
    <row r="110" spans="1:281" ht="18.75" x14ac:dyDescent="0.3">
      <c r="A110" t="s">
        <v>234</v>
      </c>
      <c r="B110" t="s">
        <v>186</v>
      </c>
      <c r="C110" t="s">
        <v>74</v>
      </c>
      <c r="D110" t="s">
        <v>29</v>
      </c>
      <c r="E110" s="11" t="s">
        <v>270</v>
      </c>
      <c r="F110" s="114">
        <v>34990</v>
      </c>
      <c r="G110" s="17">
        <v>10447314</v>
      </c>
      <c r="H110" s="21">
        <v>6654748</v>
      </c>
      <c r="I110" s="25">
        <f t="shared" si="434"/>
        <v>1.5699037739670985</v>
      </c>
      <c r="J110" s="13">
        <v>3.9136666356062534E-2</v>
      </c>
      <c r="K110" s="13">
        <v>4.5887162430215657E-2</v>
      </c>
      <c r="L110" s="13">
        <v>1.6944032517201901E-2</v>
      </c>
      <c r="M110" s="13">
        <v>1.9614729838749456E-2</v>
      </c>
      <c r="N110" s="13">
        <v>5.1190544950680206E-2</v>
      </c>
      <c r="O110" s="13">
        <v>7.8266475088618392E-2</v>
      </c>
      <c r="P110" s="13">
        <v>1.8139605844144927E-2</v>
      </c>
      <c r="Q110" s="13">
        <v>1.0363139792280061E-2</v>
      </c>
      <c r="R110" s="13">
        <v>4.03981279836381E-2</v>
      </c>
      <c r="S110" s="13">
        <v>5.2386204155007783E-2</v>
      </c>
      <c r="T110" s="13">
        <v>8.3222910570921835E-2</v>
      </c>
      <c r="U110" s="13">
        <v>2.7777292884143236E-2</v>
      </c>
      <c r="V110" s="13">
        <v>1.5391129403455455E-2</v>
      </c>
      <c r="W110" s="13">
        <v>4.9702378177047903E-2</v>
      </c>
      <c r="X110" s="13">
        <v>7.2412473481721404E-2</v>
      </c>
      <c r="Y110" s="13">
        <v>7.6565854763630245E-2</v>
      </c>
      <c r="Z110" s="13">
        <v>4.9548525854927819E-3</v>
      </c>
      <c r="AA110" s="13">
        <v>8.683051194967939E-2</v>
      </c>
      <c r="AB110" s="13">
        <v>2.1559927981077587E-2</v>
      </c>
      <c r="AC110" s="13">
        <v>1.9422332105916845E-2</v>
      </c>
      <c r="AD110" s="13">
        <v>5.4461497620297082E-2</v>
      </c>
      <c r="AE110" s="13">
        <v>2.7237248204434086E-2</v>
      </c>
      <c r="AF110" s="13">
        <v>7.1778910239034141E-2</v>
      </c>
      <c r="AG110" s="9">
        <v>0</v>
      </c>
      <c r="AH110" s="13">
        <v>1.6355991076548851E-2</v>
      </c>
      <c r="AJ110" s="8">
        <f t="shared" si="461"/>
        <v>0.99999999999999978</v>
      </c>
      <c r="AK110" s="141">
        <f t="shared" si="435"/>
        <v>1369.391955798628</v>
      </c>
      <c r="AL110" s="141">
        <f t="shared" si="436"/>
        <v>1605.5918134332458</v>
      </c>
      <c r="AM110" s="141">
        <f t="shared" si="437"/>
        <v>592.87169777689451</v>
      </c>
      <c r="AN110" s="141">
        <f t="shared" si="438"/>
        <v>686.3193970578435</v>
      </c>
      <c r="AO110" s="141">
        <f t="shared" si="439"/>
        <v>1791.1571678243004</v>
      </c>
      <c r="AP110" s="141">
        <f t="shared" si="440"/>
        <v>2738.5439633507576</v>
      </c>
      <c r="AQ110" s="141">
        <f t="shared" si="441"/>
        <v>634.70480848663101</v>
      </c>
      <c r="AR110" s="141">
        <f t="shared" si="442"/>
        <v>362.60626133187935</v>
      </c>
      <c r="AS110" s="141">
        <f t="shared" si="443"/>
        <v>1413.5304981474972</v>
      </c>
      <c r="AT110" s="141">
        <f t="shared" si="444"/>
        <v>1832.9932833837224</v>
      </c>
      <c r="AU110" s="141">
        <f t="shared" si="445"/>
        <v>2911.9696408765549</v>
      </c>
      <c r="AV110" s="141">
        <f t="shared" si="446"/>
        <v>971.92747801617179</v>
      </c>
      <c r="AW110" s="141">
        <f t="shared" si="447"/>
        <v>538.53561782690633</v>
      </c>
      <c r="AX110" s="141">
        <f t="shared" si="448"/>
        <v>1739.0862124149062</v>
      </c>
      <c r="AY110" s="141">
        <f t="shared" si="449"/>
        <v>2533.7124471254319</v>
      </c>
      <c r="AZ110" s="141">
        <f t="shared" si="450"/>
        <v>2679.0392581794222</v>
      </c>
      <c r="BA110" s="141">
        <f t="shared" si="451"/>
        <v>173.37029196639244</v>
      </c>
      <c r="BB110" s="141">
        <f t="shared" si="452"/>
        <v>3038.1996131192818</v>
      </c>
      <c r="BC110" s="141">
        <f t="shared" si="453"/>
        <v>754.38188005790471</v>
      </c>
      <c r="BD110" s="141">
        <f t="shared" si="454"/>
        <v>679.58740038603037</v>
      </c>
      <c r="BE110" s="141">
        <f t="shared" si="455"/>
        <v>1905.6078017341949</v>
      </c>
      <c r="BF110" s="141">
        <f t="shared" si="456"/>
        <v>953.0313146731487</v>
      </c>
      <c r="BG110" s="141">
        <f t="shared" si="457"/>
        <v>2511.5440692638044</v>
      </c>
      <c r="BH110" s="141">
        <f t="shared" si="458"/>
        <v>0</v>
      </c>
      <c r="BI110" s="141">
        <f t="shared" si="459"/>
        <v>572.29612776844431</v>
      </c>
      <c r="BJ110" s="141">
        <f t="shared" si="460"/>
        <v>0</v>
      </c>
      <c r="BM110" s="26">
        <f t="shared" si="462"/>
        <v>408873.04233502108</v>
      </c>
      <c r="BN110" s="26">
        <f t="shared" si="463"/>
        <v>479397.59447746607</v>
      </c>
      <c r="BO110" s="26">
        <f t="shared" si="464"/>
        <v>177019.62813341865</v>
      </c>
      <c r="BP110" s="26">
        <f t="shared" si="465"/>
        <v>204921.24165058494</v>
      </c>
      <c r="BQ110" s="26">
        <f t="shared" si="466"/>
        <v>534803.69693087065</v>
      </c>
      <c r="BR110" s="26">
        <f t="shared" si="467"/>
        <v>817674.44092397415</v>
      </c>
      <c r="BS110" s="26">
        <f t="shared" si="468"/>
        <v>189510.15809001712</v>
      </c>
      <c r="BT110" s="26">
        <f t="shared" si="469"/>
        <v>108266.97543584458</v>
      </c>
      <c r="BU110" s="26">
        <f t="shared" si="470"/>
        <v>422051.92805725412</v>
      </c>
      <c r="BV110" s="26">
        <f t="shared" si="471"/>
        <v>547295.12407547096</v>
      </c>
      <c r="BW110" s="26">
        <f t="shared" si="472"/>
        <v>869455.87872833968</v>
      </c>
      <c r="BX110" s="26">
        <f t="shared" si="473"/>
        <v>290198.10083061003</v>
      </c>
      <c r="BY110" s="26">
        <f t="shared" si="474"/>
        <v>160795.96169253183</v>
      </c>
      <c r="BZ110" s="26">
        <f t="shared" si="475"/>
        <v>519256.35136236704</v>
      </c>
      <c r="CA110" s="26">
        <f t="shared" si="476"/>
        <v>756515.84798021673</v>
      </c>
      <c r="CB110" s="26">
        <f t="shared" si="477"/>
        <v>799907.52639404091</v>
      </c>
      <c r="CC110" s="26">
        <f t="shared" si="478"/>
        <v>51764.900784354941</v>
      </c>
      <c r="CD110" s="26">
        <f t="shared" si="479"/>
        <v>907145.62311905273</v>
      </c>
      <c r="CE110" s="26">
        <f t="shared" si="480"/>
        <v>225243.33743570361</v>
      </c>
      <c r="CF110" s="26">
        <f t="shared" si="481"/>
        <v>202911.20212279455</v>
      </c>
      <c r="CG110" s="26">
        <f t="shared" si="482"/>
        <v>568976.36654949642</v>
      </c>
      <c r="CH110" s="26">
        <f t="shared" si="483"/>
        <v>284556.0844876591</v>
      </c>
      <c r="CI110" s="26">
        <f t="shared" si="484"/>
        <v>749896.81384500477</v>
      </c>
      <c r="CJ110" s="26">
        <f t="shared" si="485"/>
        <v>0</v>
      </c>
      <c r="CK110" s="26">
        <f t="shared" si="486"/>
        <v>170876.17455790387</v>
      </c>
      <c r="CL110" s="26">
        <f t="shared" si="487"/>
        <v>0</v>
      </c>
      <c r="CM110" s="110">
        <f t="shared" si="488"/>
        <v>0.99999999999999978</v>
      </c>
      <c r="CN110" s="27">
        <f t="shared" si="489"/>
        <v>260444.65215967444</v>
      </c>
      <c r="CO110" s="27">
        <f t="shared" si="490"/>
        <v>305367.5024081528</v>
      </c>
      <c r="CP110" s="27">
        <f t="shared" si="491"/>
        <v>112758.26650578431</v>
      </c>
      <c r="CQ110" s="27">
        <f t="shared" si="492"/>
        <v>130531.08416495827</v>
      </c>
      <c r="CR110" s="27">
        <f t="shared" si="493"/>
        <v>340660.17662944918</v>
      </c>
      <c r="CS110" s="27">
        <f t="shared" si="494"/>
        <v>520843.66856303305</v>
      </c>
      <c r="CT110" s="27">
        <f t="shared" si="495"/>
        <v>120714.50571211177</v>
      </c>
      <c r="CU110" s="27">
        <f t="shared" si="496"/>
        <v>68964.083806396156</v>
      </c>
      <c r="CV110" s="27">
        <f t="shared" si="497"/>
        <v>268839.36140285968</v>
      </c>
      <c r="CW110" s="27">
        <f t="shared" si="498"/>
        <v>348616.98732812976</v>
      </c>
      <c r="CX110" s="27">
        <f t="shared" si="499"/>
        <v>553827.49767602095</v>
      </c>
      <c r="CY110" s="27">
        <f t="shared" si="500"/>
        <v>184850.88426616642</v>
      </c>
      <c r="CZ110" s="27">
        <f t="shared" si="501"/>
        <v>102424.08761538638</v>
      </c>
      <c r="DA110" s="27">
        <f t="shared" si="502"/>
        <v>330756.80176895316</v>
      </c>
      <c r="DB110" s="27">
        <f t="shared" si="503"/>
        <v>481886.76307753858</v>
      </c>
      <c r="DC110" s="27">
        <f t="shared" si="504"/>
        <v>509526.46885655884</v>
      </c>
      <c r="DD110" s="27">
        <f t="shared" si="505"/>
        <v>32973.295333602917</v>
      </c>
      <c r="DE110" s="27">
        <f t="shared" si="506"/>
        <v>577835.17573610507</v>
      </c>
      <c r="DF110" s="27">
        <f t="shared" si="507"/>
        <v>143475.8876122201</v>
      </c>
      <c r="DG110" s="27">
        <f t="shared" si="508"/>
        <v>129250.72573718592</v>
      </c>
      <c r="DH110" s="27">
        <f t="shared" si="509"/>
        <v>362427.54236567678</v>
      </c>
      <c r="DI110" s="27">
        <f t="shared" si="510"/>
        <v>181257.02301396133</v>
      </c>
      <c r="DJ110" s="27">
        <f t="shared" si="511"/>
        <v>477670.55935539195</v>
      </c>
      <c r="DK110" s="27">
        <f t="shared" si="512"/>
        <v>0</v>
      </c>
      <c r="DL110" s="27">
        <f t="shared" si="513"/>
        <v>108844.99890468131</v>
      </c>
      <c r="DM110" s="27">
        <f t="shared" si="514"/>
        <v>0</v>
      </c>
      <c r="DN110" s="110">
        <f t="shared" si="515"/>
        <v>1</v>
      </c>
      <c r="DO110" s="28">
        <f t="shared" si="518"/>
        <v>148428.39017534663</v>
      </c>
      <c r="DP110" s="28">
        <f t="shared" si="519"/>
        <v>174030.09206931328</v>
      </c>
      <c r="DQ110" s="28">
        <f t="shared" si="520"/>
        <v>64261.361627634338</v>
      </c>
      <c r="DR110" s="28">
        <f t="shared" si="521"/>
        <v>74390.157485626667</v>
      </c>
      <c r="DS110" s="28">
        <f t="shared" si="522"/>
        <v>194143.52030142146</v>
      </c>
      <c r="DT110" s="28">
        <f t="shared" si="523"/>
        <v>296830.7723609411</v>
      </c>
      <c r="DU110" s="28">
        <f t="shared" si="524"/>
        <v>68795.652377905353</v>
      </c>
      <c r="DV110" s="28">
        <f t="shared" si="525"/>
        <v>39302.891629448422</v>
      </c>
      <c r="DW110" s="28">
        <f t="shared" si="526"/>
        <v>153212.56665439444</v>
      </c>
      <c r="DX110" s="28">
        <f t="shared" si="527"/>
        <v>198678.1367473412</v>
      </c>
      <c r="DY110" s="28">
        <f t="shared" si="528"/>
        <v>315628.38105231873</v>
      </c>
      <c r="DZ110" s="28">
        <f t="shared" si="529"/>
        <v>105347.2165644436</v>
      </c>
      <c r="EA110" s="28">
        <f t="shared" si="530"/>
        <v>58371.874077145447</v>
      </c>
      <c r="EB110" s="28">
        <f t="shared" si="531"/>
        <v>188499.54959341389</v>
      </c>
      <c r="EC110" s="28">
        <f t="shared" si="532"/>
        <v>274629.08490267815</v>
      </c>
      <c r="ED110" s="28">
        <f t="shared" si="533"/>
        <v>290381.05753748206</v>
      </c>
      <c r="EE110" s="28">
        <f t="shared" si="534"/>
        <v>18791.605450752024</v>
      </c>
      <c r="EF110" s="28">
        <f t="shared" si="535"/>
        <v>329310.44738294766</v>
      </c>
      <c r="EG110" s="28">
        <f t="shared" si="536"/>
        <v>81767.449823483505</v>
      </c>
      <c r="EH110" s="28">
        <f t="shared" si="537"/>
        <v>73660.476385608636</v>
      </c>
      <c r="EI110" s="28">
        <f t="shared" si="538"/>
        <v>206548.82418381964</v>
      </c>
      <c r="EJ110" s="28">
        <f t="shared" si="539"/>
        <v>103299.06147369777</v>
      </c>
      <c r="EK110" s="28">
        <f t="shared" si="540"/>
        <v>272226.25448961282</v>
      </c>
      <c r="EL110" s="28">
        <f t="shared" si="541"/>
        <v>0</v>
      </c>
      <c r="EM110" s="28">
        <f t="shared" si="542"/>
        <v>62031.175653222555</v>
      </c>
      <c r="EN110" s="28">
        <f t="shared" si="543"/>
        <v>0</v>
      </c>
      <c r="EQ110" s="144">
        <v>0</v>
      </c>
      <c r="ER110" s="144">
        <v>0</v>
      </c>
      <c r="ES110" s="144">
        <v>0</v>
      </c>
      <c r="ET110" s="144">
        <v>0.13</v>
      </c>
      <c r="EU110" s="144">
        <v>0.16</v>
      </c>
      <c r="EV110" s="144">
        <v>0.19</v>
      </c>
      <c r="EW110" s="144">
        <v>0.14000000000000001</v>
      </c>
      <c r="EX110" s="144">
        <v>0.09</v>
      </c>
      <c r="EY110" s="144">
        <v>0.08</v>
      </c>
      <c r="EZ110" s="144">
        <v>7.0000000000000007E-2</v>
      </c>
      <c r="FA110" s="144">
        <v>7.0000000000000007E-2</v>
      </c>
      <c r="FB110" s="144">
        <v>7.0000000000000007E-2</v>
      </c>
      <c r="FC110" s="145">
        <f t="shared" si="544"/>
        <v>1.0000000000000002</v>
      </c>
      <c r="FD110" s="146">
        <f t="shared" si="545"/>
        <v>0</v>
      </c>
      <c r="FE110" s="146">
        <f t="shared" si="546"/>
        <v>0.48000000000000004</v>
      </c>
      <c r="FF110" s="146">
        <f t="shared" si="547"/>
        <v>0.31</v>
      </c>
      <c r="FG110" s="146">
        <f t="shared" si="548"/>
        <v>0.21000000000000002</v>
      </c>
      <c r="FH110" s="145">
        <f t="shared" si="655"/>
        <v>1</v>
      </c>
      <c r="FJ110" s="52">
        <f t="shared" si="549"/>
        <v>0</v>
      </c>
      <c r="FK110" s="52">
        <f t="shared" si="550"/>
        <v>0</v>
      </c>
      <c r="FL110" s="52">
        <f t="shared" si="551"/>
        <v>0</v>
      </c>
      <c r="FM110" s="52">
        <f t="shared" si="552"/>
        <v>0</v>
      </c>
      <c r="FN110" s="52">
        <f t="shared" si="553"/>
        <v>0</v>
      </c>
      <c r="FO110" s="52">
        <f t="shared" si="554"/>
        <v>0</v>
      </c>
      <c r="FP110" s="52">
        <f t="shared" si="555"/>
        <v>0</v>
      </c>
      <c r="FQ110" s="52">
        <f t="shared" si="556"/>
        <v>0</v>
      </c>
      <c r="FR110" s="52">
        <f t="shared" si="557"/>
        <v>0</v>
      </c>
      <c r="FS110" s="52">
        <f t="shared" si="558"/>
        <v>0</v>
      </c>
      <c r="FT110" s="52">
        <f t="shared" si="559"/>
        <v>0</v>
      </c>
      <c r="FU110" s="52">
        <f t="shared" si="560"/>
        <v>0</v>
      </c>
      <c r="FV110" s="52">
        <f t="shared" si="561"/>
        <v>0</v>
      </c>
      <c r="FW110" s="52">
        <f t="shared" si="562"/>
        <v>0</v>
      </c>
      <c r="FX110" s="52">
        <f t="shared" si="563"/>
        <v>0</v>
      </c>
      <c r="FY110" s="52">
        <f t="shared" si="564"/>
        <v>0</v>
      </c>
      <c r="FZ110" s="52">
        <f t="shared" si="565"/>
        <v>0</v>
      </c>
      <c r="GA110" s="52">
        <f t="shared" si="566"/>
        <v>0</v>
      </c>
      <c r="GB110" s="52">
        <f t="shared" si="567"/>
        <v>0</v>
      </c>
      <c r="GC110" s="52">
        <f t="shared" si="568"/>
        <v>0</v>
      </c>
      <c r="GD110" s="52">
        <f t="shared" si="569"/>
        <v>0</v>
      </c>
      <c r="GE110" s="52">
        <f t="shared" si="570"/>
        <v>0</v>
      </c>
      <c r="GF110" s="52">
        <f t="shared" si="571"/>
        <v>0</v>
      </c>
      <c r="GG110" s="52">
        <f t="shared" si="572"/>
        <v>0</v>
      </c>
      <c r="GH110" s="52">
        <f t="shared" si="573"/>
        <v>0</v>
      </c>
      <c r="GI110" s="52">
        <f t="shared" si="574"/>
        <v>0</v>
      </c>
      <c r="GJ110" s="26"/>
      <c r="GL110" s="150">
        <f t="shared" si="575"/>
        <v>196259.06032081012</v>
      </c>
      <c r="GM110" s="150">
        <f t="shared" si="576"/>
        <v>230110.84534918374</v>
      </c>
      <c r="GN110" s="150">
        <f t="shared" si="577"/>
        <v>84969.421504040962</v>
      </c>
      <c r="GO110" s="150">
        <f t="shared" si="578"/>
        <v>98362.195992280773</v>
      </c>
      <c r="GP110" s="150">
        <f t="shared" si="579"/>
        <v>256705.77452681793</v>
      </c>
      <c r="GQ110" s="150">
        <f t="shared" si="580"/>
        <v>392483.73164350761</v>
      </c>
      <c r="GR110" s="150">
        <f t="shared" si="581"/>
        <v>90964.875883208224</v>
      </c>
      <c r="GS110" s="150">
        <f t="shared" si="582"/>
        <v>51968.148209205399</v>
      </c>
      <c r="GT110" s="150">
        <f t="shared" si="583"/>
        <v>202584.92546748198</v>
      </c>
      <c r="GU110" s="150">
        <f t="shared" si="584"/>
        <v>262701.65955622611</v>
      </c>
      <c r="GV110" s="150">
        <f t="shared" si="585"/>
        <v>417338.8217896031</v>
      </c>
      <c r="GW110" s="150">
        <f t="shared" si="586"/>
        <v>139295.08839869281</v>
      </c>
      <c r="GX110" s="150">
        <f t="shared" si="587"/>
        <v>77182.061612415288</v>
      </c>
      <c r="GY110" s="150">
        <f t="shared" si="588"/>
        <v>249243.04865393619</v>
      </c>
      <c r="GZ110" s="150">
        <f t="shared" si="589"/>
        <v>363127.60703050403</v>
      </c>
      <c r="HA110" s="150">
        <f t="shared" si="590"/>
        <v>383955.61266913969</v>
      </c>
      <c r="HB110" s="150">
        <f t="shared" si="591"/>
        <v>24847.152376490372</v>
      </c>
      <c r="HC110" s="150">
        <f t="shared" si="592"/>
        <v>435429.89909714536</v>
      </c>
      <c r="HD110" s="150">
        <f t="shared" si="593"/>
        <v>108116.80196913774</v>
      </c>
      <c r="HE110" s="150">
        <f t="shared" si="594"/>
        <v>97397.377018941392</v>
      </c>
      <c r="HF110" s="150">
        <f t="shared" si="595"/>
        <v>273108.65594375832</v>
      </c>
      <c r="HG110" s="150">
        <f t="shared" si="596"/>
        <v>136586.92055407638</v>
      </c>
      <c r="HH110" s="150">
        <f t="shared" si="597"/>
        <v>359950.47064560233</v>
      </c>
      <c r="HI110" s="150">
        <f t="shared" si="598"/>
        <v>0</v>
      </c>
      <c r="HJ110" s="150">
        <f t="shared" si="599"/>
        <v>82020.563787793857</v>
      </c>
      <c r="HK110" s="150">
        <f t="shared" si="600"/>
        <v>0</v>
      </c>
      <c r="HL110" s="26"/>
      <c r="HN110" s="147">
        <f t="shared" si="601"/>
        <v>126750.64312385653</v>
      </c>
      <c r="HO110" s="147">
        <f t="shared" si="602"/>
        <v>148613.25428801449</v>
      </c>
      <c r="HP110" s="147">
        <f t="shared" si="603"/>
        <v>54876.084721359781</v>
      </c>
      <c r="HQ110" s="147">
        <f t="shared" si="604"/>
        <v>63525.584911681333</v>
      </c>
      <c r="HR110" s="147">
        <f t="shared" si="605"/>
        <v>165789.14604856991</v>
      </c>
      <c r="HS110" s="147">
        <f t="shared" si="606"/>
        <v>253479.07668643197</v>
      </c>
      <c r="HT110" s="147">
        <f t="shared" si="607"/>
        <v>58748.149007905311</v>
      </c>
      <c r="HU110" s="147">
        <f t="shared" si="608"/>
        <v>33562.762385111819</v>
      </c>
      <c r="HV110" s="147">
        <f t="shared" si="609"/>
        <v>130836.09769774877</v>
      </c>
      <c r="HW110" s="147">
        <f t="shared" si="610"/>
        <v>169661.488463396</v>
      </c>
      <c r="HX110" s="147">
        <f t="shared" si="611"/>
        <v>269531.32240578532</v>
      </c>
      <c r="HY110" s="147">
        <f t="shared" si="612"/>
        <v>89961.411257489104</v>
      </c>
      <c r="HZ110" s="147">
        <f t="shared" si="613"/>
        <v>49846.748124684869</v>
      </c>
      <c r="IA110" s="147">
        <f t="shared" si="614"/>
        <v>160969.46892233379</v>
      </c>
      <c r="IB110" s="147">
        <f t="shared" si="615"/>
        <v>234519.91287386717</v>
      </c>
      <c r="IC110" s="147">
        <f t="shared" si="616"/>
        <v>247971.33318215268</v>
      </c>
      <c r="ID110" s="147">
        <f t="shared" si="617"/>
        <v>16047.119243150031</v>
      </c>
      <c r="IE110" s="147">
        <f t="shared" si="618"/>
        <v>281215.14316690632</v>
      </c>
      <c r="IF110" s="147">
        <f t="shared" si="619"/>
        <v>69825.43460506812</v>
      </c>
      <c r="IG110" s="147">
        <f t="shared" si="620"/>
        <v>62902.472658066312</v>
      </c>
      <c r="IH110" s="147">
        <f t="shared" si="621"/>
        <v>176382.6736303439</v>
      </c>
      <c r="II110" s="147">
        <f t="shared" si="622"/>
        <v>88212.386191174315</v>
      </c>
      <c r="IJ110" s="147">
        <f t="shared" si="623"/>
        <v>232468.01229195148</v>
      </c>
      <c r="IK110" s="147">
        <f t="shared" si="624"/>
        <v>0</v>
      </c>
      <c r="IL110" s="147">
        <f t="shared" si="625"/>
        <v>52971.614112950199</v>
      </c>
      <c r="IM110" s="147">
        <f t="shared" si="626"/>
        <v>0</v>
      </c>
      <c r="IN110" s="26"/>
      <c r="IP110" s="61">
        <f t="shared" si="627"/>
        <v>85863.33889035444</v>
      </c>
      <c r="IQ110" s="61">
        <f t="shared" si="628"/>
        <v>100673.49484026789</v>
      </c>
      <c r="IR110" s="61">
        <f t="shared" si="629"/>
        <v>37174.121908017922</v>
      </c>
      <c r="IS110" s="61">
        <f t="shared" si="630"/>
        <v>43033.460746622841</v>
      </c>
      <c r="IT110" s="61">
        <f t="shared" si="631"/>
        <v>112308.77635548284</v>
      </c>
      <c r="IU110" s="61">
        <f t="shared" si="632"/>
        <v>171711.6325940346</v>
      </c>
      <c r="IV110" s="61">
        <f t="shared" si="633"/>
        <v>39797.133198903597</v>
      </c>
      <c r="IW110" s="61">
        <f t="shared" si="634"/>
        <v>22736.064841527364</v>
      </c>
      <c r="IX110" s="61">
        <f t="shared" si="635"/>
        <v>88630.904892023376</v>
      </c>
      <c r="IY110" s="61">
        <f t="shared" si="636"/>
        <v>114931.97605584891</v>
      </c>
      <c r="IZ110" s="61">
        <f t="shared" si="637"/>
        <v>182585.73453295135</v>
      </c>
      <c r="JA110" s="61">
        <f t="shared" si="638"/>
        <v>60941.601174428113</v>
      </c>
      <c r="JB110" s="61">
        <f t="shared" si="639"/>
        <v>33767.151955431684</v>
      </c>
      <c r="JC110" s="61">
        <f t="shared" si="640"/>
        <v>109043.83378609709</v>
      </c>
      <c r="JD110" s="61">
        <f t="shared" si="641"/>
        <v>158868.32807584552</v>
      </c>
      <c r="JE110" s="61">
        <f t="shared" si="642"/>
        <v>167980.58054274862</v>
      </c>
      <c r="JF110" s="61">
        <f t="shared" si="643"/>
        <v>10870.629164714539</v>
      </c>
      <c r="JG110" s="61">
        <f t="shared" si="644"/>
        <v>190500.58085500108</v>
      </c>
      <c r="JH110" s="61">
        <f t="shared" si="645"/>
        <v>47301.100861497762</v>
      </c>
      <c r="JI110" s="61">
        <f t="shared" si="646"/>
        <v>42611.352445786863</v>
      </c>
      <c r="JJ110" s="61">
        <f t="shared" si="647"/>
        <v>119485.03697539427</v>
      </c>
      <c r="JK110" s="61">
        <f t="shared" si="648"/>
        <v>59756.77774240842</v>
      </c>
      <c r="JL110" s="61">
        <f t="shared" si="649"/>
        <v>157478.33090745102</v>
      </c>
      <c r="JM110" s="61">
        <f t="shared" si="650"/>
        <v>0</v>
      </c>
      <c r="JN110" s="61">
        <f t="shared" si="651"/>
        <v>35883.996657159812</v>
      </c>
      <c r="JO110" s="61">
        <f t="shared" si="652"/>
        <v>0</v>
      </c>
      <c r="JQ110" s="26">
        <f t="shared" si="516"/>
        <v>10447313.999999998</v>
      </c>
      <c r="JR110" s="156">
        <f t="shared" si="517"/>
        <v>0.99999999999999978</v>
      </c>
      <c r="JT110" s="157">
        <f t="shared" si="653"/>
        <v>408873.04233502108</v>
      </c>
      <c r="JU110" s="29">
        <f t="shared" si="654"/>
        <v>1</v>
      </c>
    </row>
    <row r="111" spans="1:281" ht="18.75" x14ac:dyDescent="0.3">
      <c r="A111" t="s">
        <v>234</v>
      </c>
      <c r="B111" t="s">
        <v>187</v>
      </c>
      <c r="C111" t="s">
        <v>74</v>
      </c>
      <c r="D111" t="s">
        <v>29</v>
      </c>
      <c r="E111" s="11" t="s">
        <v>271</v>
      </c>
      <c r="F111" s="114">
        <v>900</v>
      </c>
      <c r="G111" s="17">
        <v>1170018</v>
      </c>
      <c r="H111" s="21">
        <v>699849</v>
      </c>
      <c r="I111" s="25">
        <f t="shared" si="434"/>
        <v>1.6718149200756163</v>
      </c>
      <c r="J111" s="13">
        <v>3.9136666356062444E-2</v>
      </c>
      <c r="K111" s="13">
        <v>4.5887162430215574E-2</v>
      </c>
      <c r="L111" s="13">
        <v>1.6944032517201908E-2</v>
      </c>
      <c r="M111" s="13">
        <v>1.9614729838749411E-2</v>
      </c>
      <c r="N111" s="13">
        <v>5.1190544950680233E-2</v>
      </c>
      <c r="O111" s="13">
        <v>7.8266475088618309E-2</v>
      </c>
      <c r="P111" s="13">
        <v>1.8139605844144854E-2</v>
      </c>
      <c r="Q111" s="13">
        <v>1.0363139792280067E-2</v>
      </c>
      <c r="R111" s="13">
        <v>4.0398127983638107E-2</v>
      </c>
      <c r="S111" s="13">
        <v>5.2386204155007679E-2</v>
      </c>
      <c r="T111" s="13">
        <v>8.3222910570922029E-2</v>
      </c>
      <c r="U111" s="13">
        <v>2.7777292884143271E-2</v>
      </c>
      <c r="V111" s="13">
        <v>1.5391129403455448E-2</v>
      </c>
      <c r="W111" s="13">
        <v>4.970237817704766E-2</v>
      </c>
      <c r="X111" s="13">
        <v>7.2412473481721279E-2</v>
      </c>
      <c r="Y111" s="13">
        <v>7.6565854763630078E-2</v>
      </c>
      <c r="Z111" s="13">
        <v>4.9548525854927732E-3</v>
      </c>
      <c r="AA111" s="13">
        <v>8.6830511949679876E-2</v>
      </c>
      <c r="AB111" s="13">
        <v>2.1559927981077465E-2</v>
      </c>
      <c r="AC111" s="13">
        <v>1.9422332105916845E-2</v>
      </c>
      <c r="AD111" s="13">
        <v>5.4461497620297152E-2</v>
      </c>
      <c r="AE111" s="13">
        <v>2.7237248204433965E-2</v>
      </c>
      <c r="AF111" s="13">
        <v>7.1778910239034432E-2</v>
      </c>
      <c r="AG111" s="9">
        <v>0</v>
      </c>
      <c r="AH111" s="13">
        <v>1.635599107654883E-2</v>
      </c>
      <c r="AJ111" s="8">
        <f t="shared" si="461"/>
        <v>0.99999999999999967</v>
      </c>
      <c r="AK111" s="141">
        <f t="shared" si="435"/>
        <v>35.222999720456201</v>
      </c>
      <c r="AL111" s="141">
        <f t="shared" si="436"/>
        <v>41.298446187194017</v>
      </c>
      <c r="AM111" s="141">
        <f t="shared" si="437"/>
        <v>15.249629265481717</v>
      </c>
      <c r="AN111" s="141">
        <f t="shared" si="438"/>
        <v>17.653256854874471</v>
      </c>
      <c r="AO111" s="141">
        <f t="shared" si="439"/>
        <v>46.071490455612214</v>
      </c>
      <c r="AP111" s="141">
        <f t="shared" si="440"/>
        <v>70.439827579756482</v>
      </c>
      <c r="AQ111" s="141">
        <f t="shared" si="441"/>
        <v>16.325645259730369</v>
      </c>
      <c r="AR111" s="141">
        <f t="shared" si="442"/>
        <v>9.3268258130520607</v>
      </c>
      <c r="AS111" s="141">
        <f t="shared" si="443"/>
        <v>36.3583151852743</v>
      </c>
      <c r="AT111" s="141">
        <f t="shared" si="444"/>
        <v>47.147583739506914</v>
      </c>
      <c r="AU111" s="141">
        <f t="shared" si="445"/>
        <v>74.900619513829824</v>
      </c>
      <c r="AV111" s="141">
        <f t="shared" si="446"/>
        <v>24.999563595728944</v>
      </c>
      <c r="AW111" s="141">
        <f t="shared" si="447"/>
        <v>13.852016463109903</v>
      </c>
      <c r="AX111" s="141">
        <f t="shared" si="448"/>
        <v>44.732140359342893</v>
      </c>
      <c r="AY111" s="141">
        <f t="shared" si="449"/>
        <v>65.171226133549155</v>
      </c>
      <c r="AZ111" s="141">
        <f t="shared" si="450"/>
        <v>68.909269287267065</v>
      </c>
      <c r="BA111" s="141">
        <f t="shared" si="451"/>
        <v>4.4593673269434957</v>
      </c>
      <c r="BB111" s="141">
        <f t="shared" si="452"/>
        <v>78.147460754711886</v>
      </c>
      <c r="BC111" s="141">
        <f t="shared" si="453"/>
        <v>19.403935182969718</v>
      </c>
      <c r="BD111" s="141">
        <f t="shared" si="454"/>
        <v>17.48009889532516</v>
      </c>
      <c r="BE111" s="141">
        <f t="shared" si="455"/>
        <v>49.01534785826744</v>
      </c>
      <c r="BF111" s="141">
        <f t="shared" si="456"/>
        <v>24.51352338399057</v>
      </c>
      <c r="BG111" s="141">
        <f t="shared" si="457"/>
        <v>64.601019215130989</v>
      </c>
      <c r="BH111" s="141">
        <f t="shared" si="458"/>
        <v>0</v>
      </c>
      <c r="BI111" s="141">
        <f t="shared" si="459"/>
        <v>14.720391968893948</v>
      </c>
      <c r="BJ111" s="141">
        <f t="shared" si="460"/>
        <v>0</v>
      </c>
      <c r="BM111" s="26">
        <f t="shared" si="462"/>
        <v>45790.604096587471</v>
      </c>
      <c r="BN111" s="26">
        <f t="shared" si="463"/>
        <v>53688.806012275963</v>
      </c>
      <c r="BO111" s="26">
        <f t="shared" si="464"/>
        <v>19824.82303771154</v>
      </c>
      <c r="BP111" s="26">
        <f t="shared" si="465"/>
        <v>22949.586976473907</v>
      </c>
      <c r="BQ111" s="26">
        <f t="shared" si="466"/>
        <v>59893.859022104989</v>
      </c>
      <c r="BR111" s="26">
        <f t="shared" si="467"/>
        <v>91573.184650235024</v>
      </c>
      <c r="BS111" s="26">
        <f t="shared" si="468"/>
        <v>21223.665350554675</v>
      </c>
      <c r="BT111" s="26">
        <f t="shared" si="469"/>
        <v>12125.060093483939</v>
      </c>
      <c r="BU111" s="26">
        <f t="shared" si="470"/>
        <v>47266.536907160291</v>
      </c>
      <c r="BV111" s="26">
        <f t="shared" si="471"/>
        <v>61292.801813033773</v>
      </c>
      <c r="BW111" s="26">
        <f t="shared" si="472"/>
        <v>97372.303380369049</v>
      </c>
      <c r="BX111" s="26">
        <f t="shared" si="473"/>
        <v>32499.932665719542</v>
      </c>
      <c r="BY111" s="26">
        <f t="shared" si="474"/>
        <v>18007.898442372138</v>
      </c>
      <c r="BZ111" s="26">
        <f t="shared" si="475"/>
        <v>58152.677109952951</v>
      </c>
      <c r="CA111" s="26">
        <f t="shared" si="476"/>
        <v>84723.897398136571</v>
      </c>
      <c r="CB111" s="26">
        <f t="shared" si="477"/>
        <v>89583.428258832937</v>
      </c>
      <c r="CC111" s="26">
        <f t="shared" si="478"/>
        <v>5797.2667123730835</v>
      </c>
      <c r="CD111" s="26">
        <f t="shared" si="479"/>
        <v>101593.26193034055</v>
      </c>
      <c r="CE111" s="26">
        <f t="shared" si="480"/>
        <v>25225.503816564295</v>
      </c>
      <c r="CF111" s="26">
        <f t="shared" si="481"/>
        <v>22724.478165900615</v>
      </c>
      <c r="CG111" s="26">
        <f t="shared" si="482"/>
        <v>63720.932522704832</v>
      </c>
      <c r="CH111" s="26">
        <f t="shared" si="483"/>
        <v>31868.070669655419</v>
      </c>
      <c r="CI111" s="26">
        <f t="shared" si="484"/>
        <v>83982.617000054583</v>
      </c>
      <c r="CJ111" s="26">
        <f t="shared" si="485"/>
        <v>0</v>
      </c>
      <c r="CK111" s="26">
        <f t="shared" si="486"/>
        <v>19136.803967401509</v>
      </c>
      <c r="CL111" s="26">
        <f t="shared" si="487"/>
        <v>0</v>
      </c>
      <c r="CM111" s="110">
        <f t="shared" si="488"/>
        <v>0.99999999999999956</v>
      </c>
      <c r="CN111" s="27">
        <f t="shared" si="489"/>
        <v>27389.756812623946</v>
      </c>
      <c r="CO111" s="27">
        <f t="shared" si="490"/>
        <v>32114.084739623941</v>
      </c>
      <c r="CP111" s="27">
        <f t="shared" si="491"/>
        <v>11858.264213131239</v>
      </c>
      <c r="CQ111" s="27">
        <f t="shared" si="492"/>
        <v>13727.349062918936</v>
      </c>
      <c r="CR111" s="27">
        <f t="shared" si="493"/>
        <v>35825.651693188607</v>
      </c>
      <c r="CS111" s="27">
        <f t="shared" si="494"/>
        <v>54774.714324294437</v>
      </c>
      <c r="CT111" s="27">
        <f t="shared" si="495"/>
        <v>12694.985010418932</v>
      </c>
      <c r="CU111" s="27">
        <f t="shared" si="496"/>
        <v>7252.6330204874121</v>
      </c>
      <c r="CV111" s="27">
        <f t="shared" si="497"/>
        <v>28272.589471221145</v>
      </c>
      <c r="CW111" s="27">
        <f t="shared" si="498"/>
        <v>36662.432591677971</v>
      </c>
      <c r="CX111" s="27">
        <f t="shared" si="499"/>
        <v>58243.470740149212</v>
      </c>
      <c r="CY111" s="27">
        <f t="shared" si="500"/>
        <v>19439.910647674784</v>
      </c>
      <c r="CZ111" s="27">
        <f t="shared" si="501"/>
        <v>10771.466521878892</v>
      </c>
      <c r="DA111" s="27">
        <f t="shared" si="502"/>
        <v>34784.159664828629</v>
      </c>
      <c r="DB111" s="27">
        <f t="shared" si="503"/>
        <v>50677.797153709158</v>
      </c>
      <c r="DC111" s="27">
        <f t="shared" si="504"/>
        <v>53584.536890471747</v>
      </c>
      <c r="DD111" s="27">
        <f t="shared" si="505"/>
        <v>3467.6486271045319</v>
      </c>
      <c r="DE111" s="27">
        <f t="shared" si="506"/>
        <v>60768.246957471514</v>
      </c>
      <c r="DF111" s="27">
        <f t="shared" si="507"/>
        <v>15088.694037629082</v>
      </c>
      <c r="DG111" s="27">
        <f t="shared" si="508"/>
        <v>13592.699701993799</v>
      </c>
      <c r="DH111" s="27">
        <f t="shared" si="509"/>
        <v>38114.824648067341</v>
      </c>
      <c r="DI111" s="27">
        <f t="shared" si="510"/>
        <v>19061.960918624907</v>
      </c>
      <c r="DJ111" s="27">
        <f t="shared" si="511"/>
        <v>50234.39855187801</v>
      </c>
      <c r="DK111" s="27">
        <f t="shared" si="512"/>
        <v>0</v>
      </c>
      <c r="DL111" s="27">
        <f t="shared" si="513"/>
        <v>11446.723998931622</v>
      </c>
      <c r="DM111" s="27">
        <f t="shared" si="514"/>
        <v>0</v>
      </c>
      <c r="DN111" s="110">
        <f t="shared" si="515"/>
        <v>0.99999999999999989</v>
      </c>
      <c r="DO111" s="28">
        <f t="shared" si="518"/>
        <v>18400.847283963525</v>
      </c>
      <c r="DP111" s="28">
        <f t="shared" si="519"/>
        <v>21574.721272652023</v>
      </c>
      <c r="DQ111" s="28">
        <f t="shared" si="520"/>
        <v>7966.558824580301</v>
      </c>
      <c r="DR111" s="28">
        <f t="shared" si="521"/>
        <v>9222.2379135549709</v>
      </c>
      <c r="DS111" s="28">
        <f t="shared" si="522"/>
        <v>24068.207328916382</v>
      </c>
      <c r="DT111" s="28">
        <f t="shared" si="523"/>
        <v>36798.470325940587</v>
      </c>
      <c r="DU111" s="28">
        <f t="shared" si="524"/>
        <v>8528.6803401357429</v>
      </c>
      <c r="DV111" s="28">
        <f t="shared" si="525"/>
        <v>4872.4270729965265</v>
      </c>
      <c r="DW111" s="28">
        <f t="shared" si="526"/>
        <v>18993.947435939146</v>
      </c>
      <c r="DX111" s="28">
        <f t="shared" si="527"/>
        <v>24630.369221355802</v>
      </c>
      <c r="DY111" s="28">
        <f t="shared" si="528"/>
        <v>39128.832640219836</v>
      </c>
      <c r="DZ111" s="28">
        <f t="shared" si="529"/>
        <v>13060.022018044758</v>
      </c>
      <c r="EA111" s="28">
        <f t="shared" si="530"/>
        <v>7236.4319204932453</v>
      </c>
      <c r="EB111" s="28">
        <f t="shared" si="531"/>
        <v>23368.517445124322</v>
      </c>
      <c r="EC111" s="28">
        <f t="shared" si="532"/>
        <v>34046.100244427413</v>
      </c>
      <c r="ED111" s="28">
        <f t="shared" si="533"/>
        <v>35998.89136836119</v>
      </c>
      <c r="EE111" s="28">
        <f t="shared" si="534"/>
        <v>2329.6180852685516</v>
      </c>
      <c r="EF111" s="28">
        <f t="shared" si="535"/>
        <v>40825.014972869038</v>
      </c>
      <c r="EG111" s="28">
        <f t="shared" si="536"/>
        <v>10136.809778935212</v>
      </c>
      <c r="EH111" s="28">
        <f t="shared" si="537"/>
        <v>9131.7784639068159</v>
      </c>
      <c r="EI111" s="28">
        <f t="shared" si="538"/>
        <v>25606.107874637491</v>
      </c>
      <c r="EJ111" s="28">
        <f t="shared" si="539"/>
        <v>12806.109751030512</v>
      </c>
      <c r="EK111" s="28">
        <f t="shared" si="540"/>
        <v>33748.218448176573</v>
      </c>
      <c r="EL111" s="28">
        <f t="shared" si="541"/>
        <v>0</v>
      </c>
      <c r="EM111" s="28">
        <f t="shared" si="542"/>
        <v>7690.0799684698868</v>
      </c>
      <c r="EN111" s="28">
        <f t="shared" si="543"/>
        <v>0</v>
      </c>
      <c r="EQ111" s="144">
        <v>0.03</v>
      </c>
      <c r="ER111" s="144">
        <v>0.05</v>
      </c>
      <c r="ES111" s="144">
        <v>7.9999999999999988E-2</v>
      </c>
      <c r="ET111" s="144">
        <v>0.11</v>
      </c>
      <c r="EU111" s="144">
        <v>0.12</v>
      </c>
      <c r="EV111" s="144">
        <v>0.15</v>
      </c>
      <c r="EW111" s="144">
        <v>0.13</v>
      </c>
      <c r="EX111" s="144">
        <v>7.9999999999999988E-2</v>
      </c>
      <c r="EY111" s="144">
        <v>7.0000000000000007E-2</v>
      </c>
      <c r="EZ111" s="144">
        <v>0.06</v>
      </c>
      <c r="FA111" s="144">
        <v>0.06</v>
      </c>
      <c r="FB111" s="144">
        <v>0.06</v>
      </c>
      <c r="FC111" s="145">
        <f t="shared" si="544"/>
        <v>1</v>
      </c>
      <c r="FD111" s="146">
        <f t="shared" si="545"/>
        <v>0.15999999999999998</v>
      </c>
      <c r="FE111" s="146">
        <f t="shared" si="546"/>
        <v>0.38</v>
      </c>
      <c r="FF111" s="146">
        <f t="shared" si="547"/>
        <v>0.28000000000000003</v>
      </c>
      <c r="FG111" s="146">
        <f t="shared" si="548"/>
        <v>0.18</v>
      </c>
      <c r="FH111" s="145">
        <f t="shared" si="655"/>
        <v>1</v>
      </c>
      <c r="FJ111" s="52">
        <f t="shared" si="549"/>
        <v>7326.4966554539942</v>
      </c>
      <c r="FK111" s="52">
        <f t="shared" si="550"/>
        <v>8590.208961964152</v>
      </c>
      <c r="FL111" s="52">
        <f t="shared" si="551"/>
        <v>3171.9716860338458</v>
      </c>
      <c r="FM111" s="52">
        <f t="shared" si="552"/>
        <v>3671.9339162358247</v>
      </c>
      <c r="FN111" s="52">
        <f t="shared" si="553"/>
        <v>9583.0174435367971</v>
      </c>
      <c r="FO111" s="52">
        <f t="shared" si="554"/>
        <v>14651.709544037602</v>
      </c>
      <c r="FP111" s="52">
        <f t="shared" si="555"/>
        <v>3395.7864560887474</v>
      </c>
      <c r="FQ111" s="52">
        <f t="shared" si="556"/>
        <v>1940.0096149574299</v>
      </c>
      <c r="FR111" s="52">
        <f t="shared" si="557"/>
        <v>7562.645905145645</v>
      </c>
      <c r="FS111" s="52">
        <f t="shared" si="558"/>
        <v>9806.8482900854015</v>
      </c>
      <c r="FT111" s="52">
        <f t="shared" si="559"/>
        <v>15579.568540859045</v>
      </c>
      <c r="FU111" s="52">
        <f t="shared" si="560"/>
        <v>5199.9892265151257</v>
      </c>
      <c r="FV111" s="52">
        <f t="shared" si="561"/>
        <v>2881.2637507795416</v>
      </c>
      <c r="FW111" s="52">
        <f t="shared" si="562"/>
        <v>9304.4283375924715</v>
      </c>
      <c r="FX111" s="52">
        <f t="shared" si="563"/>
        <v>13555.823583701849</v>
      </c>
      <c r="FY111" s="52">
        <f t="shared" si="564"/>
        <v>14333.348521413267</v>
      </c>
      <c r="FZ111" s="52">
        <f t="shared" si="565"/>
        <v>927.56267397969316</v>
      </c>
      <c r="GA111" s="52">
        <f t="shared" si="566"/>
        <v>16254.921908854485</v>
      </c>
      <c r="GB111" s="52">
        <f t="shared" si="567"/>
        <v>4036.0806106502864</v>
      </c>
      <c r="GC111" s="52">
        <f t="shared" si="568"/>
        <v>3635.916506544098</v>
      </c>
      <c r="GD111" s="52">
        <f t="shared" si="569"/>
        <v>10195.349203632772</v>
      </c>
      <c r="GE111" s="52">
        <f t="shared" si="570"/>
        <v>5098.891307144866</v>
      </c>
      <c r="GF111" s="52">
        <f t="shared" si="571"/>
        <v>13437.218720008732</v>
      </c>
      <c r="GG111" s="52">
        <f t="shared" si="572"/>
        <v>0</v>
      </c>
      <c r="GH111" s="52">
        <f t="shared" si="573"/>
        <v>3061.8886347842408</v>
      </c>
      <c r="GI111" s="52">
        <f t="shared" si="574"/>
        <v>0</v>
      </c>
      <c r="GJ111" s="26"/>
      <c r="GL111" s="150">
        <f t="shared" si="575"/>
        <v>17400.429556703239</v>
      </c>
      <c r="GM111" s="150">
        <f t="shared" si="576"/>
        <v>20401.746284664867</v>
      </c>
      <c r="GN111" s="150">
        <f t="shared" si="577"/>
        <v>7533.4327543303853</v>
      </c>
      <c r="GO111" s="150">
        <f t="shared" si="578"/>
        <v>8720.8430510600847</v>
      </c>
      <c r="GP111" s="150">
        <f t="shared" si="579"/>
        <v>22759.666428399894</v>
      </c>
      <c r="GQ111" s="150">
        <f t="shared" si="580"/>
        <v>34797.810167089308</v>
      </c>
      <c r="GR111" s="150">
        <f t="shared" si="581"/>
        <v>8064.9928332107766</v>
      </c>
      <c r="GS111" s="150">
        <f t="shared" si="582"/>
        <v>4607.5228355238969</v>
      </c>
      <c r="GT111" s="150">
        <f t="shared" si="583"/>
        <v>17961.28402472091</v>
      </c>
      <c r="GU111" s="150">
        <f t="shared" si="584"/>
        <v>23291.264688952833</v>
      </c>
      <c r="GV111" s="150">
        <f t="shared" si="585"/>
        <v>37001.47528454024</v>
      </c>
      <c r="GW111" s="150">
        <f t="shared" si="586"/>
        <v>12349.974412973426</v>
      </c>
      <c r="GX111" s="150">
        <f t="shared" si="587"/>
        <v>6843.0014081014124</v>
      </c>
      <c r="GY111" s="150">
        <f t="shared" si="588"/>
        <v>22098.017301782122</v>
      </c>
      <c r="GZ111" s="150">
        <f t="shared" si="589"/>
        <v>32195.081011291899</v>
      </c>
      <c r="HA111" s="150">
        <f t="shared" si="590"/>
        <v>34041.702738356515</v>
      </c>
      <c r="HB111" s="150">
        <f t="shared" si="591"/>
        <v>2202.9613507017716</v>
      </c>
      <c r="HC111" s="150">
        <f t="shared" si="592"/>
        <v>38605.43953352941</v>
      </c>
      <c r="HD111" s="150">
        <f t="shared" si="593"/>
        <v>9585.6914502944328</v>
      </c>
      <c r="HE111" s="150">
        <f t="shared" si="594"/>
        <v>8635.3017030422343</v>
      </c>
      <c r="HF111" s="150">
        <f t="shared" si="595"/>
        <v>24213.954358627838</v>
      </c>
      <c r="HG111" s="150">
        <f t="shared" si="596"/>
        <v>12109.866854469059</v>
      </c>
      <c r="HH111" s="150">
        <f t="shared" si="597"/>
        <v>31913.394460020743</v>
      </c>
      <c r="HI111" s="150">
        <f t="shared" si="598"/>
        <v>0</v>
      </c>
      <c r="HJ111" s="150">
        <f t="shared" si="599"/>
        <v>7271.9855076125732</v>
      </c>
      <c r="HK111" s="150">
        <f t="shared" si="600"/>
        <v>0</v>
      </c>
      <c r="HL111" s="26"/>
      <c r="HN111" s="147">
        <f t="shared" si="601"/>
        <v>12821.369147044494</v>
      </c>
      <c r="HO111" s="147">
        <f t="shared" si="602"/>
        <v>15032.86568343727</v>
      </c>
      <c r="HP111" s="147">
        <f t="shared" si="603"/>
        <v>5550.9504505592313</v>
      </c>
      <c r="HQ111" s="147">
        <f t="shared" si="604"/>
        <v>6425.8843534126945</v>
      </c>
      <c r="HR111" s="147">
        <f t="shared" si="605"/>
        <v>16770.280526189399</v>
      </c>
      <c r="HS111" s="147">
        <f t="shared" si="606"/>
        <v>25640.49170206581</v>
      </c>
      <c r="HT111" s="147">
        <f t="shared" si="607"/>
        <v>5942.6262981553091</v>
      </c>
      <c r="HU111" s="147">
        <f t="shared" si="608"/>
        <v>3395.016826175503</v>
      </c>
      <c r="HV111" s="147">
        <f t="shared" si="609"/>
        <v>13234.630334004883</v>
      </c>
      <c r="HW111" s="147">
        <f t="shared" si="610"/>
        <v>17161.984507649457</v>
      </c>
      <c r="HX111" s="147">
        <f t="shared" si="611"/>
        <v>27264.244946503335</v>
      </c>
      <c r="HY111" s="147">
        <f t="shared" si="612"/>
        <v>9099.9811464014729</v>
      </c>
      <c r="HZ111" s="147">
        <f t="shared" si="613"/>
        <v>5042.211563864199</v>
      </c>
      <c r="IA111" s="147">
        <f t="shared" si="614"/>
        <v>16282.749590786827</v>
      </c>
      <c r="IB111" s="147">
        <f t="shared" si="615"/>
        <v>23722.691271478241</v>
      </c>
      <c r="IC111" s="147">
        <f t="shared" si="616"/>
        <v>25083.359912473225</v>
      </c>
      <c r="ID111" s="147">
        <f t="shared" si="617"/>
        <v>1623.2346794644636</v>
      </c>
      <c r="IE111" s="147">
        <f t="shared" si="618"/>
        <v>28446.113340495358</v>
      </c>
      <c r="IF111" s="147">
        <f t="shared" si="619"/>
        <v>7063.1410686380032</v>
      </c>
      <c r="IG111" s="147">
        <f t="shared" si="620"/>
        <v>6362.8538864521724</v>
      </c>
      <c r="IH111" s="147">
        <f t="shared" si="621"/>
        <v>17841.861106357355</v>
      </c>
      <c r="II111" s="147">
        <f t="shared" si="622"/>
        <v>8923.0597875035182</v>
      </c>
      <c r="IJ111" s="147">
        <f t="shared" si="623"/>
        <v>23515.132760015284</v>
      </c>
      <c r="IK111" s="147">
        <f t="shared" si="624"/>
        <v>0</v>
      </c>
      <c r="IL111" s="147">
        <f t="shared" si="625"/>
        <v>5358.305110872423</v>
      </c>
      <c r="IM111" s="147">
        <f t="shared" si="626"/>
        <v>0</v>
      </c>
      <c r="IN111" s="26"/>
      <c r="IP111" s="61">
        <f t="shared" si="627"/>
        <v>8242.3087373857452</v>
      </c>
      <c r="IQ111" s="61">
        <f t="shared" si="628"/>
        <v>9663.9850822096723</v>
      </c>
      <c r="IR111" s="61">
        <f t="shared" si="629"/>
        <v>3568.4681467880769</v>
      </c>
      <c r="IS111" s="61">
        <f t="shared" si="630"/>
        <v>4130.9256557653034</v>
      </c>
      <c r="IT111" s="61">
        <f t="shared" si="631"/>
        <v>10780.894623978898</v>
      </c>
      <c r="IU111" s="61">
        <f t="shared" si="632"/>
        <v>16483.173237042305</v>
      </c>
      <c r="IV111" s="61">
        <f t="shared" si="633"/>
        <v>3820.2597630998412</v>
      </c>
      <c r="IW111" s="61">
        <f t="shared" si="634"/>
        <v>2182.510816827109</v>
      </c>
      <c r="IX111" s="61">
        <f t="shared" si="635"/>
        <v>8507.9766432888518</v>
      </c>
      <c r="IY111" s="61">
        <f t="shared" si="636"/>
        <v>11032.704326346078</v>
      </c>
      <c r="IZ111" s="61">
        <f t="shared" si="637"/>
        <v>17527.014608466427</v>
      </c>
      <c r="JA111" s="61">
        <f t="shared" si="638"/>
        <v>5849.9878798295176</v>
      </c>
      <c r="JB111" s="61">
        <f t="shared" si="639"/>
        <v>3241.4217196269847</v>
      </c>
      <c r="JC111" s="61">
        <f t="shared" si="640"/>
        <v>10467.48187979153</v>
      </c>
      <c r="JD111" s="61">
        <f t="shared" si="641"/>
        <v>15250.301531664581</v>
      </c>
      <c r="JE111" s="61">
        <f t="shared" si="642"/>
        <v>16125.017086589927</v>
      </c>
      <c r="JF111" s="61">
        <f t="shared" si="643"/>
        <v>1043.508008227155</v>
      </c>
      <c r="JG111" s="61">
        <f t="shared" si="644"/>
        <v>18286.787147461298</v>
      </c>
      <c r="JH111" s="61">
        <f t="shared" si="645"/>
        <v>4540.5906869815726</v>
      </c>
      <c r="JI111" s="61">
        <f t="shared" si="646"/>
        <v>4090.4060698621106</v>
      </c>
      <c r="JJ111" s="61">
        <f t="shared" si="647"/>
        <v>11469.767854086869</v>
      </c>
      <c r="JK111" s="61">
        <f t="shared" si="648"/>
        <v>5736.2527205379756</v>
      </c>
      <c r="JL111" s="61">
        <f t="shared" si="649"/>
        <v>15116.871060009824</v>
      </c>
      <c r="JM111" s="61">
        <f t="shared" si="650"/>
        <v>0</v>
      </c>
      <c r="JN111" s="61">
        <f t="shared" si="651"/>
        <v>3444.6247141322715</v>
      </c>
      <c r="JO111" s="61">
        <f t="shared" si="652"/>
        <v>0</v>
      </c>
      <c r="JQ111" s="26">
        <f t="shared" si="516"/>
        <v>1170017.9999999991</v>
      </c>
      <c r="JR111" s="156">
        <f t="shared" si="517"/>
        <v>0.99999999999999922</v>
      </c>
      <c r="JT111" s="157">
        <f t="shared" si="653"/>
        <v>45790.604096587471</v>
      </c>
      <c r="JU111" s="29">
        <f t="shared" si="654"/>
        <v>1</v>
      </c>
    </row>
    <row r="112" spans="1:281" ht="18.75" x14ac:dyDescent="0.3">
      <c r="A112" t="s">
        <v>234</v>
      </c>
      <c r="B112" t="s">
        <v>188</v>
      </c>
      <c r="C112" t="s">
        <v>74</v>
      </c>
      <c r="D112" t="s">
        <v>29</v>
      </c>
      <c r="E112" s="11" t="s">
        <v>272</v>
      </c>
      <c r="F112" s="114">
        <v>3331.0009999982435</v>
      </c>
      <c r="G112" s="17">
        <v>960461.28780675388</v>
      </c>
      <c r="H112" s="21">
        <v>701066.6334355867</v>
      </c>
      <c r="I112" s="25">
        <f t="shared" si="434"/>
        <v>1.37</v>
      </c>
      <c r="J112" s="13">
        <v>3.9136666356062451E-2</v>
      </c>
      <c r="K112" s="13">
        <v>4.5887162430215706E-2</v>
      </c>
      <c r="L112" s="13">
        <v>1.6944032517201873E-2</v>
      </c>
      <c r="M112" s="13">
        <v>1.9614729838749442E-2</v>
      </c>
      <c r="N112" s="13">
        <v>5.1190544950680372E-2</v>
      </c>
      <c r="O112" s="13">
        <v>7.8266475088618281E-2</v>
      </c>
      <c r="P112" s="13">
        <v>1.8139605844144813E-2</v>
      </c>
      <c r="Q112" s="13">
        <v>1.0363139792280096E-2</v>
      </c>
      <c r="R112" s="13">
        <v>4.0398127983637948E-2</v>
      </c>
      <c r="S112" s="13">
        <v>5.2386204155007658E-2</v>
      </c>
      <c r="T112" s="13">
        <v>8.3222910570921904E-2</v>
      </c>
      <c r="U112" s="13">
        <v>2.7777292884143299E-2</v>
      </c>
      <c r="V112" s="13">
        <v>1.5391129403455465E-2</v>
      </c>
      <c r="W112" s="13">
        <v>4.9702378177047632E-2</v>
      </c>
      <c r="X112" s="13">
        <v>7.2412473481721182E-2</v>
      </c>
      <c r="Y112" s="13">
        <v>7.6565854763630453E-2</v>
      </c>
      <c r="Z112" s="13">
        <v>4.9548525854927663E-3</v>
      </c>
      <c r="AA112" s="13">
        <v>8.6830511949679723E-2</v>
      </c>
      <c r="AB112" s="13">
        <v>2.1559927981077552E-2</v>
      </c>
      <c r="AC112" s="13">
        <v>1.9422332105916835E-2</v>
      </c>
      <c r="AD112" s="13">
        <v>5.4461497620297082E-2</v>
      </c>
      <c r="AE112" s="13">
        <v>2.7237248204434045E-2</v>
      </c>
      <c r="AF112" s="13">
        <v>7.1778910239034488E-2</v>
      </c>
      <c r="AG112" s="9">
        <v>0</v>
      </c>
      <c r="AH112" s="13">
        <v>1.6355991076548834E-2</v>
      </c>
      <c r="AJ112" s="8">
        <f t="shared" si="461"/>
        <v>0.99999999999999989</v>
      </c>
      <c r="AK112" s="141">
        <f t="shared" si="435"/>
        <v>130.36427476864165</v>
      </c>
      <c r="AL112" s="141">
        <f t="shared" si="436"/>
        <v>152.85018394213034</v>
      </c>
      <c r="AM112" s="141">
        <f t="shared" si="437"/>
        <v>56.440589258802191</v>
      </c>
      <c r="AN112" s="141">
        <f t="shared" si="438"/>
        <v>65.336684707569773</v>
      </c>
      <c r="AO112" s="141">
        <f t="shared" si="439"/>
        <v>170.51575642117135</v>
      </c>
      <c r="AP112" s="141">
        <f t="shared" si="440"/>
        <v>260.70570678652513</v>
      </c>
      <c r="AQ112" s="141">
        <f t="shared" si="441"/>
        <v>60.423045206420355</v>
      </c>
      <c r="AR112" s="141">
        <f t="shared" si="442"/>
        <v>34.51962901120659</v>
      </c>
      <c r="AS112" s="141">
        <f t="shared" si="443"/>
        <v>134.56620471155503</v>
      </c>
      <c r="AT112" s="141">
        <f t="shared" si="444"/>
        <v>174.49849842644264</v>
      </c>
      <c r="AU112" s="141">
        <f t="shared" si="445"/>
        <v>277.21559833450527</v>
      </c>
      <c r="AV112" s="141">
        <f t="shared" si="446"/>
        <v>92.526190374325424</v>
      </c>
      <c r="AW112" s="141">
        <f t="shared" si="447"/>
        <v>51.267867434012523</v>
      </c>
      <c r="AX112" s="141">
        <f t="shared" si="448"/>
        <v>165.55867141003654</v>
      </c>
      <c r="AY112" s="141">
        <f t="shared" si="449"/>
        <v>241.20602157995955</v>
      </c>
      <c r="AZ112" s="141">
        <f t="shared" si="450"/>
        <v>255.04093878337332</v>
      </c>
      <c r="BA112" s="141">
        <f t="shared" si="451"/>
        <v>16.504618917120286</v>
      </c>
      <c r="BB112" s="141">
        <f t="shared" si="452"/>
        <v>289.23252213474257</v>
      </c>
      <c r="BC112" s="141">
        <f t="shared" si="453"/>
        <v>71.816141664859444</v>
      </c>
      <c r="BD112" s="141">
        <f t="shared" si="454"/>
        <v>64.695807667106962</v>
      </c>
      <c r="BE112" s="141">
        <f t="shared" si="455"/>
        <v>181.41130303461154</v>
      </c>
      <c r="BF112" s="141">
        <f t="shared" si="456"/>
        <v>90.727301006170165</v>
      </c>
      <c r="BG112" s="141">
        <f t="shared" si="457"/>
        <v>239.09562178500803</v>
      </c>
      <c r="BH112" s="141">
        <f t="shared" si="458"/>
        <v>0</v>
      </c>
      <c r="BI112" s="141">
        <f t="shared" si="459"/>
        <v>54.481822631946514</v>
      </c>
      <c r="BJ112" s="141">
        <f t="shared" si="460"/>
        <v>0</v>
      </c>
      <c r="BM112" s="26">
        <f t="shared" si="462"/>
        <v>37589.252968806999</v>
      </c>
      <c r="BN112" s="26">
        <f t="shared" si="463"/>
        <v>44072.843121522674</v>
      </c>
      <c r="BO112" s="26">
        <f t="shared" si="464"/>
        <v>16274.087292111224</v>
      </c>
      <c r="BP112" s="26">
        <f t="shared" si="465"/>
        <v>18839.188680906853</v>
      </c>
      <c r="BQ112" s="26">
        <f t="shared" si="466"/>
        <v>49166.536726859995</v>
      </c>
      <c r="BR112" s="26">
        <f t="shared" si="467"/>
        <v>75171.919455709532</v>
      </c>
      <c r="BS112" s="26">
        <f t="shared" si="468"/>
        <v>17422.389189374244</v>
      </c>
      <c r="BT112" s="26">
        <f t="shared" si="469"/>
        <v>9953.3945906147565</v>
      </c>
      <c r="BU112" s="26">
        <f t="shared" si="470"/>
        <v>38800.838028146965</v>
      </c>
      <c r="BV112" s="26">
        <f t="shared" si="471"/>
        <v>50314.921106026173</v>
      </c>
      <c r="BW112" s="26">
        <f t="shared" si="472"/>
        <v>79932.383861973969</v>
      </c>
      <c r="BX112" s="26">
        <f t="shared" si="473"/>
        <v>26679.014495289655</v>
      </c>
      <c r="BY112" s="26">
        <f t="shared" si="474"/>
        <v>14782.583967643232</v>
      </c>
      <c r="BZ112" s="26">
        <f t="shared" si="475"/>
        <v>47737.210150985469</v>
      </c>
      <c r="CA112" s="26">
        <f t="shared" si="476"/>
        <v>69549.377533526334</v>
      </c>
      <c r="CB112" s="26">
        <f t="shared" si="477"/>
        <v>73538.539468301387</v>
      </c>
      <c r="CC112" s="26">
        <f t="shared" si="478"/>
        <v>4758.9440951550068</v>
      </c>
      <c r="CD112" s="26">
        <f t="shared" si="479"/>
        <v>83397.345328109121</v>
      </c>
      <c r="CE112" s="26">
        <f t="shared" si="480"/>
        <v>20707.476193726612</v>
      </c>
      <c r="CF112" s="26">
        <f t="shared" si="481"/>
        <v>18654.398106659344</v>
      </c>
      <c r="CG112" s="26">
        <f t="shared" si="482"/>
        <v>52308.160140274995</v>
      </c>
      <c r="CH112" s="26">
        <f t="shared" si="483"/>
        <v>26160.322486742916</v>
      </c>
      <c r="CI112" s="26">
        <f t="shared" si="484"/>
        <v>68940.864565548458</v>
      </c>
      <c r="CJ112" s="26">
        <f t="shared" si="485"/>
        <v>0</v>
      </c>
      <c r="CK112" s="26">
        <f t="shared" si="486"/>
        <v>15709.296252737868</v>
      </c>
      <c r="CL112" s="26">
        <f t="shared" si="487"/>
        <v>0</v>
      </c>
      <c r="CM112" s="110">
        <f t="shared" si="488"/>
        <v>0.99999999999999978</v>
      </c>
      <c r="CN112" s="27">
        <f t="shared" si="489"/>
        <v>27437.410926136494</v>
      </c>
      <c r="CO112" s="27">
        <f t="shared" si="490"/>
        <v>32169.958482863261</v>
      </c>
      <c r="CP112" s="27">
        <f t="shared" si="491"/>
        <v>11878.895833657827</v>
      </c>
      <c r="CQ112" s="27">
        <f t="shared" si="492"/>
        <v>13751.232613800619</v>
      </c>
      <c r="CR112" s="27">
        <f t="shared" si="493"/>
        <v>35887.983012306562</v>
      </c>
      <c r="CS112" s="27">
        <f t="shared" si="494"/>
        <v>54870.014201247832</v>
      </c>
      <c r="CT112" s="27">
        <f t="shared" si="495"/>
        <v>12717.072401003097</v>
      </c>
      <c r="CU112" s="27">
        <f t="shared" si="496"/>
        <v>7265.2515259961719</v>
      </c>
      <c r="CV112" s="27">
        <f t="shared" si="497"/>
        <v>28321.779582589021</v>
      </c>
      <c r="CW112" s="27">
        <f t="shared" si="498"/>
        <v>36726.219785420566</v>
      </c>
      <c r="CX112" s="27">
        <f t="shared" si="499"/>
        <v>58344.805738667121</v>
      </c>
      <c r="CY112" s="27">
        <f t="shared" si="500"/>
        <v>19473.733208240621</v>
      </c>
      <c r="CZ112" s="27">
        <f t="shared" si="501"/>
        <v>10790.207275651992</v>
      </c>
      <c r="DA112" s="27">
        <f t="shared" si="502"/>
        <v>34844.678942325154</v>
      </c>
      <c r="DB112" s="27">
        <f t="shared" si="503"/>
        <v>50765.969002573969</v>
      </c>
      <c r="DC112" s="27">
        <f t="shared" si="504"/>
        <v>53677.766035256478</v>
      </c>
      <c r="DD112" s="27">
        <f t="shared" si="505"/>
        <v>3473.6818212810263</v>
      </c>
      <c r="DE112" s="27">
        <f t="shared" si="506"/>
        <v>60873.974692050448</v>
      </c>
      <c r="DF112" s="27">
        <f t="shared" si="507"/>
        <v>15114.946126807745</v>
      </c>
      <c r="DG112" s="27">
        <f t="shared" si="508"/>
        <v>13616.348982963023</v>
      </c>
      <c r="DH112" s="27">
        <f t="shared" si="509"/>
        <v>38181.138788521894</v>
      </c>
      <c r="DI112" s="27">
        <f t="shared" si="510"/>
        <v>19095.125902732056</v>
      </c>
      <c r="DJ112" s="27">
        <f t="shared" si="511"/>
        <v>50321.798952955069</v>
      </c>
      <c r="DK112" s="27">
        <f t="shared" si="512"/>
        <v>0</v>
      </c>
      <c r="DL112" s="27">
        <f t="shared" si="513"/>
        <v>11466.639600538589</v>
      </c>
      <c r="DM112" s="27">
        <f t="shared" si="514"/>
        <v>0</v>
      </c>
      <c r="DN112" s="110">
        <f t="shared" si="515"/>
        <v>0.99999999999999989</v>
      </c>
      <c r="DO112" s="28">
        <f t="shared" si="518"/>
        <v>10151.842042670505</v>
      </c>
      <c r="DP112" s="28">
        <f t="shared" si="519"/>
        <v>11902.884638659412</v>
      </c>
      <c r="DQ112" s="28">
        <f t="shared" si="520"/>
        <v>4395.191458453397</v>
      </c>
      <c r="DR112" s="28">
        <f t="shared" si="521"/>
        <v>5087.9560671062336</v>
      </c>
      <c r="DS112" s="28">
        <f t="shared" si="522"/>
        <v>13278.553714553433</v>
      </c>
      <c r="DT112" s="28">
        <f t="shared" si="523"/>
        <v>20301.905254461701</v>
      </c>
      <c r="DU112" s="28">
        <f t="shared" si="524"/>
        <v>4705.3167883711467</v>
      </c>
      <c r="DV112" s="28">
        <f t="shared" si="525"/>
        <v>2688.1430646185845</v>
      </c>
      <c r="DW112" s="28">
        <f t="shared" si="526"/>
        <v>10479.058445557945</v>
      </c>
      <c r="DX112" s="28">
        <f t="shared" si="527"/>
        <v>13588.701320605607</v>
      </c>
      <c r="DY112" s="28">
        <f t="shared" si="528"/>
        <v>21587.578123306848</v>
      </c>
      <c r="DZ112" s="28">
        <f t="shared" si="529"/>
        <v>7205.2812870490343</v>
      </c>
      <c r="EA112" s="28">
        <f t="shared" si="530"/>
        <v>3992.3766919912396</v>
      </c>
      <c r="EB112" s="28">
        <f t="shared" si="531"/>
        <v>12892.531208660315</v>
      </c>
      <c r="EC112" s="28">
        <f t="shared" si="532"/>
        <v>18783.408530952365</v>
      </c>
      <c r="ED112" s="28">
        <f t="shared" si="533"/>
        <v>19860.773433044909</v>
      </c>
      <c r="EE112" s="28">
        <f t="shared" si="534"/>
        <v>1285.2622738739806</v>
      </c>
      <c r="EF112" s="28">
        <f t="shared" si="535"/>
        <v>22523.370636058673</v>
      </c>
      <c r="EG112" s="28">
        <f t="shared" si="536"/>
        <v>5592.5300669188673</v>
      </c>
      <c r="EH112" s="28">
        <f t="shared" si="537"/>
        <v>5038.0491236963207</v>
      </c>
      <c r="EI112" s="28">
        <f t="shared" si="538"/>
        <v>14127.021351753101</v>
      </c>
      <c r="EJ112" s="28">
        <f t="shared" si="539"/>
        <v>7065.1965840108605</v>
      </c>
      <c r="EK112" s="28">
        <f t="shared" si="540"/>
        <v>18619.065612593389</v>
      </c>
      <c r="EL112" s="28">
        <f t="shared" si="541"/>
        <v>0</v>
      </c>
      <c r="EM112" s="28">
        <f t="shared" si="542"/>
        <v>4242.6566521992791</v>
      </c>
      <c r="EN112" s="28">
        <f t="shared" si="543"/>
        <v>0</v>
      </c>
      <c r="EQ112" s="144">
        <v>3.000017542548267E-2</v>
      </c>
      <c r="ER112" s="144">
        <v>5.0000185199923053E-2</v>
      </c>
      <c r="ES112" s="144">
        <v>8.0000000514444225E-2</v>
      </c>
      <c r="ET112" s="144">
        <v>0.11000017593992689</v>
      </c>
      <c r="EU112" s="144">
        <v>0.11999963423015192</v>
      </c>
      <c r="EV112" s="144">
        <v>0.14999982251674038</v>
      </c>
      <c r="EW112" s="144">
        <v>0.12999981274229999</v>
      </c>
      <c r="EX112" s="144">
        <v>8.0000000514444225E-2</v>
      </c>
      <c r="EY112" s="144">
        <v>7.0000182113257661E-2</v>
      </c>
      <c r="EZ112" s="144">
        <v>6.000000360110961E-2</v>
      </c>
      <c r="FA112" s="144">
        <v>6.000000360110961E-2</v>
      </c>
      <c r="FB112" s="144">
        <v>6.000000360110961E-2</v>
      </c>
      <c r="FC112" s="145">
        <f t="shared" si="544"/>
        <v>0.99999999999999967</v>
      </c>
      <c r="FD112" s="146">
        <f t="shared" si="545"/>
        <v>0.16000036113984994</v>
      </c>
      <c r="FE112" s="146">
        <f t="shared" si="546"/>
        <v>0.37999963268681919</v>
      </c>
      <c r="FF112" s="146">
        <f t="shared" si="547"/>
        <v>0.27999999537000186</v>
      </c>
      <c r="FG112" s="146">
        <f t="shared" si="548"/>
        <v>0.18000001080332884</v>
      </c>
      <c r="FH112" s="145">
        <f t="shared" si="655"/>
        <v>0.99999999999999978</v>
      </c>
      <c r="FJ112" s="52">
        <f t="shared" si="549"/>
        <v>6014.2940499862962</v>
      </c>
      <c r="FK112" s="52">
        <f t="shared" si="550"/>
        <v>7051.6708159035798</v>
      </c>
      <c r="FL112" s="52">
        <f t="shared" si="551"/>
        <v>2603.8598439592383</v>
      </c>
      <c r="FM112" s="52">
        <f t="shared" si="552"/>
        <v>3014.2769925268699</v>
      </c>
      <c r="FN112" s="52">
        <f t="shared" si="553"/>
        <v>7866.6636322932954</v>
      </c>
      <c r="FO112" s="52">
        <f t="shared" si="554"/>
        <v>12027.534260489238</v>
      </c>
      <c r="FP112" s="52">
        <f t="shared" si="555"/>
        <v>2787.5885622188966</v>
      </c>
      <c r="FQ112" s="52">
        <f t="shared" si="556"/>
        <v>1592.54672906579</v>
      </c>
      <c r="FR112" s="52">
        <f t="shared" si="557"/>
        <v>6208.1480970323373</v>
      </c>
      <c r="FS112" s="52">
        <f t="shared" si="558"/>
        <v>8050.4055476872463</v>
      </c>
      <c r="FT112" s="52">
        <f t="shared" si="559"/>
        <v>12789.210284684948</v>
      </c>
      <c r="FU112" s="52">
        <f t="shared" si="560"/>
        <v>4268.651954101636</v>
      </c>
      <c r="FV112" s="52">
        <f t="shared" si="561"/>
        <v>2365.2187734030731</v>
      </c>
      <c r="FW112" s="52">
        <f t="shared" si="562"/>
        <v>7637.970863966586</v>
      </c>
      <c r="FX112" s="52">
        <f t="shared" si="563"/>
        <v>11127.925522415981</v>
      </c>
      <c r="FY112" s="52">
        <f t="shared" si="564"/>
        <v>11766.19287262533</v>
      </c>
      <c r="FZ112" s="52">
        <f t="shared" si="565"/>
        <v>761.43277386915747</v>
      </c>
      <c r="GA112" s="52">
        <f t="shared" si="566"/>
        <v>13343.605370602238</v>
      </c>
      <c r="GB112" s="52">
        <f t="shared" si="567"/>
        <v>3313.2036692911033</v>
      </c>
      <c r="GC112" s="52">
        <f t="shared" si="568"/>
        <v>2984.7104339120283</v>
      </c>
      <c r="GD112" s="52">
        <f t="shared" si="569"/>
        <v>8369.3245130051037</v>
      </c>
      <c r="GE112" s="52">
        <f t="shared" si="570"/>
        <v>4185.6610454138035</v>
      </c>
      <c r="GF112" s="52">
        <f t="shared" si="571"/>
        <v>11030.563227781238</v>
      </c>
      <c r="GG112" s="52">
        <f t="shared" si="572"/>
        <v>0</v>
      </c>
      <c r="GH112" s="52">
        <f t="shared" si="573"/>
        <v>2513.4930736909505</v>
      </c>
      <c r="GI112" s="52">
        <f t="shared" si="574"/>
        <v>0</v>
      </c>
      <c r="GJ112" s="26"/>
      <c r="GL112" s="150">
        <f t="shared" si="575"/>
        <v>14283.902321118587</v>
      </c>
      <c r="GM112" s="150">
        <f t="shared" si="576"/>
        <v>16747.664197642422</v>
      </c>
      <c r="GN112" s="150">
        <f t="shared" si="577"/>
        <v>6184.1471933154971</v>
      </c>
      <c r="GO112" s="150">
        <f t="shared" si="578"/>
        <v>7158.8847788622861</v>
      </c>
      <c r="GP112" s="150">
        <f t="shared" si="579"/>
        <v>18683.265896689802</v>
      </c>
      <c r="GQ112" s="150">
        <f t="shared" si="580"/>
        <v>28565.30178153278</v>
      </c>
      <c r="GR112" s="150">
        <f t="shared" si="581"/>
        <v>6620.501492489022</v>
      </c>
      <c r="GS112" s="150">
        <f t="shared" si="582"/>
        <v>3782.2862884205806</v>
      </c>
      <c r="GT112" s="150">
        <f t="shared" si="583"/>
        <v>14744.304198636613</v>
      </c>
      <c r="GU112" s="150">
        <f t="shared" si="584"/>
        <v>19119.651538956234</v>
      </c>
      <c r="GV112" s="150">
        <f t="shared" si="585"/>
        <v>30374.276507331942</v>
      </c>
      <c r="GW112" s="150">
        <f t="shared" si="586"/>
        <v>10138.015708656394</v>
      </c>
      <c r="GX112" s="150">
        <f t="shared" si="587"/>
        <v>5617.3764778664899</v>
      </c>
      <c r="GY112" s="150">
        <f t="shared" si="588"/>
        <v>18140.122322867974</v>
      </c>
      <c r="GZ112" s="150">
        <f t="shared" si="589"/>
        <v>26428.737916336922</v>
      </c>
      <c r="HA112" s="150">
        <f t="shared" si="590"/>
        <v>27944.617986279682</v>
      </c>
      <c r="HB112" s="150">
        <f t="shared" si="591"/>
        <v>1808.3970081360096</v>
      </c>
      <c r="HC112" s="150">
        <f t="shared" si="592"/>
        <v>31690.960591737283</v>
      </c>
      <c r="HD112" s="150">
        <f t="shared" si="593"/>
        <v>7868.8333474871652</v>
      </c>
      <c r="HE112" s="150">
        <f t="shared" si="594"/>
        <v>7088.6644285242464</v>
      </c>
      <c r="HF112" s="150">
        <f t="shared" si="595"/>
        <v>19877.081639827815</v>
      </c>
      <c r="HG112" s="150">
        <f t="shared" si="596"/>
        <v>9940.9129359310446</v>
      </c>
      <c r="HH112" s="150">
        <f t="shared" si="597"/>
        <v>26197.503212020161</v>
      </c>
      <c r="HI112" s="150">
        <f t="shared" si="598"/>
        <v>0</v>
      </c>
      <c r="HJ112" s="150">
        <f t="shared" si="599"/>
        <v>5969.526805808815</v>
      </c>
      <c r="HK112" s="150">
        <f t="shared" si="600"/>
        <v>0</v>
      </c>
      <c r="HL112" s="26"/>
      <c r="HN112" s="147">
        <f t="shared" si="601"/>
        <v>10524.990657227789</v>
      </c>
      <c r="HO112" s="147">
        <f t="shared" si="602"/>
        <v>12340.395869969167</v>
      </c>
      <c r="HP112" s="147">
        <f t="shared" si="603"/>
        <v>4556.7443664421489</v>
      </c>
      <c r="HQ112" s="147">
        <f t="shared" si="604"/>
        <v>5274.9727434285105</v>
      </c>
      <c r="HR112" s="147">
        <f t="shared" si="605"/>
        <v>13766.630055879825</v>
      </c>
      <c r="HS112" s="147">
        <f t="shared" si="606"/>
        <v>21048.137099552823</v>
      </c>
      <c r="HT112" s="147">
        <f t="shared" si="607"/>
        <v>4878.2688923591586</v>
      </c>
      <c r="HU112" s="147">
        <f t="shared" si="608"/>
        <v>2786.9504392879335</v>
      </c>
      <c r="HV112" s="147">
        <f t="shared" si="609"/>
        <v>10864.234468233342</v>
      </c>
      <c r="HW112" s="147">
        <f t="shared" si="610"/>
        <v>14088.177676729338</v>
      </c>
      <c r="HX112" s="147">
        <f t="shared" si="611"/>
        <v>22381.067111265922</v>
      </c>
      <c r="HY112" s="147">
        <f t="shared" si="612"/>
        <v>7470.1239351573158</v>
      </c>
      <c r="HZ112" s="147">
        <f t="shared" si="613"/>
        <v>4139.1234424967688</v>
      </c>
      <c r="IA112" s="147">
        <f t="shared" si="614"/>
        <v>13366.418621252737</v>
      </c>
      <c r="IB112" s="147">
        <f t="shared" si="615"/>
        <v>19473.825387373887</v>
      </c>
      <c r="IC112" s="147">
        <f t="shared" si="616"/>
        <v>20590.790710641089</v>
      </c>
      <c r="ID112" s="147">
        <f t="shared" si="617"/>
        <v>1332.5043246094997</v>
      </c>
      <c r="IE112" s="147">
        <f t="shared" si="618"/>
        <v>23351.256305741001</v>
      </c>
      <c r="IF112" s="147">
        <f t="shared" si="619"/>
        <v>5798.0932383678755</v>
      </c>
      <c r="IG112" s="147">
        <f t="shared" si="620"/>
        <v>5223.2313834947881</v>
      </c>
      <c r="IH112" s="147">
        <f t="shared" si="621"/>
        <v>14646.284597090314</v>
      </c>
      <c r="II112" s="147">
        <f t="shared" si="622"/>
        <v>7324.8901751657722</v>
      </c>
      <c r="IJ112" s="147">
        <f t="shared" si="623"/>
        <v>19303.441759157493</v>
      </c>
      <c r="IK112" s="147">
        <f t="shared" si="624"/>
        <v>0</v>
      </c>
      <c r="IL112" s="147">
        <f t="shared" si="625"/>
        <v>4398.6028780325905</v>
      </c>
      <c r="IM112" s="147">
        <f t="shared" si="626"/>
        <v>0</v>
      </c>
      <c r="IN112" s="26"/>
      <c r="IP112" s="61">
        <f t="shared" si="627"/>
        <v>6766.0659404743201</v>
      </c>
      <c r="IQ112" s="61">
        <f t="shared" si="628"/>
        <v>7933.1122380074985</v>
      </c>
      <c r="IR112" s="61">
        <f t="shared" si="629"/>
        <v>2929.335888394337</v>
      </c>
      <c r="IS112" s="61">
        <f t="shared" si="630"/>
        <v>3391.054166089184</v>
      </c>
      <c r="IT112" s="61">
        <f t="shared" si="631"/>
        <v>8849.9771419970639</v>
      </c>
      <c r="IU112" s="61">
        <f t="shared" si="632"/>
        <v>13530.946314134681</v>
      </c>
      <c r="IV112" s="61">
        <f t="shared" si="633"/>
        <v>3136.0302423071635</v>
      </c>
      <c r="IW112" s="61">
        <f t="shared" si="634"/>
        <v>1791.611133840451</v>
      </c>
      <c r="IX112" s="61">
        <f t="shared" si="635"/>
        <v>6984.151264244666</v>
      </c>
      <c r="IY112" s="61">
        <f t="shared" si="636"/>
        <v>9056.6863426533491</v>
      </c>
      <c r="IZ112" s="61">
        <f t="shared" si="637"/>
        <v>14387.829958691142</v>
      </c>
      <c r="JA112" s="61">
        <f t="shared" si="638"/>
        <v>4802.2228973743049</v>
      </c>
      <c r="JB112" s="61">
        <f t="shared" si="639"/>
        <v>2660.8652738768974</v>
      </c>
      <c r="JC112" s="61">
        <f t="shared" si="640"/>
        <v>8592.6983428981639</v>
      </c>
      <c r="JD112" s="61">
        <f t="shared" si="641"/>
        <v>12518.888707399536</v>
      </c>
      <c r="JE112" s="61">
        <f t="shared" si="642"/>
        <v>13236.937898755274</v>
      </c>
      <c r="JF112" s="61">
        <f t="shared" si="643"/>
        <v>856.60998854033915</v>
      </c>
      <c r="JG112" s="61">
        <f t="shared" si="644"/>
        <v>15011.523060028587</v>
      </c>
      <c r="JH112" s="61">
        <f t="shared" si="645"/>
        <v>3727.3459385804649</v>
      </c>
      <c r="JI112" s="61">
        <f t="shared" si="646"/>
        <v>3357.7918607282791</v>
      </c>
      <c r="JJ112" s="61">
        <f t="shared" si="647"/>
        <v>9415.4693903517546</v>
      </c>
      <c r="JK112" s="61">
        <f t="shared" si="648"/>
        <v>4708.8583302322913</v>
      </c>
      <c r="JL112" s="61">
        <f t="shared" si="649"/>
        <v>12409.356366589553</v>
      </c>
      <c r="JM112" s="61">
        <f t="shared" si="650"/>
        <v>0</v>
      </c>
      <c r="JN112" s="61">
        <f t="shared" si="651"/>
        <v>2827.6734952055094</v>
      </c>
      <c r="JO112" s="61">
        <f t="shared" si="652"/>
        <v>0</v>
      </c>
      <c r="JQ112" s="26">
        <f t="shared" si="516"/>
        <v>960461.28780675342</v>
      </c>
      <c r="JR112" s="156">
        <f t="shared" si="517"/>
        <v>0.99999999999999956</v>
      </c>
      <c r="JT112" s="157">
        <f t="shared" si="653"/>
        <v>37589.252968806992</v>
      </c>
      <c r="JU112" s="29">
        <f t="shared" si="654"/>
        <v>0.99999999999999978</v>
      </c>
    </row>
    <row r="113" spans="1:281" ht="18.75" x14ac:dyDescent="0.3">
      <c r="A113" t="s">
        <v>234</v>
      </c>
      <c r="B113" t="s">
        <v>189</v>
      </c>
      <c r="C113" t="s">
        <v>74</v>
      </c>
      <c r="D113" t="s">
        <v>29</v>
      </c>
      <c r="E113" s="11" t="s">
        <v>273</v>
      </c>
      <c r="F113" s="114">
        <v>2999.9999999999995</v>
      </c>
      <c r="G113" s="17">
        <v>1362960</v>
      </c>
      <c r="H113" s="21">
        <v>934980</v>
      </c>
      <c r="I113" s="25">
        <f t="shared" si="434"/>
        <v>1.4577424116023872</v>
      </c>
      <c r="J113" s="13">
        <v>6.5000000000000141E-2</v>
      </c>
      <c r="K113" s="13">
        <v>1.1035854686685926E-2</v>
      </c>
      <c r="L113" s="13">
        <v>8.0000000000000175E-3</v>
      </c>
      <c r="M113" s="13">
        <v>2.299691848624064E-2</v>
      </c>
      <c r="N113" s="13">
        <v>7.4499999999999731E-3</v>
      </c>
      <c r="O113" s="13">
        <v>4.9999999999999982E-2</v>
      </c>
      <c r="P113" s="13">
        <v>6.867806564675785E-3</v>
      </c>
      <c r="Q113" s="13">
        <v>0</v>
      </c>
      <c r="R113" s="13">
        <v>1.999999999999999E-2</v>
      </c>
      <c r="S113" s="13">
        <v>0.12717000000000009</v>
      </c>
      <c r="T113" s="13">
        <v>0.1285108700800458</v>
      </c>
      <c r="U113" s="13">
        <v>1.4999999999999986E-2</v>
      </c>
      <c r="V113" s="13">
        <v>1.5677544640742662E-2</v>
      </c>
      <c r="W113" s="13">
        <v>3.8092644342348395E-2</v>
      </c>
      <c r="X113" s="13">
        <v>0.20800000000000035</v>
      </c>
      <c r="Y113" s="13">
        <v>2.1230995121489106E-2</v>
      </c>
      <c r="Z113" s="13">
        <v>2.7044948609861147E-2</v>
      </c>
      <c r="AA113" s="13">
        <v>3.259839909060748E-2</v>
      </c>
      <c r="AB113" s="13">
        <v>1.2563349595036225E-2</v>
      </c>
      <c r="AC113" s="13">
        <v>9.999999999999962E-3</v>
      </c>
      <c r="AD113" s="13">
        <v>2.42859849381898E-2</v>
      </c>
      <c r="AE113" s="13">
        <v>1.9999999999999924E-2</v>
      </c>
      <c r="AF113" s="13">
        <v>8.810922180646974E-2</v>
      </c>
      <c r="AG113" s="13">
        <v>2.2000000000000013E-2</v>
      </c>
      <c r="AH113" s="13">
        <v>1.8365462037607139E-2</v>
      </c>
      <c r="AJ113" s="8">
        <f t="shared" si="461"/>
        <v>1.0000000000000004</v>
      </c>
      <c r="AK113" s="141">
        <f t="shared" si="435"/>
        <v>195.0000000000004</v>
      </c>
      <c r="AL113" s="141">
        <f t="shared" si="436"/>
        <v>33.107564060057776</v>
      </c>
      <c r="AM113" s="141">
        <f t="shared" si="437"/>
        <v>24.00000000000005</v>
      </c>
      <c r="AN113" s="141">
        <f t="shared" si="438"/>
        <v>68.990755458721907</v>
      </c>
      <c r="AO113" s="141">
        <f t="shared" si="439"/>
        <v>22.349999999999916</v>
      </c>
      <c r="AP113" s="141">
        <f t="shared" si="440"/>
        <v>149.99999999999991</v>
      </c>
      <c r="AQ113" s="141">
        <f t="shared" si="441"/>
        <v>20.603419694027352</v>
      </c>
      <c r="AR113" s="141">
        <f t="shared" si="442"/>
        <v>0</v>
      </c>
      <c r="AS113" s="141">
        <f t="shared" si="443"/>
        <v>59.999999999999964</v>
      </c>
      <c r="AT113" s="141">
        <f t="shared" si="444"/>
        <v>381.51000000000022</v>
      </c>
      <c r="AU113" s="141">
        <f t="shared" si="445"/>
        <v>385.53261024013733</v>
      </c>
      <c r="AV113" s="141">
        <f t="shared" si="446"/>
        <v>44.99999999999995</v>
      </c>
      <c r="AW113" s="141">
        <f t="shared" si="447"/>
        <v>47.03263392222798</v>
      </c>
      <c r="AX113" s="141">
        <f t="shared" si="448"/>
        <v>114.27793302704517</v>
      </c>
      <c r="AY113" s="141">
        <f t="shared" si="449"/>
        <v>624.00000000000091</v>
      </c>
      <c r="AZ113" s="141">
        <f t="shared" si="450"/>
        <v>63.692985364467312</v>
      </c>
      <c r="BA113" s="141">
        <f t="shared" si="451"/>
        <v>81.134845829583426</v>
      </c>
      <c r="BB113" s="141">
        <f t="shared" si="452"/>
        <v>97.795197271822431</v>
      </c>
      <c r="BC113" s="141">
        <f t="shared" si="453"/>
        <v>37.690048785108672</v>
      </c>
      <c r="BD113" s="141">
        <f t="shared" si="454"/>
        <v>29.999999999999883</v>
      </c>
      <c r="BE113" s="141">
        <f t="shared" si="455"/>
        <v>72.857954814569396</v>
      </c>
      <c r="BF113" s="141">
        <f t="shared" si="456"/>
        <v>59.999999999999766</v>
      </c>
      <c r="BG113" s="141">
        <f t="shared" si="457"/>
        <v>264.32766541940919</v>
      </c>
      <c r="BH113" s="141">
        <f t="shared" si="458"/>
        <v>66.000000000000028</v>
      </c>
      <c r="BI113" s="141">
        <f t="shared" si="459"/>
        <v>55.096386112821406</v>
      </c>
      <c r="BJ113" s="141">
        <f t="shared" si="460"/>
        <v>0</v>
      </c>
      <c r="BM113" s="26">
        <f t="shared" si="462"/>
        <v>88592.400000000198</v>
      </c>
      <c r="BN113" s="26">
        <f t="shared" si="463"/>
        <v>15041.42850376545</v>
      </c>
      <c r="BO113" s="26">
        <f t="shared" si="464"/>
        <v>10903.680000000024</v>
      </c>
      <c r="BP113" s="26">
        <f t="shared" si="465"/>
        <v>31343.880020006542</v>
      </c>
      <c r="BQ113" s="26">
        <f t="shared" si="466"/>
        <v>10154.051999999963</v>
      </c>
      <c r="BR113" s="26">
        <f t="shared" si="467"/>
        <v>68147.999999999971</v>
      </c>
      <c r="BS113" s="26">
        <f t="shared" si="468"/>
        <v>9360.5456353905083</v>
      </c>
      <c r="BT113" s="26">
        <f t="shared" si="469"/>
        <v>0</v>
      </c>
      <c r="BU113" s="26">
        <f t="shared" si="470"/>
        <v>27259.199999999986</v>
      </c>
      <c r="BV113" s="26">
        <f t="shared" si="471"/>
        <v>173327.62320000012</v>
      </c>
      <c r="BW113" s="26">
        <f t="shared" si="472"/>
        <v>175155.17548429922</v>
      </c>
      <c r="BX113" s="26">
        <f t="shared" si="473"/>
        <v>20444.39999999998</v>
      </c>
      <c r="BY113" s="26">
        <f t="shared" si="474"/>
        <v>21367.866243546618</v>
      </c>
      <c r="BZ113" s="26">
        <f t="shared" si="475"/>
        <v>51918.750532847167</v>
      </c>
      <c r="CA113" s="26">
        <f t="shared" si="476"/>
        <v>283495.68000000046</v>
      </c>
      <c r="CB113" s="26">
        <f t="shared" si="477"/>
        <v>28936.997110784792</v>
      </c>
      <c r="CC113" s="26">
        <f t="shared" si="478"/>
        <v>36861.183157296349</v>
      </c>
      <c r="CD113" s="26">
        <f t="shared" si="479"/>
        <v>44430.314024534367</v>
      </c>
      <c r="CE113" s="26">
        <f t="shared" si="480"/>
        <v>17123.342964050575</v>
      </c>
      <c r="CF113" s="26">
        <f t="shared" si="481"/>
        <v>13629.599999999948</v>
      </c>
      <c r="CG113" s="26">
        <f t="shared" si="482"/>
        <v>33100.826031355173</v>
      </c>
      <c r="CH113" s="26">
        <f t="shared" si="483"/>
        <v>27259.199999999895</v>
      </c>
      <c r="CI113" s="26">
        <f t="shared" si="484"/>
        <v>120089.34495334599</v>
      </c>
      <c r="CJ113" s="26">
        <f t="shared" si="485"/>
        <v>29985.120000000017</v>
      </c>
      <c r="CK113" s="26">
        <f t="shared" si="486"/>
        <v>25031.390138777027</v>
      </c>
      <c r="CL113" s="26">
        <f t="shared" si="487"/>
        <v>0</v>
      </c>
      <c r="CM113" s="110">
        <f t="shared" si="488"/>
        <v>1.0000000000000004</v>
      </c>
      <c r="CN113" s="27">
        <f t="shared" si="489"/>
        <v>60773.700000000135</v>
      </c>
      <c r="CO113" s="27">
        <f t="shared" si="490"/>
        <v>10318.303414957607</v>
      </c>
      <c r="CP113" s="27">
        <f t="shared" si="491"/>
        <v>7479.8400000000165</v>
      </c>
      <c r="CQ113" s="27">
        <f t="shared" si="492"/>
        <v>21501.658846265273</v>
      </c>
      <c r="CR113" s="27">
        <f t="shared" si="493"/>
        <v>6965.6009999999751</v>
      </c>
      <c r="CS113" s="27">
        <f t="shared" si="494"/>
        <v>46748.999999999985</v>
      </c>
      <c r="CT113" s="27">
        <f t="shared" si="495"/>
        <v>6421.2617818405652</v>
      </c>
      <c r="CU113" s="27">
        <f t="shared" si="496"/>
        <v>0</v>
      </c>
      <c r="CV113" s="27">
        <f t="shared" si="497"/>
        <v>18699.599999999991</v>
      </c>
      <c r="CW113" s="27">
        <f t="shared" si="498"/>
        <v>118901.40660000009</v>
      </c>
      <c r="CX113" s="27">
        <f t="shared" si="499"/>
        <v>120155.09330744123</v>
      </c>
      <c r="CY113" s="27">
        <f t="shared" si="500"/>
        <v>14024.699999999986</v>
      </c>
      <c r="CZ113" s="27">
        <f t="shared" si="501"/>
        <v>14658.190688201574</v>
      </c>
      <c r="DA113" s="27">
        <f t="shared" si="502"/>
        <v>35615.860607208902</v>
      </c>
      <c r="DB113" s="27">
        <f t="shared" si="503"/>
        <v>194475.84000000032</v>
      </c>
      <c r="DC113" s="27">
        <f t="shared" si="504"/>
        <v>19850.555818689885</v>
      </c>
      <c r="DD113" s="27">
        <f t="shared" si="505"/>
        <v>25286.486051247975</v>
      </c>
      <c r="DE113" s="27">
        <f t="shared" si="506"/>
        <v>30478.851181736183</v>
      </c>
      <c r="DF113" s="27">
        <f t="shared" si="507"/>
        <v>11746.480604366969</v>
      </c>
      <c r="DG113" s="27">
        <f t="shared" si="508"/>
        <v>9349.7999999999647</v>
      </c>
      <c r="DH113" s="27">
        <f t="shared" si="509"/>
        <v>22706.9101975087</v>
      </c>
      <c r="DI113" s="27">
        <f t="shared" si="510"/>
        <v>18699.599999999929</v>
      </c>
      <c r="DJ113" s="27">
        <f t="shared" si="511"/>
        <v>82380.360204613084</v>
      </c>
      <c r="DK113" s="27">
        <f t="shared" si="512"/>
        <v>20569.560000000012</v>
      </c>
      <c r="DL113" s="27">
        <f t="shared" si="513"/>
        <v>17171.339695921921</v>
      </c>
      <c r="DM113" s="27">
        <f t="shared" si="514"/>
        <v>0</v>
      </c>
      <c r="DN113" s="110">
        <f t="shared" si="515"/>
        <v>1.0000000000000004</v>
      </c>
      <c r="DO113" s="28">
        <f t="shared" si="518"/>
        <v>27818.700000000063</v>
      </c>
      <c r="DP113" s="28">
        <f t="shared" si="519"/>
        <v>4723.125088807843</v>
      </c>
      <c r="DQ113" s="28">
        <f t="shared" si="520"/>
        <v>3423.8400000000074</v>
      </c>
      <c r="DR113" s="28">
        <f t="shared" si="521"/>
        <v>9842.221173741269</v>
      </c>
      <c r="DS113" s="28">
        <f t="shared" si="522"/>
        <v>3188.4509999999882</v>
      </c>
      <c r="DT113" s="28">
        <f t="shared" si="523"/>
        <v>21398.999999999985</v>
      </c>
      <c r="DU113" s="28">
        <f t="shared" si="524"/>
        <v>2939.2838535499432</v>
      </c>
      <c r="DV113" s="28">
        <f t="shared" si="525"/>
        <v>0</v>
      </c>
      <c r="DW113" s="28">
        <f t="shared" si="526"/>
        <v>8559.5999999999949</v>
      </c>
      <c r="DX113" s="28">
        <f t="shared" si="527"/>
        <v>54426.216600000029</v>
      </c>
      <c r="DY113" s="28">
        <f t="shared" si="528"/>
        <v>55000.082176857992</v>
      </c>
      <c r="DZ113" s="28">
        <f t="shared" si="529"/>
        <v>6419.6999999999935</v>
      </c>
      <c r="EA113" s="28">
        <f t="shared" si="530"/>
        <v>6709.6755553450439</v>
      </c>
      <c r="EB113" s="28">
        <f t="shared" si="531"/>
        <v>16302.889925638265</v>
      </c>
      <c r="EC113" s="28">
        <f t="shared" si="532"/>
        <v>89019.840000000142</v>
      </c>
      <c r="ED113" s="28">
        <f t="shared" si="533"/>
        <v>9086.4412920949071</v>
      </c>
      <c r="EE113" s="28">
        <f t="shared" si="534"/>
        <v>11574.697106048374</v>
      </c>
      <c r="EF113" s="28">
        <f t="shared" si="535"/>
        <v>13951.462842798184</v>
      </c>
      <c r="EG113" s="28">
        <f t="shared" si="536"/>
        <v>5376.862359683606</v>
      </c>
      <c r="EH113" s="28">
        <f t="shared" si="537"/>
        <v>4279.7999999999829</v>
      </c>
      <c r="EI113" s="28">
        <f t="shared" si="538"/>
        <v>10393.915833846473</v>
      </c>
      <c r="EJ113" s="28">
        <f t="shared" si="539"/>
        <v>8559.5999999999658</v>
      </c>
      <c r="EK113" s="28">
        <f t="shared" si="540"/>
        <v>37708.98474873291</v>
      </c>
      <c r="EL113" s="28">
        <f t="shared" si="541"/>
        <v>9415.5600000000049</v>
      </c>
      <c r="EM113" s="28">
        <f t="shared" si="542"/>
        <v>7860.0504428551067</v>
      </c>
      <c r="EN113" s="28">
        <f t="shared" si="543"/>
        <v>0</v>
      </c>
      <c r="EQ113" s="144">
        <v>0.03</v>
      </c>
      <c r="ER113" s="144">
        <v>0.05</v>
      </c>
      <c r="ES113" s="144">
        <v>0.08</v>
      </c>
      <c r="ET113" s="144">
        <v>0.11000000000000001</v>
      </c>
      <c r="EU113" s="144">
        <v>0.12</v>
      </c>
      <c r="EV113" s="144">
        <v>0.15</v>
      </c>
      <c r="EW113" s="144">
        <v>0.13</v>
      </c>
      <c r="EX113" s="144">
        <v>0.08</v>
      </c>
      <c r="EY113" s="144">
        <v>6.9999999999999993E-2</v>
      </c>
      <c r="EZ113" s="144">
        <v>0.06</v>
      </c>
      <c r="FA113" s="144">
        <v>0.06</v>
      </c>
      <c r="FB113" s="144">
        <v>0.06</v>
      </c>
      <c r="FC113" s="145">
        <f t="shared" si="544"/>
        <v>1</v>
      </c>
      <c r="FD113" s="146">
        <f t="shared" si="545"/>
        <v>0.16</v>
      </c>
      <c r="FE113" s="146">
        <f t="shared" si="546"/>
        <v>0.38</v>
      </c>
      <c r="FF113" s="146">
        <f t="shared" si="547"/>
        <v>0.28000000000000003</v>
      </c>
      <c r="FG113" s="146">
        <f t="shared" si="548"/>
        <v>0.18</v>
      </c>
      <c r="FH113" s="145">
        <f t="shared" si="655"/>
        <v>1</v>
      </c>
      <c r="FJ113" s="52">
        <f t="shared" si="549"/>
        <v>14174.784000000032</v>
      </c>
      <c r="FK113" s="52">
        <f t="shared" si="550"/>
        <v>2406.6285606024721</v>
      </c>
      <c r="FL113" s="52">
        <f t="shared" si="551"/>
        <v>1744.5888000000039</v>
      </c>
      <c r="FM113" s="52">
        <f t="shared" si="552"/>
        <v>5015.0208032010469</v>
      </c>
      <c r="FN113" s="52">
        <f t="shared" si="553"/>
        <v>1624.6483199999941</v>
      </c>
      <c r="FO113" s="52">
        <f t="shared" si="554"/>
        <v>10903.679999999995</v>
      </c>
      <c r="FP113" s="52">
        <f t="shared" si="555"/>
        <v>1497.6873016624813</v>
      </c>
      <c r="FQ113" s="52">
        <f t="shared" si="556"/>
        <v>0</v>
      </c>
      <c r="FR113" s="52">
        <f t="shared" si="557"/>
        <v>4361.4719999999979</v>
      </c>
      <c r="FS113" s="52">
        <f t="shared" si="558"/>
        <v>27732.419712000021</v>
      </c>
      <c r="FT113" s="52">
        <f t="shared" si="559"/>
        <v>28024.828077487877</v>
      </c>
      <c r="FU113" s="52">
        <f t="shared" si="560"/>
        <v>3271.1039999999966</v>
      </c>
      <c r="FV113" s="52">
        <f t="shared" si="561"/>
        <v>3418.8585989674589</v>
      </c>
      <c r="FW113" s="52">
        <f t="shared" si="562"/>
        <v>8307.0000852555477</v>
      </c>
      <c r="FX113" s="52">
        <f t="shared" si="563"/>
        <v>45359.308800000072</v>
      </c>
      <c r="FY113" s="52">
        <f t="shared" si="564"/>
        <v>4629.9195377255664</v>
      </c>
      <c r="FZ113" s="52">
        <f t="shared" si="565"/>
        <v>5897.7893051674164</v>
      </c>
      <c r="GA113" s="52">
        <f t="shared" si="566"/>
        <v>7108.8502439254989</v>
      </c>
      <c r="GB113" s="52">
        <f t="shared" si="567"/>
        <v>2739.7348742480922</v>
      </c>
      <c r="GC113" s="52">
        <f t="shared" si="568"/>
        <v>2180.7359999999917</v>
      </c>
      <c r="GD113" s="52">
        <f t="shared" si="569"/>
        <v>5296.1321650168275</v>
      </c>
      <c r="GE113" s="52">
        <f t="shared" si="570"/>
        <v>4361.4719999999834</v>
      </c>
      <c r="GF113" s="52">
        <f t="shared" si="571"/>
        <v>19214.295192535359</v>
      </c>
      <c r="GG113" s="52">
        <f t="shared" si="572"/>
        <v>4797.6192000000028</v>
      </c>
      <c r="GH113" s="52">
        <f t="shared" si="573"/>
        <v>4005.0224222043244</v>
      </c>
      <c r="GI113" s="52">
        <f t="shared" si="574"/>
        <v>0</v>
      </c>
      <c r="GJ113" s="26"/>
      <c r="GL113" s="150">
        <f t="shared" si="575"/>
        <v>33665.112000000074</v>
      </c>
      <c r="GM113" s="150">
        <f t="shared" si="576"/>
        <v>5715.7428314308709</v>
      </c>
      <c r="GN113" s="150">
        <f t="shared" si="577"/>
        <v>4143.3984000000091</v>
      </c>
      <c r="GO113" s="150">
        <f t="shared" si="578"/>
        <v>11910.674407602486</v>
      </c>
      <c r="GP113" s="150">
        <f t="shared" si="579"/>
        <v>3858.539759999986</v>
      </c>
      <c r="GQ113" s="150">
        <f t="shared" si="580"/>
        <v>25896.239999999991</v>
      </c>
      <c r="GR113" s="150">
        <f t="shared" si="581"/>
        <v>3557.0073414483932</v>
      </c>
      <c r="GS113" s="150">
        <f t="shared" si="582"/>
        <v>0</v>
      </c>
      <c r="GT113" s="150">
        <f t="shared" si="583"/>
        <v>10358.495999999996</v>
      </c>
      <c r="GU113" s="150">
        <f t="shared" si="584"/>
        <v>65864.496816000043</v>
      </c>
      <c r="GV113" s="150">
        <f t="shared" si="585"/>
        <v>66558.966684033701</v>
      </c>
      <c r="GW113" s="150">
        <f t="shared" si="586"/>
        <v>7768.8719999999921</v>
      </c>
      <c r="GX113" s="150">
        <f t="shared" si="587"/>
        <v>8119.7891725477148</v>
      </c>
      <c r="GY113" s="150">
        <f t="shared" si="588"/>
        <v>19729.125202481922</v>
      </c>
      <c r="GZ113" s="150">
        <f t="shared" si="589"/>
        <v>107728.35840000017</v>
      </c>
      <c r="HA113" s="150">
        <f t="shared" si="590"/>
        <v>10996.058902098221</v>
      </c>
      <c r="HB113" s="150">
        <f t="shared" si="591"/>
        <v>14007.249599772613</v>
      </c>
      <c r="HC113" s="150">
        <f t="shared" si="592"/>
        <v>16883.519329323059</v>
      </c>
      <c r="HD113" s="150">
        <f t="shared" si="593"/>
        <v>6506.8703263392181</v>
      </c>
      <c r="HE113" s="150">
        <f t="shared" si="594"/>
        <v>5179.2479999999805</v>
      </c>
      <c r="HF113" s="150">
        <f t="shared" si="595"/>
        <v>12578.313891914966</v>
      </c>
      <c r="HG113" s="150">
        <f t="shared" si="596"/>
        <v>10358.495999999961</v>
      </c>
      <c r="HH113" s="150">
        <f t="shared" si="597"/>
        <v>45633.95108227148</v>
      </c>
      <c r="HI113" s="150">
        <f t="shared" si="598"/>
        <v>11394.345600000006</v>
      </c>
      <c r="HJ113" s="150">
        <f t="shared" si="599"/>
        <v>9511.9282527352698</v>
      </c>
      <c r="HK113" s="150">
        <f t="shared" si="600"/>
        <v>0</v>
      </c>
      <c r="HL113" s="26"/>
      <c r="HN113" s="147">
        <f t="shared" si="601"/>
        <v>24805.872000000058</v>
      </c>
      <c r="HO113" s="147">
        <f t="shared" si="602"/>
        <v>4211.5999810543262</v>
      </c>
      <c r="HP113" s="147">
        <f t="shared" si="603"/>
        <v>3053.0304000000069</v>
      </c>
      <c r="HQ113" s="147">
        <f t="shared" si="604"/>
        <v>8776.2864056018316</v>
      </c>
      <c r="HR113" s="147">
        <f t="shared" si="605"/>
        <v>2843.13455999999</v>
      </c>
      <c r="HS113" s="147">
        <f t="shared" si="606"/>
        <v>19081.439999999995</v>
      </c>
      <c r="HT113" s="147">
        <f t="shared" si="607"/>
        <v>2620.9527779093428</v>
      </c>
      <c r="HU113" s="147">
        <f t="shared" si="608"/>
        <v>0</v>
      </c>
      <c r="HV113" s="147">
        <f t="shared" si="609"/>
        <v>7632.5759999999973</v>
      </c>
      <c r="HW113" s="147">
        <f t="shared" si="610"/>
        <v>48531.734496000041</v>
      </c>
      <c r="HX113" s="147">
        <f t="shared" si="611"/>
        <v>49043.449135603791</v>
      </c>
      <c r="HY113" s="147">
        <f t="shared" si="612"/>
        <v>5724.4319999999952</v>
      </c>
      <c r="HZ113" s="147">
        <f t="shared" si="613"/>
        <v>5983.0025481930534</v>
      </c>
      <c r="IA113" s="147">
        <f t="shared" si="614"/>
        <v>14537.250149197209</v>
      </c>
      <c r="IB113" s="147">
        <f t="shared" si="615"/>
        <v>79378.790400000129</v>
      </c>
      <c r="IC113" s="147">
        <f t="shared" si="616"/>
        <v>8102.3591910197429</v>
      </c>
      <c r="ID113" s="147">
        <f t="shared" si="617"/>
        <v>10321.131284042978</v>
      </c>
      <c r="IE113" s="147">
        <f t="shared" si="618"/>
        <v>12440.487926869624</v>
      </c>
      <c r="IF113" s="147">
        <f t="shared" si="619"/>
        <v>4794.536029934161</v>
      </c>
      <c r="IG113" s="147">
        <f t="shared" si="620"/>
        <v>3816.2879999999859</v>
      </c>
      <c r="IH113" s="147">
        <f t="shared" si="621"/>
        <v>9268.2312887794487</v>
      </c>
      <c r="II113" s="147">
        <f t="shared" si="622"/>
        <v>7632.5759999999718</v>
      </c>
      <c r="IJ113" s="147">
        <f t="shared" si="623"/>
        <v>33625.016586936879</v>
      </c>
      <c r="IK113" s="147">
        <f t="shared" si="624"/>
        <v>8395.8336000000054</v>
      </c>
      <c r="IL113" s="147">
        <f t="shared" si="625"/>
        <v>7008.7892388575683</v>
      </c>
      <c r="IM113" s="147">
        <f t="shared" si="626"/>
        <v>0</v>
      </c>
      <c r="IN113" s="26"/>
      <c r="IP113" s="61">
        <f t="shared" si="627"/>
        <v>15946.632000000034</v>
      </c>
      <c r="IQ113" s="61">
        <f t="shared" si="628"/>
        <v>2707.4571306777807</v>
      </c>
      <c r="IR113" s="61">
        <f t="shared" si="629"/>
        <v>1962.6624000000043</v>
      </c>
      <c r="IS113" s="61">
        <f t="shared" si="630"/>
        <v>5641.8984036011771</v>
      </c>
      <c r="IT113" s="61">
        <f t="shared" si="631"/>
        <v>1827.7293599999932</v>
      </c>
      <c r="IU113" s="61">
        <f t="shared" si="632"/>
        <v>12266.639999999994</v>
      </c>
      <c r="IV113" s="61">
        <f t="shared" si="633"/>
        <v>1684.8982143702915</v>
      </c>
      <c r="IW113" s="61">
        <f t="shared" si="634"/>
        <v>0</v>
      </c>
      <c r="IX113" s="61">
        <f t="shared" si="635"/>
        <v>4906.6559999999972</v>
      </c>
      <c r="IY113" s="61">
        <f t="shared" si="636"/>
        <v>31198.972176000021</v>
      </c>
      <c r="IZ113" s="61">
        <f t="shared" si="637"/>
        <v>31527.931587173858</v>
      </c>
      <c r="JA113" s="61">
        <f t="shared" si="638"/>
        <v>3679.9919999999961</v>
      </c>
      <c r="JB113" s="61">
        <f t="shared" si="639"/>
        <v>3846.2159238383911</v>
      </c>
      <c r="JC113" s="61">
        <f t="shared" si="640"/>
        <v>9345.37509591249</v>
      </c>
      <c r="JD113" s="61">
        <f t="shared" si="641"/>
        <v>51029.222400000079</v>
      </c>
      <c r="JE113" s="61">
        <f t="shared" si="642"/>
        <v>5208.6594799412624</v>
      </c>
      <c r="JF113" s="61">
        <f t="shared" si="643"/>
        <v>6635.0129683133428</v>
      </c>
      <c r="JG113" s="61">
        <f t="shared" si="644"/>
        <v>7997.4565244161859</v>
      </c>
      <c r="JH113" s="61">
        <f t="shared" si="645"/>
        <v>3082.2017335291034</v>
      </c>
      <c r="JI113" s="61">
        <f t="shared" si="646"/>
        <v>2453.3279999999904</v>
      </c>
      <c r="JJ113" s="61">
        <f t="shared" si="647"/>
        <v>5958.1486856439305</v>
      </c>
      <c r="JK113" s="61">
        <f t="shared" si="648"/>
        <v>4906.6559999999808</v>
      </c>
      <c r="JL113" s="61">
        <f t="shared" si="649"/>
        <v>21616.082091602279</v>
      </c>
      <c r="JM113" s="61">
        <f t="shared" si="650"/>
        <v>5397.3216000000029</v>
      </c>
      <c r="JN113" s="61">
        <f t="shared" si="651"/>
        <v>4505.650224979865</v>
      </c>
      <c r="JO113" s="61">
        <f t="shared" si="652"/>
        <v>0</v>
      </c>
      <c r="JQ113" s="26">
        <f t="shared" si="516"/>
        <v>1362960.0000000009</v>
      </c>
      <c r="JR113" s="156">
        <f t="shared" si="517"/>
        <v>1.0000000000000007</v>
      </c>
      <c r="JT113" s="157">
        <f t="shared" si="653"/>
        <v>88592.400000000183</v>
      </c>
      <c r="JU113" s="29">
        <f t="shared" si="654"/>
        <v>0.99999999999999989</v>
      </c>
    </row>
    <row r="114" spans="1:281" ht="18.75" x14ac:dyDescent="0.3">
      <c r="A114" t="s">
        <v>234</v>
      </c>
      <c r="B114" t="s">
        <v>190</v>
      </c>
      <c r="C114" t="s">
        <v>74</v>
      </c>
      <c r="D114" t="s">
        <v>29</v>
      </c>
      <c r="E114" s="11" t="s">
        <v>274</v>
      </c>
      <c r="F114" s="114">
        <v>450</v>
      </c>
      <c r="G114" s="17">
        <v>240152</v>
      </c>
      <c r="H114" s="21">
        <v>151011</v>
      </c>
      <c r="I114" s="25">
        <f t="shared" si="434"/>
        <v>1.5902947467403037</v>
      </c>
      <c r="J114" s="13">
        <v>6.500000000000003E-2</v>
      </c>
      <c r="K114" s="13">
        <v>1.1035854686685945E-2</v>
      </c>
      <c r="L114" s="13">
        <v>7.9999999999999863E-3</v>
      </c>
      <c r="M114" s="13">
        <v>2.2996918486240702E-2</v>
      </c>
      <c r="N114" s="13">
        <v>7.4500000000000061E-3</v>
      </c>
      <c r="O114" s="13">
        <v>4.9999999999999954E-2</v>
      </c>
      <c r="P114" s="13">
        <v>6.8678065646757963E-3</v>
      </c>
      <c r="Q114" s="13">
        <v>0</v>
      </c>
      <c r="R114" s="13">
        <v>1.9999999999999973E-2</v>
      </c>
      <c r="S114" s="13">
        <v>0.12717000000000034</v>
      </c>
      <c r="T114" s="13">
        <v>0.12851087008004566</v>
      </c>
      <c r="U114" s="13">
        <v>1.5000000000000012E-2</v>
      </c>
      <c r="V114" s="13">
        <v>1.5677544640742676E-2</v>
      </c>
      <c r="W114" s="13">
        <v>3.8092644342348408E-2</v>
      </c>
      <c r="X114" s="13">
        <v>0.20799999999999955</v>
      </c>
      <c r="Y114" s="13">
        <v>2.1230995121489127E-2</v>
      </c>
      <c r="Z114" s="13">
        <v>2.70449486098613E-2</v>
      </c>
      <c r="AA114" s="13">
        <v>3.2598399090607716E-2</v>
      </c>
      <c r="AB114" s="13">
        <v>1.2563349595036204E-2</v>
      </c>
      <c r="AC114" s="13">
        <v>9.9999999999999863E-3</v>
      </c>
      <c r="AD114" s="13">
        <v>2.4285984938189786E-2</v>
      </c>
      <c r="AE114" s="13">
        <v>1.9999999999999997E-2</v>
      </c>
      <c r="AF114" s="13">
        <v>8.8109221806469934E-2</v>
      </c>
      <c r="AG114" s="13">
        <v>2.2000000000000009E-2</v>
      </c>
      <c r="AH114" s="13">
        <v>1.836546203760716E-2</v>
      </c>
      <c r="AJ114" s="8">
        <f t="shared" si="461"/>
        <v>1.0000000000000004</v>
      </c>
      <c r="AK114" s="141">
        <f t="shared" si="435"/>
        <v>29.250000000000014</v>
      </c>
      <c r="AL114" s="141">
        <f t="shared" si="436"/>
        <v>4.9661346090086758</v>
      </c>
      <c r="AM114" s="141">
        <f t="shared" si="437"/>
        <v>3.5999999999999939</v>
      </c>
      <c r="AN114" s="141">
        <f t="shared" si="438"/>
        <v>10.348613318808315</v>
      </c>
      <c r="AO114" s="141">
        <f t="shared" si="439"/>
        <v>3.3525000000000027</v>
      </c>
      <c r="AP114" s="141">
        <f t="shared" si="440"/>
        <v>22.499999999999979</v>
      </c>
      <c r="AQ114" s="141">
        <f t="shared" si="441"/>
        <v>3.0905129541041085</v>
      </c>
      <c r="AR114" s="141">
        <f t="shared" si="442"/>
        <v>0</v>
      </c>
      <c r="AS114" s="141">
        <f t="shared" si="443"/>
        <v>8.9999999999999876</v>
      </c>
      <c r="AT114" s="141">
        <f t="shared" si="444"/>
        <v>57.226500000000151</v>
      </c>
      <c r="AU114" s="141">
        <f t="shared" si="445"/>
        <v>57.829891536020547</v>
      </c>
      <c r="AV114" s="141">
        <f t="shared" si="446"/>
        <v>6.7500000000000053</v>
      </c>
      <c r="AW114" s="141">
        <f t="shared" si="447"/>
        <v>7.0548950883342041</v>
      </c>
      <c r="AX114" s="141">
        <f t="shared" si="448"/>
        <v>17.141689954056783</v>
      </c>
      <c r="AY114" s="141">
        <f t="shared" si="449"/>
        <v>93.599999999999795</v>
      </c>
      <c r="AZ114" s="141">
        <f t="shared" si="450"/>
        <v>9.5539478046701074</v>
      </c>
      <c r="BA114" s="141">
        <f t="shared" si="451"/>
        <v>12.170226874437585</v>
      </c>
      <c r="BB114" s="141">
        <f t="shared" si="452"/>
        <v>14.669279590773472</v>
      </c>
      <c r="BC114" s="141">
        <f t="shared" si="453"/>
        <v>5.6535073177662918</v>
      </c>
      <c r="BD114" s="141">
        <f t="shared" si="454"/>
        <v>4.4999999999999938</v>
      </c>
      <c r="BE114" s="141">
        <f t="shared" si="455"/>
        <v>10.928693222185403</v>
      </c>
      <c r="BF114" s="141">
        <f t="shared" si="456"/>
        <v>8.9999999999999982</v>
      </c>
      <c r="BG114" s="141">
        <f t="shared" si="457"/>
        <v>39.649149812911467</v>
      </c>
      <c r="BH114" s="141">
        <f t="shared" si="458"/>
        <v>9.9000000000000039</v>
      </c>
      <c r="BI114" s="141">
        <f t="shared" si="459"/>
        <v>8.264457916923222</v>
      </c>
      <c r="BJ114" s="141">
        <f t="shared" si="460"/>
        <v>0</v>
      </c>
      <c r="BM114" s="26">
        <f t="shared" si="462"/>
        <v>15609.880000000006</v>
      </c>
      <c r="BN114" s="26">
        <f t="shared" si="463"/>
        <v>2650.2825747170032</v>
      </c>
      <c r="BO114" s="26">
        <f t="shared" si="464"/>
        <v>1921.2159999999967</v>
      </c>
      <c r="BP114" s="26">
        <f t="shared" si="465"/>
        <v>5522.755968307677</v>
      </c>
      <c r="BQ114" s="26">
        <f t="shared" si="466"/>
        <v>1789.1324000000016</v>
      </c>
      <c r="BR114" s="26">
        <f t="shared" si="467"/>
        <v>12007.599999999989</v>
      </c>
      <c r="BS114" s="26">
        <f t="shared" si="468"/>
        <v>1649.3174821200219</v>
      </c>
      <c r="BT114" s="26">
        <f t="shared" si="469"/>
        <v>0</v>
      </c>
      <c r="BU114" s="26">
        <f t="shared" si="470"/>
        <v>4803.0399999999936</v>
      </c>
      <c r="BV114" s="26">
        <f t="shared" si="471"/>
        <v>30540.129840000081</v>
      </c>
      <c r="BW114" s="26">
        <f t="shared" si="472"/>
        <v>30862.142471463125</v>
      </c>
      <c r="BX114" s="26">
        <f t="shared" si="473"/>
        <v>3602.2800000000029</v>
      </c>
      <c r="BY114" s="26">
        <f t="shared" si="474"/>
        <v>3764.9937005636352</v>
      </c>
      <c r="BZ114" s="26">
        <f t="shared" si="475"/>
        <v>9148.0247241036541</v>
      </c>
      <c r="CA114" s="26">
        <f t="shared" si="476"/>
        <v>49951.615999999893</v>
      </c>
      <c r="CB114" s="26">
        <f t="shared" si="477"/>
        <v>5098.6659404158572</v>
      </c>
      <c r="CC114" s="26">
        <f t="shared" si="478"/>
        <v>6494.8984985554107</v>
      </c>
      <c r="CD114" s="26">
        <f t="shared" si="479"/>
        <v>7828.570738407624</v>
      </c>
      <c r="CE114" s="26">
        <f t="shared" si="480"/>
        <v>3017.1135319471346</v>
      </c>
      <c r="CF114" s="26">
        <f t="shared" si="481"/>
        <v>2401.5199999999968</v>
      </c>
      <c r="CG114" s="26">
        <f t="shared" si="482"/>
        <v>5832.3278548761537</v>
      </c>
      <c r="CH114" s="26">
        <f t="shared" si="483"/>
        <v>4803.0399999999991</v>
      </c>
      <c r="CI114" s="26">
        <f t="shared" si="484"/>
        <v>21159.605835267368</v>
      </c>
      <c r="CJ114" s="26">
        <f t="shared" si="485"/>
        <v>5283.3440000000019</v>
      </c>
      <c r="CK114" s="26">
        <f t="shared" si="486"/>
        <v>4410.5024392554342</v>
      </c>
      <c r="CL114" s="26">
        <f t="shared" si="487"/>
        <v>0</v>
      </c>
      <c r="CM114" s="110">
        <f t="shared" si="488"/>
        <v>1.0000000000000004</v>
      </c>
      <c r="CN114" s="27">
        <f t="shared" si="489"/>
        <v>9815.7150000000038</v>
      </c>
      <c r="CO114" s="27">
        <f t="shared" si="490"/>
        <v>1666.5354520911312</v>
      </c>
      <c r="CP114" s="27">
        <f t="shared" si="491"/>
        <v>1208.0879999999979</v>
      </c>
      <c r="CQ114" s="27">
        <f t="shared" si="492"/>
        <v>3472.7876575256946</v>
      </c>
      <c r="CR114" s="27">
        <f t="shared" si="493"/>
        <v>1125.031950000001</v>
      </c>
      <c r="CS114" s="27">
        <f t="shared" si="494"/>
        <v>7550.5499999999929</v>
      </c>
      <c r="CT114" s="27">
        <f t="shared" si="495"/>
        <v>1037.1143371382566</v>
      </c>
      <c r="CU114" s="27">
        <f t="shared" si="496"/>
        <v>0</v>
      </c>
      <c r="CV114" s="27">
        <f t="shared" si="497"/>
        <v>3020.2199999999957</v>
      </c>
      <c r="CW114" s="27">
        <f t="shared" si="498"/>
        <v>19204.06887000005</v>
      </c>
      <c r="CX114" s="27">
        <f t="shared" si="499"/>
        <v>19406.555001657776</v>
      </c>
      <c r="CY114" s="27">
        <f t="shared" si="500"/>
        <v>2265.1650000000018</v>
      </c>
      <c r="CZ114" s="27">
        <f t="shared" si="501"/>
        <v>2367.4816937431924</v>
      </c>
      <c r="DA114" s="27">
        <f t="shared" si="502"/>
        <v>5752.4083147823758</v>
      </c>
      <c r="DB114" s="27">
        <f t="shared" si="503"/>
        <v>31410.287999999931</v>
      </c>
      <c r="DC114" s="27">
        <f t="shared" si="504"/>
        <v>3206.1138042911944</v>
      </c>
      <c r="DD114" s="27">
        <f t="shared" si="505"/>
        <v>4084.0847345237648</v>
      </c>
      <c r="DE114" s="27">
        <f t="shared" si="506"/>
        <v>4922.7168450717618</v>
      </c>
      <c r="DF114" s="27">
        <f t="shared" si="507"/>
        <v>1897.2039856960123</v>
      </c>
      <c r="DG114" s="27">
        <f t="shared" si="508"/>
        <v>1510.1099999999979</v>
      </c>
      <c r="DH114" s="27">
        <f t="shared" si="509"/>
        <v>3667.4508715009779</v>
      </c>
      <c r="DI114" s="27">
        <f t="shared" si="510"/>
        <v>3020.2199999999993</v>
      </c>
      <c r="DJ114" s="27">
        <f t="shared" si="511"/>
        <v>13305.46169421683</v>
      </c>
      <c r="DK114" s="27">
        <f t="shared" si="512"/>
        <v>3322.2420000000016</v>
      </c>
      <c r="DL114" s="27">
        <f t="shared" si="513"/>
        <v>2773.3867877610946</v>
      </c>
      <c r="DM114" s="27">
        <f t="shared" si="514"/>
        <v>0</v>
      </c>
      <c r="DN114" s="110">
        <f t="shared" si="515"/>
        <v>1</v>
      </c>
      <c r="DO114" s="28">
        <f t="shared" si="518"/>
        <v>5794.1650000000027</v>
      </c>
      <c r="DP114" s="28">
        <f t="shared" si="519"/>
        <v>983.74712262587195</v>
      </c>
      <c r="DQ114" s="28">
        <f t="shared" si="520"/>
        <v>713.12799999999879</v>
      </c>
      <c r="DR114" s="28">
        <f t="shared" si="521"/>
        <v>2049.9683107819824</v>
      </c>
      <c r="DS114" s="28">
        <f t="shared" si="522"/>
        <v>664.10045000000059</v>
      </c>
      <c r="DT114" s="28">
        <f t="shared" si="523"/>
        <v>4457.0499999999965</v>
      </c>
      <c r="DU114" s="28">
        <f t="shared" si="524"/>
        <v>612.20314498176526</v>
      </c>
      <c r="DV114" s="28">
        <f t="shared" si="525"/>
        <v>0</v>
      </c>
      <c r="DW114" s="28">
        <f t="shared" si="526"/>
        <v>1782.8199999999979</v>
      </c>
      <c r="DX114" s="28">
        <f t="shared" si="527"/>
        <v>11336.060970000031</v>
      </c>
      <c r="DY114" s="28">
        <f t="shared" si="528"/>
        <v>11455.587469805349</v>
      </c>
      <c r="DZ114" s="28">
        <f t="shared" si="529"/>
        <v>1337.1150000000011</v>
      </c>
      <c r="EA114" s="28">
        <f t="shared" si="530"/>
        <v>1397.5120068204428</v>
      </c>
      <c r="EB114" s="28">
        <f t="shared" si="531"/>
        <v>3395.6164093212783</v>
      </c>
      <c r="EC114" s="28">
        <f t="shared" si="532"/>
        <v>18541.327999999961</v>
      </c>
      <c r="ED114" s="28">
        <f t="shared" si="533"/>
        <v>1892.5521361246629</v>
      </c>
      <c r="EE114" s="28">
        <f t="shared" si="534"/>
        <v>2410.8137640316459</v>
      </c>
      <c r="EF114" s="28">
        <f t="shared" si="535"/>
        <v>2905.8538933358623</v>
      </c>
      <c r="EG114" s="28">
        <f t="shared" si="536"/>
        <v>1119.9095462511223</v>
      </c>
      <c r="EH114" s="28">
        <f t="shared" si="537"/>
        <v>891.40999999999894</v>
      </c>
      <c r="EI114" s="28">
        <f t="shared" si="538"/>
        <v>2164.8769833751758</v>
      </c>
      <c r="EJ114" s="28">
        <f t="shared" si="539"/>
        <v>1782.8199999999997</v>
      </c>
      <c r="EK114" s="28">
        <f t="shared" si="540"/>
        <v>7854.1441410505377</v>
      </c>
      <c r="EL114" s="28">
        <f t="shared" si="541"/>
        <v>1961.1020000000003</v>
      </c>
      <c r="EM114" s="28">
        <f t="shared" si="542"/>
        <v>1637.1156514943395</v>
      </c>
      <c r="EN114" s="28">
        <f t="shared" si="543"/>
        <v>0</v>
      </c>
      <c r="EQ114" s="144">
        <v>0.03</v>
      </c>
      <c r="ER114" s="144">
        <v>4.9999999999999989E-2</v>
      </c>
      <c r="ES114" s="144">
        <v>0.08</v>
      </c>
      <c r="ET114" s="144">
        <v>0.11</v>
      </c>
      <c r="EU114" s="144">
        <v>0.12</v>
      </c>
      <c r="EV114" s="144">
        <v>0.15</v>
      </c>
      <c r="EW114" s="144">
        <v>0.13</v>
      </c>
      <c r="EX114" s="144">
        <v>0.08</v>
      </c>
      <c r="EY114" s="144">
        <v>6.9999999999999993E-2</v>
      </c>
      <c r="EZ114" s="144">
        <v>0.06</v>
      </c>
      <c r="FA114" s="144">
        <v>0.06</v>
      </c>
      <c r="FB114" s="144">
        <v>0.06</v>
      </c>
      <c r="FC114" s="145">
        <f t="shared" si="544"/>
        <v>1</v>
      </c>
      <c r="FD114" s="146">
        <f t="shared" si="545"/>
        <v>0.15999999999999998</v>
      </c>
      <c r="FE114" s="146">
        <f t="shared" si="546"/>
        <v>0.38</v>
      </c>
      <c r="FF114" s="146">
        <f t="shared" si="547"/>
        <v>0.28000000000000003</v>
      </c>
      <c r="FG114" s="146">
        <f t="shared" si="548"/>
        <v>0.18</v>
      </c>
      <c r="FH114" s="145">
        <f t="shared" si="655"/>
        <v>1</v>
      </c>
      <c r="FJ114" s="52">
        <f t="shared" si="549"/>
        <v>2497.5808000000006</v>
      </c>
      <c r="FK114" s="52">
        <f t="shared" si="550"/>
        <v>424.04521195472046</v>
      </c>
      <c r="FL114" s="52">
        <f t="shared" si="551"/>
        <v>307.39455999999944</v>
      </c>
      <c r="FM114" s="52">
        <f t="shared" si="552"/>
        <v>883.6409549292282</v>
      </c>
      <c r="FN114" s="52">
        <f t="shared" si="553"/>
        <v>286.26118400000018</v>
      </c>
      <c r="FO114" s="52">
        <f t="shared" si="554"/>
        <v>1921.2159999999981</v>
      </c>
      <c r="FP114" s="52">
        <f t="shared" si="555"/>
        <v>263.89079713920347</v>
      </c>
      <c r="FQ114" s="52">
        <f t="shared" si="556"/>
        <v>0</v>
      </c>
      <c r="FR114" s="52">
        <f t="shared" si="557"/>
        <v>768.48639999999887</v>
      </c>
      <c r="FS114" s="52">
        <f t="shared" si="558"/>
        <v>4886.4207744000123</v>
      </c>
      <c r="FT114" s="52">
        <f t="shared" si="559"/>
        <v>4937.942795434099</v>
      </c>
      <c r="FU114" s="52">
        <f t="shared" si="560"/>
        <v>576.3648000000004</v>
      </c>
      <c r="FV114" s="52">
        <f t="shared" si="561"/>
        <v>602.39899209018154</v>
      </c>
      <c r="FW114" s="52">
        <f t="shared" si="562"/>
        <v>1463.6839558565844</v>
      </c>
      <c r="FX114" s="52">
        <f t="shared" si="563"/>
        <v>7992.258559999982</v>
      </c>
      <c r="FY114" s="52">
        <f t="shared" si="564"/>
        <v>815.78655046653705</v>
      </c>
      <c r="FZ114" s="52">
        <f t="shared" si="565"/>
        <v>1039.1837597688655</v>
      </c>
      <c r="GA114" s="52">
        <f t="shared" si="566"/>
        <v>1252.5713181452197</v>
      </c>
      <c r="GB114" s="52">
        <f t="shared" si="567"/>
        <v>482.73816511154143</v>
      </c>
      <c r="GC114" s="52">
        <f t="shared" si="568"/>
        <v>384.24319999999943</v>
      </c>
      <c r="GD114" s="52">
        <f t="shared" si="569"/>
        <v>933.17245678018446</v>
      </c>
      <c r="GE114" s="52">
        <f t="shared" si="570"/>
        <v>768.48639999999978</v>
      </c>
      <c r="GF114" s="52">
        <f t="shared" si="571"/>
        <v>3385.5369336427784</v>
      </c>
      <c r="GG114" s="52">
        <f t="shared" si="572"/>
        <v>845.33504000000016</v>
      </c>
      <c r="GH114" s="52">
        <f t="shared" si="573"/>
        <v>705.68039028086935</v>
      </c>
      <c r="GI114" s="52">
        <f t="shared" si="574"/>
        <v>0</v>
      </c>
      <c r="GJ114" s="26"/>
      <c r="GL114" s="150">
        <f t="shared" si="575"/>
        <v>5931.7544000000025</v>
      </c>
      <c r="GM114" s="150">
        <f t="shared" si="576"/>
        <v>1007.1073783924612</v>
      </c>
      <c r="GN114" s="150">
        <f t="shared" si="577"/>
        <v>730.06207999999879</v>
      </c>
      <c r="GO114" s="150">
        <f t="shared" si="578"/>
        <v>2098.6472679569174</v>
      </c>
      <c r="GP114" s="150">
        <f t="shared" si="579"/>
        <v>679.87031200000058</v>
      </c>
      <c r="GQ114" s="150">
        <f t="shared" si="580"/>
        <v>4562.8879999999963</v>
      </c>
      <c r="GR114" s="150">
        <f t="shared" si="581"/>
        <v>626.74064320560831</v>
      </c>
      <c r="GS114" s="150">
        <f t="shared" si="582"/>
        <v>0</v>
      </c>
      <c r="GT114" s="150">
        <f t="shared" si="583"/>
        <v>1825.1551999999976</v>
      </c>
      <c r="GU114" s="150">
        <f t="shared" si="584"/>
        <v>11605.249339200031</v>
      </c>
      <c r="GV114" s="150">
        <f t="shared" si="585"/>
        <v>11727.614139155987</v>
      </c>
      <c r="GW114" s="150">
        <f t="shared" si="586"/>
        <v>1368.866400000001</v>
      </c>
      <c r="GX114" s="150">
        <f t="shared" si="587"/>
        <v>1430.6976062141814</v>
      </c>
      <c r="GY114" s="150">
        <f t="shared" si="588"/>
        <v>3476.2493951593888</v>
      </c>
      <c r="GZ114" s="150">
        <f t="shared" si="589"/>
        <v>18981.614079999959</v>
      </c>
      <c r="HA114" s="150">
        <f t="shared" si="590"/>
        <v>1937.4930573580257</v>
      </c>
      <c r="HB114" s="150">
        <f t="shared" si="591"/>
        <v>2468.061429451056</v>
      </c>
      <c r="HC114" s="150">
        <f t="shared" si="592"/>
        <v>2974.8568805948971</v>
      </c>
      <c r="HD114" s="150">
        <f t="shared" si="593"/>
        <v>1146.5031421399112</v>
      </c>
      <c r="HE114" s="150">
        <f t="shared" si="594"/>
        <v>912.57759999999882</v>
      </c>
      <c r="HF114" s="150">
        <f t="shared" si="595"/>
        <v>2216.2845848529382</v>
      </c>
      <c r="HG114" s="150">
        <f t="shared" si="596"/>
        <v>1825.1551999999997</v>
      </c>
      <c r="HH114" s="150">
        <f t="shared" si="597"/>
        <v>8040.6502174015995</v>
      </c>
      <c r="HI114" s="150">
        <f t="shared" si="598"/>
        <v>2007.6707200000008</v>
      </c>
      <c r="HJ114" s="150">
        <f t="shared" si="599"/>
        <v>1675.9909269170651</v>
      </c>
      <c r="HK114" s="150">
        <f t="shared" si="600"/>
        <v>0</v>
      </c>
      <c r="HL114" s="26"/>
      <c r="HN114" s="147">
        <f t="shared" si="601"/>
        <v>4370.7664000000022</v>
      </c>
      <c r="HO114" s="147">
        <f t="shared" si="602"/>
        <v>742.07912092076094</v>
      </c>
      <c r="HP114" s="147">
        <f t="shared" si="603"/>
        <v>537.94047999999918</v>
      </c>
      <c r="HQ114" s="147">
        <f t="shared" si="604"/>
        <v>1546.3716711261497</v>
      </c>
      <c r="HR114" s="147">
        <f t="shared" si="605"/>
        <v>500.95707200000049</v>
      </c>
      <c r="HS114" s="147">
        <f t="shared" si="606"/>
        <v>3362.1279999999974</v>
      </c>
      <c r="HT114" s="147">
        <f t="shared" si="607"/>
        <v>461.80889499360615</v>
      </c>
      <c r="HU114" s="147">
        <f t="shared" si="608"/>
        <v>0</v>
      </c>
      <c r="HV114" s="147">
        <f t="shared" si="609"/>
        <v>1344.8511999999982</v>
      </c>
      <c r="HW114" s="147">
        <f t="shared" si="610"/>
        <v>8551.2363552000243</v>
      </c>
      <c r="HX114" s="147">
        <f t="shared" si="611"/>
        <v>8641.3998920096765</v>
      </c>
      <c r="HY114" s="147">
        <f t="shared" si="612"/>
        <v>1008.638400000001</v>
      </c>
      <c r="HZ114" s="147">
        <f t="shared" si="613"/>
        <v>1054.198236157818</v>
      </c>
      <c r="IA114" s="147">
        <f t="shared" si="614"/>
        <v>2561.4469227490235</v>
      </c>
      <c r="IB114" s="147">
        <f t="shared" si="615"/>
        <v>13986.452479999971</v>
      </c>
      <c r="IC114" s="147">
        <f t="shared" si="616"/>
        <v>1427.6264633164401</v>
      </c>
      <c r="ID114" s="147">
        <f t="shared" si="617"/>
        <v>1818.5715795955152</v>
      </c>
      <c r="IE114" s="147">
        <f t="shared" si="618"/>
        <v>2191.9998067541351</v>
      </c>
      <c r="IF114" s="147">
        <f t="shared" si="619"/>
        <v>844.79178894519771</v>
      </c>
      <c r="IG114" s="147">
        <f t="shared" si="620"/>
        <v>672.42559999999912</v>
      </c>
      <c r="IH114" s="147">
        <f t="shared" si="621"/>
        <v>1633.0517993653232</v>
      </c>
      <c r="II114" s="147">
        <f t="shared" si="622"/>
        <v>1344.8511999999998</v>
      </c>
      <c r="IJ114" s="147">
        <f t="shared" si="623"/>
        <v>5924.6896338748638</v>
      </c>
      <c r="IK114" s="147">
        <f t="shared" si="624"/>
        <v>1479.3363200000006</v>
      </c>
      <c r="IL114" s="147">
        <f t="shared" si="625"/>
        <v>1234.9406829915217</v>
      </c>
      <c r="IM114" s="147">
        <f t="shared" si="626"/>
        <v>0</v>
      </c>
      <c r="IN114" s="26"/>
      <c r="IP114" s="61">
        <f t="shared" si="627"/>
        <v>2809.7784000000011</v>
      </c>
      <c r="IQ114" s="61">
        <f t="shared" si="628"/>
        <v>477.05086344906056</v>
      </c>
      <c r="IR114" s="61">
        <f t="shared" si="629"/>
        <v>345.81887999999941</v>
      </c>
      <c r="IS114" s="61">
        <f t="shared" si="630"/>
        <v>994.09607429538187</v>
      </c>
      <c r="IT114" s="61">
        <f t="shared" si="631"/>
        <v>322.04383200000029</v>
      </c>
      <c r="IU114" s="61">
        <f t="shared" si="632"/>
        <v>2161.3679999999981</v>
      </c>
      <c r="IV114" s="61">
        <f t="shared" si="633"/>
        <v>296.87714678160393</v>
      </c>
      <c r="IW114" s="61">
        <f t="shared" si="634"/>
        <v>0</v>
      </c>
      <c r="IX114" s="61">
        <f t="shared" si="635"/>
        <v>864.54719999999884</v>
      </c>
      <c r="IY114" s="61">
        <f t="shared" si="636"/>
        <v>5497.2233712000143</v>
      </c>
      <c r="IZ114" s="61">
        <f t="shared" si="637"/>
        <v>5555.1856448633625</v>
      </c>
      <c r="JA114" s="61">
        <f t="shared" si="638"/>
        <v>648.41040000000055</v>
      </c>
      <c r="JB114" s="61">
        <f t="shared" si="639"/>
        <v>677.69886610145431</v>
      </c>
      <c r="JC114" s="61">
        <f t="shared" si="640"/>
        <v>1646.6444503386576</v>
      </c>
      <c r="JD114" s="61">
        <f t="shared" si="641"/>
        <v>8991.2908799999805</v>
      </c>
      <c r="JE114" s="61">
        <f t="shared" si="642"/>
        <v>917.75986927485428</v>
      </c>
      <c r="JF114" s="61">
        <f t="shared" si="643"/>
        <v>1169.081729739974</v>
      </c>
      <c r="JG114" s="61">
        <f t="shared" si="644"/>
        <v>1409.1427329133724</v>
      </c>
      <c r="JH114" s="61">
        <f t="shared" si="645"/>
        <v>543.08043575048418</v>
      </c>
      <c r="JI114" s="61">
        <f t="shared" si="646"/>
        <v>432.27359999999942</v>
      </c>
      <c r="JJ114" s="61">
        <f t="shared" si="647"/>
        <v>1049.8190138777077</v>
      </c>
      <c r="JK114" s="61">
        <f t="shared" si="648"/>
        <v>864.54719999999975</v>
      </c>
      <c r="JL114" s="61">
        <f t="shared" si="649"/>
        <v>3808.7290503481263</v>
      </c>
      <c r="JM114" s="61">
        <f t="shared" si="650"/>
        <v>951.00192000000027</v>
      </c>
      <c r="JN114" s="61">
        <f t="shared" si="651"/>
        <v>793.89043906597817</v>
      </c>
      <c r="JO114" s="61">
        <f t="shared" si="652"/>
        <v>0</v>
      </c>
      <c r="JQ114" s="26">
        <f t="shared" si="516"/>
        <v>240151.99999999997</v>
      </c>
      <c r="JR114" s="156">
        <f t="shared" si="517"/>
        <v>0.99999999999999989</v>
      </c>
      <c r="JT114" s="157">
        <f t="shared" si="653"/>
        <v>15609.880000000005</v>
      </c>
      <c r="JU114" s="29">
        <f t="shared" si="654"/>
        <v>0.99999999999999989</v>
      </c>
    </row>
    <row r="115" spans="1:281" ht="18.75" x14ac:dyDescent="0.3">
      <c r="A115" t="s">
        <v>234</v>
      </c>
      <c r="B115" t="s">
        <v>191</v>
      </c>
      <c r="C115" t="s">
        <v>74</v>
      </c>
      <c r="D115" t="s">
        <v>29</v>
      </c>
      <c r="E115" s="11" t="s">
        <v>275</v>
      </c>
      <c r="F115" s="114">
        <v>15000</v>
      </c>
      <c r="G115" s="17">
        <v>5097750</v>
      </c>
      <c r="H115" s="21">
        <v>3185100</v>
      </c>
      <c r="I115" s="25">
        <f t="shared" si="434"/>
        <v>1.6004991993971931</v>
      </c>
      <c r="J115" s="13">
        <v>6.4999999999999919E-2</v>
      </c>
      <c r="K115" s="13">
        <v>1.1035854686685925E-2</v>
      </c>
      <c r="L115" s="13">
        <v>8.0000000000000192E-3</v>
      </c>
      <c r="M115" s="13">
        <v>2.2996918486240681E-2</v>
      </c>
      <c r="N115" s="13">
        <v>7.4499999999999992E-3</v>
      </c>
      <c r="O115" s="13">
        <v>5.0000000000000176E-2</v>
      </c>
      <c r="P115" s="13">
        <v>6.8678065646757998E-3</v>
      </c>
      <c r="Q115" s="13">
        <v>0</v>
      </c>
      <c r="R115" s="13">
        <v>2.0000000000000007E-2</v>
      </c>
      <c r="S115" s="13">
        <v>0.12717000000000001</v>
      </c>
      <c r="T115" s="13">
        <v>0.12851087008004555</v>
      </c>
      <c r="U115" s="13">
        <v>1.5000000000000036E-2</v>
      </c>
      <c r="V115" s="13">
        <v>1.567754464074269E-2</v>
      </c>
      <c r="W115" s="13">
        <v>3.8092644342348166E-2</v>
      </c>
      <c r="X115" s="13">
        <v>0.20800000000000041</v>
      </c>
      <c r="Y115" s="13">
        <v>2.1230995121489106E-2</v>
      </c>
      <c r="Z115" s="13">
        <v>2.7044948609861251E-2</v>
      </c>
      <c r="AA115" s="13">
        <v>3.2598399090607702E-2</v>
      </c>
      <c r="AB115" s="13">
        <v>1.256334959503622E-2</v>
      </c>
      <c r="AC115" s="13">
        <v>1.0000000000000002E-2</v>
      </c>
      <c r="AD115" s="13">
        <v>2.4285984938189717E-2</v>
      </c>
      <c r="AE115" s="13">
        <v>2.0000000000000004E-2</v>
      </c>
      <c r="AF115" s="13">
        <v>8.8109221806469767E-2</v>
      </c>
      <c r="AG115" s="13">
        <v>2.1999999999999947E-2</v>
      </c>
      <c r="AH115" s="13">
        <v>1.8365462037607097E-2</v>
      </c>
      <c r="AJ115" s="8">
        <f t="shared" ref="AJ115:AJ146" si="656">SUM(J115:AI115)</f>
        <v>1</v>
      </c>
      <c r="AK115" s="141">
        <f t="shared" si="435"/>
        <v>974.99999999999875</v>
      </c>
      <c r="AL115" s="141">
        <f t="shared" si="436"/>
        <v>165.53782030028887</v>
      </c>
      <c r="AM115" s="141">
        <f t="shared" si="437"/>
        <v>120.00000000000028</v>
      </c>
      <c r="AN115" s="141">
        <f t="shared" si="438"/>
        <v>344.95377729361024</v>
      </c>
      <c r="AO115" s="141">
        <f t="shared" si="439"/>
        <v>111.74999999999999</v>
      </c>
      <c r="AP115" s="141">
        <f t="shared" si="440"/>
        <v>750.00000000000261</v>
      </c>
      <c r="AQ115" s="141">
        <f t="shared" si="441"/>
        <v>103.017098470137</v>
      </c>
      <c r="AR115" s="141">
        <f t="shared" si="442"/>
        <v>0</v>
      </c>
      <c r="AS115" s="141">
        <f t="shared" si="443"/>
        <v>300.00000000000011</v>
      </c>
      <c r="AT115" s="141">
        <f t="shared" si="444"/>
        <v>1907.5500000000002</v>
      </c>
      <c r="AU115" s="141">
        <f t="shared" si="445"/>
        <v>1927.6630512006832</v>
      </c>
      <c r="AV115" s="141">
        <f t="shared" si="446"/>
        <v>225.00000000000054</v>
      </c>
      <c r="AW115" s="141">
        <f t="shared" si="447"/>
        <v>235.16316961114035</v>
      </c>
      <c r="AX115" s="141">
        <f t="shared" si="448"/>
        <v>571.38966513522246</v>
      </c>
      <c r="AY115" s="141">
        <f t="shared" si="449"/>
        <v>3120.0000000000059</v>
      </c>
      <c r="AZ115" s="141">
        <f t="shared" si="450"/>
        <v>318.46492682233657</v>
      </c>
      <c r="BA115" s="141">
        <f t="shared" si="451"/>
        <v>405.67422914791877</v>
      </c>
      <c r="BB115" s="141">
        <f t="shared" si="452"/>
        <v>488.97598635911555</v>
      </c>
      <c r="BC115" s="141">
        <f t="shared" si="453"/>
        <v>188.4502439255433</v>
      </c>
      <c r="BD115" s="141">
        <f t="shared" si="454"/>
        <v>150.00000000000003</v>
      </c>
      <c r="BE115" s="141">
        <f t="shared" si="455"/>
        <v>364.28977407284577</v>
      </c>
      <c r="BF115" s="141">
        <f t="shared" si="456"/>
        <v>300.00000000000006</v>
      </c>
      <c r="BG115" s="141">
        <f t="shared" si="457"/>
        <v>1321.6383270970466</v>
      </c>
      <c r="BH115" s="141">
        <f t="shared" si="458"/>
        <v>329.9999999999992</v>
      </c>
      <c r="BI115" s="141">
        <f t="shared" si="459"/>
        <v>275.48193056410645</v>
      </c>
      <c r="BJ115" s="141">
        <f t="shared" si="460"/>
        <v>0</v>
      </c>
      <c r="BM115" s="26">
        <f t="shared" si="462"/>
        <v>331353.74999999959</v>
      </c>
      <c r="BN115" s="26">
        <f t="shared" si="463"/>
        <v>56258.028229053169</v>
      </c>
      <c r="BO115" s="26">
        <f t="shared" si="464"/>
        <v>40782.000000000095</v>
      </c>
      <c r="BP115" s="26">
        <f t="shared" si="465"/>
        <v>117232.54121323343</v>
      </c>
      <c r="BQ115" s="26">
        <f t="shared" si="466"/>
        <v>37978.237499999996</v>
      </c>
      <c r="BR115" s="26">
        <f t="shared" si="467"/>
        <v>254887.5000000009</v>
      </c>
      <c r="BS115" s="26">
        <f t="shared" si="468"/>
        <v>35010.36091507606</v>
      </c>
      <c r="BT115" s="26">
        <f t="shared" si="469"/>
        <v>0</v>
      </c>
      <c r="BU115" s="26">
        <f t="shared" si="470"/>
        <v>101955.00000000004</v>
      </c>
      <c r="BV115" s="26">
        <f t="shared" si="471"/>
        <v>648280.86750000005</v>
      </c>
      <c r="BW115" s="26">
        <f t="shared" si="472"/>
        <v>655116.28795055219</v>
      </c>
      <c r="BX115" s="26">
        <f t="shared" si="473"/>
        <v>76466.250000000189</v>
      </c>
      <c r="BY115" s="26">
        <f t="shared" si="474"/>
        <v>79920.203192346045</v>
      </c>
      <c r="BZ115" s="26">
        <f t="shared" si="475"/>
        <v>194186.77769620536</v>
      </c>
      <c r="CA115" s="26">
        <f t="shared" si="476"/>
        <v>1060332.0000000021</v>
      </c>
      <c r="CB115" s="26">
        <f t="shared" si="477"/>
        <v>108230.3053805711</v>
      </c>
      <c r="CC115" s="26">
        <f t="shared" si="478"/>
        <v>137868.3867759202</v>
      </c>
      <c r="CD115" s="26">
        <f t="shared" si="479"/>
        <v>166178.48896414542</v>
      </c>
      <c r="CE115" s="26">
        <f t="shared" si="480"/>
        <v>64044.815398095889</v>
      </c>
      <c r="CF115" s="26">
        <f t="shared" si="481"/>
        <v>50977.500000000007</v>
      </c>
      <c r="CG115" s="26">
        <f t="shared" si="482"/>
        <v>123803.87971865662</v>
      </c>
      <c r="CH115" s="26">
        <f t="shared" si="483"/>
        <v>101955.00000000001</v>
      </c>
      <c r="CI115" s="26">
        <f t="shared" si="484"/>
        <v>449158.78546393127</v>
      </c>
      <c r="CJ115" s="26">
        <f t="shared" si="485"/>
        <v>112150.49999999972</v>
      </c>
      <c r="CK115" s="26">
        <f t="shared" si="486"/>
        <v>93622.534102211575</v>
      </c>
      <c r="CL115" s="26">
        <f t="shared" si="487"/>
        <v>0</v>
      </c>
      <c r="CM115" s="110">
        <f t="shared" si="488"/>
        <v>1.0000000000000004</v>
      </c>
      <c r="CN115" s="27">
        <f t="shared" si="489"/>
        <v>207031.49999999974</v>
      </c>
      <c r="CO115" s="27">
        <f t="shared" si="490"/>
        <v>35150.30076256334</v>
      </c>
      <c r="CP115" s="27">
        <f t="shared" si="491"/>
        <v>25480.800000000061</v>
      </c>
      <c r="CQ115" s="27">
        <f t="shared" si="492"/>
        <v>73247.485070525188</v>
      </c>
      <c r="CR115" s="27">
        <f t="shared" si="493"/>
        <v>23728.994999999999</v>
      </c>
      <c r="CS115" s="27">
        <f t="shared" si="494"/>
        <v>159255.00000000055</v>
      </c>
      <c r="CT115" s="27">
        <f t="shared" si="495"/>
        <v>21874.65068914889</v>
      </c>
      <c r="CU115" s="27">
        <f t="shared" si="496"/>
        <v>0</v>
      </c>
      <c r="CV115" s="27">
        <f t="shared" si="497"/>
        <v>63702.000000000022</v>
      </c>
      <c r="CW115" s="27">
        <f t="shared" si="498"/>
        <v>405049.16700000002</v>
      </c>
      <c r="CX115" s="27">
        <f t="shared" si="499"/>
        <v>409319.97229195311</v>
      </c>
      <c r="CY115" s="27">
        <f t="shared" si="500"/>
        <v>47776.500000000116</v>
      </c>
      <c r="CZ115" s="27">
        <f t="shared" si="501"/>
        <v>49934.547435229542</v>
      </c>
      <c r="DA115" s="27">
        <f t="shared" si="502"/>
        <v>121328.88149481315</v>
      </c>
      <c r="DB115" s="27">
        <f t="shared" si="503"/>
        <v>662500.80000000133</v>
      </c>
      <c r="DC115" s="27">
        <f t="shared" si="504"/>
        <v>67622.842561454949</v>
      </c>
      <c r="DD115" s="27">
        <f t="shared" si="505"/>
        <v>86140.865817269078</v>
      </c>
      <c r="DE115" s="27">
        <f t="shared" si="506"/>
        <v>103829.16094349459</v>
      </c>
      <c r="DF115" s="27">
        <f t="shared" si="507"/>
        <v>40015.52479514986</v>
      </c>
      <c r="DG115" s="27">
        <f t="shared" si="508"/>
        <v>31851.000000000007</v>
      </c>
      <c r="DH115" s="27">
        <f t="shared" si="509"/>
        <v>77353.290626628062</v>
      </c>
      <c r="DI115" s="27">
        <f t="shared" si="510"/>
        <v>63702.000000000015</v>
      </c>
      <c r="DJ115" s="27">
        <f t="shared" si="511"/>
        <v>280636.68237578688</v>
      </c>
      <c r="DK115" s="27">
        <f t="shared" si="512"/>
        <v>70072.199999999837</v>
      </c>
      <c r="DL115" s="27">
        <f t="shared" si="513"/>
        <v>58495.833135982364</v>
      </c>
      <c r="DM115" s="27">
        <f t="shared" si="514"/>
        <v>0</v>
      </c>
      <c r="DN115" s="110">
        <f t="shared" si="515"/>
        <v>1.0000000000000002</v>
      </c>
      <c r="DO115" s="28">
        <f t="shared" si="518"/>
        <v>124322.24999999985</v>
      </c>
      <c r="DP115" s="28">
        <f t="shared" si="519"/>
        <v>21107.727466489829</v>
      </c>
      <c r="DQ115" s="28">
        <f t="shared" si="520"/>
        <v>15301.200000000033</v>
      </c>
      <c r="DR115" s="28">
        <f t="shared" si="521"/>
        <v>43985.056142708243</v>
      </c>
      <c r="DS115" s="28">
        <f t="shared" si="522"/>
        <v>14249.242499999997</v>
      </c>
      <c r="DT115" s="28">
        <f t="shared" si="523"/>
        <v>95632.500000000349</v>
      </c>
      <c r="DU115" s="28">
        <f t="shared" si="524"/>
        <v>13135.710225927171</v>
      </c>
      <c r="DV115" s="28">
        <f t="shared" si="525"/>
        <v>0</v>
      </c>
      <c r="DW115" s="28">
        <f t="shared" si="526"/>
        <v>38253.000000000022</v>
      </c>
      <c r="DX115" s="28">
        <f t="shared" si="527"/>
        <v>243231.70050000004</v>
      </c>
      <c r="DY115" s="28">
        <f t="shared" si="528"/>
        <v>245796.31565859908</v>
      </c>
      <c r="DZ115" s="28">
        <f t="shared" si="529"/>
        <v>28689.750000000073</v>
      </c>
      <c r="EA115" s="28">
        <f t="shared" si="530"/>
        <v>29985.655757116503</v>
      </c>
      <c r="EB115" s="28">
        <f t="shared" si="531"/>
        <v>72857.896201392214</v>
      </c>
      <c r="EC115" s="28">
        <f t="shared" si="532"/>
        <v>397831.20000000077</v>
      </c>
      <c r="ED115" s="28">
        <f t="shared" si="533"/>
        <v>40607.462819116146</v>
      </c>
      <c r="EE115" s="28">
        <f t="shared" si="534"/>
        <v>51727.520958651119</v>
      </c>
      <c r="EF115" s="28">
        <f t="shared" si="535"/>
        <v>62349.328020650835</v>
      </c>
      <c r="EG115" s="28">
        <f t="shared" si="536"/>
        <v>24029.290602946028</v>
      </c>
      <c r="EH115" s="28">
        <f t="shared" si="537"/>
        <v>19126.5</v>
      </c>
      <c r="EI115" s="28">
        <f t="shared" si="538"/>
        <v>46450.58909202856</v>
      </c>
      <c r="EJ115" s="28">
        <f t="shared" si="539"/>
        <v>38253</v>
      </c>
      <c r="EK115" s="28">
        <f t="shared" si="540"/>
        <v>168522.10308814439</v>
      </c>
      <c r="EL115" s="28">
        <f t="shared" si="541"/>
        <v>42078.299999999886</v>
      </c>
      <c r="EM115" s="28">
        <f t="shared" si="542"/>
        <v>35126.700966229211</v>
      </c>
      <c r="EN115" s="28">
        <f t="shared" si="543"/>
        <v>0</v>
      </c>
      <c r="EQ115" s="144">
        <v>0.03</v>
      </c>
      <c r="ER115" s="144">
        <v>0.03</v>
      </c>
      <c r="ES115" s="144">
        <v>0.02</v>
      </c>
      <c r="ET115" s="144">
        <v>0.15</v>
      </c>
      <c r="EU115" s="144">
        <v>0.15</v>
      </c>
      <c r="EV115" s="144">
        <v>0.16</v>
      </c>
      <c r="EW115" s="144">
        <v>0.13</v>
      </c>
      <c r="EX115" s="144">
        <v>0.08</v>
      </c>
      <c r="EY115" s="144">
        <v>7.0000000000000007E-2</v>
      </c>
      <c r="EZ115" s="144">
        <v>0.06</v>
      </c>
      <c r="FA115" s="144">
        <v>0.06</v>
      </c>
      <c r="FB115" s="144">
        <v>0.06</v>
      </c>
      <c r="FC115" s="145">
        <f t="shared" si="544"/>
        <v>1.0000000000000002</v>
      </c>
      <c r="FD115" s="146">
        <f t="shared" si="545"/>
        <v>0.08</v>
      </c>
      <c r="FE115" s="146">
        <f t="shared" si="546"/>
        <v>0.45999999999999996</v>
      </c>
      <c r="FF115" s="146">
        <f t="shared" si="547"/>
        <v>0.28000000000000003</v>
      </c>
      <c r="FG115" s="146">
        <f t="shared" si="548"/>
        <v>0.18</v>
      </c>
      <c r="FH115" s="145">
        <f t="shared" si="655"/>
        <v>1</v>
      </c>
      <c r="FJ115" s="52">
        <f t="shared" si="549"/>
        <v>26508.299999999967</v>
      </c>
      <c r="FK115" s="52">
        <f t="shared" si="550"/>
        <v>4500.6422583242538</v>
      </c>
      <c r="FL115" s="52">
        <f t="shared" si="551"/>
        <v>3262.5600000000077</v>
      </c>
      <c r="FM115" s="52">
        <f t="shared" si="552"/>
        <v>9378.6032970586748</v>
      </c>
      <c r="FN115" s="52">
        <f t="shared" si="553"/>
        <v>3038.2589999999996</v>
      </c>
      <c r="FO115" s="52">
        <f t="shared" si="554"/>
        <v>20391.000000000073</v>
      </c>
      <c r="FP115" s="52">
        <f t="shared" si="555"/>
        <v>2800.8288732060851</v>
      </c>
      <c r="FQ115" s="52">
        <f t="shared" si="556"/>
        <v>0</v>
      </c>
      <c r="FR115" s="52">
        <f t="shared" si="557"/>
        <v>8156.4000000000033</v>
      </c>
      <c r="FS115" s="52">
        <f t="shared" si="558"/>
        <v>51862.469400000002</v>
      </c>
      <c r="FT115" s="52">
        <f t="shared" si="559"/>
        <v>52409.303036044177</v>
      </c>
      <c r="FU115" s="52">
        <f t="shared" si="560"/>
        <v>6117.3000000000156</v>
      </c>
      <c r="FV115" s="52">
        <f t="shared" si="561"/>
        <v>6393.6162553876839</v>
      </c>
      <c r="FW115" s="52">
        <f t="shared" si="562"/>
        <v>15534.942215696428</v>
      </c>
      <c r="FX115" s="52">
        <f t="shared" si="563"/>
        <v>84826.560000000172</v>
      </c>
      <c r="FY115" s="52">
        <f t="shared" si="564"/>
        <v>8658.4244304456879</v>
      </c>
      <c r="FZ115" s="52">
        <f t="shared" si="565"/>
        <v>11029.470942073616</v>
      </c>
      <c r="GA115" s="52">
        <f t="shared" si="566"/>
        <v>13294.279117131635</v>
      </c>
      <c r="GB115" s="52">
        <f t="shared" si="567"/>
        <v>5123.5852318476709</v>
      </c>
      <c r="GC115" s="52">
        <f t="shared" si="568"/>
        <v>4078.2000000000007</v>
      </c>
      <c r="GD115" s="52">
        <f t="shared" si="569"/>
        <v>9904.3103774925294</v>
      </c>
      <c r="GE115" s="52">
        <f t="shared" si="570"/>
        <v>8156.4000000000015</v>
      </c>
      <c r="GF115" s="52">
        <f t="shared" si="571"/>
        <v>35932.702837114506</v>
      </c>
      <c r="GG115" s="52">
        <f t="shared" si="572"/>
        <v>8972.0399999999772</v>
      </c>
      <c r="GH115" s="52">
        <f t="shared" si="573"/>
        <v>7489.8027281769264</v>
      </c>
      <c r="GI115" s="52">
        <f t="shared" si="574"/>
        <v>0</v>
      </c>
      <c r="GJ115" s="26"/>
      <c r="GL115" s="150">
        <f t="shared" si="575"/>
        <v>152422.7249999998</v>
      </c>
      <c r="GM115" s="150">
        <f t="shared" si="576"/>
        <v>25878.692985364454</v>
      </c>
      <c r="GN115" s="150">
        <f t="shared" si="577"/>
        <v>18759.720000000041</v>
      </c>
      <c r="GO115" s="150">
        <f t="shared" si="578"/>
        <v>53926.968958087375</v>
      </c>
      <c r="GP115" s="150">
        <f t="shared" si="579"/>
        <v>17469.989249999995</v>
      </c>
      <c r="GQ115" s="150">
        <f t="shared" si="580"/>
        <v>117248.25000000041</v>
      </c>
      <c r="GR115" s="150">
        <f t="shared" si="581"/>
        <v>16104.766020934987</v>
      </c>
      <c r="GS115" s="150">
        <f t="shared" si="582"/>
        <v>0</v>
      </c>
      <c r="GT115" s="150">
        <f t="shared" si="583"/>
        <v>46899.300000000017</v>
      </c>
      <c r="GU115" s="150">
        <f t="shared" si="584"/>
        <v>298209.19905</v>
      </c>
      <c r="GV115" s="150">
        <f t="shared" si="585"/>
        <v>301353.49245725397</v>
      </c>
      <c r="GW115" s="150">
        <f t="shared" si="586"/>
        <v>35174.475000000086</v>
      </c>
      <c r="GX115" s="150">
        <f t="shared" si="587"/>
        <v>36763.293468479176</v>
      </c>
      <c r="GY115" s="150">
        <f t="shared" si="588"/>
        <v>89325.917740254459</v>
      </c>
      <c r="GZ115" s="150">
        <f t="shared" si="589"/>
        <v>487752.7200000009</v>
      </c>
      <c r="HA115" s="150">
        <f t="shared" si="590"/>
        <v>49785.9404750627</v>
      </c>
      <c r="HB115" s="150">
        <f t="shared" si="591"/>
        <v>63419.457916923282</v>
      </c>
      <c r="HC115" s="150">
        <f t="shared" si="592"/>
        <v>76442.104923506893</v>
      </c>
      <c r="HD115" s="150">
        <f t="shared" si="593"/>
        <v>29460.615083124107</v>
      </c>
      <c r="HE115" s="150">
        <f t="shared" si="594"/>
        <v>23449.65</v>
      </c>
      <c r="HF115" s="150">
        <f t="shared" si="595"/>
        <v>56949.784670582041</v>
      </c>
      <c r="HG115" s="150">
        <f t="shared" si="596"/>
        <v>46899.3</v>
      </c>
      <c r="HH115" s="150">
        <f t="shared" si="597"/>
        <v>206613.04131340838</v>
      </c>
      <c r="HI115" s="150">
        <f t="shared" si="598"/>
        <v>51589.229999999872</v>
      </c>
      <c r="HJ115" s="150">
        <f t="shared" si="599"/>
        <v>43066.365687017322</v>
      </c>
      <c r="HK115" s="150">
        <f t="shared" si="600"/>
        <v>0</v>
      </c>
      <c r="HL115" s="26"/>
      <c r="HN115" s="147">
        <f t="shared" si="601"/>
        <v>92779.049999999901</v>
      </c>
      <c r="HO115" s="147">
        <f t="shared" si="602"/>
        <v>15752.247904134889</v>
      </c>
      <c r="HP115" s="147">
        <f t="shared" si="603"/>
        <v>11418.960000000028</v>
      </c>
      <c r="HQ115" s="147">
        <f t="shared" si="604"/>
        <v>32825.111539705365</v>
      </c>
      <c r="HR115" s="147">
        <f t="shared" si="605"/>
        <v>10633.906499999999</v>
      </c>
      <c r="HS115" s="147">
        <f t="shared" si="606"/>
        <v>71368.500000000262</v>
      </c>
      <c r="HT115" s="147">
        <f t="shared" si="607"/>
        <v>9802.901056221297</v>
      </c>
      <c r="HU115" s="147">
        <f t="shared" si="608"/>
        <v>0</v>
      </c>
      <c r="HV115" s="147">
        <f t="shared" si="609"/>
        <v>28547.400000000016</v>
      </c>
      <c r="HW115" s="147">
        <f t="shared" si="610"/>
        <v>181518.64290000004</v>
      </c>
      <c r="HX115" s="147">
        <f t="shared" si="611"/>
        <v>183432.56062615462</v>
      </c>
      <c r="HY115" s="147">
        <f t="shared" si="612"/>
        <v>21410.550000000054</v>
      </c>
      <c r="HZ115" s="147">
        <f t="shared" si="613"/>
        <v>22377.656893856896</v>
      </c>
      <c r="IA115" s="147">
        <f t="shared" si="614"/>
        <v>54372.297754937506</v>
      </c>
      <c r="IB115" s="147">
        <f t="shared" si="615"/>
        <v>296892.9600000006</v>
      </c>
      <c r="IC115" s="147">
        <f t="shared" si="616"/>
        <v>30304.485506559911</v>
      </c>
      <c r="ID115" s="147">
        <f t="shared" si="617"/>
        <v>38603.148297257656</v>
      </c>
      <c r="IE115" s="147">
        <f t="shared" si="618"/>
        <v>46529.976909960722</v>
      </c>
      <c r="IF115" s="147">
        <f t="shared" si="619"/>
        <v>17932.54831146685</v>
      </c>
      <c r="IG115" s="147">
        <f t="shared" si="620"/>
        <v>14273.700000000003</v>
      </c>
      <c r="IH115" s="147">
        <f t="shared" si="621"/>
        <v>34665.086321223855</v>
      </c>
      <c r="II115" s="147">
        <f t="shared" si="622"/>
        <v>28547.400000000005</v>
      </c>
      <c r="IJ115" s="147">
        <f t="shared" si="623"/>
        <v>125764.45992990077</v>
      </c>
      <c r="IK115" s="147">
        <f t="shared" si="624"/>
        <v>31402.139999999927</v>
      </c>
      <c r="IL115" s="147">
        <f t="shared" si="625"/>
        <v>26214.309548619243</v>
      </c>
      <c r="IM115" s="147">
        <f t="shared" si="626"/>
        <v>0</v>
      </c>
      <c r="IN115" s="26"/>
      <c r="IP115" s="61">
        <f t="shared" si="627"/>
        <v>59643.674999999923</v>
      </c>
      <c r="IQ115" s="61">
        <f t="shared" si="628"/>
        <v>10126.445081229571</v>
      </c>
      <c r="IR115" s="61">
        <f t="shared" si="629"/>
        <v>7340.7600000000166</v>
      </c>
      <c r="IS115" s="61">
        <f t="shared" si="630"/>
        <v>21101.857418382016</v>
      </c>
      <c r="IT115" s="61">
        <f t="shared" si="631"/>
        <v>6836.0827499999987</v>
      </c>
      <c r="IU115" s="61">
        <f t="shared" si="632"/>
        <v>45879.75000000016</v>
      </c>
      <c r="IV115" s="61">
        <f t="shared" si="633"/>
        <v>6301.8649647136908</v>
      </c>
      <c r="IW115" s="61">
        <f t="shared" si="634"/>
        <v>0</v>
      </c>
      <c r="IX115" s="61">
        <f t="shared" si="635"/>
        <v>18351.900000000009</v>
      </c>
      <c r="IY115" s="61">
        <f t="shared" si="636"/>
        <v>116690.55615</v>
      </c>
      <c r="IZ115" s="61">
        <f t="shared" si="637"/>
        <v>117920.93183109938</v>
      </c>
      <c r="JA115" s="61">
        <f t="shared" si="638"/>
        <v>13763.925000000034</v>
      </c>
      <c r="JB115" s="61">
        <f t="shared" si="639"/>
        <v>14385.636574622287</v>
      </c>
      <c r="JC115" s="61">
        <f t="shared" si="640"/>
        <v>34953.619985316967</v>
      </c>
      <c r="JD115" s="61">
        <f t="shared" si="641"/>
        <v>190859.76000000036</v>
      </c>
      <c r="JE115" s="61">
        <f t="shared" si="642"/>
        <v>19481.454968502796</v>
      </c>
      <c r="JF115" s="61">
        <f t="shared" si="643"/>
        <v>24816.309619665633</v>
      </c>
      <c r="JG115" s="61">
        <f t="shared" si="644"/>
        <v>29912.128013546175</v>
      </c>
      <c r="JH115" s="61">
        <f t="shared" si="645"/>
        <v>11528.066771657259</v>
      </c>
      <c r="JI115" s="61">
        <f t="shared" si="646"/>
        <v>9175.9500000000007</v>
      </c>
      <c r="JJ115" s="61">
        <f t="shared" si="647"/>
        <v>22284.69834935819</v>
      </c>
      <c r="JK115" s="61">
        <f t="shared" si="648"/>
        <v>18351.900000000001</v>
      </c>
      <c r="JL115" s="61">
        <f t="shared" si="649"/>
        <v>80848.581383507626</v>
      </c>
      <c r="JM115" s="61">
        <f t="shared" si="650"/>
        <v>20187.089999999949</v>
      </c>
      <c r="JN115" s="61">
        <f t="shared" si="651"/>
        <v>16852.056138398082</v>
      </c>
      <c r="JO115" s="61">
        <f t="shared" si="652"/>
        <v>0</v>
      </c>
      <c r="JQ115" s="26">
        <f t="shared" si="516"/>
        <v>5097750</v>
      </c>
      <c r="JR115" s="156">
        <f t="shared" si="517"/>
        <v>1</v>
      </c>
      <c r="JT115" s="157">
        <f t="shared" si="653"/>
        <v>331353.74999999959</v>
      </c>
      <c r="JU115" s="29">
        <f t="shared" si="654"/>
        <v>1</v>
      </c>
    </row>
    <row r="116" spans="1:281" ht="18.75" x14ac:dyDescent="0.3">
      <c r="A116" t="s">
        <v>234</v>
      </c>
      <c r="B116" t="s">
        <v>192</v>
      </c>
      <c r="C116" t="s">
        <v>74</v>
      </c>
      <c r="D116" t="s">
        <v>29</v>
      </c>
      <c r="E116" s="11" t="s">
        <v>276</v>
      </c>
      <c r="F116" s="114">
        <v>289</v>
      </c>
      <c r="G116" s="17">
        <v>192372</v>
      </c>
      <c r="H116" s="21">
        <v>116486</v>
      </c>
      <c r="I116" s="25">
        <f t="shared" si="434"/>
        <v>1.6514602613189568</v>
      </c>
      <c r="J116" s="13">
        <v>6.5000000000000058E-2</v>
      </c>
      <c r="K116" s="13">
        <v>1.1035854686685932E-2</v>
      </c>
      <c r="L116" s="13">
        <v>8.0000000000000071E-3</v>
      </c>
      <c r="M116" s="13">
        <v>2.2996918486240657E-2</v>
      </c>
      <c r="N116" s="13">
        <v>7.4500000000000078E-3</v>
      </c>
      <c r="O116" s="13">
        <v>4.999999999999994E-2</v>
      </c>
      <c r="P116" s="13">
        <v>6.8678065646757998E-3</v>
      </c>
      <c r="Q116" s="13">
        <v>0</v>
      </c>
      <c r="R116" s="13">
        <v>2.0000000000000004E-2</v>
      </c>
      <c r="S116" s="13">
        <v>0.12716999999999964</v>
      </c>
      <c r="T116" s="13">
        <v>0.12851087008004547</v>
      </c>
      <c r="U116" s="13">
        <v>1.4999999999999986E-2</v>
      </c>
      <c r="V116" s="13">
        <v>1.5677544640742655E-2</v>
      </c>
      <c r="W116" s="13">
        <v>3.8092644342348395E-2</v>
      </c>
      <c r="X116" s="13">
        <v>0.20800000000000021</v>
      </c>
      <c r="Y116" s="13">
        <v>2.1230995121489162E-2</v>
      </c>
      <c r="Z116" s="13">
        <v>2.7044948609861289E-2</v>
      </c>
      <c r="AA116" s="13">
        <v>3.2598399090607598E-2</v>
      </c>
      <c r="AB116" s="13">
        <v>1.2563349595036232E-2</v>
      </c>
      <c r="AC116" s="13">
        <v>9.9999999999999898E-3</v>
      </c>
      <c r="AD116" s="13">
        <v>2.4285984938189772E-2</v>
      </c>
      <c r="AE116" s="13">
        <v>1.9999999999999983E-2</v>
      </c>
      <c r="AF116" s="13">
        <v>8.8109221806469962E-2</v>
      </c>
      <c r="AG116" s="13">
        <v>2.1999999999999954E-2</v>
      </c>
      <c r="AH116" s="13">
        <v>1.836546203760717E-2</v>
      </c>
      <c r="AJ116" s="8">
        <f t="shared" si="656"/>
        <v>0.99999999999999989</v>
      </c>
      <c r="AK116" s="141">
        <f t="shared" si="435"/>
        <v>18.785000000000018</v>
      </c>
      <c r="AL116" s="141">
        <f t="shared" si="436"/>
        <v>3.1893620044522342</v>
      </c>
      <c r="AM116" s="141">
        <f t="shared" si="437"/>
        <v>2.3120000000000021</v>
      </c>
      <c r="AN116" s="141">
        <f t="shared" si="438"/>
        <v>6.6461094425235503</v>
      </c>
      <c r="AO116" s="141">
        <f t="shared" si="439"/>
        <v>2.1530500000000021</v>
      </c>
      <c r="AP116" s="141">
        <f t="shared" si="440"/>
        <v>14.449999999999983</v>
      </c>
      <c r="AQ116" s="141">
        <f t="shared" si="441"/>
        <v>1.9847960971913061</v>
      </c>
      <c r="AR116" s="141">
        <f t="shared" si="442"/>
        <v>0</v>
      </c>
      <c r="AS116" s="141">
        <f t="shared" si="443"/>
        <v>5.7800000000000011</v>
      </c>
      <c r="AT116" s="141">
        <f t="shared" si="444"/>
        <v>36.752129999999894</v>
      </c>
      <c r="AU116" s="141">
        <f t="shared" si="445"/>
        <v>37.139641453133137</v>
      </c>
      <c r="AV116" s="141">
        <f t="shared" si="446"/>
        <v>4.3349999999999955</v>
      </c>
      <c r="AW116" s="141">
        <f t="shared" si="447"/>
        <v>4.5308104011746275</v>
      </c>
      <c r="AX116" s="141">
        <f t="shared" si="448"/>
        <v>11.008774214938686</v>
      </c>
      <c r="AY116" s="141">
        <f t="shared" si="449"/>
        <v>60.112000000000059</v>
      </c>
      <c r="AZ116" s="141">
        <f t="shared" si="450"/>
        <v>6.1357575901103676</v>
      </c>
      <c r="BA116" s="141">
        <f t="shared" si="451"/>
        <v>7.815990148249913</v>
      </c>
      <c r="BB116" s="141">
        <f t="shared" si="452"/>
        <v>9.4209373371855953</v>
      </c>
      <c r="BC116" s="141">
        <f t="shared" si="453"/>
        <v>3.6308080329654708</v>
      </c>
      <c r="BD116" s="141">
        <f t="shared" si="454"/>
        <v>2.889999999999997</v>
      </c>
      <c r="BE116" s="141">
        <f t="shared" si="455"/>
        <v>7.0186496471368445</v>
      </c>
      <c r="BF116" s="141">
        <f t="shared" si="456"/>
        <v>5.7799999999999949</v>
      </c>
      <c r="BG116" s="141">
        <f t="shared" si="457"/>
        <v>25.463565102069818</v>
      </c>
      <c r="BH116" s="141">
        <f t="shared" si="458"/>
        <v>6.3579999999999863</v>
      </c>
      <c r="BI116" s="141">
        <f t="shared" si="459"/>
        <v>5.3076185288684723</v>
      </c>
      <c r="BJ116" s="141">
        <f t="shared" si="460"/>
        <v>0</v>
      </c>
      <c r="BM116" s="26">
        <f t="shared" ref="BM116:BM147" si="657">$G116*J116</f>
        <v>12504.180000000011</v>
      </c>
      <c r="BN116" s="26">
        <f t="shared" ref="BN116:BN147" si="658">$G116*K116</f>
        <v>2122.989437787146</v>
      </c>
      <c r="BO116" s="26">
        <f t="shared" ref="BO116:BO147" si="659">$G116*L116</f>
        <v>1538.9760000000015</v>
      </c>
      <c r="BP116" s="26">
        <f t="shared" ref="BP116:BP147" si="660">$G116*M116</f>
        <v>4423.9632030350876</v>
      </c>
      <c r="BQ116" s="26">
        <f t="shared" ref="BQ116:BQ147" si="661">$G116*N116</f>
        <v>1433.1714000000015</v>
      </c>
      <c r="BR116" s="26">
        <f t="shared" ref="BR116:BR147" si="662">$G116*O116</f>
        <v>9618.5999999999876</v>
      </c>
      <c r="BS116" s="26">
        <f t="shared" ref="BS116:BS147" si="663">$G116*P116</f>
        <v>1321.1736844598129</v>
      </c>
      <c r="BT116" s="26">
        <f t="shared" ref="BT116:BT147" si="664">$G116*Q116</f>
        <v>0</v>
      </c>
      <c r="BU116" s="26">
        <f t="shared" ref="BU116:BU147" si="665">$G116*R116</f>
        <v>3847.440000000001</v>
      </c>
      <c r="BV116" s="26">
        <f t="shared" ref="BV116:BV147" si="666">$G116*S116</f>
        <v>24463.947239999932</v>
      </c>
      <c r="BW116" s="26">
        <f t="shared" ref="BW116:BW147" si="667">$G116*T116</f>
        <v>24721.893099038509</v>
      </c>
      <c r="BX116" s="26">
        <f t="shared" ref="BX116:BX147" si="668">$G116*U116</f>
        <v>2885.5799999999972</v>
      </c>
      <c r="BY116" s="26">
        <f t="shared" ref="BY116:BY147" si="669">$G116*V116</f>
        <v>3015.9206176289458</v>
      </c>
      <c r="BZ116" s="26">
        <f t="shared" ref="BZ116:BZ147" si="670">$G116*W116</f>
        <v>7327.9581774262451</v>
      </c>
      <c r="CA116" s="26">
        <f t="shared" ref="CA116:CA147" si="671">$G116*X116</f>
        <v>40013.37600000004</v>
      </c>
      <c r="CB116" s="26">
        <f t="shared" ref="CB116:CB147" si="672">$G116*Y116</f>
        <v>4084.248993511113</v>
      </c>
      <c r="CC116" s="26">
        <f t="shared" ref="CC116:CC147" si="673">$G116*Z116</f>
        <v>5202.6908539762362</v>
      </c>
      <c r="CD116" s="26">
        <f t="shared" ref="CD116:CD147" si="674">$G116*AA116</f>
        <v>6271.0192298583652</v>
      </c>
      <c r="CE116" s="26">
        <f t="shared" ref="CE116:CE147" si="675">$G116*AB116</f>
        <v>2416.8366882963101</v>
      </c>
      <c r="CF116" s="26">
        <f t="shared" ref="CF116:CF147" si="676">$G116*AC116</f>
        <v>1923.719999999998</v>
      </c>
      <c r="CG116" s="26">
        <f t="shared" ref="CG116:CG147" si="677">$G116*AD116</f>
        <v>4671.9434945294433</v>
      </c>
      <c r="CH116" s="26">
        <f t="shared" ref="CH116:CH147" si="678">$G116*AE116</f>
        <v>3847.4399999999969</v>
      </c>
      <c r="CI116" s="26">
        <f t="shared" ref="CI116:CI147" si="679">$G116*AF116</f>
        <v>16949.747217354241</v>
      </c>
      <c r="CJ116" s="26">
        <f t="shared" ref="CJ116:CJ147" si="680">$G116*AG116</f>
        <v>4232.1839999999911</v>
      </c>
      <c r="CK116" s="26">
        <f t="shared" ref="CK116:CK147" si="681">$G116*AH116</f>
        <v>3533.0006630985663</v>
      </c>
      <c r="CL116" s="26">
        <f t="shared" ref="CL116:CL147" si="682">$G116*AI116</f>
        <v>0</v>
      </c>
      <c r="CM116" s="110">
        <f t="shared" ref="CM116:CM147" si="683">SUM(BM116:CL116)/G116</f>
        <v>0.99999999999999989</v>
      </c>
      <c r="CN116" s="27">
        <f t="shared" ref="CN116:CN152" si="684">$H116*J116</f>
        <v>7571.5900000000065</v>
      </c>
      <c r="CO116" s="27">
        <f t="shared" ref="CO116:CO152" si="685">$H116*K116</f>
        <v>1285.5225690332975</v>
      </c>
      <c r="CP116" s="27">
        <f t="shared" ref="CP116:CP152" si="686">$H116*L116</f>
        <v>931.88800000000083</v>
      </c>
      <c r="CQ116" s="27">
        <f t="shared" ref="CQ116:CQ152" si="687">$H116*M116</f>
        <v>2678.8190467882291</v>
      </c>
      <c r="CR116" s="27">
        <f t="shared" ref="CR116:CR152" si="688">$H116*N116</f>
        <v>867.8207000000009</v>
      </c>
      <c r="CS116" s="27">
        <f t="shared" ref="CS116:CS152" si="689">$H116*O116</f>
        <v>5824.2999999999929</v>
      </c>
      <c r="CT116" s="27">
        <f t="shared" ref="CT116:CT152" si="690">$H116*P116</f>
        <v>800.00331549282521</v>
      </c>
      <c r="CU116" s="27">
        <f t="shared" ref="CU116:CU152" si="691">$H116*Q116</f>
        <v>0</v>
      </c>
      <c r="CV116" s="27">
        <f t="shared" ref="CV116:CV152" si="692">$H116*R116</f>
        <v>2329.7200000000003</v>
      </c>
      <c r="CW116" s="27">
        <f t="shared" ref="CW116:CW152" si="693">$H116*S116</f>
        <v>14813.524619999958</v>
      </c>
      <c r="CX116" s="27">
        <f t="shared" ref="CX116:CX152" si="694">$H116*T116</f>
        <v>14969.717212144176</v>
      </c>
      <c r="CY116" s="27">
        <f t="shared" ref="CY116:CY152" si="695">$H116*U116</f>
        <v>1747.2899999999984</v>
      </c>
      <c r="CZ116" s="27">
        <f t="shared" ref="CZ116:CZ152" si="696">$H116*V116</f>
        <v>1826.2144650215489</v>
      </c>
      <c r="DA116" s="27">
        <f t="shared" ref="DA116:DA152" si="697">$H116*W116</f>
        <v>4437.2597688627948</v>
      </c>
      <c r="DB116" s="27">
        <f t="shared" ref="DB116:DB152" si="698">$H116*X116</f>
        <v>24229.088000000025</v>
      </c>
      <c r="DC116" s="27">
        <f t="shared" ref="DC116:DC152" si="699">$H116*Y116</f>
        <v>2473.1136977217866</v>
      </c>
      <c r="DD116" s="27">
        <f t="shared" ref="DD116:DD152" si="700">$H116*Z116</f>
        <v>3150.3578837683021</v>
      </c>
      <c r="DE116" s="27">
        <f t="shared" ref="DE116:DE152" si="701">$H116*AA116</f>
        <v>3797.2571164685169</v>
      </c>
      <c r="DF116" s="27">
        <f t="shared" ref="DF116:DF152" si="702">$H116*AB116</f>
        <v>1463.4543409273906</v>
      </c>
      <c r="DG116" s="27">
        <f t="shared" ref="DG116:DG152" si="703">$H116*AC116</f>
        <v>1164.8599999999988</v>
      </c>
      <c r="DH116" s="27">
        <f t="shared" ref="DH116:DH152" si="704">$H116*AD116</f>
        <v>2828.9772415099737</v>
      </c>
      <c r="DI116" s="27">
        <f t="shared" ref="DI116:DI152" si="705">$H116*AE116</f>
        <v>2329.719999999998</v>
      </c>
      <c r="DJ116" s="27">
        <f t="shared" ref="DJ116:DJ152" si="706">$H116*AF116</f>
        <v>10263.49081134846</v>
      </c>
      <c r="DK116" s="27">
        <f t="shared" ref="DK116:DK152" si="707">$H116*AG116</f>
        <v>2562.6919999999946</v>
      </c>
      <c r="DL116" s="27">
        <f t="shared" ref="DL116:DL152" si="708">$H116*AH116</f>
        <v>2139.319210912709</v>
      </c>
      <c r="DM116" s="27">
        <f t="shared" ref="DM116:DM152" si="709">$H116*AI116</f>
        <v>0</v>
      </c>
      <c r="DN116" s="110">
        <f t="shared" ref="DN116:DN147" si="710">SUM(CN116:DM116)/H116</f>
        <v>1</v>
      </c>
      <c r="DO116" s="28">
        <f t="shared" si="518"/>
        <v>4932.5900000000047</v>
      </c>
      <c r="DP116" s="28">
        <f t="shared" si="519"/>
        <v>837.46686875384853</v>
      </c>
      <c r="DQ116" s="28">
        <f t="shared" si="520"/>
        <v>607.08800000000065</v>
      </c>
      <c r="DR116" s="28">
        <f t="shared" si="521"/>
        <v>1745.1441562468585</v>
      </c>
      <c r="DS116" s="28">
        <f t="shared" si="522"/>
        <v>565.35070000000064</v>
      </c>
      <c r="DT116" s="28">
        <f t="shared" si="523"/>
        <v>3794.2999999999947</v>
      </c>
      <c r="DU116" s="28">
        <f t="shared" si="524"/>
        <v>521.17036896698767</v>
      </c>
      <c r="DV116" s="28">
        <f t="shared" si="525"/>
        <v>0</v>
      </c>
      <c r="DW116" s="28">
        <f t="shared" si="526"/>
        <v>1517.7200000000007</v>
      </c>
      <c r="DX116" s="28">
        <f t="shared" si="527"/>
        <v>9650.4226199999739</v>
      </c>
      <c r="DY116" s="28">
        <f t="shared" si="528"/>
        <v>9752.1758868943325</v>
      </c>
      <c r="DZ116" s="28">
        <f t="shared" si="529"/>
        <v>1138.2899999999988</v>
      </c>
      <c r="EA116" s="28">
        <f t="shared" si="530"/>
        <v>1189.7061526073969</v>
      </c>
      <c r="EB116" s="28">
        <f t="shared" si="531"/>
        <v>2890.6984085634504</v>
      </c>
      <c r="EC116" s="28">
        <f t="shared" si="532"/>
        <v>15784.288000000015</v>
      </c>
      <c r="ED116" s="28">
        <f t="shared" si="533"/>
        <v>1611.1352957893264</v>
      </c>
      <c r="EE116" s="28">
        <f t="shared" si="534"/>
        <v>2052.3329702079341</v>
      </c>
      <c r="EF116" s="28">
        <f t="shared" si="535"/>
        <v>2473.7621133898483</v>
      </c>
      <c r="EG116" s="28">
        <f t="shared" si="536"/>
        <v>953.38234736891945</v>
      </c>
      <c r="EH116" s="28">
        <f t="shared" si="537"/>
        <v>758.85999999999922</v>
      </c>
      <c r="EI116" s="28">
        <f t="shared" si="538"/>
        <v>1842.9662530194696</v>
      </c>
      <c r="EJ116" s="28">
        <f t="shared" si="539"/>
        <v>1517.7199999999989</v>
      </c>
      <c r="EK116" s="28">
        <f t="shared" si="540"/>
        <v>6686.2564060057812</v>
      </c>
      <c r="EL116" s="28">
        <f t="shared" si="541"/>
        <v>1669.4919999999966</v>
      </c>
      <c r="EM116" s="28">
        <f t="shared" si="542"/>
        <v>1393.6814521858573</v>
      </c>
      <c r="EN116" s="28">
        <f t="shared" si="543"/>
        <v>0</v>
      </c>
      <c r="EQ116" s="144">
        <v>3.0000690792774638E-2</v>
      </c>
      <c r="ER116" s="144">
        <v>5.0000010218828043E-2</v>
      </c>
      <c r="ES116" s="144">
        <v>8.0000649917462544E-2</v>
      </c>
      <c r="ET116" s="144">
        <v>0.11000134071023719</v>
      </c>
      <c r="EU116" s="144">
        <v>0.11999933986370948</v>
      </c>
      <c r="EV116" s="144">
        <v>0.14999665844323515</v>
      </c>
      <c r="EW116" s="144">
        <v>0.12999733901718175</v>
      </c>
      <c r="EX116" s="144">
        <v>8.0000649917462544E-2</v>
      </c>
      <c r="EY116" s="144">
        <v>6.9999329644881425E-2</v>
      </c>
      <c r="EZ116" s="144">
        <v>6.0001330491409148E-2</v>
      </c>
      <c r="FA116" s="144">
        <v>6.0001330491409148E-2</v>
      </c>
      <c r="FB116" s="144">
        <v>6.0001330491409148E-2</v>
      </c>
      <c r="FC116" s="145">
        <f t="shared" si="544"/>
        <v>1.0000000000000002</v>
      </c>
      <c r="FD116" s="146">
        <f t="shared" si="545"/>
        <v>0.16000135092906523</v>
      </c>
      <c r="FE116" s="146">
        <f t="shared" si="546"/>
        <v>0.3799973390171818</v>
      </c>
      <c r="FF116" s="146">
        <f t="shared" si="547"/>
        <v>0.2799973185795257</v>
      </c>
      <c r="FG116" s="146">
        <f t="shared" si="548"/>
        <v>0.18000399147422744</v>
      </c>
      <c r="FH116" s="145">
        <f t="shared" si="655"/>
        <v>1.0000000000000002</v>
      </c>
      <c r="FJ116" s="52">
        <f t="shared" si="549"/>
        <v>2000.6856922602005</v>
      </c>
      <c r="FK116" s="52">
        <f t="shared" si="550"/>
        <v>339.68117805408002</v>
      </c>
      <c r="FL116" s="52">
        <f t="shared" si="551"/>
        <v>246.23823904740934</v>
      </c>
      <c r="FM116" s="52">
        <f t="shared" si="552"/>
        <v>707.84008894608849</v>
      </c>
      <c r="FN116" s="52">
        <f t="shared" si="553"/>
        <v>229.30936011289995</v>
      </c>
      <c r="FO116" s="52">
        <f t="shared" si="554"/>
        <v>1538.9889940463049</v>
      </c>
      <c r="FP116" s="52">
        <f t="shared" si="555"/>
        <v>211.3895743255006</v>
      </c>
      <c r="FQ116" s="52">
        <f t="shared" si="556"/>
        <v>0</v>
      </c>
      <c r="FR116" s="52">
        <f t="shared" si="557"/>
        <v>615.5955976185229</v>
      </c>
      <c r="FS116" s="52">
        <f t="shared" si="558"/>
        <v>3914.2646074573659</v>
      </c>
      <c r="FT116" s="52">
        <f t="shared" si="559"/>
        <v>3955.5362933700962</v>
      </c>
      <c r="FU116" s="52">
        <f t="shared" si="560"/>
        <v>461.69669821389158</v>
      </c>
      <c r="FV116" s="52">
        <f t="shared" si="561"/>
        <v>482.55137311545212</v>
      </c>
      <c r="FW116" s="52">
        <f t="shared" si="562"/>
        <v>1172.4832079398898</v>
      </c>
      <c r="FX116" s="52">
        <f t="shared" si="563"/>
        <v>6402.1942152326428</v>
      </c>
      <c r="FY116" s="52">
        <f t="shared" si="564"/>
        <v>653.48535649245309</v>
      </c>
      <c r="FZ116" s="52">
        <f t="shared" si="565"/>
        <v>832.43756510248977</v>
      </c>
      <c r="GA116" s="52">
        <f t="shared" si="566"/>
        <v>1003.3715484794847</v>
      </c>
      <c r="GB116" s="52">
        <f t="shared" si="567"/>
        <v>386.69713510233771</v>
      </c>
      <c r="GC116" s="52">
        <f t="shared" si="568"/>
        <v>307.79779880926105</v>
      </c>
      <c r="GD116" s="52">
        <f t="shared" si="569"/>
        <v>747.51727058896881</v>
      </c>
      <c r="GE116" s="52">
        <f t="shared" si="570"/>
        <v>615.59559761852222</v>
      </c>
      <c r="GF116" s="52">
        <f t="shared" si="571"/>
        <v>2711.9824526828429</v>
      </c>
      <c r="GG116" s="52">
        <f t="shared" si="572"/>
        <v>677.15515738037357</v>
      </c>
      <c r="GH116" s="52">
        <f t="shared" si="573"/>
        <v>565.28487892905389</v>
      </c>
      <c r="GI116" s="52">
        <f t="shared" si="574"/>
        <v>0</v>
      </c>
      <c r="GJ116" s="26"/>
      <c r="GL116" s="150">
        <f t="shared" si="575"/>
        <v>4751.5551265918684</v>
      </c>
      <c r="GM116" s="150">
        <f t="shared" si="576"/>
        <v>806.73033712069832</v>
      </c>
      <c r="GN116" s="150">
        <f t="shared" si="577"/>
        <v>584.8067848113069</v>
      </c>
      <c r="GO116" s="150">
        <f t="shared" si="578"/>
        <v>1681.0942450632617</v>
      </c>
      <c r="GP116" s="150">
        <f t="shared" si="579"/>
        <v>544.60131835552966</v>
      </c>
      <c r="GQ116" s="150">
        <f t="shared" si="580"/>
        <v>3655.0424050706602</v>
      </c>
      <c r="GR116" s="150">
        <f t="shared" si="581"/>
        <v>502.04248447425471</v>
      </c>
      <c r="GS116" s="150">
        <f t="shared" si="582"/>
        <v>0</v>
      </c>
      <c r="GT116" s="150">
        <f t="shared" si="583"/>
        <v>1462.0169620282663</v>
      </c>
      <c r="GU116" s="150">
        <f t="shared" si="584"/>
        <v>9296.2348530567033</v>
      </c>
      <c r="GV116" s="150">
        <f t="shared" si="585"/>
        <v>9394.2535931018629</v>
      </c>
      <c r="GW116" s="150">
        <f t="shared" si="586"/>
        <v>1096.5127215211985</v>
      </c>
      <c r="GX116" s="150">
        <f t="shared" si="587"/>
        <v>1146.0418093860549</v>
      </c>
      <c r="GY116" s="150">
        <f t="shared" si="588"/>
        <v>2784.6046078511704</v>
      </c>
      <c r="GZ116" s="150">
        <f t="shared" si="589"/>
        <v>15204.976405093981</v>
      </c>
      <c r="HA116" s="150">
        <f t="shared" si="590"/>
        <v>1552.0037494178259</v>
      </c>
      <c r="HB116" s="150">
        <f t="shared" si="591"/>
        <v>1977.008680239999</v>
      </c>
      <c r="HC116" s="150">
        <f t="shared" si="592"/>
        <v>2382.9706202717557</v>
      </c>
      <c r="HD116" s="150">
        <f t="shared" si="593"/>
        <v>918.39151039169587</v>
      </c>
      <c r="HE116" s="150">
        <f t="shared" si="594"/>
        <v>731.00848101413226</v>
      </c>
      <c r="HF116" s="150">
        <f t="shared" si="595"/>
        <v>1775.3260959598219</v>
      </c>
      <c r="HG116" s="150">
        <f t="shared" si="596"/>
        <v>1462.0169620282647</v>
      </c>
      <c r="HH116" s="150">
        <f t="shared" si="597"/>
        <v>6440.8588396084933</v>
      </c>
      <c r="HI116" s="150">
        <f t="shared" si="598"/>
        <v>1608.2186582310892</v>
      </c>
      <c r="HJ116" s="150">
        <f t="shared" si="599"/>
        <v>1342.530850723394</v>
      </c>
      <c r="HK116" s="150">
        <f t="shared" si="600"/>
        <v>0</v>
      </c>
      <c r="HL116" s="26"/>
      <c r="HN116" s="147">
        <f t="shared" si="601"/>
        <v>3501.1368710357369</v>
      </c>
      <c r="HO116" s="147">
        <f t="shared" si="602"/>
        <v>594.4313499530557</v>
      </c>
      <c r="HP116" s="147">
        <f t="shared" si="603"/>
        <v>430.90915335824457</v>
      </c>
      <c r="HQ116" s="147">
        <f t="shared" si="604"/>
        <v>1238.6978343443143</v>
      </c>
      <c r="HR116" s="147">
        <f t="shared" si="605"/>
        <v>401.28414906486529</v>
      </c>
      <c r="HS116" s="147">
        <f t="shared" si="606"/>
        <v>2693.1822084890223</v>
      </c>
      <c r="HT116" s="147">
        <f t="shared" si="607"/>
        <v>369.92508902658</v>
      </c>
      <c r="HU116" s="147">
        <f t="shared" si="608"/>
        <v>0</v>
      </c>
      <c r="HV116" s="147">
        <f t="shared" si="609"/>
        <v>1077.2728833956107</v>
      </c>
      <c r="HW116" s="147">
        <f t="shared" si="610"/>
        <v>6849.8396290709697</v>
      </c>
      <c r="HX116" s="147">
        <f t="shared" si="611"/>
        <v>6922.0637779404633</v>
      </c>
      <c r="HY116" s="147">
        <f t="shared" si="612"/>
        <v>807.95466254670703</v>
      </c>
      <c r="HZ116" s="147">
        <f t="shared" si="613"/>
        <v>844.44968598481182</v>
      </c>
      <c r="IA116" s="147">
        <f t="shared" si="614"/>
        <v>2051.8086403422567</v>
      </c>
      <c r="IB116" s="147">
        <f t="shared" si="615"/>
        <v>11203.63798731436</v>
      </c>
      <c r="IC116" s="147">
        <f t="shared" si="616"/>
        <v>1143.5787665942382</v>
      </c>
      <c r="ID116" s="147">
        <f t="shared" si="617"/>
        <v>1456.7394885115689</v>
      </c>
      <c r="IE116" s="147">
        <f t="shared" si="618"/>
        <v>1755.8685691209846</v>
      </c>
      <c r="IF116" s="147">
        <f t="shared" si="619"/>
        <v>676.70779216758774</v>
      </c>
      <c r="IG116" s="147">
        <f t="shared" si="620"/>
        <v>538.63644169780457</v>
      </c>
      <c r="IH116" s="147">
        <f t="shared" si="621"/>
        <v>1308.1316510233032</v>
      </c>
      <c r="II116" s="147">
        <f t="shared" si="622"/>
        <v>1077.2728833956096</v>
      </c>
      <c r="IJ116" s="147">
        <f t="shared" si="623"/>
        <v>4745.8837714599649</v>
      </c>
      <c r="IK116" s="147">
        <f t="shared" si="624"/>
        <v>1185.0001717351688</v>
      </c>
      <c r="IL116" s="147">
        <f t="shared" si="625"/>
        <v>989.2307122072848</v>
      </c>
      <c r="IM116" s="147">
        <f t="shared" si="626"/>
        <v>0</v>
      </c>
      <c r="IN116" s="26"/>
      <c r="IP116" s="61">
        <f t="shared" si="627"/>
        <v>2250.8023101122071</v>
      </c>
      <c r="IQ116" s="61">
        <f t="shared" si="628"/>
        <v>382.14657265931231</v>
      </c>
      <c r="IR116" s="61">
        <f t="shared" si="629"/>
        <v>277.02182278304093</v>
      </c>
      <c r="IS116" s="61">
        <f t="shared" si="630"/>
        <v>796.33103468142383</v>
      </c>
      <c r="IT116" s="61">
        <f t="shared" si="631"/>
        <v>257.9765724667069</v>
      </c>
      <c r="IU116" s="61">
        <f t="shared" si="632"/>
        <v>1731.3863923940019</v>
      </c>
      <c r="IV116" s="61">
        <f t="shared" si="633"/>
        <v>237.8165366334778</v>
      </c>
      <c r="IW116" s="61">
        <f t="shared" si="634"/>
        <v>0</v>
      </c>
      <c r="IX116" s="61">
        <f t="shared" si="635"/>
        <v>692.55455695760179</v>
      </c>
      <c r="IY116" s="61">
        <f t="shared" si="636"/>
        <v>4403.6081504148979</v>
      </c>
      <c r="IZ116" s="61">
        <f t="shared" si="637"/>
        <v>4450.03943462609</v>
      </c>
      <c r="JA116" s="61">
        <f t="shared" si="638"/>
        <v>519.41591771820072</v>
      </c>
      <c r="JB116" s="61">
        <f t="shared" si="639"/>
        <v>542.87774914262752</v>
      </c>
      <c r="JC116" s="61">
        <f t="shared" si="640"/>
        <v>1319.061721292929</v>
      </c>
      <c r="JD116" s="61">
        <f t="shared" si="641"/>
        <v>7202.5673923590639</v>
      </c>
      <c r="JE116" s="61">
        <f t="shared" si="642"/>
        <v>735.18112100659641</v>
      </c>
      <c r="JF116" s="61">
        <f t="shared" si="643"/>
        <v>936.50512012217951</v>
      </c>
      <c r="JG116" s="61">
        <f t="shared" si="644"/>
        <v>1128.8084919861415</v>
      </c>
      <c r="JH116" s="61">
        <f t="shared" si="645"/>
        <v>435.04025063468907</v>
      </c>
      <c r="JI116" s="61">
        <f t="shared" si="646"/>
        <v>346.27727847880044</v>
      </c>
      <c r="JJ116" s="61">
        <f t="shared" si="647"/>
        <v>840.96847695735028</v>
      </c>
      <c r="JK116" s="61">
        <f t="shared" si="648"/>
        <v>692.55455695760099</v>
      </c>
      <c r="JL116" s="61">
        <f t="shared" si="649"/>
        <v>3051.022153602943</v>
      </c>
      <c r="JM116" s="61">
        <f t="shared" si="650"/>
        <v>761.81001265336022</v>
      </c>
      <c r="JN116" s="61">
        <f t="shared" si="651"/>
        <v>635.95422123883418</v>
      </c>
      <c r="JO116" s="61">
        <f t="shared" si="652"/>
        <v>0</v>
      </c>
      <c r="JQ116" s="26">
        <f t="shared" ref="JQ116:JQ147" si="711">SUM(IP116:JO116,HN116:IM116,GL116:HK116,FJ116:GI116)</f>
        <v>192371.99999999997</v>
      </c>
      <c r="JR116" s="156">
        <f t="shared" ref="JR116:JR147" si="712">JQ116/G116</f>
        <v>0.99999999999999989</v>
      </c>
      <c r="JT116" s="157">
        <f t="shared" si="653"/>
        <v>12504.180000000013</v>
      </c>
      <c r="JU116" s="29">
        <f t="shared" si="654"/>
        <v>1.0000000000000002</v>
      </c>
    </row>
    <row r="117" spans="1:281" ht="18.75" x14ac:dyDescent="0.3">
      <c r="A117" t="s">
        <v>234</v>
      </c>
      <c r="B117" t="s">
        <v>193</v>
      </c>
      <c r="C117" t="s">
        <v>74</v>
      </c>
      <c r="D117" t="s">
        <v>29</v>
      </c>
      <c r="E117" s="11" t="s">
        <v>277</v>
      </c>
      <c r="F117" s="114">
        <v>720</v>
      </c>
      <c r="G117" s="17">
        <v>505663</v>
      </c>
      <c r="H117" s="21">
        <v>277114</v>
      </c>
      <c r="I117" s="25">
        <f t="shared" si="434"/>
        <v>1.8247472159472276</v>
      </c>
      <c r="J117" s="13">
        <v>6.5000000000000016E-2</v>
      </c>
      <c r="K117" s="13">
        <v>1.1035854686685885E-2</v>
      </c>
      <c r="L117" s="13">
        <v>8.0000000000000123E-3</v>
      </c>
      <c r="M117" s="13">
        <v>2.2996918486240629E-2</v>
      </c>
      <c r="N117" s="13">
        <v>7.4499999999999931E-3</v>
      </c>
      <c r="O117" s="13">
        <v>5.0000000000000204E-2</v>
      </c>
      <c r="P117" s="13">
        <v>6.8678065646757911E-3</v>
      </c>
      <c r="Q117" s="13">
        <v>0</v>
      </c>
      <c r="R117" s="13">
        <v>1.9999999999999997E-2</v>
      </c>
      <c r="S117" s="13">
        <v>0.12717000000000012</v>
      </c>
      <c r="T117" s="13">
        <v>0.12851087008004555</v>
      </c>
      <c r="U117" s="13">
        <v>1.5000000000000024E-2</v>
      </c>
      <c r="V117" s="13">
        <v>1.5677544640742669E-2</v>
      </c>
      <c r="W117" s="13">
        <v>3.8092644342348318E-2</v>
      </c>
      <c r="X117" s="13">
        <v>0.20799999999999955</v>
      </c>
      <c r="Y117" s="13">
        <v>2.1230995121489217E-2</v>
      </c>
      <c r="Z117" s="13">
        <v>2.7044948609861279E-2</v>
      </c>
      <c r="AA117" s="13">
        <v>3.2598399090607647E-2</v>
      </c>
      <c r="AB117" s="13">
        <v>1.2563349595036211E-2</v>
      </c>
      <c r="AC117" s="13">
        <v>9.9999999999999985E-3</v>
      </c>
      <c r="AD117" s="13">
        <v>2.4285984938189779E-2</v>
      </c>
      <c r="AE117" s="13">
        <v>2.0000000000000011E-2</v>
      </c>
      <c r="AF117" s="13">
        <v>8.8109221806469878E-2</v>
      </c>
      <c r="AG117" s="13">
        <v>2.1999999999999988E-2</v>
      </c>
      <c r="AH117" s="13">
        <v>1.8365462037607118E-2</v>
      </c>
      <c r="AJ117" s="8">
        <f t="shared" si="656"/>
        <v>0.99999999999999989</v>
      </c>
      <c r="AK117" s="141">
        <f t="shared" si="435"/>
        <v>46.800000000000011</v>
      </c>
      <c r="AL117" s="141">
        <f t="shared" si="436"/>
        <v>7.9458153744138373</v>
      </c>
      <c r="AM117" s="141">
        <f t="shared" si="437"/>
        <v>5.7600000000000087</v>
      </c>
      <c r="AN117" s="141">
        <f t="shared" si="438"/>
        <v>16.557781310093254</v>
      </c>
      <c r="AO117" s="141">
        <f t="shared" si="439"/>
        <v>5.3639999999999954</v>
      </c>
      <c r="AP117" s="141">
        <f t="shared" si="440"/>
        <v>36.000000000000149</v>
      </c>
      <c r="AQ117" s="141">
        <f t="shared" si="441"/>
        <v>4.9448207265665696</v>
      </c>
      <c r="AR117" s="141">
        <f t="shared" si="442"/>
        <v>0</v>
      </c>
      <c r="AS117" s="141">
        <f t="shared" si="443"/>
        <v>14.399999999999999</v>
      </c>
      <c r="AT117" s="141">
        <f t="shared" si="444"/>
        <v>91.562400000000082</v>
      </c>
      <c r="AU117" s="141">
        <f t="shared" si="445"/>
        <v>92.527826457632798</v>
      </c>
      <c r="AV117" s="141">
        <f t="shared" si="446"/>
        <v>10.800000000000017</v>
      </c>
      <c r="AW117" s="141">
        <f t="shared" si="447"/>
        <v>11.287832141334722</v>
      </c>
      <c r="AX117" s="141">
        <f t="shared" si="448"/>
        <v>27.426703926490788</v>
      </c>
      <c r="AY117" s="141">
        <f t="shared" si="449"/>
        <v>149.75999999999968</v>
      </c>
      <c r="AZ117" s="141">
        <f t="shared" si="450"/>
        <v>15.286316487472236</v>
      </c>
      <c r="BA117" s="141">
        <f t="shared" si="451"/>
        <v>19.47236299910012</v>
      </c>
      <c r="BB117" s="141">
        <f t="shared" si="452"/>
        <v>23.470847345237505</v>
      </c>
      <c r="BC117" s="141">
        <f t="shared" si="453"/>
        <v>9.0456117084260725</v>
      </c>
      <c r="BD117" s="141">
        <f t="shared" si="454"/>
        <v>7.1999999999999993</v>
      </c>
      <c r="BE117" s="141">
        <f t="shared" si="455"/>
        <v>17.485909155496643</v>
      </c>
      <c r="BF117" s="141">
        <f t="shared" si="456"/>
        <v>14.400000000000007</v>
      </c>
      <c r="BG117" s="141">
        <f t="shared" si="457"/>
        <v>63.438639700658314</v>
      </c>
      <c r="BH117" s="141">
        <f t="shared" si="458"/>
        <v>15.839999999999991</v>
      </c>
      <c r="BI117" s="141">
        <f t="shared" si="459"/>
        <v>13.223132667077126</v>
      </c>
      <c r="BJ117" s="141">
        <f t="shared" si="460"/>
        <v>0</v>
      </c>
      <c r="BM117" s="26">
        <f t="shared" si="657"/>
        <v>32868.095000000008</v>
      </c>
      <c r="BN117" s="26">
        <f t="shared" si="658"/>
        <v>5580.4233884336445</v>
      </c>
      <c r="BO117" s="26">
        <f t="shared" si="659"/>
        <v>4045.304000000006</v>
      </c>
      <c r="BP117" s="26">
        <f t="shared" si="660"/>
        <v>11628.690792507896</v>
      </c>
      <c r="BQ117" s="26">
        <f t="shared" si="661"/>
        <v>3767.1893499999965</v>
      </c>
      <c r="BR117" s="26">
        <f t="shared" si="662"/>
        <v>25283.150000000103</v>
      </c>
      <c r="BS117" s="26">
        <f t="shared" si="663"/>
        <v>3472.7956709136547</v>
      </c>
      <c r="BT117" s="26">
        <f t="shared" si="664"/>
        <v>0</v>
      </c>
      <c r="BU117" s="26">
        <f t="shared" si="665"/>
        <v>10113.259999999998</v>
      </c>
      <c r="BV117" s="26">
        <f t="shared" si="666"/>
        <v>64305.163710000059</v>
      </c>
      <c r="BW117" s="26">
        <f t="shared" si="667"/>
        <v>64983.192097286075</v>
      </c>
      <c r="BX117" s="26">
        <f t="shared" si="668"/>
        <v>7584.9450000000124</v>
      </c>
      <c r="BY117" s="26">
        <f t="shared" si="669"/>
        <v>7927.5542556718601</v>
      </c>
      <c r="BZ117" s="26">
        <f t="shared" si="670"/>
        <v>19262.040816084878</v>
      </c>
      <c r="CA117" s="26">
        <f t="shared" si="671"/>
        <v>105177.90399999978</v>
      </c>
      <c r="CB117" s="26">
        <f t="shared" si="672"/>
        <v>10735.728686117602</v>
      </c>
      <c r="CC117" s="26">
        <f t="shared" si="673"/>
        <v>13675.629848908284</v>
      </c>
      <c r="CD117" s="26">
        <f t="shared" si="674"/>
        <v>16483.804279353935</v>
      </c>
      <c r="CE117" s="26">
        <f t="shared" si="675"/>
        <v>6352.8210462747957</v>
      </c>
      <c r="CF117" s="26">
        <f t="shared" si="676"/>
        <v>5056.6299999999992</v>
      </c>
      <c r="CG117" s="26">
        <f t="shared" si="677"/>
        <v>12280.524001799859</v>
      </c>
      <c r="CH117" s="26">
        <f t="shared" si="678"/>
        <v>10113.260000000006</v>
      </c>
      <c r="CI117" s="26">
        <f t="shared" si="679"/>
        <v>44553.573426324976</v>
      </c>
      <c r="CJ117" s="26">
        <f t="shared" si="680"/>
        <v>11124.585999999994</v>
      </c>
      <c r="CK117" s="26">
        <f t="shared" si="681"/>
        <v>9286.7346303225277</v>
      </c>
      <c r="CL117" s="26">
        <f t="shared" si="682"/>
        <v>0</v>
      </c>
      <c r="CM117" s="110">
        <f t="shared" si="683"/>
        <v>1</v>
      </c>
      <c r="CN117" s="27">
        <f t="shared" si="684"/>
        <v>18012.410000000003</v>
      </c>
      <c r="CO117" s="27">
        <f t="shared" si="685"/>
        <v>3058.1898356462721</v>
      </c>
      <c r="CP117" s="27">
        <f t="shared" si="686"/>
        <v>2216.9120000000034</v>
      </c>
      <c r="CQ117" s="27">
        <f t="shared" si="687"/>
        <v>6372.7680693960856</v>
      </c>
      <c r="CR117" s="27">
        <f t="shared" si="688"/>
        <v>2064.4992999999981</v>
      </c>
      <c r="CS117" s="27">
        <f t="shared" si="689"/>
        <v>13855.700000000057</v>
      </c>
      <c r="CT117" s="27">
        <f t="shared" si="690"/>
        <v>1903.1653483635671</v>
      </c>
      <c r="CU117" s="27">
        <f t="shared" si="691"/>
        <v>0</v>
      </c>
      <c r="CV117" s="27">
        <f t="shared" si="692"/>
        <v>5542.2799999999988</v>
      </c>
      <c r="CW117" s="27">
        <f t="shared" si="693"/>
        <v>35240.587380000034</v>
      </c>
      <c r="CX117" s="27">
        <f t="shared" si="694"/>
        <v>35612.161251361744</v>
      </c>
      <c r="CY117" s="27">
        <f t="shared" si="695"/>
        <v>4156.7100000000064</v>
      </c>
      <c r="CZ117" s="27">
        <f t="shared" si="696"/>
        <v>4344.467105574764</v>
      </c>
      <c r="DA117" s="27">
        <f t="shared" si="697"/>
        <v>10556.005044285512</v>
      </c>
      <c r="DB117" s="27">
        <f t="shared" si="698"/>
        <v>57639.711999999876</v>
      </c>
      <c r="DC117" s="27">
        <f t="shared" si="699"/>
        <v>5883.405982096363</v>
      </c>
      <c r="DD117" s="27">
        <f t="shared" si="700"/>
        <v>7494.5338890730982</v>
      </c>
      <c r="DE117" s="27">
        <f t="shared" si="701"/>
        <v>9033.4727655946481</v>
      </c>
      <c r="DF117" s="27">
        <f t="shared" si="702"/>
        <v>3481.4800596788646</v>
      </c>
      <c r="DG117" s="27">
        <f t="shared" si="703"/>
        <v>2771.1399999999994</v>
      </c>
      <c r="DH117" s="27">
        <f t="shared" si="704"/>
        <v>6729.9864301615225</v>
      </c>
      <c r="DI117" s="27">
        <f t="shared" si="705"/>
        <v>5542.2800000000034</v>
      </c>
      <c r="DJ117" s="27">
        <f t="shared" si="706"/>
        <v>24416.298891678092</v>
      </c>
      <c r="DK117" s="27">
        <f t="shared" si="707"/>
        <v>6096.5079999999971</v>
      </c>
      <c r="DL117" s="27">
        <f t="shared" si="708"/>
        <v>5089.3266470894587</v>
      </c>
      <c r="DM117" s="27">
        <f t="shared" si="709"/>
        <v>0</v>
      </c>
      <c r="DN117" s="110">
        <f t="shared" si="710"/>
        <v>0.99999999999999956</v>
      </c>
      <c r="DO117" s="28">
        <f t="shared" si="518"/>
        <v>14855.685000000005</v>
      </c>
      <c r="DP117" s="28">
        <f t="shared" si="519"/>
        <v>2522.2335527873724</v>
      </c>
      <c r="DQ117" s="28">
        <f t="shared" si="520"/>
        <v>1828.3920000000026</v>
      </c>
      <c r="DR117" s="28">
        <f t="shared" si="521"/>
        <v>5255.9227231118102</v>
      </c>
      <c r="DS117" s="28">
        <f t="shared" si="522"/>
        <v>1702.6900499999983</v>
      </c>
      <c r="DT117" s="28">
        <f t="shared" si="523"/>
        <v>11427.450000000046</v>
      </c>
      <c r="DU117" s="28">
        <f t="shared" si="524"/>
        <v>1569.6303225500876</v>
      </c>
      <c r="DV117" s="28">
        <f t="shared" si="525"/>
        <v>0</v>
      </c>
      <c r="DW117" s="28">
        <f t="shared" si="526"/>
        <v>4570.9799999999996</v>
      </c>
      <c r="DX117" s="28">
        <f t="shared" si="527"/>
        <v>29064.576330000025</v>
      </c>
      <c r="DY117" s="28">
        <f t="shared" si="528"/>
        <v>29371.030845924332</v>
      </c>
      <c r="DZ117" s="28">
        <f t="shared" si="529"/>
        <v>3428.235000000006</v>
      </c>
      <c r="EA117" s="28">
        <f t="shared" si="530"/>
        <v>3583.0871500970961</v>
      </c>
      <c r="EB117" s="28">
        <f t="shared" si="531"/>
        <v>8706.0357717993666</v>
      </c>
      <c r="EC117" s="28">
        <f t="shared" si="532"/>
        <v>47538.191999999901</v>
      </c>
      <c r="ED117" s="28">
        <f t="shared" si="533"/>
        <v>4852.3227040212387</v>
      </c>
      <c r="EE117" s="28">
        <f t="shared" si="534"/>
        <v>6181.0959598351856</v>
      </c>
      <c r="EF117" s="28">
        <f t="shared" si="535"/>
        <v>7450.3315137592872</v>
      </c>
      <c r="EG117" s="28">
        <f t="shared" si="536"/>
        <v>2871.3409865959311</v>
      </c>
      <c r="EH117" s="28">
        <f t="shared" si="537"/>
        <v>2285.4899999999998</v>
      </c>
      <c r="EI117" s="28">
        <f t="shared" si="538"/>
        <v>5550.537571638336</v>
      </c>
      <c r="EJ117" s="28">
        <f t="shared" si="539"/>
        <v>4570.9800000000023</v>
      </c>
      <c r="EK117" s="28">
        <f t="shared" si="540"/>
        <v>20137.274534646884</v>
      </c>
      <c r="EL117" s="28">
        <f t="shared" si="541"/>
        <v>5028.0779999999968</v>
      </c>
      <c r="EM117" s="28">
        <f t="shared" si="542"/>
        <v>4197.407983233069</v>
      </c>
      <c r="EN117" s="28">
        <f t="shared" si="543"/>
        <v>0</v>
      </c>
      <c r="EQ117" s="144">
        <v>3.000000295629569E-2</v>
      </c>
      <c r="ER117" s="144">
        <v>4.9999997888360223E-2</v>
      </c>
      <c r="ES117" s="144">
        <v>8.000000084465593E-2</v>
      </c>
      <c r="ET117" s="144">
        <v>0.11000000380095161</v>
      </c>
      <c r="EU117" s="144">
        <v>0.119999990708785</v>
      </c>
      <c r="EV117" s="144">
        <v>0.14999999366508066</v>
      </c>
      <c r="EW117" s="144">
        <v>0.12999999873301615</v>
      </c>
      <c r="EX117" s="144">
        <v>8.000000084465593E-2</v>
      </c>
      <c r="EY117" s="144">
        <v>6.9999992820424767E-2</v>
      </c>
      <c r="EZ117" s="144">
        <v>6.000000591259138E-2</v>
      </c>
      <c r="FA117" s="144">
        <v>6.000000591259138E-2</v>
      </c>
      <c r="FB117" s="144">
        <v>6.000000591259138E-2</v>
      </c>
      <c r="FC117" s="145">
        <f t="shared" si="544"/>
        <v>1.0000000000000002</v>
      </c>
      <c r="FD117" s="146">
        <f t="shared" si="545"/>
        <v>0.16000000168931183</v>
      </c>
      <c r="FE117" s="146">
        <f t="shared" si="546"/>
        <v>0.37999998817481728</v>
      </c>
      <c r="FF117" s="146">
        <f t="shared" si="547"/>
        <v>0.27999999239809681</v>
      </c>
      <c r="FG117" s="146">
        <f t="shared" si="548"/>
        <v>0.18000001773777413</v>
      </c>
      <c r="FH117" s="145">
        <f t="shared" si="655"/>
        <v>1</v>
      </c>
      <c r="FJ117" s="52">
        <f t="shared" si="549"/>
        <v>5258.8952555244632</v>
      </c>
      <c r="FK117" s="52">
        <f t="shared" si="550"/>
        <v>892.86775157645843</v>
      </c>
      <c r="FL117" s="52">
        <f t="shared" si="551"/>
        <v>647.24864683378087</v>
      </c>
      <c r="FM117" s="52">
        <f t="shared" si="552"/>
        <v>1860.5905464457483</v>
      </c>
      <c r="FN117" s="52">
        <f t="shared" si="553"/>
        <v>602.75030236395696</v>
      </c>
      <c r="FO117" s="52">
        <f t="shared" si="554"/>
        <v>4045.3040427111409</v>
      </c>
      <c r="FP117" s="52">
        <f t="shared" si="555"/>
        <v>555.64731321281954</v>
      </c>
      <c r="FQ117" s="52">
        <f t="shared" si="556"/>
        <v>0</v>
      </c>
      <c r="FR117" s="52">
        <f t="shared" si="557"/>
        <v>1618.1216170844496</v>
      </c>
      <c r="FS117" s="52">
        <f t="shared" si="558"/>
        <v>10288.826302231484</v>
      </c>
      <c r="FT117" s="52">
        <f t="shared" si="559"/>
        <v>10397.310845342647</v>
      </c>
      <c r="FU117" s="52">
        <f t="shared" si="560"/>
        <v>1213.5912128133393</v>
      </c>
      <c r="FV117" s="52">
        <f t="shared" si="561"/>
        <v>1268.4086942996089</v>
      </c>
      <c r="FW117" s="52">
        <f t="shared" si="562"/>
        <v>3081.9265631131739</v>
      </c>
      <c r="FX117" s="52">
        <f t="shared" si="563"/>
        <v>16828.464817678243</v>
      </c>
      <c r="FY117" s="52">
        <f t="shared" si="564"/>
        <v>1717.7166079148099</v>
      </c>
      <c r="FZ117" s="52">
        <f t="shared" si="565"/>
        <v>2188.1007989277286</v>
      </c>
      <c r="GA117" s="52">
        <f t="shared" si="566"/>
        <v>2637.4087125429151</v>
      </c>
      <c r="GB117" s="52">
        <f t="shared" si="567"/>
        <v>1016.451378135863</v>
      </c>
      <c r="GC117" s="52">
        <f t="shared" si="568"/>
        <v>809.06080854222478</v>
      </c>
      <c r="GD117" s="52">
        <f t="shared" si="569"/>
        <v>1964.8838610336118</v>
      </c>
      <c r="GE117" s="52">
        <f t="shared" si="570"/>
        <v>1618.1216170844507</v>
      </c>
      <c r="GF117" s="52">
        <f t="shared" si="571"/>
        <v>7128.5718234768747</v>
      </c>
      <c r="GG117" s="52">
        <f t="shared" si="572"/>
        <v>1779.9337787928937</v>
      </c>
      <c r="GH117" s="52">
        <f t="shared" si="573"/>
        <v>1485.877556539795</v>
      </c>
      <c r="GI117" s="52">
        <f t="shared" si="574"/>
        <v>0</v>
      </c>
      <c r="GJ117" s="26"/>
      <c r="GL117" s="150">
        <f t="shared" si="575"/>
        <v>12489.875711328774</v>
      </c>
      <c r="GM117" s="150">
        <f t="shared" si="576"/>
        <v>2120.5608216152586</v>
      </c>
      <c r="GN117" s="150">
        <f t="shared" si="577"/>
        <v>1537.2154721635434</v>
      </c>
      <c r="GO117" s="150">
        <f t="shared" si="578"/>
        <v>4418.9023636416068</v>
      </c>
      <c r="GP117" s="150">
        <f t="shared" si="579"/>
        <v>1431.5319084522962</v>
      </c>
      <c r="GQ117" s="150">
        <f t="shared" si="580"/>
        <v>9607.5967010221702</v>
      </c>
      <c r="GR117" s="150">
        <f t="shared" si="581"/>
        <v>1319.6623138807454</v>
      </c>
      <c r="GS117" s="150">
        <f t="shared" si="582"/>
        <v>0</v>
      </c>
      <c r="GT117" s="150">
        <f t="shared" si="583"/>
        <v>3843.0386804088521</v>
      </c>
      <c r="GU117" s="150">
        <f t="shared" si="584"/>
        <v>24435.961449379713</v>
      </c>
      <c r="GV117" s="150">
        <f t="shared" si="585"/>
        <v>24693.61222853059</v>
      </c>
      <c r="GW117" s="150">
        <f t="shared" si="586"/>
        <v>2882.2790103066441</v>
      </c>
      <c r="GX117" s="150">
        <f t="shared" si="587"/>
        <v>3012.4705234105295</v>
      </c>
      <c r="GY117" s="150">
        <f t="shared" si="588"/>
        <v>7319.5752823351013</v>
      </c>
      <c r="GZ117" s="150">
        <f t="shared" si="589"/>
        <v>39967.602276251986</v>
      </c>
      <c r="HA117" s="150">
        <f t="shared" si="590"/>
        <v>4079.5767737727351</v>
      </c>
      <c r="HB117" s="150">
        <f t="shared" si="591"/>
        <v>5196.739180868326</v>
      </c>
      <c r="HC117" s="150">
        <f t="shared" si="592"/>
        <v>6263.8454312304975</v>
      </c>
      <c r="HD117" s="150">
        <f t="shared" si="593"/>
        <v>2414.0719224611526</v>
      </c>
      <c r="HE117" s="150">
        <f t="shared" si="594"/>
        <v>1921.519340204426</v>
      </c>
      <c r="HF117" s="150">
        <f t="shared" si="595"/>
        <v>4666.5989754645061</v>
      </c>
      <c r="HG117" s="150">
        <f t="shared" si="596"/>
        <v>3843.0386804088548</v>
      </c>
      <c r="HH117" s="150">
        <f t="shared" si="597"/>
        <v>16930.357375149346</v>
      </c>
      <c r="HI117" s="150">
        <f t="shared" si="598"/>
        <v>4227.3425484497357</v>
      </c>
      <c r="HJ117" s="150">
        <f t="shared" si="599"/>
        <v>3528.9590497052268</v>
      </c>
      <c r="HK117" s="150">
        <f t="shared" si="600"/>
        <v>0</v>
      </c>
      <c r="HL117" s="26"/>
      <c r="HN117" s="147">
        <f t="shared" si="601"/>
        <v>9203.0663501399267</v>
      </c>
      <c r="HO117" s="147">
        <f t="shared" si="602"/>
        <v>1562.518506339582</v>
      </c>
      <c r="HP117" s="147">
        <f t="shared" si="603"/>
        <v>1132.6850892479922</v>
      </c>
      <c r="HQ117" s="147">
        <f t="shared" si="604"/>
        <v>3256.0333335020291</v>
      </c>
      <c r="HR117" s="147">
        <f t="shared" si="605"/>
        <v>1054.8129893621904</v>
      </c>
      <c r="HS117" s="147">
        <f t="shared" si="606"/>
        <v>7079.28180779997</v>
      </c>
      <c r="HT117" s="147">
        <f t="shared" si="607"/>
        <v>972.38276145596683</v>
      </c>
      <c r="HU117" s="147">
        <f t="shared" si="608"/>
        <v>0</v>
      </c>
      <c r="HV117" s="147">
        <f t="shared" si="609"/>
        <v>2831.7127231199761</v>
      </c>
      <c r="HW117" s="147">
        <f t="shared" si="610"/>
        <v>18005.445349958387</v>
      </c>
      <c r="HX117" s="147">
        <f t="shared" si="611"/>
        <v>18195.293293244165</v>
      </c>
      <c r="HY117" s="147">
        <f t="shared" si="612"/>
        <v>2123.7845423399858</v>
      </c>
      <c r="HZ117" s="147">
        <f t="shared" si="613"/>
        <v>2219.7151313236209</v>
      </c>
      <c r="IA117" s="147">
        <f t="shared" si="614"/>
        <v>5393.3712820755964</v>
      </c>
      <c r="IB117" s="147">
        <f t="shared" si="615"/>
        <v>29449.812320447694</v>
      </c>
      <c r="IC117" s="147">
        <f t="shared" si="616"/>
        <v>3006.0039505009581</v>
      </c>
      <c r="ID117" s="147">
        <f t="shared" si="617"/>
        <v>3829.1762537335053</v>
      </c>
      <c r="IE117" s="147">
        <f t="shared" si="618"/>
        <v>4615.4650729108171</v>
      </c>
      <c r="IF117" s="147">
        <f t="shared" si="619"/>
        <v>1778.7898446634122</v>
      </c>
      <c r="IG117" s="147">
        <f t="shared" si="620"/>
        <v>1415.856361559988</v>
      </c>
      <c r="IH117" s="147">
        <f t="shared" si="621"/>
        <v>3438.5466271486057</v>
      </c>
      <c r="II117" s="147">
        <f t="shared" si="622"/>
        <v>2831.7127231199779</v>
      </c>
      <c r="IJ117" s="147">
        <f t="shared" si="623"/>
        <v>12475.000220679041</v>
      </c>
      <c r="IK117" s="147">
        <f t="shared" si="624"/>
        <v>3114.8839954319724</v>
      </c>
      <c r="IL117" s="147">
        <f t="shared" si="625"/>
        <v>2600.2856258934503</v>
      </c>
      <c r="IM117" s="147">
        <f t="shared" si="626"/>
        <v>0</v>
      </c>
      <c r="IN117" s="26"/>
      <c r="IP117" s="61">
        <f t="shared" si="627"/>
        <v>5916.2576830068465</v>
      </c>
      <c r="IQ117" s="61">
        <f t="shared" si="628"/>
        <v>1004.4763089023456</v>
      </c>
      <c r="IR117" s="61">
        <f t="shared" si="629"/>
        <v>728.15479175468977</v>
      </c>
      <c r="IS117" s="61">
        <f t="shared" si="630"/>
        <v>2093.1645489185121</v>
      </c>
      <c r="IT117" s="61">
        <f t="shared" si="631"/>
        <v>678.09414982155317</v>
      </c>
      <c r="IU117" s="61">
        <f t="shared" si="632"/>
        <v>4550.967448466823</v>
      </c>
      <c r="IV117" s="61">
        <f t="shared" si="633"/>
        <v>625.10328236412306</v>
      </c>
      <c r="IW117" s="61">
        <f t="shared" si="634"/>
        <v>0</v>
      </c>
      <c r="IX117" s="61">
        <f t="shared" si="635"/>
        <v>1820.3869793867214</v>
      </c>
      <c r="IY117" s="61">
        <f t="shared" si="636"/>
        <v>11574.930608430481</v>
      </c>
      <c r="IZ117" s="61">
        <f t="shared" si="637"/>
        <v>11696.975730168677</v>
      </c>
      <c r="JA117" s="61">
        <f t="shared" si="638"/>
        <v>1365.2902345400435</v>
      </c>
      <c r="JB117" s="61">
        <f t="shared" si="639"/>
        <v>1426.9599066381015</v>
      </c>
      <c r="JC117" s="61">
        <f t="shared" si="640"/>
        <v>3467.1676885610073</v>
      </c>
      <c r="JD117" s="61">
        <f t="shared" si="641"/>
        <v>18932.024585621864</v>
      </c>
      <c r="JE117" s="61">
        <f t="shared" si="642"/>
        <v>1932.4313539290988</v>
      </c>
      <c r="JF117" s="61">
        <f t="shared" si="643"/>
        <v>2461.6136153787243</v>
      </c>
      <c r="JG117" s="61">
        <f t="shared" si="644"/>
        <v>2967.0850626697056</v>
      </c>
      <c r="JH117" s="61">
        <f t="shared" si="645"/>
        <v>1143.5079010143681</v>
      </c>
      <c r="JI117" s="61">
        <f t="shared" si="646"/>
        <v>910.19348969336068</v>
      </c>
      <c r="JJ117" s="61">
        <f t="shared" si="647"/>
        <v>2210.4945381531356</v>
      </c>
      <c r="JK117" s="61">
        <f t="shared" si="648"/>
        <v>1820.3869793867227</v>
      </c>
      <c r="JL117" s="61">
        <f t="shared" si="649"/>
        <v>8019.6440070197177</v>
      </c>
      <c r="JM117" s="61">
        <f t="shared" si="650"/>
        <v>2002.4256773253926</v>
      </c>
      <c r="JN117" s="61">
        <f t="shared" si="651"/>
        <v>1671.6123981840562</v>
      </c>
      <c r="JO117" s="61">
        <f t="shared" si="652"/>
        <v>0</v>
      </c>
      <c r="JQ117" s="26">
        <f t="shared" si="711"/>
        <v>505663</v>
      </c>
      <c r="JR117" s="156">
        <f t="shared" si="712"/>
        <v>1</v>
      </c>
      <c r="JT117" s="157">
        <f t="shared" si="653"/>
        <v>32868.095000000008</v>
      </c>
      <c r="JU117" s="29">
        <f t="shared" si="654"/>
        <v>1</v>
      </c>
    </row>
    <row r="118" spans="1:281" ht="18.75" x14ac:dyDescent="0.3">
      <c r="A118" t="s">
        <v>234</v>
      </c>
      <c r="B118" t="s">
        <v>194</v>
      </c>
      <c r="C118" t="s">
        <v>74</v>
      </c>
      <c r="D118" t="s">
        <v>29</v>
      </c>
      <c r="E118" s="11" t="s">
        <v>278</v>
      </c>
      <c r="F118" s="114">
        <v>1100</v>
      </c>
      <c r="G118" s="17">
        <v>554356</v>
      </c>
      <c r="H118" s="21">
        <v>319880</v>
      </c>
      <c r="I118" s="25">
        <f t="shared" si="434"/>
        <v>1.733012379642366</v>
      </c>
      <c r="J118" s="13">
        <v>6.4999999999999877E-2</v>
      </c>
      <c r="K118" s="13">
        <v>1.1035854686685921E-2</v>
      </c>
      <c r="L118" s="13">
        <v>7.9999999999999863E-3</v>
      </c>
      <c r="M118" s="13">
        <v>2.2996918486240716E-2</v>
      </c>
      <c r="N118" s="13">
        <v>7.4500000000000148E-3</v>
      </c>
      <c r="O118" s="13">
        <v>4.999999999999992E-2</v>
      </c>
      <c r="P118" s="13">
        <v>6.8678065646757738E-3</v>
      </c>
      <c r="Q118" s="13">
        <v>0</v>
      </c>
      <c r="R118" s="13">
        <v>2.0000000000000025E-2</v>
      </c>
      <c r="S118" s="13">
        <v>0.12717000000000017</v>
      </c>
      <c r="T118" s="13">
        <v>0.12851087008004547</v>
      </c>
      <c r="U118" s="13">
        <v>1.5000000000000001E-2</v>
      </c>
      <c r="V118" s="13">
        <v>1.567754464074262E-2</v>
      </c>
      <c r="W118" s="13">
        <v>3.8092644342348332E-2</v>
      </c>
      <c r="X118" s="13">
        <v>0.20799999999999982</v>
      </c>
      <c r="Y118" s="13">
        <v>2.1230995121489158E-2</v>
      </c>
      <c r="Z118" s="13">
        <v>2.7044948609861265E-2</v>
      </c>
      <c r="AA118" s="13">
        <v>3.2598399090607577E-2</v>
      </c>
      <c r="AB118" s="13">
        <v>1.2563349595036265E-2</v>
      </c>
      <c r="AC118" s="13">
        <v>1.0000000000000014E-2</v>
      </c>
      <c r="AD118" s="13">
        <v>2.4285984938189793E-2</v>
      </c>
      <c r="AE118" s="13">
        <v>2.0000000000000007E-2</v>
      </c>
      <c r="AF118" s="13">
        <v>8.8109221806470128E-2</v>
      </c>
      <c r="AG118" s="13">
        <v>2.2000000000000016E-2</v>
      </c>
      <c r="AH118" s="13">
        <v>1.8365462037607149E-2</v>
      </c>
      <c r="AJ118" s="8">
        <f t="shared" si="656"/>
        <v>1.0000000000000002</v>
      </c>
      <c r="AK118" s="141">
        <f t="shared" si="435"/>
        <v>71.499999999999872</v>
      </c>
      <c r="AL118" s="141">
        <f t="shared" si="436"/>
        <v>12.139440155354514</v>
      </c>
      <c r="AM118" s="141">
        <f t="shared" si="437"/>
        <v>8.7999999999999847</v>
      </c>
      <c r="AN118" s="141">
        <f t="shared" si="438"/>
        <v>25.296610334864788</v>
      </c>
      <c r="AO118" s="141">
        <f t="shared" si="439"/>
        <v>8.1950000000000163</v>
      </c>
      <c r="AP118" s="141">
        <f t="shared" si="440"/>
        <v>54.999999999999915</v>
      </c>
      <c r="AQ118" s="141">
        <f t="shared" si="441"/>
        <v>7.5545872211433513</v>
      </c>
      <c r="AR118" s="141">
        <f t="shared" si="442"/>
        <v>0</v>
      </c>
      <c r="AS118" s="141">
        <f t="shared" si="443"/>
        <v>22.000000000000028</v>
      </c>
      <c r="AT118" s="141">
        <f t="shared" si="444"/>
        <v>139.8870000000002</v>
      </c>
      <c r="AU118" s="141">
        <f t="shared" si="445"/>
        <v>141.36195708805002</v>
      </c>
      <c r="AV118" s="141">
        <f t="shared" si="446"/>
        <v>16.5</v>
      </c>
      <c r="AW118" s="141">
        <f t="shared" si="447"/>
        <v>17.245299104816883</v>
      </c>
      <c r="AX118" s="141">
        <f t="shared" si="448"/>
        <v>41.901908776583163</v>
      </c>
      <c r="AY118" s="141">
        <f t="shared" si="449"/>
        <v>228.79999999999981</v>
      </c>
      <c r="AZ118" s="141">
        <f t="shared" si="450"/>
        <v>23.354094633638073</v>
      </c>
      <c r="BA118" s="141">
        <f t="shared" si="451"/>
        <v>29.749443470847392</v>
      </c>
      <c r="BB118" s="141">
        <f t="shared" si="452"/>
        <v>35.858238999668337</v>
      </c>
      <c r="BC118" s="141">
        <f t="shared" si="453"/>
        <v>13.819684554539892</v>
      </c>
      <c r="BD118" s="141">
        <f t="shared" si="454"/>
        <v>11.000000000000016</v>
      </c>
      <c r="BE118" s="141">
        <f t="shared" si="455"/>
        <v>26.714583432008773</v>
      </c>
      <c r="BF118" s="141">
        <f t="shared" si="456"/>
        <v>22.000000000000007</v>
      </c>
      <c r="BG118" s="141">
        <f t="shared" si="457"/>
        <v>96.920143987117143</v>
      </c>
      <c r="BH118" s="141">
        <f t="shared" si="458"/>
        <v>24.200000000000017</v>
      </c>
      <c r="BI118" s="141">
        <f t="shared" si="459"/>
        <v>20.202008241367864</v>
      </c>
      <c r="BJ118" s="141">
        <f t="shared" si="460"/>
        <v>0</v>
      </c>
      <c r="BM118" s="26">
        <f t="shared" si="657"/>
        <v>36033.139999999934</v>
      </c>
      <c r="BN118" s="26">
        <f t="shared" si="658"/>
        <v>6117.7922606924603</v>
      </c>
      <c r="BO118" s="26">
        <f t="shared" si="659"/>
        <v>4434.8479999999927</v>
      </c>
      <c r="BP118" s="26">
        <f t="shared" si="660"/>
        <v>12748.479744358458</v>
      </c>
      <c r="BQ118" s="26">
        <f t="shared" si="661"/>
        <v>4129.9522000000079</v>
      </c>
      <c r="BR118" s="26">
        <f t="shared" si="662"/>
        <v>27717.799999999956</v>
      </c>
      <c r="BS118" s="26">
        <f t="shared" si="663"/>
        <v>3807.2097759674034</v>
      </c>
      <c r="BT118" s="26">
        <f t="shared" si="664"/>
        <v>0</v>
      </c>
      <c r="BU118" s="26">
        <f t="shared" si="665"/>
        <v>11087.120000000014</v>
      </c>
      <c r="BV118" s="26">
        <f t="shared" si="666"/>
        <v>70497.452520000094</v>
      </c>
      <c r="BW118" s="26">
        <f t="shared" si="667"/>
        <v>71240.77189409369</v>
      </c>
      <c r="BX118" s="26">
        <f t="shared" si="668"/>
        <v>8315.34</v>
      </c>
      <c r="BY118" s="26">
        <f t="shared" si="669"/>
        <v>8690.9409368635152</v>
      </c>
      <c r="BZ118" s="26">
        <f t="shared" si="670"/>
        <v>21116.885947046852</v>
      </c>
      <c r="CA118" s="26">
        <f t="shared" si="671"/>
        <v>115306.04799999991</v>
      </c>
      <c r="CB118" s="26">
        <f t="shared" si="672"/>
        <v>11769.529531568243</v>
      </c>
      <c r="CC118" s="26">
        <f t="shared" si="673"/>
        <v>14992.529531568251</v>
      </c>
      <c r="CD118" s="26">
        <f t="shared" si="674"/>
        <v>18071.118126272853</v>
      </c>
      <c r="CE118" s="26">
        <f t="shared" si="675"/>
        <v>6964.5682281059235</v>
      </c>
      <c r="CF118" s="26">
        <f t="shared" si="676"/>
        <v>5543.5600000000077</v>
      </c>
      <c r="CG118" s="26">
        <f t="shared" si="677"/>
        <v>13463.081466395141</v>
      </c>
      <c r="CH118" s="26">
        <f t="shared" si="678"/>
        <v>11087.120000000004</v>
      </c>
      <c r="CI118" s="26">
        <f t="shared" si="679"/>
        <v>48843.875763747557</v>
      </c>
      <c r="CJ118" s="26">
        <f t="shared" si="680"/>
        <v>12195.832000000009</v>
      </c>
      <c r="CK118" s="26">
        <f t="shared" si="681"/>
        <v>10181.004073319749</v>
      </c>
      <c r="CL118" s="26">
        <f t="shared" si="682"/>
        <v>0</v>
      </c>
      <c r="CM118" s="110">
        <f t="shared" si="683"/>
        <v>1</v>
      </c>
      <c r="CN118" s="27">
        <f t="shared" si="684"/>
        <v>20792.199999999961</v>
      </c>
      <c r="CO118" s="27">
        <f t="shared" si="685"/>
        <v>3530.1491971770924</v>
      </c>
      <c r="CP118" s="27">
        <f t="shared" si="686"/>
        <v>2559.0399999999954</v>
      </c>
      <c r="CQ118" s="27">
        <f t="shared" si="687"/>
        <v>7356.2542853786799</v>
      </c>
      <c r="CR118" s="27">
        <f t="shared" si="688"/>
        <v>2383.1060000000048</v>
      </c>
      <c r="CS118" s="27">
        <f t="shared" si="689"/>
        <v>15993.999999999975</v>
      </c>
      <c r="CT118" s="27">
        <f t="shared" si="690"/>
        <v>2196.8739639084865</v>
      </c>
      <c r="CU118" s="27">
        <f t="shared" si="691"/>
        <v>0</v>
      </c>
      <c r="CV118" s="27">
        <f t="shared" si="692"/>
        <v>6397.6000000000076</v>
      </c>
      <c r="CW118" s="27">
        <f t="shared" si="693"/>
        <v>40679.139600000053</v>
      </c>
      <c r="CX118" s="27">
        <f t="shared" si="694"/>
        <v>41108.057121204947</v>
      </c>
      <c r="CY118" s="27">
        <f t="shared" si="695"/>
        <v>4798.2000000000007</v>
      </c>
      <c r="CZ118" s="27">
        <f t="shared" si="696"/>
        <v>5014.9329796807497</v>
      </c>
      <c r="DA118" s="27">
        <f t="shared" si="697"/>
        <v>12185.075072230384</v>
      </c>
      <c r="DB118" s="27">
        <f t="shared" si="698"/>
        <v>66535.03999999995</v>
      </c>
      <c r="DC118" s="27">
        <f t="shared" si="699"/>
        <v>6791.3707194619519</v>
      </c>
      <c r="DD118" s="27">
        <f t="shared" si="700"/>
        <v>8651.1381613224221</v>
      </c>
      <c r="DE118" s="27">
        <f t="shared" si="701"/>
        <v>10427.575901103552</v>
      </c>
      <c r="DF118" s="27">
        <f t="shared" si="702"/>
        <v>4018.7642684602006</v>
      </c>
      <c r="DG118" s="27">
        <f t="shared" si="703"/>
        <v>3198.8000000000047</v>
      </c>
      <c r="DH118" s="27">
        <f t="shared" si="704"/>
        <v>7768.6008620281509</v>
      </c>
      <c r="DI118" s="27">
        <f t="shared" si="705"/>
        <v>6397.6000000000022</v>
      </c>
      <c r="DJ118" s="27">
        <f t="shared" si="706"/>
        <v>28184.377871453664</v>
      </c>
      <c r="DK118" s="27">
        <f t="shared" si="707"/>
        <v>7037.3600000000051</v>
      </c>
      <c r="DL118" s="27">
        <f t="shared" si="708"/>
        <v>5874.7439965897747</v>
      </c>
      <c r="DM118" s="27">
        <f t="shared" si="709"/>
        <v>0</v>
      </c>
      <c r="DN118" s="110">
        <f t="shared" si="710"/>
        <v>0.99999999999999978</v>
      </c>
      <c r="DO118" s="28">
        <f t="shared" si="518"/>
        <v>15240.939999999973</v>
      </c>
      <c r="DP118" s="28">
        <f t="shared" si="519"/>
        <v>2587.6430635153679</v>
      </c>
      <c r="DQ118" s="28">
        <f t="shared" si="520"/>
        <v>1875.8079999999973</v>
      </c>
      <c r="DR118" s="28">
        <f t="shared" si="521"/>
        <v>5392.2254589797776</v>
      </c>
      <c r="DS118" s="28">
        <f t="shared" si="522"/>
        <v>1746.8462000000031</v>
      </c>
      <c r="DT118" s="28">
        <f t="shared" si="523"/>
        <v>11723.799999999981</v>
      </c>
      <c r="DU118" s="28">
        <f t="shared" si="524"/>
        <v>1610.3358120589169</v>
      </c>
      <c r="DV118" s="28">
        <f t="shared" si="525"/>
        <v>0</v>
      </c>
      <c r="DW118" s="28">
        <f t="shared" si="526"/>
        <v>4689.5200000000059</v>
      </c>
      <c r="DX118" s="28">
        <f t="shared" si="527"/>
        <v>29818.31292000004</v>
      </c>
      <c r="DY118" s="28">
        <f t="shared" si="528"/>
        <v>30132.714772888743</v>
      </c>
      <c r="DZ118" s="28">
        <f t="shared" si="529"/>
        <v>3517.1399999999994</v>
      </c>
      <c r="EA118" s="28">
        <f t="shared" si="530"/>
        <v>3676.0079571827655</v>
      </c>
      <c r="EB118" s="28">
        <f t="shared" si="531"/>
        <v>8931.8108748164686</v>
      </c>
      <c r="EC118" s="28">
        <f t="shared" si="532"/>
        <v>48771.007999999958</v>
      </c>
      <c r="ED118" s="28">
        <f t="shared" si="533"/>
        <v>4978.1588121062914</v>
      </c>
      <c r="EE118" s="28">
        <f t="shared" si="534"/>
        <v>6341.3913702458285</v>
      </c>
      <c r="EF118" s="28">
        <f t="shared" si="535"/>
        <v>7643.5422251693017</v>
      </c>
      <c r="EG118" s="28">
        <f t="shared" si="536"/>
        <v>2945.8039596457229</v>
      </c>
      <c r="EH118" s="28">
        <f t="shared" si="537"/>
        <v>2344.7600000000029</v>
      </c>
      <c r="EI118" s="28">
        <f t="shared" si="538"/>
        <v>5694.4806043669896</v>
      </c>
      <c r="EJ118" s="28">
        <f t="shared" si="539"/>
        <v>4689.5200000000023</v>
      </c>
      <c r="EK118" s="28">
        <f t="shared" si="540"/>
        <v>20659.497892293894</v>
      </c>
      <c r="EL118" s="28">
        <f t="shared" si="541"/>
        <v>5158.4720000000043</v>
      </c>
      <c r="EM118" s="28">
        <f t="shared" si="542"/>
        <v>4306.2600767299746</v>
      </c>
      <c r="EN118" s="28">
        <f t="shared" si="543"/>
        <v>0</v>
      </c>
      <c r="EQ118" s="144">
        <v>0.03</v>
      </c>
      <c r="ER118" s="144">
        <v>0.05</v>
      </c>
      <c r="ES118" s="144">
        <v>0.08</v>
      </c>
      <c r="ET118" s="144">
        <v>0.11</v>
      </c>
      <c r="EU118" s="144">
        <v>0.12</v>
      </c>
      <c r="EV118" s="144">
        <v>0.15000000000000002</v>
      </c>
      <c r="EW118" s="144">
        <v>0.13</v>
      </c>
      <c r="EX118" s="144">
        <v>0.08</v>
      </c>
      <c r="EY118" s="144">
        <v>7.0000000000000007E-2</v>
      </c>
      <c r="EZ118" s="144">
        <v>0.06</v>
      </c>
      <c r="FA118" s="144">
        <v>0.06</v>
      </c>
      <c r="FB118" s="144">
        <v>0.06</v>
      </c>
      <c r="FC118" s="145">
        <f t="shared" si="544"/>
        <v>1.0000000000000002</v>
      </c>
      <c r="FD118" s="146">
        <f t="shared" si="545"/>
        <v>0.16</v>
      </c>
      <c r="FE118" s="146">
        <f t="shared" si="546"/>
        <v>0.38</v>
      </c>
      <c r="FF118" s="146">
        <f t="shared" si="547"/>
        <v>0.28000000000000003</v>
      </c>
      <c r="FG118" s="146">
        <f t="shared" si="548"/>
        <v>0.18</v>
      </c>
      <c r="FH118" s="145">
        <f t="shared" si="655"/>
        <v>1</v>
      </c>
      <c r="FJ118" s="52">
        <f t="shared" si="549"/>
        <v>5765.3023999999896</v>
      </c>
      <c r="FK118" s="52">
        <f t="shared" si="550"/>
        <v>978.84676171079366</v>
      </c>
      <c r="FL118" s="52">
        <f t="shared" si="551"/>
        <v>709.5756799999989</v>
      </c>
      <c r="FM118" s="52">
        <f t="shared" si="552"/>
        <v>2039.7567590973533</v>
      </c>
      <c r="FN118" s="52">
        <f t="shared" si="553"/>
        <v>660.7923520000013</v>
      </c>
      <c r="FO118" s="52">
        <f t="shared" si="554"/>
        <v>4434.8479999999927</v>
      </c>
      <c r="FP118" s="52">
        <f t="shared" si="555"/>
        <v>609.15356415478459</v>
      </c>
      <c r="FQ118" s="52">
        <f t="shared" si="556"/>
        <v>0</v>
      </c>
      <c r="FR118" s="52">
        <f t="shared" si="557"/>
        <v>1773.9392000000023</v>
      </c>
      <c r="FS118" s="52">
        <f t="shared" si="558"/>
        <v>11279.592403200015</v>
      </c>
      <c r="FT118" s="52">
        <f t="shared" si="559"/>
        <v>11398.52350305499</v>
      </c>
      <c r="FU118" s="52">
        <f t="shared" si="560"/>
        <v>1330.4544000000001</v>
      </c>
      <c r="FV118" s="52">
        <f t="shared" si="561"/>
        <v>1390.5505498981624</v>
      </c>
      <c r="FW118" s="52">
        <f t="shared" si="562"/>
        <v>3378.7017515274965</v>
      </c>
      <c r="FX118" s="52">
        <f t="shared" si="563"/>
        <v>18448.967679999987</v>
      </c>
      <c r="FY118" s="52">
        <f t="shared" si="564"/>
        <v>1883.1247250509189</v>
      </c>
      <c r="FZ118" s="52">
        <f t="shared" si="565"/>
        <v>2398.8047250509203</v>
      </c>
      <c r="GA118" s="52">
        <f t="shared" si="566"/>
        <v>2891.3789002036565</v>
      </c>
      <c r="GB118" s="52">
        <f t="shared" si="567"/>
        <v>1114.3309164969478</v>
      </c>
      <c r="GC118" s="52">
        <f t="shared" si="568"/>
        <v>886.96960000000126</v>
      </c>
      <c r="GD118" s="52">
        <f t="shared" si="569"/>
        <v>2154.0930346232226</v>
      </c>
      <c r="GE118" s="52">
        <f t="shared" si="570"/>
        <v>1773.9392000000007</v>
      </c>
      <c r="GF118" s="52">
        <f t="shared" si="571"/>
        <v>7815.0201221996094</v>
      </c>
      <c r="GG118" s="52">
        <f t="shared" si="572"/>
        <v>1951.3331200000016</v>
      </c>
      <c r="GH118" s="52">
        <f t="shared" si="573"/>
        <v>1628.9606517311599</v>
      </c>
      <c r="GI118" s="52">
        <f t="shared" si="574"/>
        <v>0</v>
      </c>
      <c r="GJ118" s="26"/>
      <c r="GL118" s="150">
        <f t="shared" si="575"/>
        <v>13692.593199999976</v>
      </c>
      <c r="GM118" s="150">
        <f t="shared" si="576"/>
        <v>2324.7610590631348</v>
      </c>
      <c r="GN118" s="150">
        <f t="shared" si="577"/>
        <v>1685.2422399999973</v>
      </c>
      <c r="GO118" s="150">
        <f t="shared" si="578"/>
        <v>4844.4223028562137</v>
      </c>
      <c r="GP118" s="150">
        <f t="shared" si="579"/>
        <v>1569.381836000003</v>
      </c>
      <c r="GQ118" s="150">
        <f t="shared" si="580"/>
        <v>10532.763999999983</v>
      </c>
      <c r="GR118" s="150">
        <f t="shared" si="581"/>
        <v>1446.7397148676132</v>
      </c>
      <c r="GS118" s="150">
        <f t="shared" si="582"/>
        <v>0</v>
      </c>
      <c r="GT118" s="150">
        <f t="shared" si="583"/>
        <v>4213.1056000000053</v>
      </c>
      <c r="GU118" s="150">
        <f t="shared" si="584"/>
        <v>26789.031957600037</v>
      </c>
      <c r="GV118" s="150">
        <f t="shared" si="585"/>
        <v>27071.493319755602</v>
      </c>
      <c r="GW118" s="150">
        <f t="shared" si="586"/>
        <v>3159.8292000000001</v>
      </c>
      <c r="GX118" s="150">
        <f t="shared" si="587"/>
        <v>3302.5575560081356</v>
      </c>
      <c r="GY118" s="150">
        <f t="shared" si="588"/>
        <v>8024.4166598778038</v>
      </c>
      <c r="GZ118" s="150">
        <f t="shared" si="589"/>
        <v>43816.298239999967</v>
      </c>
      <c r="HA118" s="150">
        <f t="shared" si="590"/>
        <v>4472.4212219959327</v>
      </c>
      <c r="HB118" s="150">
        <f t="shared" si="591"/>
        <v>5697.1612219959352</v>
      </c>
      <c r="HC118" s="150">
        <f t="shared" si="592"/>
        <v>6867.0248879836845</v>
      </c>
      <c r="HD118" s="150">
        <f t="shared" si="593"/>
        <v>2646.5359266802511</v>
      </c>
      <c r="HE118" s="150">
        <f t="shared" si="594"/>
        <v>2106.5528000000031</v>
      </c>
      <c r="HF118" s="150">
        <f t="shared" si="595"/>
        <v>5115.9709572301535</v>
      </c>
      <c r="HG118" s="150">
        <f t="shared" si="596"/>
        <v>4213.1056000000017</v>
      </c>
      <c r="HH118" s="150">
        <f t="shared" si="597"/>
        <v>18560.672790224071</v>
      </c>
      <c r="HI118" s="150">
        <f t="shared" si="598"/>
        <v>4634.4161600000034</v>
      </c>
      <c r="HJ118" s="150">
        <f t="shared" si="599"/>
        <v>3868.7815478615048</v>
      </c>
      <c r="HK118" s="150">
        <f t="shared" si="600"/>
        <v>0</v>
      </c>
      <c r="HL118" s="26"/>
      <c r="HN118" s="147">
        <f t="shared" si="601"/>
        <v>10089.279199999983</v>
      </c>
      <c r="HO118" s="147">
        <f t="shared" si="602"/>
        <v>1712.9818329938892</v>
      </c>
      <c r="HP118" s="147">
        <f t="shared" si="603"/>
        <v>1241.757439999998</v>
      </c>
      <c r="HQ118" s="147">
        <f t="shared" si="604"/>
        <v>3569.5743284203686</v>
      </c>
      <c r="HR118" s="147">
        <f t="shared" si="605"/>
        <v>1156.3866160000023</v>
      </c>
      <c r="HS118" s="147">
        <f t="shared" si="606"/>
        <v>7760.9839999999886</v>
      </c>
      <c r="HT118" s="147">
        <f t="shared" si="607"/>
        <v>1066.0187372708731</v>
      </c>
      <c r="HU118" s="147">
        <f t="shared" si="608"/>
        <v>0</v>
      </c>
      <c r="HV118" s="147">
        <f t="shared" si="609"/>
        <v>3104.393600000004</v>
      </c>
      <c r="HW118" s="147">
        <f t="shared" si="610"/>
        <v>19739.286705600029</v>
      </c>
      <c r="HX118" s="147">
        <f t="shared" si="611"/>
        <v>19947.416130346235</v>
      </c>
      <c r="HY118" s="147">
        <f t="shared" si="612"/>
        <v>2328.2952000000005</v>
      </c>
      <c r="HZ118" s="147">
        <f t="shared" si="613"/>
        <v>2433.4634623217844</v>
      </c>
      <c r="IA118" s="147">
        <f t="shared" si="614"/>
        <v>5912.7280651731189</v>
      </c>
      <c r="IB118" s="147">
        <f t="shared" si="615"/>
        <v>32285.693439999977</v>
      </c>
      <c r="IC118" s="147">
        <f t="shared" si="616"/>
        <v>3295.4682688391085</v>
      </c>
      <c r="ID118" s="147">
        <f t="shared" si="617"/>
        <v>4197.9082688391109</v>
      </c>
      <c r="IE118" s="147">
        <f t="shared" si="618"/>
        <v>5059.9130753563995</v>
      </c>
      <c r="IF118" s="147">
        <f t="shared" si="619"/>
        <v>1950.0791038696589</v>
      </c>
      <c r="IG118" s="147">
        <f t="shared" si="620"/>
        <v>1552.1968000000022</v>
      </c>
      <c r="IH118" s="147">
        <f t="shared" si="621"/>
        <v>3769.6628105906398</v>
      </c>
      <c r="II118" s="147">
        <f t="shared" si="622"/>
        <v>3104.3936000000017</v>
      </c>
      <c r="IJ118" s="147">
        <f t="shared" si="623"/>
        <v>13676.285213849318</v>
      </c>
      <c r="IK118" s="147">
        <f t="shared" si="624"/>
        <v>3414.8329600000029</v>
      </c>
      <c r="IL118" s="147">
        <f t="shared" si="625"/>
        <v>2850.6811405295302</v>
      </c>
      <c r="IM118" s="147">
        <f t="shared" si="626"/>
        <v>0</v>
      </c>
      <c r="IN118" s="26"/>
      <c r="IP118" s="61">
        <f t="shared" si="627"/>
        <v>6485.9651999999878</v>
      </c>
      <c r="IQ118" s="61">
        <f t="shared" si="628"/>
        <v>1101.2026069246429</v>
      </c>
      <c r="IR118" s="61">
        <f t="shared" si="629"/>
        <v>798.27263999999866</v>
      </c>
      <c r="IS118" s="61">
        <f t="shared" si="630"/>
        <v>2294.7263539845221</v>
      </c>
      <c r="IT118" s="61">
        <f t="shared" si="631"/>
        <v>743.39139600000135</v>
      </c>
      <c r="IU118" s="61">
        <f t="shared" si="632"/>
        <v>4989.2039999999915</v>
      </c>
      <c r="IV118" s="61">
        <f t="shared" si="633"/>
        <v>685.29775967413264</v>
      </c>
      <c r="IW118" s="61">
        <f t="shared" si="634"/>
        <v>0</v>
      </c>
      <c r="IX118" s="61">
        <f t="shared" si="635"/>
        <v>1995.6816000000024</v>
      </c>
      <c r="IY118" s="61">
        <f t="shared" si="636"/>
        <v>12689.541453600017</v>
      </c>
      <c r="IZ118" s="61">
        <f t="shared" si="637"/>
        <v>12823.338940936863</v>
      </c>
      <c r="JA118" s="61">
        <f t="shared" si="638"/>
        <v>1496.7611999999999</v>
      </c>
      <c r="JB118" s="61">
        <f t="shared" si="639"/>
        <v>1564.3693686354327</v>
      </c>
      <c r="JC118" s="61">
        <f t="shared" si="640"/>
        <v>3801.0394704684331</v>
      </c>
      <c r="JD118" s="61">
        <f t="shared" si="641"/>
        <v>20755.088639999984</v>
      </c>
      <c r="JE118" s="61">
        <f t="shared" si="642"/>
        <v>2118.5153156822839</v>
      </c>
      <c r="JF118" s="61">
        <f t="shared" si="643"/>
        <v>2698.6553156822852</v>
      </c>
      <c r="JG118" s="61">
        <f t="shared" si="644"/>
        <v>3252.8012627291137</v>
      </c>
      <c r="JH118" s="61">
        <f t="shared" si="645"/>
        <v>1253.6222810590662</v>
      </c>
      <c r="JI118" s="61">
        <f t="shared" si="646"/>
        <v>997.84080000000131</v>
      </c>
      <c r="JJ118" s="61">
        <f t="shared" si="647"/>
        <v>2423.3546639511251</v>
      </c>
      <c r="JK118" s="61">
        <f t="shared" si="648"/>
        <v>1995.6816000000008</v>
      </c>
      <c r="JL118" s="61">
        <f t="shared" si="649"/>
        <v>8791.8976374745598</v>
      </c>
      <c r="JM118" s="61">
        <f t="shared" si="650"/>
        <v>2195.2497600000015</v>
      </c>
      <c r="JN118" s="61">
        <f t="shared" si="651"/>
        <v>1832.5807331975548</v>
      </c>
      <c r="JO118" s="61">
        <f t="shared" si="652"/>
        <v>0</v>
      </c>
      <c r="JQ118" s="26">
        <f t="shared" si="711"/>
        <v>554355.99999999988</v>
      </c>
      <c r="JR118" s="156">
        <f t="shared" si="712"/>
        <v>0.99999999999999978</v>
      </c>
      <c r="JT118" s="157">
        <f t="shared" si="653"/>
        <v>36033.139999999941</v>
      </c>
      <c r="JU118" s="29">
        <f t="shared" si="654"/>
        <v>1.0000000000000002</v>
      </c>
    </row>
    <row r="119" spans="1:281" ht="18.75" x14ac:dyDescent="0.3">
      <c r="A119" t="s">
        <v>234</v>
      </c>
      <c r="B119" t="s">
        <v>195</v>
      </c>
      <c r="C119" t="s">
        <v>74</v>
      </c>
      <c r="D119" t="s">
        <v>29</v>
      </c>
      <c r="E119" s="11" t="s">
        <v>279</v>
      </c>
      <c r="F119" s="114">
        <v>6570</v>
      </c>
      <c r="G119" s="17">
        <v>2511251</v>
      </c>
      <c r="H119" s="21">
        <v>1539614</v>
      </c>
      <c r="I119" s="25">
        <f t="shared" si="434"/>
        <v>1.6310912995075388</v>
      </c>
      <c r="J119" s="13">
        <v>6.0882200309603694E-2</v>
      </c>
      <c r="K119" s="13">
        <v>1.9786715100621199E-2</v>
      </c>
      <c r="L119" s="13">
        <v>1.4917754075047866E-2</v>
      </c>
      <c r="M119" s="13">
        <v>1.7503632589011043E-2</v>
      </c>
      <c r="N119" s="13">
        <v>7.610275038700434E-3</v>
      </c>
      <c r="O119" s="13">
        <v>1.9025687596751106E-2</v>
      </c>
      <c r="P119" s="13">
        <v>7.6102750387004401E-3</v>
      </c>
      <c r="Q119" s="13">
        <v>0</v>
      </c>
      <c r="R119" s="13">
        <v>5.4832088335658741E-3</v>
      </c>
      <c r="S119" s="13">
        <v>3.0441100154801795E-2</v>
      </c>
      <c r="T119" s="13">
        <v>0.21307325249090017</v>
      </c>
      <c r="U119" s="13">
        <v>3.1979577651141247E-2</v>
      </c>
      <c r="V119" s="13">
        <v>3.1202127658671863E-2</v>
      </c>
      <c r="W119" s="13">
        <v>7.2863739943363648E-2</v>
      </c>
      <c r="X119" s="13">
        <v>5.7381473791801488E-2</v>
      </c>
      <c r="Y119" s="13">
        <v>3.8051375193502393E-2</v>
      </c>
      <c r="Z119" s="13">
        <v>5.3271925270903367E-2</v>
      </c>
      <c r="AA119" s="13">
        <v>6.6209392836694428E-2</v>
      </c>
      <c r="AB119" s="13">
        <v>1.6742605085141058E-2</v>
      </c>
      <c r="AC119" s="13">
        <v>1.9343571028121738E-2</v>
      </c>
      <c r="AD119" s="13">
        <v>3.5007265178022114E-2</v>
      </c>
      <c r="AE119" s="13">
        <v>3.7017619399624002E-2</v>
      </c>
      <c r="AF119" s="13">
        <v>7.6102750387004647E-2</v>
      </c>
      <c r="AG119" s="13">
        <v>4.5661650232202922E-2</v>
      </c>
      <c r="AH119" s="13">
        <v>2.2830825116101489E-2</v>
      </c>
      <c r="AJ119" s="8">
        <f t="shared" si="656"/>
        <v>1.0000000000000002</v>
      </c>
      <c r="AK119" s="141">
        <f t="shared" si="435"/>
        <v>399.99605603409628</v>
      </c>
      <c r="AL119" s="141">
        <f t="shared" si="436"/>
        <v>129.99871821108127</v>
      </c>
      <c r="AM119" s="141">
        <f t="shared" si="437"/>
        <v>98.009644273064481</v>
      </c>
      <c r="AN119" s="141">
        <f t="shared" si="438"/>
        <v>114.99886610980255</v>
      </c>
      <c r="AO119" s="141">
        <f t="shared" si="439"/>
        <v>49.999507004261851</v>
      </c>
      <c r="AP119" s="141">
        <f t="shared" si="440"/>
        <v>124.99876751065477</v>
      </c>
      <c r="AQ119" s="141">
        <f t="shared" si="441"/>
        <v>49.999507004261893</v>
      </c>
      <c r="AR119" s="141">
        <f t="shared" si="442"/>
        <v>0</v>
      </c>
      <c r="AS119" s="141">
        <f t="shared" si="443"/>
        <v>36.024682036527793</v>
      </c>
      <c r="AT119" s="141">
        <f t="shared" si="444"/>
        <v>199.9980280170478</v>
      </c>
      <c r="AU119" s="141">
        <f t="shared" si="445"/>
        <v>1399.8912688652142</v>
      </c>
      <c r="AV119" s="141">
        <f t="shared" si="446"/>
        <v>210.10582516799801</v>
      </c>
      <c r="AW119" s="141">
        <f t="shared" si="447"/>
        <v>204.99797871747415</v>
      </c>
      <c r="AX119" s="141">
        <f t="shared" si="448"/>
        <v>478.71477142789917</v>
      </c>
      <c r="AY119" s="141">
        <f t="shared" si="449"/>
        <v>376.9962828121358</v>
      </c>
      <c r="AZ119" s="141">
        <f t="shared" si="450"/>
        <v>249.99753502131071</v>
      </c>
      <c r="BA119" s="141">
        <f t="shared" si="451"/>
        <v>349.99654902983514</v>
      </c>
      <c r="BB119" s="141">
        <f t="shared" si="452"/>
        <v>434.99571093708238</v>
      </c>
      <c r="BC119" s="141">
        <f t="shared" si="453"/>
        <v>109.99891540937675</v>
      </c>
      <c r="BD119" s="141">
        <f t="shared" si="454"/>
        <v>127.08726165475981</v>
      </c>
      <c r="BE119" s="141">
        <f t="shared" si="455"/>
        <v>229.9977322196053</v>
      </c>
      <c r="BF119" s="141">
        <f t="shared" si="456"/>
        <v>243.20575945552969</v>
      </c>
      <c r="BG119" s="141">
        <f t="shared" si="457"/>
        <v>499.99507004262051</v>
      </c>
      <c r="BH119" s="141">
        <f t="shared" si="458"/>
        <v>299.99704202557319</v>
      </c>
      <c r="BI119" s="141">
        <f t="shared" si="459"/>
        <v>149.99852101278677</v>
      </c>
      <c r="BJ119" s="141">
        <f t="shared" si="460"/>
        <v>0</v>
      </c>
      <c r="BM119" s="26">
        <f t="shared" si="657"/>
        <v>152890.48640969259</v>
      </c>
      <c r="BN119" s="26">
        <f t="shared" si="658"/>
        <v>49689.408083150083</v>
      </c>
      <c r="BO119" s="26">
        <f t="shared" si="659"/>
        <v>37462.22483871803</v>
      </c>
      <c r="BP119" s="26">
        <f t="shared" si="660"/>
        <v>43956.014842786572</v>
      </c>
      <c r="BQ119" s="26">
        <f t="shared" si="661"/>
        <v>19111.310801211504</v>
      </c>
      <c r="BR119" s="26">
        <f t="shared" si="662"/>
        <v>47778.277003028816</v>
      </c>
      <c r="BS119" s="26">
        <f t="shared" si="663"/>
        <v>19111.310801211519</v>
      </c>
      <c r="BT119" s="26">
        <f t="shared" si="664"/>
        <v>0</v>
      </c>
      <c r="BU119" s="26">
        <f t="shared" si="665"/>
        <v>13769.713666501135</v>
      </c>
      <c r="BV119" s="26">
        <f t="shared" si="666"/>
        <v>76445.243204846163</v>
      </c>
      <c r="BW119" s="26">
        <f t="shared" si="667"/>
        <v>535080.41839102551</v>
      </c>
      <c r="BX119" s="26">
        <f t="shared" si="668"/>
        <v>80308.746356006115</v>
      </c>
      <c r="BY119" s="26">
        <f t="shared" si="669"/>
        <v>78356.374284967373</v>
      </c>
      <c r="BZ119" s="26">
        <f t="shared" si="670"/>
        <v>182979.13979651191</v>
      </c>
      <c r="CA119" s="26">
        <f t="shared" si="671"/>
        <v>144099.28344113528</v>
      </c>
      <c r="CB119" s="26">
        <f t="shared" si="672"/>
        <v>95556.554006058082</v>
      </c>
      <c r="CC119" s="26">
        <f t="shared" si="673"/>
        <v>133779.17560848134</v>
      </c>
      <c r="CD119" s="26">
        <f t="shared" si="674"/>
        <v>166268.40397054172</v>
      </c>
      <c r="CE119" s="26">
        <f t="shared" si="675"/>
        <v>42044.883762665566</v>
      </c>
      <c r="CF119" s="26">
        <f t="shared" si="676"/>
        <v>48576.56208794174</v>
      </c>
      <c r="CG119" s="26">
        <f t="shared" si="677"/>
        <v>87912.029685573216</v>
      </c>
      <c r="CH119" s="26">
        <f t="shared" si="678"/>
        <v>92960.533734925179</v>
      </c>
      <c r="CI119" s="26">
        <f t="shared" si="679"/>
        <v>191113.10801211582</v>
      </c>
      <c r="CJ119" s="26">
        <f t="shared" si="680"/>
        <v>114667.86480726981</v>
      </c>
      <c r="CK119" s="26">
        <f t="shared" si="681"/>
        <v>57333.932403634979</v>
      </c>
      <c r="CL119" s="26">
        <f t="shared" si="682"/>
        <v>0</v>
      </c>
      <c r="CM119" s="110">
        <f t="shared" si="683"/>
        <v>1</v>
      </c>
      <c r="CN119" s="27">
        <f t="shared" si="684"/>
        <v>93735.08794747018</v>
      </c>
      <c r="CO119" s="27">
        <f t="shared" si="685"/>
        <v>30463.903582927807</v>
      </c>
      <c r="CP119" s="27">
        <f t="shared" si="686"/>
        <v>22967.583022500745</v>
      </c>
      <c r="CQ119" s="27">
        <f t="shared" si="687"/>
        <v>26948.837784897649</v>
      </c>
      <c r="CR119" s="27">
        <f t="shared" si="688"/>
        <v>11716.885993433731</v>
      </c>
      <c r="CS119" s="27">
        <f t="shared" si="689"/>
        <v>29292.214983584359</v>
      </c>
      <c r="CT119" s="27">
        <f t="shared" si="690"/>
        <v>11716.88599343374</v>
      </c>
      <c r="CU119" s="27">
        <f t="shared" si="691"/>
        <v>0</v>
      </c>
      <c r="CV119" s="27">
        <f t="shared" si="692"/>
        <v>8442.0250850816901</v>
      </c>
      <c r="CW119" s="27">
        <f t="shared" si="693"/>
        <v>46867.54397373501</v>
      </c>
      <c r="CX119" s="27">
        <f t="shared" si="694"/>
        <v>328050.56256052479</v>
      </c>
      <c r="CY119" s="27">
        <f t="shared" si="695"/>
        <v>49236.20546578418</v>
      </c>
      <c r="CZ119" s="27">
        <f t="shared" si="696"/>
        <v>48039.232573078421</v>
      </c>
      <c r="DA119" s="27">
        <f t="shared" si="697"/>
        <v>112182.03410916188</v>
      </c>
      <c r="DB119" s="27">
        <f t="shared" si="698"/>
        <v>88345.320390490655</v>
      </c>
      <c r="DC119" s="27">
        <f t="shared" si="699"/>
        <v>58584.429967168995</v>
      </c>
      <c r="DD119" s="27">
        <f t="shared" si="700"/>
        <v>82018.201954036616</v>
      </c>
      <c r="DE119" s="27">
        <f t="shared" si="701"/>
        <v>101936.90814287445</v>
      </c>
      <c r="DF119" s="27">
        <f t="shared" si="702"/>
        <v>25777.149185554365</v>
      </c>
      <c r="DG119" s="27">
        <f t="shared" si="703"/>
        <v>29781.632764890623</v>
      </c>
      <c r="DH119" s="27">
        <f t="shared" si="704"/>
        <v>53897.675569795341</v>
      </c>
      <c r="DI119" s="27">
        <f t="shared" si="705"/>
        <v>56992.845074332712</v>
      </c>
      <c r="DJ119" s="27">
        <f t="shared" si="706"/>
        <v>117168.85993433777</v>
      </c>
      <c r="DK119" s="27">
        <f t="shared" si="707"/>
        <v>70301.315960602864</v>
      </c>
      <c r="DL119" s="27">
        <f t="shared" si="708"/>
        <v>35150.657980301476</v>
      </c>
      <c r="DM119" s="27">
        <f t="shared" si="709"/>
        <v>0</v>
      </c>
      <c r="DN119" s="110">
        <f t="shared" si="710"/>
        <v>1</v>
      </c>
      <c r="DO119" s="28">
        <f t="shared" si="518"/>
        <v>59155.398462222409</v>
      </c>
      <c r="DP119" s="28">
        <f t="shared" si="519"/>
        <v>19225.504500222276</v>
      </c>
      <c r="DQ119" s="28">
        <f t="shared" si="520"/>
        <v>14494.641816217285</v>
      </c>
      <c r="DR119" s="28">
        <f t="shared" si="521"/>
        <v>17007.177057888923</v>
      </c>
      <c r="DS119" s="28">
        <f t="shared" si="522"/>
        <v>7394.4248077777738</v>
      </c>
      <c r="DT119" s="28">
        <f t="shared" si="523"/>
        <v>18486.062019444456</v>
      </c>
      <c r="DU119" s="28">
        <f t="shared" si="524"/>
        <v>7394.4248077777793</v>
      </c>
      <c r="DV119" s="28">
        <f t="shared" si="525"/>
        <v>0</v>
      </c>
      <c r="DW119" s="28">
        <f t="shared" si="526"/>
        <v>5327.6885814194447</v>
      </c>
      <c r="DX119" s="28">
        <f t="shared" si="527"/>
        <v>29577.699231111153</v>
      </c>
      <c r="DY119" s="28">
        <f t="shared" si="528"/>
        <v>207029.85583050072</v>
      </c>
      <c r="DZ119" s="28">
        <f t="shared" si="529"/>
        <v>31072.540890221935</v>
      </c>
      <c r="EA119" s="28">
        <f t="shared" si="530"/>
        <v>30317.141711888951</v>
      </c>
      <c r="EB119" s="28">
        <f t="shared" si="531"/>
        <v>70797.105687350035</v>
      </c>
      <c r="EC119" s="28">
        <f t="shared" si="532"/>
        <v>55753.963050644626</v>
      </c>
      <c r="ED119" s="28">
        <f t="shared" si="533"/>
        <v>36972.124038889087</v>
      </c>
      <c r="EE119" s="28">
        <f t="shared" si="534"/>
        <v>51760.973654444722</v>
      </c>
      <c r="EF119" s="28">
        <f t="shared" si="535"/>
        <v>64331.49582766727</v>
      </c>
      <c r="EG119" s="28">
        <f t="shared" si="536"/>
        <v>16267.734577111201</v>
      </c>
      <c r="EH119" s="28">
        <f t="shared" si="537"/>
        <v>18794.929323051118</v>
      </c>
      <c r="EI119" s="28">
        <f t="shared" si="538"/>
        <v>34014.354115777875</v>
      </c>
      <c r="EJ119" s="28">
        <f t="shared" si="539"/>
        <v>35967.688660592466</v>
      </c>
      <c r="EK119" s="28">
        <f t="shared" si="540"/>
        <v>73944.248077778044</v>
      </c>
      <c r="EL119" s="28">
        <f t="shared" si="541"/>
        <v>44366.548846666949</v>
      </c>
      <c r="EM119" s="28">
        <f t="shared" si="542"/>
        <v>22183.274423333503</v>
      </c>
      <c r="EN119" s="28">
        <f t="shared" si="543"/>
        <v>0</v>
      </c>
      <c r="EQ119" s="144">
        <v>3.2645655997246351E-2</v>
      </c>
      <c r="ER119" s="144">
        <v>5.4409429785604195E-2</v>
      </c>
      <c r="ES119" s="144">
        <v>8.7055085782850553E-2</v>
      </c>
      <c r="ET119" s="144">
        <v>0.10815223984099269</v>
      </c>
      <c r="EU119" s="144">
        <v>0.11798426241440334</v>
      </c>
      <c r="EV119" s="144">
        <v>0.14748032590137305</v>
      </c>
      <c r="EW119" s="144">
        <v>0.1278162807545517</v>
      </c>
      <c r="EX119" s="144">
        <v>7.8656172120760717E-2</v>
      </c>
      <c r="EY119" s="144">
        <v>6.8824153780612338E-2</v>
      </c>
      <c r="EZ119" s="144">
        <v>5.8992131207201669E-2</v>
      </c>
      <c r="FA119" s="144">
        <v>5.8992131207201669E-2</v>
      </c>
      <c r="FB119" s="144">
        <v>5.8992131207201669E-2</v>
      </c>
      <c r="FC119" s="145">
        <f t="shared" si="544"/>
        <v>1</v>
      </c>
      <c r="FD119" s="146">
        <f t="shared" si="545"/>
        <v>0.17411017156570108</v>
      </c>
      <c r="FE119" s="146">
        <f t="shared" si="546"/>
        <v>0.37361682815676911</v>
      </c>
      <c r="FF119" s="146">
        <f t="shared" si="547"/>
        <v>0.27529660665592476</v>
      </c>
      <c r="FG119" s="146">
        <f t="shared" si="548"/>
        <v>0.176976393621605</v>
      </c>
      <c r="FH119" s="145">
        <f t="shared" si="655"/>
        <v>0.99999999999999989</v>
      </c>
      <c r="FJ119" s="52">
        <f t="shared" si="549"/>
        <v>26619.788819555066</v>
      </c>
      <c r="FK119" s="52">
        <f t="shared" si="550"/>
        <v>8651.4313663553949</v>
      </c>
      <c r="FL119" s="52">
        <f t="shared" si="551"/>
        <v>6522.5543939020645</v>
      </c>
      <c r="FM119" s="52">
        <f t="shared" si="552"/>
        <v>7653.1892856220729</v>
      </c>
      <c r="FN119" s="52">
        <f t="shared" si="553"/>
        <v>3327.473602444371</v>
      </c>
      <c r="FO119" s="52">
        <f t="shared" si="554"/>
        <v>8318.6840061109378</v>
      </c>
      <c r="FP119" s="52">
        <f t="shared" si="555"/>
        <v>3327.4736024443737</v>
      </c>
      <c r="FQ119" s="52">
        <f t="shared" si="556"/>
        <v>0</v>
      </c>
      <c r="FR119" s="52">
        <f t="shared" si="557"/>
        <v>2397.4472088850916</v>
      </c>
      <c r="FS119" s="52">
        <f t="shared" si="558"/>
        <v>13309.894409777509</v>
      </c>
      <c r="FT119" s="52">
        <f t="shared" si="559"/>
        <v>93162.943447508558</v>
      </c>
      <c r="FU119" s="52">
        <f t="shared" si="560"/>
        <v>13982.569606270596</v>
      </c>
      <c r="FV119" s="52">
        <f t="shared" si="561"/>
        <v>13642.641770021957</v>
      </c>
      <c r="FW119" s="52">
        <f t="shared" si="562"/>
        <v>31858.52942291509</v>
      </c>
      <c r="FX119" s="52">
        <f t="shared" si="563"/>
        <v>25089.150962430653</v>
      </c>
      <c r="FY119" s="52">
        <f t="shared" si="564"/>
        <v>16637.368012221952</v>
      </c>
      <c r="FZ119" s="52">
        <f t="shared" si="565"/>
        <v>23292.315217110739</v>
      </c>
      <c r="GA119" s="52">
        <f t="shared" si="566"/>
        <v>28949.020341266314</v>
      </c>
      <c r="GB119" s="52">
        <f t="shared" si="567"/>
        <v>7320.4419253776614</v>
      </c>
      <c r="GC119" s="52">
        <f t="shared" si="568"/>
        <v>8457.6735592034674</v>
      </c>
      <c r="GD119" s="52">
        <f t="shared" si="569"/>
        <v>15306.378571244159</v>
      </c>
      <c r="GE119" s="52">
        <f t="shared" si="570"/>
        <v>16185.374477426965</v>
      </c>
      <c r="GF119" s="52">
        <f t="shared" si="571"/>
        <v>33274.736024443846</v>
      </c>
      <c r="GG119" s="52">
        <f t="shared" si="572"/>
        <v>19964.841614666362</v>
      </c>
      <c r="GH119" s="52">
        <f t="shared" si="573"/>
        <v>9982.4208073331938</v>
      </c>
      <c r="GI119" s="52">
        <f t="shared" si="574"/>
        <v>0</v>
      </c>
      <c r="GJ119" s="26"/>
      <c r="GL119" s="150">
        <f t="shared" si="575"/>
        <v>57122.45858773496</v>
      </c>
      <c r="GM119" s="150">
        <f t="shared" si="576"/>
        <v>18564.799041013859</v>
      </c>
      <c r="GN119" s="150">
        <f t="shared" si="577"/>
        <v>13996.517619937562</v>
      </c>
      <c r="GO119" s="150">
        <f t="shared" si="578"/>
        <v>16422.706843973781</v>
      </c>
      <c r="GP119" s="150">
        <f t="shared" si="579"/>
        <v>7140.3073234668436</v>
      </c>
      <c r="GQ119" s="150">
        <f t="shared" si="580"/>
        <v>17850.768308667131</v>
      </c>
      <c r="GR119" s="150">
        <f t="shared" si="581"/>
        <v>7140.3073234668491</v>
      </c>
      <c r="GS119" s="150">
        <f t="shared" si="582"/>
        <v>0</v>
      </c>
      <c r="GT119" s="150">
        <f t="shared" si="583"/>
        <v>5144.5967447050698</v>
      </c>
      <c r="GU119" s="150">
        <f t="shared" si="584"/>
        <v>28561.229293867429</v>
      </c>
      <c r="GV119" s="150">
        <f t="shared" si="585"/>
        <v>199915.04872805189</v>
      </c>
      <c r="GW119" s="150">
        <f t="shared" si="586"/>
        <v>30004.699086777495</v>
      </c>
      <c r="GX119" s="150">
        <f t="shared" si="587"/>
        <v>29275.260026214139</v>
      </c>
      <c r="GY119" s="150">
        <f t="shared" si="588"/>
        <v>68364.085829626827</v>
      </c>
      <c r="GZ119" s="150">
        <f t="shared" si="589"/>
        <v>53837.917218940202</v>
      </c>
      <c r="HA119" s="150">
        <f t="shared" si="590"/>
        <v>35701.53661733443</v>
      </c>
      <c r="HB119" s="150">
        <f t="shared" si="591"/>
        <v>49982.151264268206</v>
      </c>
      <c r="HC119" s="150">
        <f t="shared" si="592"/>
        <v>62120.673714162156</v>
      </c>
      <c r="HD119" s="150">
        <f t="shared" si="593"/>
        <v>15708.676111627152</v>
      </c>
      <c r="HE119" s="150">
        <f t="shared" si="594"/>
        <v>18149.021050057156</v>
      </c>
      <c r="HF119" s="150">
        <f t="shared" si="595"/>
        <v>32845.413687947592</v>
      </c>
      <c r="HG119" s="150">
        <f t="shared" si="596"/>
        <v>34731.619757803077</v>
      </c>
      <c r="HH119" s="150">
        <f t="shared" si="597"/>
        <v>71403.073234668729</v>
      </c>
      <c r="HI119" s="150">
        <f t="shared" si="598"/>
        <v>42841.843940801358</v>
      </c>
      <c r="HJ119" s="150">
        <f t="shared" si="599"/>
        <v>21420.921970400705</v>
      </c>
      <c r="HK119" s="150">
        <f t="shared" si="600"/>
        <v>0</v>
      </c>
      <c r="HL119" s="26"/>
      <c r="HN119" s="147">
        <f t="shared" si="601"/>
        <v>42090.232098562148</v>
      </c>
      <c r="HO119" s="147">
        <f t="shared" si="602"/>
        <v>13679.325432032696</v>
      </c>
      <c r="HP119" s="147">
        <f t="shared" si="603"/>
        <v>10313.223375880372</v>
      </c>
      <c r="HQ119" s="147">
        <f t="shared" si="604"/>
        <v>12100.941728336606</v>
      </c>
      <c r="HR119" s="147">
        <f t="shared" si="605"/>
        <v>5261.2790123202494</v>
      </c>
      <c r="HS119" s="147">
        <f t="shared" si="606"/>
        <v>13153.197530800639</v>
      </c>
      <c r="HT119" s="147">
        <f t="shared" si="607"/>
        <v>5261.279012320254</v>
      </c>
      <c r="HU119" s="147">
        <f t="shared" si="608"/>
        <v>0</v>
      </c>
      <c r="HV119" s="147">
        <f t="shared" si="609"/>
        <v>3790.7554470114746</v>
      </c>
      <c r="HW119" s="147">
        <f t="shared" si="610"/>
        <v>21045.116049281038</v>
      </c>
      <c r="HX119" s="147">
        <f t="shared" si="611"/>
        <v>147305.82347108179</v>
      </c>
      <c r="HY119" s="147">
        <f t="shared" si="612"/>
        <v>22108.725356599847</v>
      </c>
      <c r="HZ119" s="147">
        <f t="shared" si="613"/>
        <v>21571.243950513079</v>
      </c>
      <c r="IA119" s="147">
        <f t="shared" si="614"/>
        <v>50373.536274799808</v>
      </c>
      <c r="IB119" s="147">
        <f t="shared" si="615"/>
        <v>39670.043752894831</v>
      </c>
      <c r="IC119" s="147">
        <f t="shared" si="616"/>
        <v>26306.395061601404</v>
      </c>
      <c r="ID119" s="147">
        <f t="shared" si="617"/>
        <v>36828.953086241971</v>
      </c>
      <c r="IE119" s="147">
        <f t="shared" si="618"/>
        <v>45773.127407186621</v>
      </c>
      <c r="IF119" s="147">
        <f t="shared" si="619"/>
        <v>11574.813827104619</v>
      </c>
      <c r="IG119" s="147">
        <f t="shared" si="620"/>
        <v>13372.962705821205</v>
      </c>
      <c r="IH119" s="147">
        <f t="shared" si="621"/>
        <v>24201.883456673229</v>
      </c>
      <c r="II119" s="147">
        <f t="shared" si="622"/>
        <v>25591.71949014852</v>
      </c>
      <c r="IJ119" s="147">
        <f t="shared" si="623"/>
        <v>52612.790123202707</v>
      </c>
      <c r="IK119" s="147">
        <f t="shared" si="624"/>
        <v>31567.674073921717</v>
      </c>
      <c r="IL119" s="147">
        <f t="shared" si="625"/>
        <v>15783.837036960878</v>
      </c>
      <c r="IM119" s="147">
        <f t="shared" si="626"/>
        <v>0</v>
      </c>
      <c r="IN119" s="26"/>
      <c r="IP119" s="61">
        <f t="shared" si="627"/>
        <v>27058.006903840404</v>
      </c>
      <c r="IQ119" s="61">
        <f t="shared" si="628"/>
        <v>8793.8522437481297</v>
      </c>
      <c r="IR119" s="61">
        <f t="shared" si="629"/>
        <v>6629.9294489980302</v>
      </c>
      <c r="IS119" s="61">
        <f t="shared" si="630"/>
        <v>7779.176984854108</v>
      </c>
      <c r="IT119" s="61">
        <f t="shared" si="631"/>
        <v>3382.2508629800386</v>
      </c>
      <c r="IU119" s="61">
        <f t="shared" si="632"/>
        <v>8455.6271574501061</v>
      </c>
      <c r="IV119" s="61">
        <f t="shared" si="633"/>
        <v>3382.2508629800409</v>
      </c>
      <c r="IW119" s="61">
        <f t="shared" si="634"/>
        <v>0</v>
      </c>
      <c r="IX119" s="61">
        <f t="shared" si="635"/>
        <v>2436.9142658994988</v>
      </c>
      <c r="IY119" s="61">
        <f t="shared" si="636"/>
        <v>13529.00345192018</v>
      </c>
      <c r="IZ119" s="61">
        <f t="shared" si="637"/>
        <v>94696.602744383228</v>
      </c>
      <c r="JA119" s="61">
        <f t="shared" si="638"/>
        <v>14212.752306358174</v>
      </c>
      <c r="JB119" s="61">
        <f t="shared" si="639"/>
        <v>13867.228538218194</v>
      </c>
      <c r="JC119" s="61">
        <f t="shared" si="640"/>
        <v>32382.988269170179</v>
      </c>
      <c r="JD119" s="61">
        <f t="shared" si="641"/>
        <v>25502.171506869585</v>
      </c>
      <c r="JE119" s="61">
        <f t="shared" si="642"/>
        <v>16911.254314900292</v>
      </c>
      <c r="JF119" s="61">
        <f t="shared" si="643"/>
        <v>23675.756040860411</v>
      </c>
      <c r="JG119" s="61">
        <f t="shared" si="644"/>
        <v>29425.582507926625</v>
      </c>
      <c r="JH119" s="61">
        <f t="shared" si="645"/>
        <v>7440.9518985561299</v>
      </c>
      <c r="JI119" s="61">
        <f t="shared" si="646"/>
        <v>8596.9047728599126</v>
      </c>
      <c r="JJ119" s="61">
        <f t="shared" si="647"/>
        <v>15558.353969708229</v>
      </c>
      <c r="JK119" s="61">
        <f t="shared" si="648"/>
        <v>16451.820009546609</v>
      </c>
      <c r="JL119" s="61">
        <f t="shared" si="649"/>
        <v>33822.508629800519</v>
      </c>
      <c r="JM119" s="61">
        <f t="shared" si="650"/>
        <v>20293.505177880368</v>
      </c>
      <c r="JN119" s="61">
        <f t="shared" si="651"/>
        <v>10146.752588940197</v>
      </c>
      <c r="JO119" s="61">
        <f t="shared" si="652"/>
        <v>0</v>
      </c>
      <c r="JQ119" s="26">
        <f t="shared" si="711"/>
        <v>2511250.9999999995</v>
      </c>
      <c r="JR119" s="156">
        <f t="shared" si="712"/>
        <v>0.99999999999999978</v>
      </c>
      <c r="JT119" s="157">
        <f t="shared" si="653"/>
        <v>152890.48640969259</v>
      </c>
      <c r="JU119" s="29">
        <f t="shared" si="654"/>
        <v>1</v>
      </c>
    </row>
    <row r="120" spans="1:281" ht="18.75" x14ac:dyDescent="0.3">
      <c r="A120" t="s">
        <v>234</v>
      </c>
      <c r="B120" t="s">
        <v>196</v>
      </c>
      <c r="C120" t="s">
        <v>74</v>
      </c>
      <c r="D120" t="s">
        <v>29</v>
      </c>
      <c r="E120" s="12" t="s">
        <v>280</v>
      </c>
      <c r="F120" s="114">
        <v>10237.000000110698</v>
      </c>
      <c r="G120" s="17">
        <v>3222198.1200348432</v>
      </c>
      <c r="H120" s="21">
        <v>2386813.4222480319</v>
      </c>
      <c r="I120" s="25">
        <f t="shared" si="434"/>
        <v>1.35</v>
      </c>
      <c r="J120" s="13">
        <v>0</v>
      </c>
      <c r="K120" s="13">
        <v>0</v>
      </c>
      <c r="L120" s="13">
        <v>0</v>
      </c>
      <c r="M120" s="13">
        <v>7.472892448959674E-2</v>
      </c>
      <c r="N120" s="13">
        <v>0</v>
      </c>
      <c r="O120" s="13">
        <v>6.8379408029696193E-2</v>
      </c>
      <c r="P120" s="13">
        <v>0</v>
      </c>
      <c r="Q120" s="13">
        <v>0</v>
      </c>
      <c r="R120" s="13">
        <v>6.2518315912865149E-2</v>
      </c>
      <c r="S120" s="13">
        <v>0.19927713197225841</v>
      </c>
      <c r="T120" s="13">
        <v>3.7901729022174459E-2</v>
      </c>
      <c r="U120" s="13">
        <v>0</v>
      </c>
      <c r="V120" s="13">
        <v>0</v>
      </c>
      <c r="W120" s="13">
        <v>0</v>
      </c>
      <c r="X120" s="13">
        <v>0.42043567451401631</v>
      </c>
      <c r="Y120" s="13">
        <v>0</v>
      </c>
      <c r="Z120" s="13">
        <v>0</v>
      </c>
      <c r="AA120" s="13">
        <v>0</v>
      </c>
      <c r="AB120" s="13">
        <v>6.8379408029696212E-3</v>
      </c>
      <c r="AC120" s="13">
        <v>0</v>
      </c>
      <c r="AD120" s="13">
        <v>0</v>
      </c>
      <c r="AE120" s="13">
        <v>0</v>
      </c>
      <c r="AF120" s="13">
        <v>0.1299208752564231</v>
      </c>
      <c r="AG120" s="9">
        <v>0</v>
      </c>
      <c r="AH120" s="13">
        <v>0</v>
      </c>
      <c r="AJ120" s="8">
        <f t="shared" si="656"/>
        <v>1</v>
      </c>
      <c r="AK120" s="141">
        <f t="shared" si="435"/>
        <v>0</v>
      </c>
      <c r="AL120" s="141">
        <f t="shared" si="436"/>
        <v>0</v>
      </c>
      <c r="AM120" s="141">
        <f t="shared" si="437"/>
        <v>0</v>
      </c>
      <c r="AN120" s="141">
        <f t="shared" si="438"/>
        <v>765.00000000827424</v>
      </c>
      <c r="AO120" s="141">
        <f t="shared" si="439"/>
        <v>0</v>
      </c>
      <c r="AP120" s="141">
        <f t="shared" si="440"/>
        <v>700.00000000756938</v>
      </c>
      <c r="AQ120" s="141">
        <f t="shared" si="441"/>
        <v>0</v>
      </c>
      <c r="AR120" s="141">
        <f t="shared" si="442"/>
        <v>0</v>
      </c>
      <c r="AS120" s="141">
        <f t="shared" si="443"/>
        <v>640.00000000692125</v>
      </c>
      <c r="AT120" s="141">
        <f t="shared" si="444"/>
        <v>2040.0000000220689</v>
      </c>
      <c r="AU120" s="141">
        <f t="shared" si="445"/>
        <v>388.00000000419561</v>
      </c>
      <c r="AV120" s="141">
        <f t="shared" si="446"/>
        <v>0</v>
      </c>
      <c r="AW120" s="141">
        <f t="shared" si="447"/>
        <v>0</v>
      </c>
      <c r="AX120" s="141">
        <f t="shared" si="448"/>
        <v>0</v>
      </c>
      <c r="AY120" s="141">
        <f t="shared" si="449"/>
        <v>4304.0000000465261</v>
      </c>
      <c r="AZ120" s="141">
        <f t="shared" si="450"/>
        <v>0</v>
      </c>
      <c r="BA120" s="141">
        <f t="shared" si="451"/>
        <v>0</v>
      </c>
      <c r="BB120" s="141">
        <f t="shared" si="452"/>
        <v>0</v>
      </c>
      <c r="BC120" s="141">
        <f t="shared" si="453"/>
        <v>70.000000000756955</v>
      </c>
      <c r="BD120" s="141">
        <f t="shared" si="454"/>
        <v>0</v>
      </c>
      <c r="BE120" s="141">
        <f t="shared" si="455"/>
        <v>0</v>
      </c>
      <c r="BF120" s="141">
        <f t="shared" si="456"/>
        <v>0</v>
      </c>
      <c r="BG120" s="141">
        <f t="shared" si="457"/>
        <v>1330.0000000143853</v>
      </c>
      <c r="BH120" s="141">
        <f t="shared" si="458"/>
        <v>0</v>
      </c>
      <c r="BI120" s="141">
        <f t="shared" si="459"/>
        <v>0</v>
      </c>
      <c r="BJ120" s="141">
        <f t="shared" si="460"/>
        <v>0</v>
      </c>
      <c r="BM120" s="26">
        <f t="shared" si="657"/>
        <v>0</v>
      </c>
      <c r="BN120" s="26">
        <f t="shared" si="658"/>
        <v>0</v>
      </c>
      <c r="BO120" s="26">
        <f t="shared" si="659"/>
        <v>0</v>
      </c>
      <c r="BP120" s="26">
        <f t="shared" si="660"/>
        <v>240791.40000260438</v>
      </c>
      <c r="BQ120" s="26">
        <f t="shared" si="661"/>
        <v>0</v>
      </c>
      <c r="BR120" s="26">
        <f t="shared" si="662"/>
        <v>220332.00000238253</v>
      </c>
      <c r="BS120" s="26">
        <f t="shared" si="663"/>
        <v>0</v>
      </c>
      <c r="BT120" s="26">
        <f t="shared" si="664"/>
        <v>0</v>
      </c>
      <c r="BU120" s="26">
        <f t="shared" si="665"/>
        <v>201446.4000021785</v>
      </c>
      <c r="BV120" s="26">
        <f t="shared" si="666"/>
        <v>642110.40000694641</v>
      </c>
      <c r="BW120" s="26">
        <f t="shared" si="667"/>
        <v>122126.88000132059</v>
      </c>
      <c r="BX120" s="26">
        <f t="shared" si="668"/>
        <v>0</v>
      </c>
      <c r="BY120" s="26">
        <f t="shared" si="669"/>
        <v>0</v>
      </c>
      <c r="BZ120" s="26">
        <f t="shared" si="670"/>
        <v>0</v>
      </c>
      <c r="CA120" s="26">
        <f t="shared" si="671"/>
        <v>1354727.0400146446</v>
      </c>
      <c r="CB120" s="26">
        <f t="shared" si="672"/>
        <v>0</v>
      </c>
      <c r="CC120" s="26">
        <f t="shared" si="673"/>
        <v>0</v>
      </c>
      <c r="CD120" s="26">
        <f t="shared" si="674"/>
        <v>0</v>
      </c>
      <c r="CE120" s="26">
        <f t="shared" si="675"/>
        <v>22033.200000238259</v>
      </c>
      <c r="CF120" s="26">
        <f t="shared" si="676"/>
        <v>0</v>
      </c>
      <c r="CG120" s="26">
        <f t="shared" si="677"/>
        <v>0</v>
      </c>
      <c r="CH120" s="26">
        <f t="shared" si="678"/>
        <v>0</v>
      </c>
      <c r="CI120" s="26">
        <f t="shared" si="679"/>
        <v>418630.8000045279</v>
      </c>
      <c r="CJ120" s="26">
        <f t="shared" si="680"/>
        <v>0</v>
      </c>
      <c r="CK120" s="26">
        <f t="shared" si="681"/>
        <v>0</v>
      </c>
      <c r="CL120" s="26">
        <f t="shared" si="682"/>
        <v>0</v>
      </c>
      <c r="CM120" s="110">
        <f t="shared" si="683"/>
        <v>1</v>
      </c>
      <c r="CN120" s="27">
        <f t="shared" si="684"/>
        <v>0</v>
      </c>
      <c r="CO120" s="27">
        <f t="shared" si="685"/>
        <v>0</v>
      </c>
      <c r="CP120" s="27">
        <f t="shared" si="686"/>
        <v>0</v>
      </c>
      <c r="CQ120" s="27">
        <f t="shared" si="687"/>
        <v>178364.00000192915</v>
      </c>
      <c r="CR120" s="27">
        <f t="shared" si="688"/>
        <v>0</v>
      </c>
      <c r="CS120" s="27">
        <f t="shared" si="689"/>
        <v>163208.88889065373</v>
      </c>
      <c r="CT120" s="27">
        <f t="shared" si="690"/>
        <v>0</v>
      </c>
      <c r="CU120" s="27">
        <f t="shared" si="691"/>
        <v>0</v>
      </c>
      <c r="CV120" s="27">
        <f t="shared" si="692"/>
        <v>149219.55555716925</v>
      </c>
      <c r="CW120" s="27">
        <f t="shared" si="693"/>
        <v>475637.33333847881</v>
      </c>
      <c r="CX120" s="27">
        <f t="shared" si="694"/>
        <v>90464.355556533774</v>
      </c>
      <c r="CY120" s="27">
        <f t="shared" si="695"/>
        <v>0</v>
      </c>
      <c r="CZ120" s="27">
        <f t="shared" si="696"/>
        <v>0</v>
      </c>
      <c r="DA120" s="27">
        <f t="shared" si="697"/>
        <v>0</v>
      </c>
      <c r="DB120" s="27">
        <f t="shared" si="698"/>
        <v>1003501.511121959</v>
      </c>
      <c r="DC120" s="27">
        <f t="shared" si="699"/>
        <v>0</v>
      </c>
      <c r="DD120" s="27">
        <f t="shared" si="700"/>
        <v>0</v>
      </c>
      <c r="DE120" s="27">
        <f t="shared" si="701"/>
        <v>0</v>
      </c>
      <c r="DF120" s="27">
        <f t="shared" si="702"/>
        <v>16320.888889065376</v>
      </c>
      <c r="DG120" s="27">
        <f t="shared" si="703"/>
        <v>0</v>
      </c>
      <c r="DH120" s="27">
        <f t="shared" si="704"/>
        <v>0</v>
      </c>
      <c r="DI120" s="27">
        <f t="shared" si="705"/>
        <v>0</v>
      </c>
      <c r="DJ120" s="27">
        <f t="shared" si="706"/>
        <v>310096.88889224286</v>
      </c>
      <c r="DK120" s="27">
        <f t="shared" si="707"/>
        <v>0</v>
      </c>
      <c r="DL120" s="27">
        <f t="shared" si="708"/>
        <v>0</v>
      </c>
      <c r="DM120" s="27">
        <f t="shared" si="709"/>
        <v>0</v>
      </c>
      <c r="DN120" s="110">
        <f t="shared" si="710"/>
        <v>1</v>
      </c>
      <c r="DO120" s="28">
        <f t="shared" si="518"/>
        <v>0</v>
      </c>
      <c r="DP120" s="28">
        <f t="shared" si="519"/>
        <v>0</v>
      </c>
      <c r="DQ120" s="28">
        <f t="shared" si="520"/>
        <v>0</v>
      </c>
      <c r="DR120" s="28">
        <f t="shared" si="521"/>
        <v>62427.400000675232</v>
      </c>
      <c r="DS120" s="28">
        <f t="shared" si="522"/>
        <v>0</v>
      </c>
      <c r="DT120" s="28">
        <f t="shared" si="523"/>
        <v>57123.111111728795</v>
      </c>
      <c r="DU120" s="28">
        <f t="shared" si="524"/>
        <v>0</v>
      </c>
      <c r="DV120" s="28">
        <f t="shared" si="525"/>
        <v>0</v>
      </c>
      <c r="DW120" s="28">
        <f t="shared" si="526"/>
        <v>52226.84444500925</v>
      </c>
      <c r="DX120" s="28">
        <f t="shared" si="527"/>
        <v>166473.0666684676</v>
      </c>
      <c r="DY120" s="28">
        <f t="shared" si="528"/>
        <v>31662.524444786817</v>
      </c>
      <c r="DZ120" s="28">
        <f t="shared" si="529"/>
        <v>0</v>
      </c>
      <c r="EA120" s="28">
        <f t="shared" si="530"/>
        <v>0</v>
      </c>
      <c r="EB120" s="28">
        <f t="shared" si="531"/>
        <v>0</v>
      </c>
      <c r="EC120" s="28">
        <f t="shared" si="532"/>
        <v>351225.52889268566</v>
      </c>
      <c r="ED120" s="28">
        <f t="shared" si="533"/>
        <v>0</v>
      </c>
      <c r="EE120" s="28">
        <f t="shared" si="534"/>
        <v>0</v>
      </c>
      <c r="EF120" s="28">
        <f t="shared" si="535"/>
        <v>0</v>
      </c>
      <c r="EG120" s="28">
        <f t="shared" si="536"/>
        <v>5712.3111111728831</v>
      </c>
      <c r="EH120" s="28">
        <f t="shared" si="537"/>
        <v>0</v>
      </c>
      <c r="EI120" s="28">
        <f t="shared" si="538"/>
        <v>0</v>
      </c>
      <c r="EJ120" s="28">
        <f t="shared" si="539"/>
        <v>0</v>
      </c>
      <c r="EK120" s="28">
        <f t="shared" si="540"/>
        <v>108533.91111228504</v>
      </c>
      <c r="EL120" s="28">
        <f t="shared" si="541"/>
        <v>0</v>
      </c>
      <c r="EM120" s="28">
        <f t="shared" si="542"/>
        <v>0</v>
      </c>
      <c r="EN120" s="28">
        <f t="shared" si="543"/>
        <v>0</v>
      </c>
      <c r="EQ120" s="144">
        <v>0</v>
      </c>
      <c r="ER120" s="144">
        <v>0</v>
      </c>
      <c r="ES120" s="144">
        <v>7.0000000000000007E-2</v>
      </c>
      <c r="ET120" s="144">
        <v>0.15</v>
      </c>
      <c r="EU120" s="144">
        <v>0.14000000000000001</v>
      </c>
      <c r="EV120" s="144">
        <v>0.17</v>
      </c>
      <c r="EW120" s="144">
        <v>0.17</v>
      </c>
      <c r="EX120" s="144">
        <v>0.15</v>
      </c>
      <c r="EY120" s="144">
        <v>0.06</v>
      </c>
      <c r="EZ120" s="144">
        <v>0.06</v>
      </c>
      <c r="FA120" s="144">
        <v>0.03</v>
      </c>
      <c r="FB120" s="144">
        <v>0</v>
      </c>
      <c r="FC120" s="145">
        <f t="shared" si="544"/>
        <v>1.0000000000000002</v>
      </c>
      <c r="FD120" s="146">
        <f t="shared" si="545"/>
        <v>7.0000000000000007E-2</v>
      </c>
      <c r="FE120" s="146">
        <f t="shared" si="546"/>
        <v>0.46000000000000008</v>
      </c>
      <c r="FF120" s="146">
        <f t="shared" si="547"/>
        <v>0.38</v>
      </c>
      <c r="FG120" s="146">
        <f t="shared" si="548"/>
        <v>0.09</v>
      </c>
      <c r="FH120" s="145">
        <f t="shared" si="655"/>
        <v>1</v>
      </c>
      <c r="FJ120" s="52">
        <f t="shared" si="549"/>
        <v>0</v>
      </c>
      <c r="FK120" s="52">
        <f t="shared" si="550"/>
        <v>0</v>
      </c>
      <c r="FL120" s="52">
        <f t="shared" si="551"/>
        <v>0</v>
      </c>
      <c r="FM120" s="52">
        <f t="shared" si="552"/>
        <v>16855.398000182307</v>
      </c>
      <c r="FN120" s="52">
        <f t="shared" si="553"/>
        <v>0</v>
      </c>
      <c r="FO120" s="52">
        <f t="shared" si="554"/>
        <v>15423.240000166777</v>
      </c>
      <c r="FP120" s="52">
        <f t="shared" si="555"/>
        <v>0</v>
      </c>
      <c r="FQ120" s="52">
        <f t="shared" si="556"/>
        <v>0</v>
      </c>
      <c r="FR120" s="52">
        <f t="shared" si="557"/>
        <v>14101.248000152496</v>
      </c>
      <c r="FS120" s="52">
        <f t="shared" si="558"/>
        <v>44947.728000486255</v>
      </c>
      <c r="FT120" s="52">
        <f t="shared" si="559"/>
        <v>8548.8816000924417</v>
      </c>
      <c r="FU120" s="52">
        <f t="shared" si="560"/>
        <v>0</v>
      </c>
      <c r="FV120" s="52">
        <f t="shared" si="561"/>
        <v>0</v>
      </c>
      <c r="FW120" s="52">
        <f t="shared" si="562"/>
        <v>0</v>
      </c>
      <c r="FX120" s="52">
        <f t="shared" si="563"/>
        <v>94830.892801025126</v>
      </c>
      <c r="FY120" s="52">
        <f t="shared" si="564"/>
        <v>0</v>
      </c>
      <c r="FZ120" s="52">
        <f t="shared" si="565"/>
        <v>0</v>
      </c>
      <c r="GA120" s="52">
        <f t="shared" si="566"/>
        <v>0</v>
      </c>
      <c r="GB120" s="52">
        <f t="shared" si="567"/>
        <v>1542.3240000166784</v>
      </c>
      <c r="GC120" s="52">
        <f t="shared" si="568"/>
        <v>0</v>
      </c>
      <c r="GD120" s="52">
        <f t="shared" si="569"/>
        <v>0</v>
      </c>
      <c r="GE120" s="52">
        <f t="shared" si="570"/>
        <v>0</v>
      </c>
      <c r="GF120" s="52">
        <f t="shared" si="571"/>
        <v>29304.156000316954</v>
      </c>
      <c r="GG120" s="52">
        <f t="shared" si="572"/>
        <v>0</v>
      </c>
      <c r="GH120" s="52">
        <f t="shared" si="573"/>
        <v>0</v>
      </c>
      <c r="GI120" s="52">
        <f t="shared" si="574"/>
        <v>0</v>
      </c>
      <c r="GJ120" s="26"/>
      <c r="GL120" s="150">
        <f t="shared" si="575"/>
        <v>0</v>
      </c>
      <c r="GM120" s="150">
        <f t="shared" si="576"/>
        <v>0</v>
      </c>
      <c r="GN120" s="150">
        <f t="shared" si="577"/>
        <v>0</v>
      </c>
      <c r="GO120" s="150">
        <f t="shared" si="578"/>
        <v>110764.04400119804</v>
      </c>
      <c r="GP120" s="150">
        <f t="shared" si="579"/>
        <v>0</v>
      </c>
      <c r="GQ120" s="150">
        <f t="shared" si="580"/>
        <v>101352.72000109598</v>
      </c>
      <c r="GR120" s="150">
        <f t="shared" si="581"/>
        <v>0</v>
      </c>
      <c r="GS120" s="150">
        <f t="shared" si="582"/>
        <v>0</v>
      </c>
      <c r="GT120" s="150">
        <f t="shared" si="583"/>
        <v>92665.34400100213</v>
      </c>
      <c r="GU120" s="150">
        <f t="shared" si="584"/>
        <v>295370.78400319541</v>
      </c>
      <c r="GV120" s="150">
        <f t="shared" si="585"/>
        <v>56178.36480060748</v>
      </c>
      <c r="GW120" s="150">
        <f t="shared" si="586"/>
        <v>0</v>
      </c>
      <c r="GX120" s="150">
        <f t="shared" si="587"/>
        <v>0</v>
      </c>
      <c r="GY120" s="150">
        <f t="shared" si="588"/>
        <v>0</v>
      </c>
      <c r="GZ120" s="150">
        <f t="shared" si="589"/>
        <v>623174.43840673659</v>
      </c>
      <c r="HA120" s="150">
        <f t="shared" si="590"/>
        <v>0</v>
      </c>
      <c r="HB120" s="150">
        <f t="shared" si="591"/>
        <v>0</v>
      </c>
      <c r="HC120" s="150">
        <f t="shared" si="592"/>
        <v>0</v>
      </c>
      <c r="HD120" s="150">
        <f t="shared" si="593"/>
        <v>10135.2720001096</v>
      </c>
      <c r="HE120" s="150">
        <f t="shared" si="594"/>
        <v>0</v>
      </c>
      <c r="HF120" s="150">
        <f t="shared" si="595"/>
        <v>0</v>
      </c>
      <c r="HG120" s="150">
        <f t="shared" si="596"/>
        <v>0</v>
      </c>
      <c r="HH120" s="150">
        <f t="shared" si="597"/>
        <v>192570.16800208288</v>
      </c>
      <c r="HI120" s="150">
        <f t="shared" si="598"/>
        <v>0</v>
      </c>
      <c r="HJ120" s="150">
        <f t="shared" si="599"/>
        <v>0</v>
      </c>
      <c r="HK120" s="150">
        <f t="shared" si="600"/>
        <v>0</v>
      </c>
      <c r="HL120" s="26"/>
      <c r="HN120" s="147">
        <f t="shared" si="601"/>
        <v>0</v>
      </c>
      <c r="HO120" s="147">
        <f t="shared" si="602"/>
        <v>0</v>
      </c>
      <c r="HP120" s="147">
        <f t="shared" si="603"/>
        <v>0</v>
      </c>
      <c r="HQ120" s="147">
        <f t="shared" si="604"/>
        <v>91500.732000989665</v>
      </c>
      <c r="HR120" s="147">
        <f t="shared" si="605"/>
        <v>0</v>
      </c>
      <c r="HS120" s="147">
        <f t="shared" si="606"/>
        <v>83726.160000905365</v>
      </c>
      <c r="HT120" s="147">
        <f t="shared" si="607"/>
        <v>0</v>
      </c>
      <c r="HU120" s="147">
        <f t="shared" si="608"/>
        <v>0</v>
      </c>
      <c r="HV120" s="147">
        <f t="shared" si="609"/>
        <v>76549.632000827827</v>
      </c>
      <c r="HW120" s="147">
        <f t="shared" si="610"/>
        <v>244001.95200263965</v>
      </c>
      <c r="HX120" s="147">
        <f t="shared" si="611"/>
        <v>46408.214400501827</v>
      </c>
      <c r="HY120" s="147">
        <f t="shared" si="612"/>
        <v>0</v>
      </c>
      <c r="HZ120" s="147">
        <f t="shared" si="613"/>
        <v>0</v>
      </c>
      <c r="IA120" s="147">
        <f t="shared" si="614"/>
        <v>0</v>
      </c>
      <c r="IB120" s="147">
        <f t="shared" si="615"/>
        <v>514796.27520556498</v>
      </c>
      <c r="IC120" s="147">
        <f t="shared" si="616"/>
        <v>0</v>
      </c>
      <c r="ID120" s="147">
        <f t="shared" si="617"/>
        <v>0</v>
      </c>
      <c r="IE120" s="147">
        <f t="shared" si="618"/>
        <v>0</v>
      </c>
      <c r="IF120" s="147">
        <f t="shared" si="619"/>
        <v>8372.6160000905384</v>
      </c>
      <c r="IG120" s="147">
        <f t="shared" si="620"/>
        <v>0</v>
      </c>
      <c r="IH120" s="147">
        <f t="shared" si="621"/>
        <v>0</v>
      </c>
      <c r="II120" s="147">
        <f t="shared" si="622"/>
        <v>0</v>
      </c>
      <c r="IJ120" s="147">
        <f t="shared" si="623"/>
        <v>159079.70400172062</v>
      </c>
      <c r="IK120" s="147">
        <f t="shared" si="624"/>
        <v>0</v>
      </c>
      <c r="IL120" s="147">
        <f t="shared" si="625"/>
        <v>0</v>
      </c>
      <c r="IM120" s="147">
        <f t="shared" si="626"/>
        <v>0</v>
      </c>
      <c r="IN120" s="26"/>
      <c r="IP120" s="61">
        <f t="shared" si="627"/>
        <v>0</v>
      </c>
      <c r="IQ120" s="61">
        <f t="shared" si="628"/>
        <v>0</v>
      </c>
      <c r="IR120" s="61">
        <f t="shared" si="629"/>
        <v>0</v>
      </c>
      <c r="IS120" s="61">
        <f t="shared" si="630"/>
        <v>21671.226000234394</v>
      </c>
      <c r="IT120" s="61">
        <f t="shared" si="631"/>
        <v>0</v>
      </c>
      <c r="IU120" s="61">
        <f t="shared" si="632"/>
        <v>19829.880000214427</v>
      </c>
      <c r="IV120" s="61">
        <f t="shared" si="633"/>
        <v>0</v>
      </c>
      <c r="IW120" s="61">
        <f t="shared" si="634"/>
        <v>0</v>
      </c>
      <c r="IX120" s="61">
        <f t="shared" si="635"/>
        <v>18130.176000196065</v>
      </c>
      <c r="IY120" s="61">
        <f t="shared" si="636"/>
        <v>57789.936000625174</v>
      </c>
      <c r="IZ120" s="61">
        <f t="shared" si="637"/>
        <v>10991.419200118853</v>
      </c>
      <c r="JA120" s="61">
        <f t="shared" si="638"/>
        <v>0</v>
      </c>
      <c r="JB120" s="61">
        <f t="shared" si="639"/>
        <v>0</v>
      </c>
      <c r="JC120" s="61">
        <f t="shared" si="640"/>
        <v>0</v>
      </c>
      <c r="JD120" s="61">
        <f t="shared" si="641"/>
        <v>121925.43360131801</v>
      </c>
      <c r="JE120" s="61">
        <f t="shared" si="642"/>
        <v>0</v>
      </c>
      <c r="JF120" s="61">
        <f t="shared" si="643"/>
        <v>0</v>
      </c>
      <c r="JG120" s="61">
        <f t="shared" si="644"/>
        <v>0</v>
      </c>
      <c r="JH120" s="61">
        <f t="shared" si="645"/>
        <v>1982.9880000214432</v>
      </c>
      <c r="JI120" s="61">
        <f t="shared" si="646"/>
        <v>0</v>
      </c>
      <c r="JJ120" s="61">
        <f t="shared" si="647"/>
        <v>0</v>
      </c>
      <c r="JK120" s="61">
        <f t="shared" si="648"/>
        <v>0</v>
      </c>
      <c r="JL120" s="61">
        <f t="shared" si="649"/>
        <v>37676.772000407509</v>
      </c>
      <c r="JM120" s="61">
        <f t="shared" si="650"/>
        <v>0</v>
      </c>
      <c r="JN120" s="61">
        <f t="shared" si="651"/>
        <v>0</v>
      </c>
      <c r="JO120" s="61">
        <f t="shared" si="652"/>
        <v>0</v>
      </c>
      <c r="JQ120" s="26">
        <f t="shared" si="711"/>
        <v>3222198.1200348437</v>
      </c>
      <c r="JR120" s="156">
        <f t="shared" si="712"/>
        <v>1.0000000000000002</v>
      </c>
      <c r="JT120" s="157">
        <f t="shared" si="653"/>
        <v>0</v>
      </c>
      <c r="JU120" s="29">
        <f t="shared" si="654"/>
        <v>0</v>
      </c>
    </row>
    <row r="121" spans="1:281" ht="18.75" x14ac:dyDescent="0.3">
      <c r="A121" t="s">
        <v>234</v>
      </c>
      <c r="B121" t="s">
        <v>197</v>
      </c>
      <c r="C121" t="s">
        <v>74</v>
      </c>
      <c r="D121" t="s">
        <v>29</v>
      </c>
      <c r="E121" s="11" t="s">
        <v>281</v>
      </c>
      <c r="F121" s="114">
        <v>5085</v>
      </c>
      <c r="G121" s="17">
        <v>1889383</v>
      </c>
      <c r="H121" s="21">
        <v>1203518</v>
      </c>
      <c r="I121" s="25">
        <f t="shared" si="434"/>
        <v>1.5698834583280017</v>
      </c>
      <c r="J121" s="13">
        <v>5.9979103627431272E-2</v>
      </c>
      <c r="K121" s="13">
        <v>2.0451891072960186E-2</v>
      </c>
      <c r="L121" s="13">
        <v>1.4724484894596703E-2</v>
      </c>
      <c r="M121" s="13">
        <v>1.769875189006179E-2</v>
      </c>
      <c r="N121" s="13">
        <v>3.9330559755692811E-3</v>
      </c>
      <c r="O121" s="13">
        <v>2.4581599847308004E-2</v>
      </c>
      <c r="P121" s="13">
        <v>4.5230143719046665E-3</v>
      </c>
      <c r="Q121" s="13">
        <v>0</v>
      </c>
      <c r="R121" s="13">
        <v>6.8828479572461887E-3</v>
      </c>
      <c r="S121" s="13">
        <v>3.1464447804554166E-2</v>
      </c>
      <c r="T121" s="13">
        <v>0.22615071859523311</v>
      </c>
      <c r="U121" s="13">
        <v>3.1505250524703633E-2</v>
      </c>
      <c r="V121" s="13">
        <v>2.1631807865630855E-2</v>
      </c>
      <c r="W121" s="13">
        <v>7.1892323373149131E-2</v>
      </c>
      <c r="X121" s="13">
        <v>4.9163199694616043E-2</v>
      </c>
      <c r="Y121" s="13">
        <v>4.306696293248357E-2</v>
      </c>
      <c r="Z121" s="13">
        <v>5.1129727682400428E-2</v>
      </c>
      <c r="AA121" s="13">
        <v>5.8995839633538903E-2</v>
      </c>
      <c r="AB121" s="13">
        <v>1.7698751890061724E-2</v>
      </c>
      <c r="AC121" s="13">
        <v>1.8682015883953938E-2</v>
      </c>
      <c r="AD121" s="13">
        <v>4.9163199694615717E-2</v>
      </c>
      <c r="AE121" s="13">
        <v>3.736403176790784E-2</v>
      </c>
      <c r="AF121" s="13">
        <v>7.8354605398749222E-2</v>
      </c>
      <c r="AG121" s="13">
        <v>4.129708774347729E-2</v>
      </c>
      <c r="AH121" s="13">
        <v>1.9665279877846397E-2</v>
      </c>
      <c r="AJ121" s="8">
        <f t="shared" si="656"/>
        <v>1.0000000000000002</v>
      </c>
      <c r="AK121" s="141">
        <f t="shared" si="435"/>
        <v>304.99374194548801</v>
      </c>
      <c r="AL121" s="141">
        <f t="shared" si="436"/>
        <v>103.99786610600255</v>
      </c>
      <c r="AM121" s="141">
        <f t="shared" si="437"/>
        <v>74.874005689024244</v>
      </c>
      <c r="AN121" s="141">
        <f t="shared" si="438"/>
        <v>89.99815336096421</v>
      </c>
      <c r="AO121" s="141">
        <f t="shared" si="439"/>
        <v>19.999589635769794</v>
      </c>
      <c r="AP121" s="141">
        <f t="shared" si="440"/>
        <v>124.9974352235612</v>
      </c>
      <c r="AQ121" s="141">
        <f t="shared" si="441"/>
        <v>22.999528081135228</v>
      </c>
      <c r="AR121" s="141">
        <f t="shared" si="442"/>
        <v>0</v>
      </c>
      <c r="AS121" s="141">
        <f t="shared" si="443"/>
        <v>34.999281862596867</v>
      </c>
      <c r="AT121" s="141">
        <f t="shared" si="444"/>
        <v>159.99671708615793</v>
      </c>
      <c r="AU121" s="141">
        <f t="shared" si="445"/>
        <v>1149.9764040567604</v>
      </c>
      <c r="AV121" s="141">
        <f t="shared" si="446"/>
        <v>160.20419891811798</v>
      </c>
      <c r="AW121" s="141">
        <f t="shared" si="447"/>
        <v>109.9977429967329</v>
      </c>
      <c r="AX121" s="141">
        <f t="shared" si="448"/>
        <v>365.57246435246333</v>
      </c>
      <c r="AY121" s="141">
        <f t="shared" si="449"/>
        <v>249.99487044712257</v>
      </c>
      <c r="AZ121" s="141">
        <f t="shared" si="450"/>
        <v>218.99550651167894</v>
      </c>
      <c r="BA121" s="141">
        <f t="shared" si="451"/>
        <v>259.99466526500618</v>
      </c>
      <c r="BB121" s="141">
        <f t="shared" si="452"/>
        <v>299.99384453654534</v>
      </c>
      <c r="BC121" s="141">
        <f t="shared" si="453"/>
        <v>89.998153360963869</v>
      </c>
      <c r="BD121" s="141">
        <f t="shared" si="454"/>
        <v>94.998050769905774</v>
      </c>
      <c r="BE121" s="141">
        <f t="shared" si="455"/>
        <v>249.99487044712092</v>
      </c>
      <c r="BF121" s="141">
        <f t="shared" si="456"/>
        <v>189.99610153981138</v>
      </c>
      <c r="BG121" s="141">
        <f t="shared" si="457"/>
        <v>398.43316845263979</v>
      </c>
      <c r="BH121" s="141">
        <f t="shared" si="458"/>
        <v>209.99569117558201</v>
      </c>
      <c r="BI121" s="141">
        <f t="shared" si="459"/>
        <v>99.99794817884893</v>
      </c>
      <c r="BJ121" s="141">
        <f t="shared" si="460"/>
        <v>0</v>
      </c>
      <c r="BM121" s="26">
        <f t="shared" si="657"/>
        <v>113323.49874890698</v>
      </c>
      <c r="BN121" s="26">
        <f t="shared" si="658"/>
        <v>38641.455311102734</v>
      </c>
      <c r="BO121" s="26">
        <f t="shared" si="659"/>
        <v>27820.191443607804</v>
      </c>
      <c r="BP121" s="26">
        <f t="shared" si="660"/>
        <v>33439.720942300613</v>
      </c>
      <c r="BQ121" s="26">
        <f t="shared" si="661"/>
        <v>7431.0490982890151</v>
      </c>
      <c r="BR121" s="26">
        <f t="shared" si="662"/>
        <v>46444.056864306338</v>
      </c>
      <c r="BS121" s="26">
        <f t="shared" si="663"/>
        <v>8545.7064630323548</v>
      </c>
      <c r="BT121" s="26">
        <f t="shared" si="664"/>
        <v>0</v>
      </c>
      <c r="BU121" s="26">
        <f t="shared" si="665"/>
        <v>13004.335922005675</v>
      </c>
      <c r="BV121" s="26">
        <f t="shared" si="666"/>
        <v>59448.392786311961</v>
      </c>
      <c r="BW121" s="26">
        <f t="shared" si="667"/>
        <v>427285.32315161731</v>
      </c>
      <c r="BX121" s="26">
        <f t="shared" si="668"/>
        <v>59525.484752116128</v>
      </c>
      <c r="BY121" s="26">
        <f t="shared" si="669"/>
        <v>40870.770040589217</v>
      </c>
      <c r="BZ121" s="26">
        <f t="shared" si="670"/>
        <v>135832.13361173062</v>
      </c>
      <c r="CA121" s="26">
        <f t="shared" si="671"/>
        <v>92888.113728612749</v>
      </c>
      <c r="CB121" s="26">
        <f t="shared" si="672"/>
        <v>81369.987626264599</v>
      </c>
      <c r="CC121" s="26">
        <f t="shared" si="673"/>
        <v>96603.638277756763</v>
      </c>
      <c r="CD121" s="26">
        <f t="shared" si="674"/>
        <v>111465.73647433464</v>
      </c>
      <c r="CE121" s="26">
        <f t="shared" si="675"/>
        <v>33439.72094230049</v>
      </c>
      <c r="CF121" s="26">
        <f t="shared" si="676"/>
        <v>35297.483216872541</v>
      </c>
      <c r="CG121" s="26">
        <f t="shared" si="677"/>
        <v>92888.113728612123</v>
      </c>
      <c r="CH121" s="26">
        <f t="shared" si="678"/>
        <v>70594.966433745023</v>
      </c>
      <c r="CI121" s="26">
        <f t="shared" si="679"/>
        <v>148041.859412105</v>
      </c>
      <c r="CJ121" s="26">
        <f t="shared" si="680"/>
        <v>78026.015532034347</v>
      </c>
      <c r="CK121" s="26">
        <f t="shared" si="681"/>
        <v>37155.245491445057</v>
      </c>
      <c r="CL121" s="26">
        <f t="shared" si="682"/>
        <v>0</v>
      </c>
      <c r="CM121" s="110">
        <f t="shared" si="683"/>
        <v>1.0000000000000002</v>
      </c>
      <c r="CN121" s="27">
        <f t="shared" si="684"/>
        <v>72185.930839478824</v>
      </c>
      <c r="CO121" s="27">
        <f t="shared" si="685"/>
        <v>24614.219040346896</v>
      </c>
      <c r="CP121" s="27">
        <f t="shared" si="686"/>
        <v>17721.182611375236</v>
      </c>
      <c r="CQ121" s="27">
        <f t="shared" si="687"/>
        <v>21300.766477223387</v>
      </c>
      <c r="CR121" s="27">
        <f t="shared" si="688"/>
        <v>4733.5036616051902</v>
      </c>
      <c r="CS121" s="27">
        <f t="shared" si="689"/>
        <v>29584.397885032435</v>
      </c>
      <c r="CT121" s="27">
        <f t="shared" si="690"/>
        <v>5443.5292108459607</v>
      </c>
      <c r="CU121" s="27">
        <f t="shared" si="691"/>
        <v>0</v>
      </c>
      <c r="CV121" s="27">
        <f t="shared" si="692"/>
        <v>8283.6314078090181</v>
      </c>
      <c r="CW121" s="27">
        <f t="shared" si="693"/>
        <v>37868.02929284142</v>
      </c>
      <c r="CX121" s="27">
        <f t="shared" si="694"/>
        <v>272176.46054229775</v>
      </c>
      <c r="CY121" s="27">
        <f t="shared" si="695"/>
        <v>37917.136100990268</v>
      </c>
      <c r="CZ121" s="27">
        <f t="shared" si="696"/>
        <v>26034.270138828317</v>
      </c>
      <c r="DA121" s="27">
        <f t="shared" si="697"/>
        <v>86523.705241405696</v>
      </c>
      <c r="DB121" s="27">
        <f t="shared" si="698"/>
        <v>59168.795770064913</v>
      </c>
      <c r="DC121" s="27">
        <f t="shared" si="699"/>
        <v>51831.865094576759</v>
      </c>
      <c r="DD121" s="27">
        <f t="shared" si="700"/>
        <v>61535.547600867198</v>
      </c>
      <c r="DE121" s="27">
        <f t="shared" si="701"/>
        <v>71002.554924077471</v>
      </c>
      <c r="DF121" s="27">
        <f t="shared" si="702"/>
        <v>21300.766477223307</v>
      </c>
      <c r="DG121" s="27">
        <f t="shared" si="703"/>
        <v>22484.142392624475</v>
      </c>
      <c r="DH121" s="27">
        <f t="shared" si="704"/>
        <v>59168.79577006452</v>
      </c>
      <c r="DI121" s="27">
        <f t="shared" si="705"/>
        <v>44968.284785248907</v>
      </c>
      <c r="DJ121" s="27">
        <f t="shared" si="706"/>
        <v>94301.177980291861</v>
      </c>
      <c r="DK121" s="27">
        <f t="shared" si="707"/>
        <v>49701.788446854298</v>
      </c>
      <c r="DL121" s="27">
        <f t="shared" si="708"/>
        <v>23667.518308025941</v>
      </c>
      <c r="DM121" s="27">
        <f t="shared" si="709"/>
        <v>0</v>
      </c>
      <c r="DN121" s="110">
        <f t="shared" si="710"/>
        <v>1</v>
      </c>
      <c r="DO121" s="28">
        <f t="shared" si="518"/>
        <v>41137.567909428151</v>
      </c>
      <c r="DP121" s="28">
        <f t="shared" si="519"/>
        <v>14027.236270755839</v>
      </c>
      <c r="DQ121" s="28">
        <f t="shared" si="520"/>
        <v>10099.008832232568</v>
      </c>
      <c r="DR121" s="28">
        <f t="shared" si="521"/>
        <v>12138.954465077226</v>
      </c>
      <c r="DS121" s="28">
        <f t="shared" si="522"/>
        <v>2697.5454366838248</v>
      </c>
      <c r="DT121" s="28">
        <f t="shared" si="523"/>
        <v>16859.658979273903</v>
      </c>
      <c r="DU121" s="28">
        <f t="shared" si="524"/>
        <v>3102.1772521863941</v>
      </c>
      <c r="DV121" s="28">
        <f t="shared" si="525"/>
        <v>0</v>
      </c>
      <c r="DW121" s="28">
        <f t="shared" si="526"/>
        <v>4720.7045141966573</v>
      </c>
      <c r="DX121" s="28">
        <f t="shared" si="527"/>
        <v>21580.363493470541</v>
      </c>
      <c r="DY121" s="28">
        <f t="shared" si="528"/>
        <v>155108.86260931956</v>
      </c>
      <c r="DZ121" s="28">
        <f t="shared" si="529"/>
        <v>21608.34865112586</v>
      </c>
      <c r="EA121" s="28">
        <f t="shared" si="530"/>
        <v>14836.499901760901</v>
      </c>
      <c r="EB121" s="28">
        <f t="shared" si="531"/>
        <v>49308.428370324924</v>
      </c>
      <c r="EC121" s="28">
        <f t="shared" si="532"/>
        <v>33719.317958547836</v>
      </c>
      <c r="ED121" s="28">
        <f t="shared" si="533"/>
        <v>29538.122531687841</v>
      </c>
      <c r="EE121" s="28">
        <f t="shared" si="534"/>
        <v>35068.090676889566</v>
      </c>
      <c r="EF121" s="28">
        <f t="shared" si="535"/>
        <v>40463.18155025717</v>
      </c>
      <c r="EG121" s="28">
        <f t="shared" si="536"/>
        <v>12138.954465077182</v>
      </c>
      <c r="EH121" s="28">
        <f t="shared" si="537"/>
        <v>12813.340824248065</v>
      </c>
      <c r="EI121" s="28">
        <f t="shared" si="538"/>
        <v>33719.317958547603</v>
      </c>
      <c r="EJ121" s="28">
        <f t="shared" si="539"/>
        <v>25626.681648496116</v>
      </c>
      <c r="EK121" s="28">
        <f t="shared" si="540"/>
        <v>53740.681431813136</v>
      </c>
      <c r="EL121" s="28">
        <f t="shared" si="541"/>
        <v>28324.227085180049</v>
      </c>
      <c r="EM121" s="28">
        <f t="shared" si="542"/>
        <v>13487.727183419116</v>
      </c>
      <c r="EN121" s="28">
        <f t="shared" si="543"/>
        <v>0</v>
      </c>
      <c r="EQ121" s="144">
        <v>3.2645657859557115E-2</v>
      </c>
      <c r="ER121" s="144">
        <v>5.4409429765928524E-2</v>
      </c>
      <c r="ES121" s="144">
        <v>8.7055087625485639E-2</v>
      </c>
      <c r="ET121" s="144">
        <v>0.10815223895522993</v>
      </c>
      <c r="EU121" s="144">
        <v>0.11798426067843266</v>
      </c>
      <c r="EV121" s="144">
        <v>0.14748032584804083</v>
      </c>
      <c r="EW121" s="144">
        <v>0.12781628240163539</v>
      </c>
      <c r="EX121" s="144">
        <v>7.8656173785621772E-2</v>
      </c>
      <c r="EY121" s="144">
        <v>6.8824152062419069E-2</v>
      </c>
      <c r="EZ121" s="144">
        <v>5.8992130339216332E-2</v>
      </c>
      <c r="FA121" s="144">
        <v>5.8992130339216332E-2</v>
      </c>
      <c r="FB121" s="144">
        <v>5.8992130339216332E-2</v>
      </c>
      <c r="FC121" s="145">
        <f t="shared" si="544"/>
        <v>0.99999999999999989</v>
      </c>
      <c r="FD121" s="146">
        <f t="shared" si="545"/>
        <v>0.17411017525097128</v>
      </c>
      <c r="FE121" s="146">
        <f t="shared" si="546"/>
        <v>0.37361682548170344</v>
      </c>
      <c r="FF121" s="146">
        <f t="shared" si="547"/>
        <v>0.27529660824967628</v>
      </c>
      <c r="FG121" s="146">
        <f t="shared" si="548"/>
        <v>0.176976391017649</v>
      </c>
      <c r="FH121" s="145">
        <f t="shared" si="655"/>
        <v>1</v>
      </c>
      <c r="FJ121" s="52">
        <f t="shared" si="549"/>
        <v>19730.774227225418</v>
      </c>
      <c r="FK121" s="52">
        <f t="shared" si="550"/>
        <v>6727.870556168672</v>
      </c>
      <c r="FL121" s="52">
        <f t="shared" si="551"/>
        <v>4843.7784077621263</v>
      </c>
      <c r="FM121" s="52">
        <f t="shared" si="552"/>
        <v>5822.1956736075344</v>
      </c>
      <c r="FN121" s="52">
        <f t="shared" si="553"/>
        <v>1293.8212608016725</v>
      </c>
      <c r="FO121" s="52">
        <f t="shared" si="554"/>
        <v>8086.382880010452</v>
      </c>
      <c r="FP121" s="52">
        <f t="shared" si="555"/>
        <v>1487.8944499219213</v>
      </c>
      <c r="FQ121" s="52">
        <f t="shared" si="556"/>
        <v>0</v>
      </c>
      <c r="FR121" s="52">
        <f t="shared" si="557"/>
        <v>2264.1872064029094</v>
      </c>
      <c r="FS121" s="52">
        <f t="shared" si="558"/>
        <v>10350.570086413352</v>
      </c>
      <c r="FT121" s="52">
        <f t="shared" si="559"/>
        <v>74394.722496095987</v>
      </c>
      <c r="FU121" s="52">
        <f t="shared" si="560"/>
        <v>10363.992582089957</v>
      </c>
      <c r="FV121" s="52">
        <f t="shared" si="561"/>
        <v>7116.0169344091355</v>
      </c>
      <c r="FW121" s="52">
        <f t="shared" si="562"/>
        <v>23649.756587851763</v>
      </c>
      <c r="FX121" s="52">
        <f t="shared" si="563"/>
        <v>16172.765760020917</v>
      </c>
      <c r="FY121" s="52">
        <f t="shared" si="564"/>
        <v>14167.342805778293</v>
      </c>
      <c r="FZ121" s="52">
        <f t="shared" si="565"/>
        <v>16819.676390421668</v>
      </c>
      <c r="GA121" s="52">
        <f t="shared" si="566"/>
        <v>19407.318912024984</v>
      </c>
      <c r="GB121" s="52">
        <f t="shared" si="567"/>
        <v>5822.1956736075126</v>
      </c>
      <c r="GC121" s="52">
        <f t="shared" si="568"/>
        <v>6145.6509888078954</v>
      </c>
      <c r="GD121" s="52">
        <f t="shared" si="569"/>
        <v>16172.765760020808</v>
      </c>
      <c r="GE121" s="52">
        <f t="shared" si="570"/>
        <v>12291.301977615782</v>
      </c>
      <c r="GF121" s="52">
        <f t="shared" si="571"/>
        <v>25775.594086721252</v>
      </c>
      <c r="GG121" s="52">
        <f t="shared" si="572"/>
        <v>13585.123238417507</v>
      </c>
      <c r="GH121" s="52">
        <f t="shared" si="573"/>
        <v>6469.1063040083591</v>
      </c>
      <c r="GI121" s="52">
        <f t="shared" si="574"/>
        <v>0</v>
      </c>
      <c r="GJ121" s="26"/>
      <c r="GL121" s="150">
        <f t="shared" si="575"/>
        <v>42339.565855046414</v>
      </c>
      <c r="GM121" s="150">
        <f t="shared" si="576"/>
        <v>14437.097865327312</v>
      </c>
      <c r="GN121" s="150">
        <f t="shared" si="577"/>
        <v>10394.091611453996</v>
      </c>
      <c r="GO121" s="150">
        <f t="shared" si="578"/>
        <v>12493.642383456392</v>
      </c>
      <c r="GP121" s="150">
        <f t="shared" si="579"/>
        <v>2776.3649741014165</v>
      </c>
      <c r="GQ121" s="150">
        <f t="shared" si="580"/>
        <v>17352.281088133852</v>
      </c>
      <c r="GR121" s="150">
        <f t="shared" si="581"/>
        <v>3192.8197202166243</v>
      </c>
      <c r="GS121" s="150">
        <f t="shared" si="582"/>
        <v>0</v>
      </c>
      <c r="GT121" s="150">
        <f t="shared" si="583"/>
        <v>4858.6387046774416</v>
      </c>
      <c r="GU121" s="150">
        <f t="shared" si="584"/>
        <v>22210.919792811274</v>
      </c>
      <c r="GV121" s="150">
        <f t="shared" si="585"/>
        <v>159640.98601083105</v>
      </c>
      <c r="GW121" s="150">
        <f t="shared" si="586"/>
        <v>22239.72264834517</v>
      </c>
      <c r="GX121" s="150">
        <f t="shared" si="587"/>
        <v>15270.007357557655</v>
      </c>
      <c r="GY121" s="150">
        <f t="shared" si="588"/>
        <v>50749.170558421385</v>
      </c>
      <c r="GZ121" s="150">
        <f t="shared" si="589"/>
        <v>34704.562176267733</v>
      </c>
      <c r="HA121" s="150">
        <f t="shared" si="590"/>
        <v>30401.196466410471</v>
      </c>
      <c r="HB121" s="150">
        <f t="shared" si="591"/>
        <v>36092.744663318255</v>
      </c>
      <c r="HC121" s="150">
        <f t="shared" si="592"/>
        <v>41645.474611521029</v>
      </c>
      <c r="HD121" s="150">
        <f t="shared" si="593"/>
        <v>12493.642383456347</v>
      </c>
      <c r="HE121" s="150">
        <f t="shared" si="594"/>
        <v>13187.733626981624</v>
      </c>
      <c r="HF121" s="150">
        <f t="shared" si="595"/>
        <v>34704.5621762675</v>
      </c>
      <c r="HG121" s="150">
        <f t="shared" si="596"/>
        <v>26375.467253963227</v>
      </c>
      <c r="HH121" s="150">
        <f t="shared" si="597"/>
        <v>55310.929551959307</v>
      </c>
      <c r="HI121" s="150">
        <f t="shared" si="598"/>
        <v>29151.832228064759</v>
      </c>
      <c r="HJ121" s="150">
        <f t="shared" si="599"/>
        <v>13881.824870507076</v>
      </c>
      <c r="HK121" s="150">
        <f t="shared" si="600"/>
        <v>0</v>
      </c>
      <c r="HL121" s="26"/>
      <c r="HN121" s="147">
        <f t="shared" si="601"/>
        <v>31197.574840560523</v>
      </c>
      <c r="HO121" s="147">
        <f t="shared" si="602"/>
        <v>10637.861584978022</v>
      </c>
      <c r="HP121" s="147">
        <f t="shared" si="603"/>
        <v>7658.8043452818938</v>
      </c>
      <c r="HQ121" s="147">
        <f t="shared" si="604"/>
        <v>9205.8417562310278</v>
      </c>
      <c r="HR121" s="147">
        <f t="shared" si="605"/>
        <v>2045.742612495781</v>
      </c>
      <c r="HS121" s="147">
        <f t="shared" si="606"/>
        <v>12785.891328098631</v>
      </c>
      <c r="HT121" s="147">
        <f t="shared" si="607"/>
        <v>2352.604004370145</v>
      </c>
      <c r="HU121" s="147">
        <f t="shared" si="608"/>
        <v>0</v>
      </c>
      <c r="HV121" s="147">
        <f t="shared" si="609"/>
        <v>3580.0495718675893</v>
      </c>
      <c r="HW121" s="147">
        <f t="shared" si="610"/>
        <v>16365.940899966205</v>
      </c>
      <c r="HX121" s="147">
        <f t="shared" si="611"/>
        <v>117630.20021850712</v>
      </c>
      <c r="HY121" s="147">
        <f t="shared" si="612"/>
        <v>16387.164056675392</v>
      </c>
      <c r="HZ121" s="147">
        <f t="shared" si="613"/>
        <v>11251.584368726695</v>
      </c>
      <c r="IA121" s="147">
        <f t="shared" si="614"/>
        <v>37394.125674626288</v>
      </c>
      <c r="IB121" s="147">
        <f t="shared" si="615"/>
        <v>25571.78265619728</v>
      </c>
      <c r="IC121" s="147">
        <f t="shared" si="616"/>
        <v>22400.881606828771</v>
      </c>
      <c r="ID121" s="147">
        <f t="shared" si="617"/>
        <v>26594.653962445034</v>
      </c>
      <c r="IE121" s="147">
        <f t="shared" si="618"/>
        <v>30686.139187436554</v>
      </c>
      <c r="IF121" s="147">
        <f t="shared" si="619"/>
        <v>9205.8417562309933</v>
      </c>
      <c r="IG121" s="147">
        <f t="shared" si="620"/>
        <v>9717.2774093548833</v>
      </c>
      <c r="IH121" s="147">
        <f t="shared" si="621"/>
        <v>25571.782656197109</v>
      </c>
      <c r="II121" s="147">
        <f t="shared" si="622"/>
        <v>19434.554818709748</v>
      </c>
      <c r="IJ121" s="147">
        <f t="shared" si="623"/>
        <v>40755.421775127921</v>
      </c>
      <c r="IK121" s="147">
        <f t="shared" si="624"/>
        <v>21480.297431205618</v>
      </c>
      <c r="IL121" s="147">
        <f t="shared" si="625"/>
        <v>10228.713062478901</v>
      </c>
      <c r="IM121" s="147">
        <f t="shared" si="626"/>
        <v>0</v>
      </c>
      <c r="IN121" s="26"/>
      <c r="IP121" s="61">
        <f t="shared" si="627"/>
        <v>20055.583826074617</v>
      </c>
      <c r="IQ121" s="61">
        <f t="shared" si="628"/>
        <v>6838.6253046287275</v>
      </c>
      <c r="IR121" s="61">
        <f t="shared" si="629"/>
        <v>4923.517079109788</v>
      </c>
      <c r="IS121" s="61">
        <f t="shared" si="630"/>
        <v>5918.04112900566</v>
      </c>
      <c r="IT121" s="61">
        <f t="shared" si="631"/>
        <v>1315.1202508901447</v>
      </c>
      <c r="IU121" s="61">
        <f t="shared" si="632"/>
        <v>8219.5015680634042</v>
      </c>
      <c r="IV121" s="61">
        <f t="shared" si="633"/>
        <v>1512.3882885236642</v>
      </c>
      <c r="IW121" s="61">
        <f t="shared" si="634"/>
        <v>0</v>
      </c>
      <c r="IX121" s="61">
        <f t="shared" si="635"/>
        <v>2301.4604390577356</v>
      </c>
      <c r="IY121" s="61">
        <f t="shared" si="636"/>
        <v>10520.96200712113</v>
      </c>
      <c r="IZ121" s="61">
        <f t="shared" si="637"/>
        <v>75619.414426183139</v>
      </c>
      <c r="JA121" s="61">
        <f t="shared" si="638"/>
        <v>10534.605465005607</v>
      </c>
      <c r="JB121" s="61">
        <f t="shared" si="639"/>
        <v>7233.1613798957314</v>
      </c>
      <c r="JC121" s="61">
        <f t="shared" si="640"/>
        <v>24039.080790831184</v>
      </c>
      <c r="JD121" s="61">
        <f t="shared" si="641"/>
        <v>16439.003136126819</v>
      </c>
      <c r="JE121" s="61">
        <f t="shared" si="642"/>
        <v>14400.566747247065</v>
      </c>
      <c r="JF121" s="61">
        <f t="shared" si="643"/>
        <v>17096.563261571806</v>
      </c>
      <c r="JG121" s="61">
        <f t="shared" si="644"/>
        <v>19726.803763352069</v>
      </c>
      <c r="JH121" s="61">
        <f t="shared" si="645"/>
        <v>5918.0411290056372</v>
      </c>
      <c r="JI121" s="61">
        <f t="shared" si="646"/>
        <v>6246.8211917281378</v>
      </c>
      <c r="JJ121" s="61">
        <f t="shared" si="647"/>
        <v>16439.00313612671</v>
      </c>
      <c r="JK121" s="61">
        <f t="shared" si="648"/>
        <v>12493.642383456267</v>
      </c>
      <c r="JL121" s="61">
        <f t="shared" si="649"/>
        <v>26199.913998296517</v>
      </c>
      <c r="JM121" s="61">
        <f t="shared" si="650"/>
        <v>13808.762634346465</v>
      </c>
      <c r="JN121" s="61">
        <f t="shared" si="651"/>
        <v>6575.6012544507203</v>
      </c>
      <c r="JO121" s="61">
        <f t="shared" si="652"/>
        <v>0</v>
      </c>
      <c r="JQ121" s="26">
        <f t="shared" si="711"/>
        <v>1889383.0000000005</v>
      </c>
      <c r="JR121" s="156">
        <f t="shared" si="712"/>
        <v>1.0000000000000002</v>
      </c>
      <c r="JT121" s="157">
        <f t="shared" si="653"/>
        <v>113323.49874890698</v>
      </c>
      <c r="JU121" s="29">
        <f t="shared" si="654"/>
        <v>1</v>
      </c>
    </row>
    <row r="122" spans="1:281" ht="18.75" x14ac:dyDescent="0.3">
      <c r="A122" t="s">
        <v>234</v>
      </c>
      <c r="B122" t="s">
        <v>198</v>
      </c>
      <c r="C122" t="s">
        <v>74</v>
      </c>
      <c r="D122" t="s">
        <v>29</v>
      </c>
      <c r="E122" s="11" t="s">
        <v>282</v>
      </c>
      <c r="F122" s="114">
        <v>10000</v>
      </c>
      <c r="G122" s="17">
        <v>2944500</v>
      </c>
      <c r="H122" s="21">
        <v>1938600</v>
      </c>
      <c r="I122" s="25">
        <f t="shared" si="434"/>
        <v>1.5188796038378212</v>
      </c>
      <c r="J122" s="13">
        <v>6.4999999999999905E-2</v>
      </c>
      <c r="K122" s="13">
        <v>1.1035854686685961E-2</v>
      </c>
      <c r="L122" s="13">
        <v>8.0000000000000088E-3</v>
      </c>
      <c r="M122" s="13">
        <v>2.2996918486240695E-2</v>
      </c>
      <c r="N122" s="13">
        <v>7.4499999999999896E-3</v>
      </c>
      <c r="O122" s="13">
        <v>4.9999999999999989E-2</v>
      </c>
      <c r="P122" s="13">
        <v>6.8678065646757928E-3</v>
      </c>
      <c r="Q122" s="13">
        <v>0</v>
      </c>
      <c r="R122" s="13">
        <v>2.0000000000000046E-2</v>
      </c>
      <c r="S122" s="13">
        <v>0.12717000000000001</v>
      </c>
      <c r="T122" s="13">
        <v>0.12851087008004564</v>
      </c>
      <c r="U122" s="13">
        <v>1.5000000000000053E-2</v>
      </c>
      <c r="V122" s="13">
        <v>1.567754464074269E-2</v>
      </c>
      <c r="W122" s="13">
        <v>3.8092644342348471E-2</v>
      </c>
      <c r="X122" s="13">
        <v>0.20799999999999935</v>
      </c>
      <c r="Y122" s="13">
        <v>2.1230995121489203E-2</v>
      </c>
      <c r="Z122" s="13">
        <v>2.7044948609861223E-2</v>
      </c>
      <c r="AA122" s="13">
        <v>3.2598399090607827E-2</v>
      </c>
      <c r="AB122" s="13">
        <v>1.2563349595036211E-2</v>
      </c>
      <c r="AC122" s="13">
        <v>1.0000000000000021E-2</v>
      </c>
      <c r="AD122" s="13">
        <v>2.4285984938189797E-2</v>
      </c>
      <c r="AE122" s="13">
        <v>2.0000000000000028E-2</v>
      </c>
      <c r="AF122" s="13">
        <v>8.8109221806469865E-2</v>
      </c>
      <c r="AG122" s="13">
        <v>2.1999999999999985E-2</v>
      </c>
      <c r="AH122" s="13">
        <v>1.8365462037607201E-2</v>
      </c>
      <c r="AJ122" s="8">
        <f t="shared" si="656"/>
        <v>1</v>
      </c>
      <c r="AK122" s="141">
        <f t="shared" si="435"/>
        <v>649.99999999999909</v>
      </c>
      <c r="AL122" s="141">
        <f t="shared" si="436"/>
        <v>110.35854686685961</v>
      </c>
      <c r="AM122" s="141">
        <f t="shared" si="437"/>
        <v>80.000000000000085</v>
      </c>
      <c r="AN122" s="141">
        <f t="shared" si="438"/>
        <v>229.96918486240696</v>
      </c>
      <c r="AO122" s="141">
        <f t="shared" si="439"/>
        <v>74.499999999999901</v>
      </c>
      <c r="AP122" s="141">
        <f t="shared" si="440"/>
        <v>499.99999999999989</v>
      </c>
      <c r="AQ122" s="141">
        <f t="shared" si="441"/>
        <v>68.678065646757929</v>
      </c>
      <c r="AR122" s="141">
        <f t="shared" si="442"/>
        <v>0</v>
      </c>
      <c r="AS122" s="141">
        <f t="shared" si="443"/>
        <v>200.00000000000045</v>
      </c>
      <c r="AT122" s="141">
        <f t="shared" si="444"/>
        <v>1271.7</v>
      </c>
      <c r="AU122" s="141">
        <f t="shared" si="445"/>
        <v>1285.1087008004563</v>
      </c>
      <c r="AV122" s="141">
        <f t="shared" si="446"/>
        <v>150.00000000000054</v>
      </c>
      <c r="AW122" s="141">
        <f t="shared" si="447"/>
        <v>156.7754464074269</v>
      </c>
      <c r="AX122" s="141">
        <f t="shared" si="448"/>
        <v>380.92644342348473</v>
      </c>
      <c r="AY122" s="141">
        <f t="shared" si="449"/>
        <v>2079.9999999999936</v>
      </c>
      <c r="AZ122" s="141">
        <f t="shared" si="450"/>
        <v>212.30995121489204</v>
      </c>
      <c r="BA122" s="141">
        <f t="shared" si="451"/>
        <v>270.44948609861223</v>
      </c>
      <c r="BB122" s="141">
        <f t="shared" si="452"/>
        <v>325.98399090607825</v>
      </c>
      <c r="BC122" s="141">
        <f t="shared" si="453"/>
        <v>125.6334959503621</v>
      </c>
      <c r="BD122" s="141">
        <f t="shared" si="454"/>
        <v>100.00000000000021</v>
      </c>
      <c r="BE122" s="141">
        <f t="shared" si="455"/>
        <v>242.85984938189796</v>
      </c>
      <c r="BF122" s="141">
        <f t="shared" si="456"/>
        <v>200.00000000000028</v>
      </c>
      <c r="BG122" s="141">
        <f t="shared" si="457"/>
        <v>881.09221806469861</v>
      </c>
      <c r="BH122" s="141">
        <f t="shared" si="458"/>
        <v>219.99999999999986</v>
      </c>
      <c r="BI122" s="141">
        <f t="shared" si="459"/>
        <v>183.65462037607202</v>
      </c>
      <c r="BJ122" s="141">
        <f t="shared" si="460"/>
        <v>0</v>
      </c>
      <c r="BM122" s="26">
        <f t="shared" si="657"/>
        <v>191392.49999999971</v>
      </c>
      <c r="BN122" s="26">
        <f t="shared" si="658"/>
        <v>32495.074124946812</v>
      </c>
      <c r="BO122" s="26">
        <f t="shared" si="659"/>
        <v>23556.000000000025</v>
      </c>
      <c r="BP122" s="26">
        <f t="shared" si="660"/>
        <v>67714.426482735726</v>
      </c>
      <c r="BQ122" s="26">
        <f t="shared" si="661"/>
        <v>21936.524999999969</v>
      </c>
      <c r="BR122" s="26">
        <f t="shared" si="662"/>
        <v>147224.99999999997</v>
      </c>
      <c r="BS122" s="26">
        <f t="shared" si="663"/>
        <v>20222.256429687874</v>
      </c>
      <c r="BT122" s="26">
        <f t="shared" si="664"/>
        <v>0</v>
      </c>
      <c r="BU122" s="26">
        <f t="shared" si="665"/>
        <v>58890.000000000131</v>
      </c>
      <c r="BV122" s="26">
        <f t="shared" si="666"/>
        <v>374452.065</v>
      </c>
      <c r="BW122" s="26">
        <f t="shared" si="667"/>
        <v>378400.25695069437</v>
      </c>
      <c r="BX122" s="26">
        <f t="shared" si="668"/>
        <v>44167.50000000016</v>
      </c>
      <c r="BY122" s="26">
        <f t="shared" si="669"/>
        <v>46162.530194666848</v>
      </c>
      <c r="BZ122" s="26">
        <f t="shared" si="670"/>
        <v>112163.79126604507</v>
      </c>
      <c r="CA122" s="26">
        <f t="shared" si="671"/>
        <v>612455.99999999814</v>
      </c>
      <c r="CB122" s="26">
        <f t="shared" si="672"/>
        <v>62514.665135224961</v>
      </c>
      <c r="CC122" s="26">
        <f t="shared" si="673"/>
        <v>79633.851181736376</v>
      </c>
      <c r="CD122" s="26">
        <f t="shared" si="674"/>
        <v>95985.986122294751</v>
      </c>
      <c r="CE122" s="26">
        <f t="shared" si="675"/>
        <v>36992.782882584121</v>
      </c>
      <c r="CF122" s="26">
        <f t="shared" si="676"/>
        <v>29445.000000000062</v>
      </c>
      <c r="CG122" s="26">
        <f t="shared" si="677"/>
        <v>71510.082650499855</v>
      </c>
      <c r="CH122" s="26">
        <f t="shared" si="678"/>
        <v>58890.00000000008</v>
      </c>
      <c r="CI122" s="26">
        <f t="shared" si="679"/>
        <v>259437.60360915051</v>
      </c>
      <c r="CJ122" s="26">
        <f t="shared" si="680"/>
        <v>64778.999999999956</v>
      </c>
      <c r="CK122" s="26">
        <f t="shared" si="681"/>
        <v>54077.102969734406</v>
      </c>
      <c r="CL122" s="26">
        <f t="shared" si="682"/>
        <v>0</v>
      </c>
      <c r="CM122" s="110">
        <f t="shared" si="683"/>
        <v>1.0000000000000002</v>
      </c>
      <c r="CN122" s="27">
        <f t="shared" si="684"/>
        <v>126008.99999999981</v>
      </c>
      <c r="CO122" s="27">
        <f t="shared" si="685"/>
        <v>21394.107895609402</v>
      </c>
      <c r="CP122" s="27">
        <f t="shared" si="686"/>
        <v>15508.800000000017</v>
      </c>
      <c r="CQ122" s="27">
        <f t="shared" si="687"/>
        <v>44581.826177426214</v>
      </c>
      <c r="CR122" s="27">
        <f t="shared" si="688"/>
        <v>14442.56999999998</v>
      </c>
      <c r="CS122" s="27">
        <f t="shared" si="689"/>
        <v>96929.999999999985</v>
      </c>
      <c r="CT122" s="27">
        <f t="shared" si="690"/>
        <v>13313.929806280492</v>
      </c>
      <c r="CU122" s="27">
        <f t="shared" si="691"/>
        <v>0</v>
      </c>
      <c r="CV122" s="27">
        <f t="shared" si="692"/>
        <v>38772.000000000087</v>
      </c>
      <c r="CW122" s="27">
        <f t="shared" si="693"/>
        <v>246531.76200000002</v>
      </c>
      <c r="CX122" s="27">
        <f t="shared" si="694"/>
        <v>249131.17273717647</v>
      </c>
      <c r="CY122" s="27">
        <f t="shared" si="695"/>
        <v>29079.000000000102</v>
      </c>
      <c r="CZ122" s="27">
        <f t="shared" si="696"/>
        <v>30392.48804054378</v>
      </c>
      <c r="DA122" s="27">
        <f t="shared" si="697"/>
        <v>73846.400322076748</v>
      </c>
      <c r="DB122" s="27">
        <f t="shared" si="698"/>
        <v>403228.79999999877</v>
      </c>
      <c r="DC122" s="27">
        <f t="shared" si="699"/>
        <v>41158.407142518969</v>
      </c>
      <c r="DD122" s="27">
        <f t="shared" si="700"/>
        <v>52429.337375076968</v>
      </c>
      <c r="DE122" s="27">
        <f t="shared" si="701"/>
        <v>63195.256477052331</v>
      </c>
      <c r="DF122" s="27">
        <f t="shared" si="702"/>
        <v>24355.309524937198</v>
      </c>
      <c r="DG122" s="27">
        <f t="shared" si="703"/>
        <v>19386.00000000004</v>
      </c>
      <c r="DH122" s="27">
        <f t="shared" si="704"/>
        <v>47080.810401174742</v>
      </c>
      <c r="DI122" s="27">
        <f t="shared" si="705"/>
        <v>38772.000000000058</v>
      </c>
      <c r="DJ122" s="27">
        <f t="shared" si="706"/>
        <v>170808.53739402248</v>
      </c>
      <c r="DK122" s="27">
        <f t="shared" si="707"/>
        <v>42649.199999999968</v>
      </c>
      <c r="DL122" s="27">
        <f t="shared" si="708"/>
        <v>35603.284706105318</v>
      </c>
      <c r="DM122" s="27">
        <f t="shared" si="709"/>
        <v>0</v>
      </c>
      <c r="DN122" s="110">
        <f t="shared" si="710"/>
        <v>1</v>
      </c>
      <c r="DO122" s="28">
        <f t="shared" si="518"/>
        <v>65383.499999999898</v>
      </c>
      <c r="DP122" s="28">
        <f t="shared" si="519"/>
        <v>11100.966229337409</v>
      </c>
      <c r="DQ122" s="28">
        <f t="shared" si="520"/>
        <v>8047.200000000008</v>
      </c>
      <c r="DR122" s="28">
        <f t="shared" si="521"/>
        <v>23132.600305309512</v>
      </c>
      <c r="DS122" s="28">
        <f t="shared" si="522"/>
        <v>7493.954999999989</v>
      </c>
      <c r="DT122" s="28">
        <f t="shared" si="523"/>
        <v>50294.999999999985</v>
      </c>
      <c r="DU122" s="28">
        <f t="shared" si="524"/>
        <v>6908.3266234073817</v>
      </c>
      <c r="DV122" s="28">
        <f t="shared" si="525"/>
        <v>0</v>
      </c>
      <c r="DW122" s="28">
        <f t="shared" si="526"/>
        <v>20118.000000000044</v>
      </c>
      <c r="DX122" s="28">
        <f t="shared" si="527"/>
        <v>127920.30299999999</v>
      </c>
      <c r="DY122" s="28">
        <f t="shared" si="528"/>
        <v>129269.0842135179</v>
      </c>
      <c r="DZ122" s="28">
        <f t="shared" si="529"/>
        <v>15088.500000000058</v>
      </c>
      <c r="EA122" s="28">
        <f t="shared" si="530"/>
        <v>15770.042154123068</v>
      </c>
      <c r="EB122" s="28">
        <f t="shared" si="531"/>
        <v>38317.390943968319</v>
      </c>
      <c r="EC122" s="28">
        <f t="shared" si="532"/>
        <v>209227.19999999937</v>
      </c>
      <c r="ED122" s="28">
        <f t="shared" si="533"/>
        <v>21356.257992705992</v>
      </c>
      <c r="EE122" s="28">
        <f t="shared" si="534"/>
        <v>27204.513806659408</v>
      </c>
      <c r="EF122" s="28">
        <f t="shared" si="535"/>
        <v>32790.72964524242</v>
      </c>
      <c r="EG122" s="28">
        <f t="shared" si="536"/>
        <v>12637.473357646923</v>
      </c>
      <c r="EH122" s="28">
        <f t="shared" si="537"/>
        <v>10059.000000000022</v>
      </c>
      <c r="EI122" s="28">
        <f t="shared" si="538"/>
        <v>24429.272249325113</v>
      </c>
      <c r="EJ122" s="28">
        <f t="shared" si="539"/>
        <v>20118.000000000022</v>
      </c>
      <c r="EK122" s="28">
        <f t="shared" si="540"/>
        <v>88629.066215128027</v>
      </c>
      <c r="EL122" s="28">
        <f t="shared" si="541"/>
        <v>22129.799999999988</v>
      </c>
      <c r="EM122" s="28">
        <f t="shared" si="542"/>
        <v>18473.818263629088</v>
      </c>
      <c r="EN122" s="28">
        <f t="shared" si="543"/>
        <v>0</v>
      </c>
      <c r="EQ122" s="144">
        <v>0</v>
      </c>
      <c r="ER122" s="144">
        <v>0</v>
      </c>
      <c r="ES122" s="144">
        <v>0</v>
      </c>
      <c r="ET122" s="144">
        <v>0.13</v>
      </c>
      <c r="EU122" s="144">
        <v>0.16</v>
      </c>
      <c r="EV122" s="144">
        <v>0.19</v>
      </c>
      <c r="EW122" s="144">
        <v>0.14000000000000001</v>
      </c>
      <c r="EX122" s="144">
        <v>0.09</v>
      </c>
      <c r="EY122" s="144">
        <v>0.08</v>
      </c>
      <c r="EZ122" s="144">
        <v>7.0000000000000007E-2</v>
      </c>
      <c r="FA122" s="144">
        <v>7.0000000000000007E-2</v>
      </c>
      <c r="FB122" s="144">
        <v>7.0000000000000007E-2</v>
      </c>
      <c r="FC122" s="145">
        <f t="shared" si="544"/>
        <v>1.0000000000000002</v>
      </c>
      <c r="FD122" s="146">
        <f t="shared" si="545"/>
        <v>0</v>
      </c>
      <c r="FE122" s="146">
        <f t="shared" si="546"/>
        <v>0.48000000000000004</v>
      </c>
      <c r="FF122" s="146">
        <f t="shared" si="547"/>
        <v>0.31</v>
      </c>
      <c r="FG122" s="146">
        <f t="shared" si="548"/>
        <v>0.21000000000000002</v>
      </c>
      <c r="FH122" s="145">
        <f t="shared" si="655"/>
        <v>1</v>
      </c>
      <c r="FJ122" s="52">
        <f t="shared" si="549"/>
        <v>0</v>
      </c>
      <c r="FK122" s="52">
        <f t="shared" si="550"/>
        <v>0</v>
      </c>
      <c r="FL122" s="52">
        <f t="shared" si="551"/>
        <v>0</v>
      </c>
      <c r="FM122" s="52">
        <f t="shared" si="552"/>
        <v>0</v>
      </c>
      <c r="FN122" s="52">
        <f t="shared" si="553"/>
        <v>0</v>
      </c>
      <c r="FO122" s="52">
        <f t="shared" si="554"/>
        <v>0</v>
      </c>
      <c r="FP122" s="52">
        <f t="shared" si="555"/>
        <v>0</v>
      </c>
      <c r="FQ122" s="52">
        <f t="shared" si="556"/>
        <v>0</v>
      </c>
      <c r="FR122" s="52">
        <f t="shared" si="557"/>
        <v>0</v>
      </c>
      <c r="FS122" s="52">
        <f t="shared" si="558"/>
        <v>0</v>
      </c>
      <c r="FT122" s="52">
        <f t="shared" si="559"/>
        <v>0</v>
      </c>
      <c r="FU122" s="52">
        <f t="shared" si="560"/>
        <v>0</v>
      </c>
      <c r="FV122" s="52">
        <f t="shared" si="561"/>
        <v>0</v>
      </c>
      <c r="FW122" s="52">
        <f t="shared" si="562"/>
        <v>0</v>
      </c>
      <c r="FX122" s="52">
        <f t="shared" si="563"/>
        <v>0</v>
      </c>
      <c r="FY122" s="52">
        <f t="shared" si="564"/>
        <v>0</v>
      </c>
      <c r="FZ122" s="52">
        <f t="shared" si="565"/>
        <v>0</v>
      </c>
      <c r="GA122" s="52">
        <f t="shared" si="566"/>
        <v>0</v>
      </c>
      <c r="GB122" s="52">
        <f t="shared" si="567"/>
        <v>0</v>
      </c>
      <c r="GC122" s="52">
        <f t="shared" si="568"/>
        <v>0</v>
      </c>
      <c r="GD122" s="52">
        <f t="shared" si="569"/>
        <v>0</v>
      </c>
      <c r="GE122" s="52">
        <f t="shared" si="570"/>
        <v>0</v>
      </c>
      <c r="GF122" s="52">
        <f t="shared" si="571"/>
        <v>0</v>
      </c>
      <c r="GG122" s="52">
        <f t="shared" si="572"/>
        <v>0</v>
      </c>
      <c r="GH122" s="52">
        <f t="shared" si="573"/>
        <v>0</v>
      </c>
      <c r="GI122" s="52">
        <f t="shared" si="574"/>
        <v>0</v>
      </c>
      <c r="GJ122" s="26"/>
      <c r="GL122" s="150">
        <f t="shared" si="575"/>
        <v>91868.399999999863</v>
      </c>
      <c r="GM122" s="150">
        <f t="shared" si="576"/>
        <v>15597.635579974471</v>
      </c>
      <c r="GN122" s="150">
        <f t="shared" si="577"/>
        <v>11306.880000000014</v>
      </c>
      <c r="GO122" s="150">
        <f t="shared" si="578"/>
        <v>32502.924711713153</v>
      </c>
      <c r="GP122" s="150">
        <f t="shared" si="579"/>
        <v>10529.531999999987</v>
      </c>
      <c r="GQ122" s="150">
        <f t="shared" si="580"/>
        <v>70667.999999999985</v>
      </c>
      <c r="GR122" s="150">
        <f t="shared" si="581"/>
        <v>9706.6830862501793</v>
      </c>
      <c r="GS122" s="150">
        <f t="shared" si="582"/>
        <v>0</v>
      </c>
      <c r="GT122" s="150">
        <f t="shared" si="583"/>
        <v>28267.200000000066</v>
      </c>
      <c r="GU122" s="150">
        <f t="shared" si="584"/>
        <v>179736.99120000002</v>
      </c>
      <c r="GV122" s="150">
        <f t="shared" si="585"/>
        <v>181632.12333633332</v>
      </c>
      <c r="GW122" s="150">
        <f t="shared" si="586"/>
        <v>21200.400000000078</v>
      </c>
      <c r="GX122" s="150">
        <f t="shared" si="587"/>
        <v>22158.014493440089</v>
      </c>
      <c r="GY122" s="150">
        <f t="shared" si="588"/>
        <v>53838.619807701638</v>
      </c>
      <c r="GZ122" s="150">
        <f t="shared" si="589"/>
        <v>293978.87999999913</v>
      </c>
      <c r="HA122" s="150">
        <f t="shared" si="590"/>
        <v>30007.039264907984</v>
      </c>
      <c r="HB122" s="150">
        <f t="shared" si="591"/>
        <v>38224.248567233466</v>
      </c>
      <c r="HC122" s="150">
        <f t="shared" si="592"/>
        <v>46073.273338701481</v>
      </c>
      <c r="HD122" s="150">
        <f t="shared" si="593"/>
        <v>17756.535783640378</v>
      </c>
      <c r="HE122" s="150">
        <f t="shared" si="594"/>
        <v>14133.600000000031</v>
      </c>
      <c r="HF122" s="150">
        <f t="shared" si="595"/>
        <v>34324.839672239934</v>
      </c>
      <c r="HG122" s="150">
        <f t="shared" si="596"/>
        <v>28267.200000000041</v>
      </c>
      <c r="HH122" s="150">
        <f t="shared" si="597"/>
        <v>124530.04973239226</v>
      </c>
      <c r="HI122" s="150">
        <f t="shared" si="598"/>
        <v>31093.91999999998</v>
      </c>
      <c r="HJ122" s="150">
        <f t="shared" si="599"/>
        <v>25957.009425472515</v>
      </c>
      <c r="HK122" s="150">
        <f t="shared" si="600"/>
        <v>0</v>
      </c>
      <c r="HL122" s="26"/>
      <c r="HN122" s="147">
        <f t="shared" si="601"/>
        <v>59331.674999999908</v>
      </c>
      <c r="HO122" s="147">
        <f t="shared" si="602"/>
        <v>10073.472978733511</v>
      </c>
      <c r="HP122" s="147">
        <f t="shared" si="603"/>
        <v>7302.3600000000079</v>
      </c>
      <c r="HQ122" s="147">
        <f t="shared" si="604"/>
        <v>20991.472209648076</v>
      </c>
      <c r="HR122" s="147">
        <f t="shared" si="605"/>
        <v>6800.3227499999903</v>
      </c>
      <c r="HS122" s="147">
        <f t="shared" si="606"/>
        <v>45639.749999999993</v>
      </c>
      <c r="HT122" s="147">
        <f t="shared" si="607"/>
        <v>6268.899493203241</v>
      </c>
      <c r="HU122" s="147">
        <f t="shared" si="608"/>
        <v>0</v>
      </c>
      <c r="HV122" s="147">
        <f t="shared" si="609"/>
        <v>18255.900000000041</v>
      </c>
      <c r="HW122" s="147">
        <f t="shared" si="610"/>
        <v>116080.14015000001</v>
      </c>
      <c r="HX122" s="147">
        <f t="shared" si="611"/>
        <v>117304.07965471526</v>
      </c>
      <c r="HY122" s="147">
        <f t="shared" si="612"/>
        <v>13691.92500000005</v>
      </c>
      <c r="HZ122" s="147">
        <f t="shared" si="613"/>
        <v>14310.384360346723</v>
      </c>
      <c r="IA122" s="147">
        <f t="shared" si="614"/>
        <v>34770.775292473969</v>
      </c>
      <c r="IB122" s="147">
        <f t="shared" si="615"/>
        <v>189861.35999999943</v>
      </c>
      <c r="IC122" s="147">
        <f t="shared" si="616"/>
        <v>19379.546191919737</v>
      </c>
      <c r="ID122" s="147">
        <f t="shared" si="617"/>
        <v>24686.493866338278</v>
      </c>
      <c r="IE122" s="147">
        <f t="shared" si="618"/>
        <v>29755.655697911374</v>
      </c>
      <c r="IF122" s="147">
        <f t="shared" si="619"/>
        <v>11467.762693601077</v>
      </c>
      <c r="IG122" s="147">
        <f t="shared" si="620"/>
        <v>9127.9500000000189</v>
      </c>
      <c r="IH122" s="147">
        <f t="shared" si="621"/>
        <v>22168.125621654955</v>
      </c>
      <c r="II122" s="147">
        <f t="shared" si="622"/>
        <v>18255.900000000023</v>
      </c>
      <c r="IJ122" s="147">
        <f t="shared" si="623"/>
        <v>80425.657118836651</v>
      </c>
      <c r="IK122" s="147">
        <f t="shared" si="624"/>
        <v>20081.489999999987</v>
      </c>
      <c r="IL122" s="147">
        <f t="shared" si="625"/>
        <v>16763.901920617667</v>
      </c>
      <c r="IM122" s="147">
        <f t="shared" si="626"/>
        <v>0</v>
      </c>
      <c r="IN122" s="26"/>
      <c r="IP122" s="61">
        <f t="shared" si="627"/>
        <v>40192.424999999945</v>
      </c>
      <c r="IQ122" s="61">
        <f t="shared" si="628"/>
        <v>6823.9655662388313</v>
      </c>
      <c r="IR122" s="61">
        <f t="shared" si="629"/>
        <v>4946.7600000000057</v>
      </c>
      <c r="IS122" s="61">
        <f t="shared" si="630"/>
        <v>14220.029561374504</v>
      </c>
      <c r="IT122" s="61">
        <f t="shared" si="631"/>
        <v>4606.6702499999938</v>
      </c>
      <c r="IU122" s="61">
        <f t="shared" si="632"/>
        <v>30917.249999999996</v>
      </c>
      <c r="IV122" s="61">
        <f t="shared" si="633"/>
        <v>4246.6738502344542</v>
      </c>
      <c r="IW122" s="61">
        <f t="shared" si="634"/>
        <v>0</v>
      </c>
      <c r="IX122" s="61">
        <f t="shared" si="635"/>
        <v>12366.900000000029</v>
      </c>
      <c r="IY122" s="61">
        <f t="shared" si="636"/>
        <v>78634.933650000006</v>
      </c>
      <c r="IZ122" s="61">
        <f t="shared" si="637"/>
        <v>79464.053959645826</v>
      </c>
      <c r="JA122" s="61">
        <f t="shared" si="638"/>
        <v>9275.1750000000338</v>
      </c>
      <c r="JB122" s="61">
        <f t="shared" si="639"/>
        <v>9694.1313408800397</v>
      </c>
      <c r="JC122" s="61">
        <f t="shared" si="640"/>
        <v>23554.396165869468</v>
      </c>
      <c r="JD122" s="61">
        <f t="shared" si="641"/>
        <v>128615.75999999962</v>
      </c>
      <c r="JE122" s="61">
        <f t="shared" si="642"/>
        <v>13128.079678397244</v>
      </c>
      <c r="JF122" s="61">
        <f t="shared" si="643"/>
        <v>16723.108748164639</v>
      </c>
      <c r="JG122" s="61">
        <f t="shared" si="644"/>
        <v>20157.057085681899</v>
      </c>
      <c r="JH122" s="61">
        <f t="shared" si="645"/>
        <v>7768.4844053426659</v>
      </c>
      <c r="JI122" s="61">
        <f t="shared" si="646"/>
        <v>6183.4500000000135</v>
      </c>
      <c r="JJ122" s="61">
        <f t="shared" si="647"/>
        <v>15017.117356604971</v>
      </c>
      <c r="JK122" s="61">
        <f t="shared" si="648"/>
        <v>12366.900000000018</v>
      </c>
      <c r="JL122" s="61">
        <f t="shared" si="649"/>
        <v>54481.896757921611</v>
      </c>
      <c r="JM122" s="61">
        <f t="shared" si="650"/>
        <v>13603.589999999993</v>
      </c>
      <c r="JN122" s="61">
        <f t="shared" si="651"/>
        <v>11356.191623644227</v>
      </c>
      <c r="JO122" s="61">
        <f t="shared" si="652"/>
        <v>0</v>
      </c>
      <c r="JQ122" s="26">
        <f t="shared" si="711"/>
        <v>2944500</v>
      </c>
      <c r="JR122" s="156">
        <f t="shared" si="712"/>
        <v>1</v>
      </c>
      <c r="JT122" s="157">
        <f t="shared" si="653"/>
        <v>191392.49999999971</v>
      </c>
      <c r="JU122" s="29">
        <f t="shared" si="654"/>
        <v>1</v>
      </c>
    </row>
    <row r="123" spans="1:281" ht="18.75" x14ac:dyDescent="0.3">
      <c r="A123" t="s">
        <v>234</v>
      </c>
      <c r="B123" t="s">
        <v>199</v>
      </c>
      <c r="C123" t="s">
        <v>74</v>
      </c>
      <c r="D123" t="s">
        <v>29</v>
      </c>
      <c r="E123" s="11" t="s">
        <v>283</v>
      </c>
      <c r="F123" s="114">
        <v>1115</v>
      </c>
      <c r="G123" s="17">
        <v>422563</v>
      </c>
      <c r="H123" s="21">
        <v>248221</v>
      </c>
      <c r="I123" s="25">
        <f t="shared" si="434"/>
        <v>1.7023660367172802</v>
      </c>
      <c r="J123" s="13">
        <v>6.4999999999999974E-2</v>
      </c>
      <c r="K123" s="13">
        <v>1.1035854686685912E-2</v>
      </c>
      <c r="L123" s="13">
        <v>7.9999999999999967E-3</v>
      </c>
      <c r="M123" s="13">
        <v>2.2996918486240563E-2</v>
      </c>
      <c r="N123" s="13">
        <v>7.4500000000000122E-3</v>
      </c>
      <c r="O123" s="13">
        <v>4.9999999999999843E-2</v>
      </c>
      <c r="P123" s="13">
        <v>6.867806564675779E-3</v>
      </c>
      <c r="Q123" s="13">
        <v>0</v>
      </c>
      <c r="R123" s="13">
        <v>1.9999999999999948E-2</v>
      </c>
      <c r="S123" s="13">
        <v>0.12717000000000012</v>
      </c>
      <c r="T123" s="13">
        <v>0.12851087008004544</v>
      </c>
      <c r="U123" s="13">
        <v>1.5000000000000053E-2</v>
      </c>
      <c r="V123" s="13">
        <v>1.5677544640742634E-2</v>
      </c>
      <c r="W123" s="13">
        <v>3.8092644342348402E-2</v>
      </c>
      <c r="X123" s="13">
        <v>0.2080000000000003</v>
      </c>
      <c r="Y123" s="13">
        <v>2.1230995121489141E-2</v>
      </c>
      <c r="Z123" s="13">
        <v>2.7044948609861168E-2</v>
      </c>
      <c r="AA123" s="13">
        <v>3.2598399090607695E-2</v>
      </c>
      <c r="AB123" s="13">
        <v>1.2563349595036258E-2</v>
      </c>
      <c r="AC123" s="13">
        <v>9.9999999999999742E-3</v>
      </c>
      <c r="AD123" s="13">
        <v>2.4285984938189661E-2</v>
      </c>
      <c r="AE123" s="13">
        <v>1.9999999999999948E-2</v>
      </c>
      <c r="AF123" s="13">
        <v>8.8109221806469851E-2</v>
      </c>
      <c r="AG123" s="13">
        <v>2.2000000000000079E-2</v>
      </c>
      <c r="AH123" s="13">
        <v>1.8365462037607135E-2</v>
      </c>
      <c r="AJ123" s="8">
        <f t="shared" si="656"/>
        <v>1</v>
      </c>
      <c r="AK123" s="141">
        <f t="shared" si="435"/>
        <v>72.474999999999966</v>
      </c>
      <c r="AL123" s="141">
        <f t="shared" si="436"/>
        <v>12.304977975654792</v>
      </c>
      <c r="AM123" s="141">
        <f t="shared" si="437"/>
        <v>8.9199999999999964</v>
      </c>
      <c r="AN123" s="141">
        <f t="shared" si="438"/>
        <v>25.641564112158228</v>
      </c>
      <c r="AO123" s="141">
        <f t="shared" si="439"/>
        <v>8.3067500000000134</v>
      </c>
      <c r="AP123" s="141">
        <f t="shared" si="440"/>
        <v>55.749999999999822</v>
      </c>
      <c r="AQ123" s="141">
        <f t="shared" si="441"/>
        <v>7.657604319613494</v>
      </c>
      <c r="AR123" s="141">
        <f t="shared" si="442"/>
        <v>0</v>
      </c>
      <c r="AS123" s="141">
        <f t="shared" si="443"/>
        <v>22.299999999999944</v>
      </c>
      <c r="AT123" s="141">
        <f t="shared" si="444"/>
        <v>141.79455000000013</v>
      </c>
      <c r="AU123" s="141">
        <f t="shared" si="445"/>
        <v>143.28962013925067</v>
      </c>
      <c r="AV123" s="141">
        <f t="shared" si="446"/>
        <v>16.725000000000058</v>
      </c>
      <c r="AW123" s="141">
        <f t="shared" si="447"/>
        <v>17.480462274428039</v>
      </c>
      <c r="AX123" s="141">
        <f t="shared" si="448"/>
        <v>42.47329844171847</v>
      </c>
      <c r="AY123" s="141">
        <f t="shared" si="449"/>
        <v>231.92000000000033</v>
      </c>
      <c r="AZ123" s="141">
        <f t="shared" si="450"/>
        <v>23.672559560460392</v>
      </c>
      <c r="BA123" s="141">
        <f t="shared" si="451"/>
        <v>30.155117699995202</v>
      </c>
      <c r="BB123" s="141">
        <f t="shared" si="452"/>
        <v>36.347214986027581</v>
      </c>
      <c r="BC123" s="141">
        <f t="shared" si="453"/>
        <v>14.008134798465427</v>
      </c>
      <c r="BD123" s="141">
        <f t="shared" si="454"/>
        <v>11.149999999999972</v>
      </c>
      <c r="BE123" s="141">
        <f t="shared" si="455"/>
        <v>27.078873206081472</v>
      </c>
      <c r="BF123" s="141">
        <f t="shared" si="456"/>
        <v>22.299999999999944</v>
      </c>
      <c r="BG123" s="141">
        <f t="shared" si="457"/>
        <v>98.241782314213879</v>
      </c>
      <c r="BH123" s="141">
        <f t="shared" si="458"/>
        <v>24.530000000000086</v>
      </c>
      <c r="BI123" s="141">
        <f t="shared" si="459"/>
        <v>20.477490171931954</v>
      </c>
      <c r="BJ123" s="141">
        <f t="shared" si="460"/>
        <v>0</v>
      </c>
      <c r="BM123" s="26">
        <f t="shared" si="657"/>
        <v>27466.59499999999</v>
      </c>
      <c r="BN123" s="26">
        <f t="shared" si="658"/>
        <v>4663.3438639700589</v>
      </c>
      <c r="BO123" s="26">
        <f t="shared" si="659"/>
        <v>3380.5039999999985</v>
      </c>
      <c r="BP123" s="26">
        <f t="shared" si="660"/>
        <v>9717.6468663012711</v>
      </c>
      <c r="BQ123" s="26">
        <f t="shared" si="661"/>
        <v>3148.0943500000053</v>
      </c>
      <c r="BR123" s="26">
        <f t="shared" si="662"/>
        <v>21128.149999999932</v>
      </c>
      <c r="BS123" s="26">
        <f t="shared" si="663"/>
        <v>2902.0809453890911</v>
      </c>
      <c r="BT123" s="26">
        <f t="shared" si="664"/>
        <v>0</v>
      </c>
      <c r="BU123" s="26">
        <f t="shared" si="665"/>
        <v>8451.2599999999784</v>
      </c>
      <c r="BV123" s="26">
        <f t="shared" si="666"/>
        <v>53737.336710000047</v>
      </c>
      <c r="BW123" s="26">
        <f t="shared" si="667"/>
        <v>54303.938793634239</v>
      </c>
      <c r="BX123" s="26">
        <f t="shared" si="668"/>
        <v>6338.4450000000224</v>
      </c>
      <c r="BY123" s="26">
        <f t="shared" si="669"/>
        <v>6624.7502960261299</v>
      </c>
      <c r="BZ123" s="26">
        <f t="shared" si="670"/>
        <v>16096.542071235768</v>
      </c>
      <c r="CA123" s="26">
        <f t="shared" si="671"/>
        <v>87893.104000000123</v>
      </c>
      <c r="CB123" s="26">
        <f t="shared" si="672"/>
        <v>8971.432991521815</v>
      </c>
      <c r="CC123" s="26">
        <f t="shared" si="673"/>
        <v>11428.194619428765</v>
      </c>
      <c r="CD123" s="26">
        <f t="shared" si="674"/>
        <v>13774.877314924459</v>
      </c>
      <c r="CE123" s="26">
        <f t="shared" si="675"/>
        <v>5308.8066949273061</v>
      </c>
      <c r="CF123" s="26">
        <f t="shared" si="676"/>
        <v>4225.6299999999892</v>
      </c>
      <c r="CG123" s="26">
        <f t="shared" si="677"/>
        <v>10262.358653436238</v>
      </c>
      <c r="CH123" s="26">
        <f t="shared" si="678"/>
        <v>8451.2599999999784</v>
      </c>
      <c r="CI123" s="26">
        <f t="shared" si="679"/>
        <v>37231.697094207317</v>
      </c>
      <c r="CJ123" s="26">
        <f t="shared" si="680"/>
        <v>9296.3860000000332</v>
      </c>
      <c r="CK123" s="26">
        <f t="shared" si="681"/>
        <v>7760.5647349973842</v>
      </c>
      <c r="CL123" s="26">
        <f t="shared" si="682"/>
        <v>0</v>
      </c>
      <c r="CM123" s="110">
        <f t="shared" si="683"/>
        <v>1.0000000000000002</v>
      </c>
      <c r="CN123" s="27">
        <f t="shared" si="684"/>
        <v>16134.364999999994</v>
      </c>
      <c r="CO123" s="27">
        <f t="shared" si="685"/>
        <v>2739.3308861838641</v>
      </c>
      <c r="CP123" s="27">
        <f t="shared" si="686"/>
        <v>1985.7679999999991</v>
      </c>
      <c r="CQ123" s="27">
        <f t="shared" si="687"/>
        <v>5708.3181035731186</v>
      </c>
      <c r="CR123" s="27">
        <f t="shared" si="688"/>
        <v>1849.2464500000031</v>
      </c>
      <c r="CS123" s="27">
        <f t="shared" si="689"/>
        <v>12411.049999999961</v>
      </c>
      <c r="CT123" s="27">
        <f t="shared" si="690"/>
        <v>1704.7338132903865</v>
      </c>
      <c r="CU123" s="27">
        <f t="shared" si="691"/>
        <v>0</v>
      </c>
      <c r="CV123" s="27">
        <f t="shared" si="692"/>
        <v>4964.4199999999873</v>
      </c>
      <c r="CW123" s="27">
        <f t="shared" si="693"/>
        <v>31566.264570000028</v>
      </c>
      <c r="CX123" s="27">
        <f t="shared" si="694"/>
        <v>31899.096682138959</v>
      </c>
      <c r="CY123" s="27">
        <f t="shared" si="695"/>
        <v>3723.3150000000132</v>
      </c>
      <c r="CZ123" s="27">
        <f t="shared" si="696"/>
        <v>3891.4958082697772</v>
      </c>
      <c r="DA123" s="27">
        <f t="shared" si="697"/>
        <v>9455.3942713020624</v>
      </c>
      <c r="DB123" s="27">
        <f t="shared" si="698"/>
        <v>51629.968000000074</v>
      </c>
      <c r="DC123" s="27">
        <f t="shared" si="699"/>
        <v>5269.9788400511561</v>
      </c>
      <c r="DD123" s="27">
        <f t="shared" si="700"/>
        <v>6713.1241888883487</v>
      </c>
      <c r="DE123" s="27">
        <f t="shared" si="701"/>
        <v>8091.6072206697327</v>
      </c>
      <c r="DF123" s="27">
        <f t="shared" si="702"/>
        <v>3118.4871998294948</v>
      </c>
      <c r="DG123" s="27">
        <f t="shared" si="703"/>
        <v>2482.2099999999937</v>
      </c>
      <c r="DH123" s="27">
        <f t="shared" si="704"/>
        <v>6028.2914673423757</v>
      </c>
      <c r="DI123" s="27">
        <f t="shared" si="705"/>
        <v>4964.4199999999873</v>
      </c>
      <c r="DJ123" s="27">
        <f t="shared" si="706"/>
        <v>21870.559146023752</v>
      </c>
      <c r="DK123" s="27">
        <f t="shared" si="707"/>
        <v>5460.8620000000192</v>
      </c>
      <c r="DL123" s="27">
        <f t="shared" si="708"/>
        <v>4558.6933524368806</v>
      </c>
      <c r="DM123" s="27">
        <f t="shared" si="709"/>
        <v>0</v>
      </c>
      <c r="DN123" s="110">
        <f t="shared" si="710"/>
        <v>1</v>
      </c>
      <c r="DO123" s="28">
        <f t="shared" si="518"/>
        <v>11332.229999999996</v>
      </c>
      <c r="DP123" s="28">
        <f t="shared" si="519"/>
        <v>1924.0129777861948</v>
      </c>
      <c r="DQ123" s="28">
        <f t="shared" si="520"/>
        <v>1394.7359999999994</v>
      </c>
      <c r="DR123" s="28">
        <f t="shared" si="521"/>
        <v>4009.3287627281525</v>
      </c>
      <c r="DS123" s="28">
        <f t="shared" si="522"/>
        <v>1298.8479000000023</v>
      </c>
      <c r="DT123" s="28">
        <f t="shared" si="523"/>
        <v>8717.0999999999713</v>
      </c>
      <c r="DU123" s="28">
        <f t="shared" si="524"/>
        <v>1197.3471320987046</v>
      </c>
      <c r="DV123" s="28">
        <f t="shared" si="525"/>
        <v>0</v>
      </c>
      <c r="DW123" s="28">
        <f t="shared" si="526"/>
        <v>3486.8399999999911</v>
      </c>
      <c r="DX123" s="28">
        <f t="shared" si="527"/>
        <v>22171.072140000018</v>
      </c>
      <c r="DY123" s="28">
        <f t="shared" si="528"/>
        <v>22404.84211149528</v>
      </c>
      <c r="DZ123" s="28">
        <f t="shared" si="529"/>
        <v>2615.1300000000092</v>
      </c>
      <c r="EA123" s="28">
        <f t="shared" si="530"/>
        <v>2733.2544877563528</v>
      </c>
      <c r="EB123" s="28">
        <f t="shared" si="531"/>
        <v>6641.1477999337058</v>
      </c>
      <c r="EC123" s="28">
        <f t="shared" si="532"/>
        <v>36263.13600000005</v>
      </c>
      <c r="ED123" s="28">
        <f t="shared" si="533"/>
        <v>3701.4541514706589</v>
      </c>
      <c r="EE123" s="28">
        <f t="shared" si="534"/>
        <v>4715.0704305404161</v>
      </c>
      <c r="EF123" s="28">
        <f t="shared" si="535"/>
        <v>5683.2700942547262</v>
      </c>
      <c r="EG123" s="28">
        <f t="shared" si="536"/>
        <v>2190.3194950978113</v>
      </c>
      <c r="EH123" s="28">
        <f t="shared" si="537"/>
        <v>1743.4199999999955</v>
      </c>
      <c r="EI123" s="28">
        <f t="shared" si="538"/>
        <v>4234.0671860938628</v>
      </c>
      <c r="EJ123" s="28">
        <f t="shared" si="539"/>
        <v>3486.8399999999911</v>
      </c>
      <c r="EK123" s="28">
        <f t="shared" si="540"/>
        <v>15361.137948183565</v>
      </c>
      <c r="EL123" s="28">
        <f t="shared" si="541"/>
        <v>3835.524000000014</v>
      </c>
      <c r="EM123" s="28">
        <f t="shared" si="542"/>
        <v>3201.8713825605037</v>
      </c>
      <c r="EN123" s="28">
        <f t="shared" si="543"/>
        <v>0</v>
      </c>
      <c r="EQ123" s="144">
        <v>3.0000003526584985E-2</v>
      </c>
      <c r="ER123" s="144">
        <v>4.9999997481010722E-2</v>
      </c>
      <c r="ES123" s="144">
        <v>8.0000001007595717E-2</v>
      </c>
      <c r="ET123" s="144">
        <v>0.11000000453418068</v>
      </c>
      <c r="EU123" s="144">
        <v>0.11999998891644718</v>
      </c>
      <c r="EV123" s="144">
        <v>0.14999999244303219</v>
      </c>
      <c r="EW123" s="144">
        <v>0.12999999848860644</v>
      </c>
      <c r="EX123" s="144">
        <v>8.0000001007595717E-2</v>
      </c>
      <c r="EY123" s="144">
        <v>6.9999991435436462E-2</v>
      </c>
      <c r="EZ123" s="144">
        <v>6.0000007053169969E-2</v>
      </c>
      <c r="FA123" s="144">
        <v>6.0000007053169969E-2</v>
      </c>
      <c r="FB123" s="144">
        <v>6.0000007053169969E-2</v>
      </c>
      <c r="FC123" s="145">
        <f t="shared" si="544"/>
        <v>1</v>
      </c>
      <c r="FD123" s="146">
        <f t="shared" si="545"/>
        <v>0.16000000201519143</v>
      </c>
      <c r="FE123" s="146">
        <f t="shared" si="546"/>
        <v>0.37999998589366007</v>
      </c>
      <c r="FF123" s="146">
        <f t="shared" si="547"/>
        <v>0.27999999093163863</v>
      </c>
      <c r="FG123" s="146">
        <f t="shared" si="548"/>
        <v>0.18000002115950992</v>
      </c>
      <c r="FH123" s="145">
        <f t="shared" si="655"/>
        <v>1</v>
      </c>
      <c r="FJ123" s="52">
        <f t="shared" si="549"/>
        <v>4394.6552553504453</v>
      </c>
      <c r="FK123" s="52">
        <f t="shared" si="550"/>
        <v>746.13502763274005</v>
      </c>
      <c r="FL123" s="52">
        <f t="shared" si="551"/>
        <v>540.88064681236244</v>
      </c>
      <c r="FM123" s="52">
        <f t="shared" si="552"/>
        <v>1554.823518191122</v>
      </c>
      <c r="FN123" s="52">
        <f t="shared" si="553"/>
        <v>503.69510234401361</v>
      </c>
      <c r="FO123" s="52">
        <f t="shared" si="554"/>
        <v>3380.5040425772559</v>
      </c>
      <c r="FP123" s="52">
        <f t="shared" si="555"/>
        <v>464.33295711050323</v>
      </c>
      <c r="FQ123" s="52">
        <f t="shared" si="556"/>
        <v>0</v>
      </c>
      <c r="FR123" s="52">
        <f t="shared" si="557"/>
        <v>1352.2016170309032</v>
      </c>
      <c r="FS123" s="52">
        <f t="shared" si="558"/>
        <v>8597.9739818910275</v>
      </c>
      <c r="FT123" s="52">
        <f t="shared" si="559"/>
        <v>8688.6303164143101</v>
      </c>
      <c r="FU123" s="52">
        <f t="shared" si="560"/>
        <v>1014.1512127731837</v>
      </c>
      <c r="FV123" s="52">
        <f t="shared" si="561"/>
        <v>1059.9600607143209</v>
      </c>
      <c r="FW123" s="52">
        <f t="shared" si="562"/>
        <v>2575.4467638353367</v>
      </c>
      <c r="FX123" s="52">
        <f t="shared" si="563"/>
        <v>14062.896817121449</v>
      </c>
      <c r="FY123" s="52">
        <f t="shared" si="564"/>
        <v>1435.4292967226454</v>
      </c>
      <c r="FZ123" s="52">
        <f t="shared" si="565"/>
        <v>1828.5111621386022</v>
      </c>
      <c r="GA123" s="52">
        <f t="shared" si="566"/>
        <v>2203.9803981469281</v>
      </c>
      <c r="GB123" s="52">
        <f t="shared" si="567"/>
        <v>849.4090818866307</v>
      </c>
      <c r="GC123" s="52">
        <f t="shared" si="568"/>
        <v>676.1008085154516</v>
      </c>
      <c r="GD123" s="52">
        <f t="shared" si="569"/>
        <v>1641.9774052304153</v>
      </c>
      <c r="GE123" s="52">
        <f t="shared" si="570"/>
        <v>1352.2016170309032</v>
      </c>
      <c r="GF123" s="52">
        <f t="shared" si="571"/>
        <v>5957.0716101021681</v>
      </c>
      <c r="GG123" s="52">
        <f t="shared" si="572"/>
        <v>1487.4217787340028</v>
      </c>
      <c r="GH123" s="52">
        <f t="shared" si="573"/>
        <v>1241.6903732386052</v>
      </c>
      <c r="GI123" s="52">
        <f t="shared" si="574"/>
        <v>0</v>
      </c>
      <c r="GJ123" s="26"/>
      <c r="GL123" s="150">
        <f t="shared" si="575"/>
        <v>10437.305712546871</v>
      </c>
      <c r="GM123" s="150">
        <f t="shared" si="576"/>
        <v>1772.0706025259087</v>
      </c>
      <c r="GN123" s="150">
        <f t="shared" si="577"/>
        <v>1284.5914723134608</v>
      </c>
      <c r="GO123" s="150">
        <f t="shared" si="578"/>
        <v>3692.705672114053</v>
      </c>
      <c r="GP123" s="150">
        <f t="shared" si="579"/>
        <v>1196.2758085919129</v>
      </c>
      <c r="GQ123" s="150">
        <f t="shared" si="580"/>
        <v>8028.6967019591084</v>
      </c>
      <c r="GR123" s="150">
        <f t="shared" si="581"/>
        <v>1102.7907183101142</v>
      </c>
      <c r="GS123" s="150">
        <f t="shared" si="582"/>
        <v>0</v>
      </c>
      <c r="GT123" s="150">
        <f t="shared" si="583"/>
        <v>3211.4786807836454</v>
      </c>
      <c r="GU123" s="150">
        <f t="shared" si="584"/>
        <v>20420.187191762878</v>
      </c>
      <c r="GV123" s="150">
        <f t="shared" si="585"/>
        <v>20635.495975551192</v>
      </c>
      <c r="GW123" s="150">
        <f t="shared" si="586"/>
        <v>2408.6090105877488</v>
      </c>
      <c r="GX123" s="150">
        <f t="shared" si="587"/>
        <v>2517.4050190389498</v>
      </c>
      <c r="GY123" s="150">
        <f t="shared" si="588"/>
        <v>6116.6857600062976</v>
      </c>
      <c r="GZ123" s="150">
        <f t="shared" si="589"/>
        <v>33399.378280150042</v>
      </c>
      <c r="HA123" s="150">
        <f t="shared" si="590"/>
        <v>3409.1444102242062</v>
      </c>
      <c r="HB123" s="150">
        <f t="shared" si="591"/>
        <v>4342.7137941729325</v>
      </c>
      <c r="HC123" s="150">
        <f t="shared" si="592"/>
        <v>5234.453185358193</v>
      </c>
      <c r="HD123" s="150">
        <f t="shared" si="593"/>
        <v>2017.3464691845445</v>
      </c>
      <c r="HE123" s="150">
        <f t="shared" si="594"/>
        <v>1605.7393403918227</v>
      </c>
      <c r="HF123" s="150">
        <f t="shared" si="595"/>
        <v>3899.696143541451</v>
      </c>
      <c r="HG123" s="150">
        <f t="shared" si="596"/>
        <v>3211.4786807836454</v>
      </c>
      <c r="HH123" s="150">
        <f t="shared" si="597"/>
        <v>14148.044370595806</v>
      </c>
      <c r="HI123" s="150">
        <f t="shared" si="598"/>
        <v>3532.6265488620315</v>
      </c>
      <c r="HJ123" s="150">
        <f t="shared" si="599"/>
        <v>2949.0144898258418</v>
      </c>
      <c r="HK123" s="150">
        <f t="shared" si="600"/>
        <v>0</v>
      </c>
      <c r="HL123" s="26"/>
      <c r="HN123" s="147">
        <f t="shared" si="601"/>
        <v>7690.6463509229879</v>
      </c>
      <c r="HO123" s="147">
        <f t="shared" si="602"/>
        <v>1305.736239622729</v>
      </c>
      <c r="HP123" s="147">
        <f t="shared" si="603"/>
        <v>946.54108934436772</v>
      </c>
      <c r="HQ123" s="147">
        <f t="shared" si="604"/>
        <v>2720.9410344412227</v>
      </c>
      <c r="HR123" s="147">
        <f t="shared" si="605"/>
        <v>881.46638945194434</v>
      </c>
      <c r="HS123" s="147">
        <f t="shared" si="606"/>
        <v>5915.8818084022814</v>
      </c>
      <c r="HT123" s="147">
        <f t="shared" si="607"/>
        <v>812.58263839182678</v>
      </c>
      <c r="HU123" s="147">
        <f t="shared" si="608"/>
        <v>0</v>
      </c>
      <c r="HV123" s="147">
        <f t="shared" si="609"/>
        <v>2366.3527233609143</v>
      </c>
      <c r="HW123" s="147">
        <f t="shared" si="610"/>
        <v>15046.453791490425</v>
      </c>
      <c r="HX123" s="147">
        <f t="shared" si="611"/>
        <v>15205.102369769846</v>
      </c>
      <c r="HY123" s="147">
        <f t="shared" si="612"/>
        <v>1774.7645425206965</v>
      </c>
      <c r="HZ123" s="147">
        <f t="shared" si="613"/>
        <v>1854.9300228116867</v>
      </c>
      <c r="IA123" s="147">
        <f t="shared" si="614"/>
        <v>4507.0316339767551</v>
      </c>
      <c r="IB123" s="147">
        <f t="shared" si="615"/>
        <v>24610.068322953604</v>
      </c>
      <c r="IC123" s="147">
        <f t="shared" si="616"/>
        <v>2512.0011562699119</v>
      </c>
      <c r="ID123" s="147">
        <f t="shared" si="617"/>
        <v>3199.8943898050557</v>
      </c>
      <c r="IE123" s="147">
        <f t="shared" si="618"/>
        <v>3856.9655232632831</v>
      </c>
      <c r="IF123" s="147">
        <f t="shared" si="619"/>
        <v>1486.4658264374682</v>
      </c>
      <c r="IG123" s="147">
        <f t="shared" si="620"/>
        <v>1183.1763616804571</v>
      </c>
      <c r="IH123" s="147">
        <f t="shared" si="621"/>
        <v>2873.4603298993702</v>
      </c>
      <c r="II123" s="147">
        <f t="shared" si="622"/>
        <v>2366.3527233609143</v>
      </c>
      <c r="IJ123" s="147">
        <f t="shared" si="623"/>
        <v>10424.874848747566</v>
      </c>
      <c r="IK123" s="147">
        <f t="shared" si="624"/>
        <v>2602.9879956970217</v>
      </c>
      <c r="IL123" s="147">
        <f t="shared" si="625"/>
        <v>2172.9580554236622</v>
      </c>
      <c r="IM123" s="147">
        <f t="shared" si="626"/>
        <v>0</v>
      </c>
      <c r="IN123" s="26"/>
      <c r="IP123" s="61">
        <f t="shared" si="627"/>
        <v>4943.9876811796876</v>
      </c>
      <c r="IQ123" s="61">
        <f t="shared" si="628"/>
        <v>839.40199418868133</v>
      </c>
      <c r="IR123" s="61">
        <f t="shared" si="629"/>
        <v>608.49079152980767</v>
      </c>
      <c r="IS123" s="61">
        <f t="shared" si="630"/>
        <v>1749.1766415548741</v>
      </c>
      <c r="IT123" s="61">
        <f t="shared" si="631"/>
        <v>566.65704961213453</v>
      </c>
      <c r="IU123" s="61">
        <f t="shared" si="632"/>
        <v>3803.0674470612871</v>
      </c>
      <c r="IV123" s="61">
        <f t="shared" si="633"/>
        <v>522.37463157664695</v>
      </c>
      <c r="IW123" s="61">
        <f t="shared" si="634"/>
        <v>0</v>
      </c>
      <c r="IX123" s="61">
        <f t="shared" si="635"/>
        <v>1521.226978824516</v>
      </c>
      <c r="IY123" s="61">
        <f t="shared" si="636"/>
        <v>9672.7217448557167</v>
      </c>
      <c r="IZ123" s="61">
        <f t="shared" si="637"/>
        <v>9774.7101318988953</v>
      </c>
      <c r="JA123" s="61">
        <f t="shared" si="638"/>
        <v>1140.9202341183939</v>
      </c>
      <c r="JB123" s="61">
        <f t="shared" si="639"/>
        <v>1192.4551934611729</v>
      </c>
      <c r="JC123" s="61">
        <f t="shared" si="640"/>
        <v>2897.3779134173797</v>
      </c>
      <c r="JD123" s="61">
        <f t="shared" si="641"/>
        <v>15820.760579775028</v>
      </c>
      <c r="JE123" s="61">
        <f t="shared" si="642"/>
        <v>1614.8581283050521</v>
      </c>
      <c r="JF123" s="61">
        <f t="shared" si="643"/>
        <v>2057.0752733121749</v>
      </c>
      <c r="JG123" s="61">
        <f t="shared" si="644"/>
        <v>2479.4782081560556</v>
      </c>
      <c r="JH123" s="61">
        <f t="shared" si="645"/>
        <v>955.58531741866295</v>
      </c>
      <c r="JI123" s="61">
        <f t="shared" si="646"/>
        <v>760.61348941225799</v>
      </c>
      <c r="JJ123" s="61">
        <f t="shared" si="647"/>
        <v>1847.2247747650026</v>
      </c>
      <c r="JK123" s="61">
        <f t="shared" si="648"/>
        <v>1521.226978824516</v>
      </c>
      <c r="JL123" s="61">
        <f t="shared" si="649"/>
        <v>6701.7062647617804</v>
      </c>
      <c r="JM123" s="61">
        <f t="shared" si="650"/>
        <v>1673.3496767069778</v>
      </c>
      <c r="JN123" s="61">
        <f t="shared" si="651"/>
        <v>1396.9018165092757</v>
      </c>
      <c r="JO123" s="61">
        <f t="shared" si="652"/>
        <v>0</v>
      </c>
      <c r="JQ123" s="26">
        <f t="shared" si="711"/>
        <v>422562.99999999977</v>
      </c>
      <c r="JR123" s="156">
        <f t="shared" si="712"/>
        <v>0.99999999999999944</v>
      </c>
      <c r="JT123" s="157">
        <f t="shared" si="653"/>
        <v>27466.594999999994</v>
      </c>
      <c r="JU123" s="29">
        <f t="shared" si="654"/>
        <v>1.0000000000000002</v>
      </c>
    </row>
    <row r="124" spans="1:281" ht="18.75" x14ac:dyDescent="0.3">
      <c r="A124" t="s">
        <v>234</v>
      </c>
      <c r="B124" t="s">
        <v>200</v>
      </c>
      <c r="C124" t="s">
        <v>74</v>
      </c>
      <c r="D124" t="s">
        <v>29</v>
      </c>
      <c r="E124" s="11" t="s">
        <v>284</v>
      </c>
      <c r="F124" s="114">
        <v>9363</v>
      </c>
      <c r="G124" s="17">
        <v>2966012</v>
      </c>
      <c r="H124" s="21">
        <v>1939733</v>
      </c>
      <c r="I124" s="25">
        <f t="shared" si="434"/>
        <v>1.5290826108541742</v>
      </c>
      <c r="J124" s="13">
        <v>5.3401356723906293E-2</v>
      </c>
      <c r="K124" s="13">
        <v>1.8156461286128245E-2</v>
      </c>
      <c r="L124" s="13">
        <v>1.3733253146492598E-2</v>
      </c>
      <c r="M124" s="13">
        <v>1.8156461286128262E-2</v>
      </c>
      <c r="N124" s="13">
        <v>5.340135672390652E-3</v>
      </c>
      <c r="O124" s="13">
        <v>2.6700678361953299E-2</v>
      </c>
      <c r="P124" s="13">
        <v>5.3401356723906572E-3</v>
      </c>
      <c r="Q124" s="13">
        <v>0</v>
      </c>
      <c r="R124" s="13">
        <v>7.9689448216422321E-3</v>
      </c>
      <c r="S124" s="13">
        <v>6.9421763741078321E-2</v>
      </c>
      <c r="T124" s="13">
        <v>0.21360542689562634</v>
      </c>
      <c r="U124" s="13">
        <v>2.90722184779942E-2</v>
      </c>
      <c r="V124" s="13">
        <v>2.5632651227475142E-2</v>
      </c>
      <c r="W124" s="13">
        <v>6.6910011798645488E-2</v>
      </c>
      <c r="X124" s="13">
        <v>6.5149655203165707E-2</v>
      </c>
      <c r="Y124" s="13">
        <v>3.6312922572256524E-2</v>
      </c>
      <c r="Z124" s="13">
        <v>4.498229832437161E-2</v>
      </c>
      <c r="AA124" s="13">
        <v>4.2721085379125071E-2</v>
      </c>
      <c r="AB124" s="13">
        <v>1.5699998876828426E-2</v>
      </c>
      <c r="AC124" s="13">
        <v>1.7088434151650064E-2</v>
      </c>
      <c r="AD124" s="13">
        <v>3.8235371414317161E-2</v>
      </c>
      <c r="AE124" s="13">
        <v>3.4710881870539306E-2</v>
      </c>
      <c r="AF124" s="13">
        <v>8.8646252161684563E-2</v>
      </c>
      <c r="AG124" s="13">
        <v>3.6312922572256393E-2</v>
      </c>
      <c r="AH124" s="13">
        <v>2.6700678361953289E-2</v>
      </c>
      <c r="AJ124" s="8">
        <f t="shared" si="656"/>
        <v>0.99999999999999989</v>
      </c>
      <c r="AK124" s="141">
        <f t="shared" si="435"/>
        <v>499.9969030059346</v>
      </c>
      <c r="AL124" s="141">
        <f t="shared" si="436"/>
        <v>169.99894702201877</v>
      </c>
      <c r="AM124" s="141">
        <f t="shared" si="437"/>
        <v>128.58444921061019</v>
      </c>
      <c r="AN124" s="141">
        <f t="shared" si="438"/>
        <v>169.99894702201891</v>
      </c>
      <c r="AO124" s="141">
        <f t="shared" si="439"/>
        <v>49.999690300593677</v>
      </c>
      <c r="AP124" s="141">
        <f t="shared" si="440"/>
        <v>249.99845150296875</v>
      </c>
      <c r="AQ124" s="141">
        <f t="shared" si="441"/>
        <v>49.999690300593727</v>
      </c>
      <c r="AR124" s="141">
        <f t="shared" si="442"/>
        <v>0</v>
      </c>
      <c r="AS124" s="141">
        <f t="shared" si="443"/>
        <v>74.613230365036216</v>
      </c>
      <c r="AT124" s="141">
        <f t="shared" si="444"/>
        <v>649.99597390771635</v>
      </c>
      <c r="AU124" s="141">
        <f t="shared" si="445"/>
        <v>1999.9876120237493</v>
      </c>
      <c r="AV124" s="141">
        <f t="shared" si="446"/>
        <v>272.2031816094597</v>
      </c>
      <c r="AW124" s="141">
        <f t="shared" si="447"/>
        <v>239.99851344284977</v>
      </c>
      <c r="AX124" s="141">
        <f t="shared" si="448"/>
        <v>626.47844047071771</v>
      </c>
      <c r="AY124" s="141">
        <f t="shared" si="449"/>
        <v>609.99622166724055</v>
      </c>
      <c r="AZ124" s="141">
        <f t="shared" si="450"/>
        <v>339.99789404403782</v>
      </c>
      <c r="BA124" s="141">
        <f t="shared" si="451"/>
        <v>421.1692592110914</v>
      </c>
      <c r="BB124" s="141">
        <f t="shared" si="452"/>
        <v>399.99752240474805</v>
      </c>
      <c r="BC124" s="141">
        <f t="shared" si="453"/>
        <v>146.99908948374454</v>
      </c>
      <c r="BD124" s="141">
        <f t="shared" si="454"/>
        <v>159.99900896189953</v>
      </c>
      <c r="BE124" s="141">
        <f t="shared" si="455"/>
        <v>357.99778255225158</v>
      </c>
      <c r="BF124" s="141">
        <f t="shared" si="456"/>
        <v>324.99798695385954</v>
      </c>
      <c r="BG124" s="141">
        <f t="shared" si="457"/>
        <v>829.99485898985256</v>
      </c>
      <c r="BH124" s="141">
        <f t="shared" si="458"/>
        <v>339.99789404403663</v>
      </c>
      <c r="BI124" s="141">
        <f t="shared" si="459"/>
        <v>249.99845150296863</v>
      </c>
      <c r="BJ124" s="141">
        <f t="shared" si="460"/>
        <v>0</v>
      </c>
      <c r="BM124" s="26">
        <f t="shared" si="657"/>
        <v>158389.06485938677</v>
      </c>
      <c r="BN124" s="26">
        <f t="shared" si="658"/>
        <v>53852.282052191811</v>
      </c>
      <c r="BO124" s="26">
        <f t="shared" si="659"/>
        <v>40732.993631534802</v>
      </c>
      <c r="BP124" s="26">
        <f t="shared" si="660"/>
        <v>53852.282052191862</v>
      </c>
      <c r="BQ124" s="26">
        <f t="shared" si="661"/>
        <v>15838.906485938742</v>
      </c>
      <c r="BR124" s="26">
        <f t="shared" si="662"/>
        <v>79194.532429693834</v>
      </c>
      <c r="BS124" s="26">
        <f t="shared" si="663"/>
        <v>15838.906485938758</v>
      </c>
      <c r="BT124" s="26">
        <f t="shared" si="664"/>
        <v>0</v>
      </c>
      <c r="BU124" s="26">
        <f t="shared" si="665"/>
        <v>23635.985968328721</v>
      </c>
      <c r="BV124" s="26">
        <f t="shared" si="666"/>
        <v>205905.78431720319</v>
      </c>
      <c r="BW124" s="26">
        <f t="shared" si="667"/>
        <v>633556.25943755044</v>
      </c>
      <c r="BX124" s="26">
        <f t="shared" si="668"/>
        <v>86228.548872352534</v>
      </c>
      <c r="BY124" s="26">
        <f t="shared" si="669"/>
        <v>76026.751132506004</v>
      </c>
      <c r="BZ124" s="26">
        <f t="shared" si="670"/>
        <v>198455.89791492411</v>
      </c>
      <c r="CA124" s="26">
        <f t="shared" si="671"/>
        <v>193234.65912845192</v>
      </c>
      <c r="CB124" s="26">
        <f t="shared" si="672"/>
        <v>107704.56410438372</v>
      </c>
      <c r="CC124" s="26">
        <f t="shared" si="673"/>
        <v>133418.03661766608</v>
      </c>
      <c r="CD124" s="26">
        <f t="shared" si="674"/>
        <v>126711.25188750951</v>
      </c>
      <c r="CE124" s="26">
        <f t="shared" si="675"/>
        <v>46566.385068659634</v>
      </c>
      <c r="CF124" s="26">
        <f t="shared" si="676"/>
        <v>50684.500755003908</v>
      </c>
      <c r="CG124" s="26">
        <f t="shared" si="677"/>
        <v>113406.57043932167</v>
      </c>
      <c r="CH124" s="26">
        <f t="shared" si="678"/>
        <v>102952.89215860203</v>
      </c>
      <c r="CI124" s="26">
        <f t="shared" si="679"/>
        <v>262925.84766658238</v>
      </c>
      <c r="CJ124" s="26">
        <f t="shared" si="680"/>
        <v>107704.56410438333</v>
      </c>
      <c r="CK124" s="26">
        <f t="shared" si="681"/>
        <v>79194.532429693805</v>
      </c>
      <c r="CL124" s="26">
        <f t="shared" si="682"/>
        <v>0</v>
      </c>
      <c r="CM124" s="110">
        <f t="shared" si="683"/>
        <v>0.99999999999999989</v>
      </c>
      <c r="CN124" s="27">
        <f t="shared" si="684"/>
        <v>103584.37388213293</v>
      </c>
      <c r="CO124" s="27">
        <f t="shared" si="685"/>
        <v>35218.687119925402</v>
      </c>
      <c r="CP124" s="27">
        <f t="shared" si="686"/>
        <v>26638.844325605529</v>
      </c>
      <c r="CQ124" s="27">
        <f t="shared" si="687"/>
        <v>35218.687119925431</v>
      </c>
      <c r="CR124" s="27">
        <f t="shared" si="688"/>
        <v>10358.437388213337</v>
      </c>
      <c r="CS124" s="27">
        <f t="shared" si="689"/>
        <v>51792.186941066757</v>
      </c>
      <c r="CT124" s="27">
        <f t="shared" si="690"/>
        <v>10358.437388213346</v>
      </c>
      <c r="CU124" s="27">
        <f t="shared" si="691"/>
        <v>0</v>
      </c>
      <c r="CV124" s="27">
        <f t="shared" si="692"/>
        <v>15457.625245718551</v>
      </c>
      <c r="CW124" s="27">
        <f t="shared" si="693"/>
        <v>134659.68604677307</v>
      </c>
      <c r="CX124" s="27">
        <f t="shared" si="694"/>
        <v>414337.49552853394</v>
      </c>
      <c r="CY124" s="27">
        <f t="shared" si="695"/>
        <v>56392.341564975126</v>
      </c>
      <c r="CZ124" s="27">
        <f t="shared" si="696"/>
        <v>49720.499463424043</v>
      </c>
      <c r="DA124" s="27">
        <f t="shared" si="697"/>
        <v>129787.55791622201</v>
      </c>
      <c r="DB124" s="27">
        <f t="shared" si="698"/>
        <v>126372.93613620223</v>
      </c>
      <c r="DC124" s="27">
        <f t="shared" si="699"/>
        <v>70437.374239850862</v>
      </c>
      <c r="DD124" s="27">
        <f t="shared" si="700"/>
        <v>87253.648475628317</v>
      </c>
      <c r="DE124" s="27">
        <f t="shared" si="701"/>
        <v>82867.499105706403</v>
      </c>
      <c r="DF124" s="27">
        <f t="shared" si="702"/>
        <v>30453.805921347033</v>
      </c>
      <c r="DG124" s="27">
        <f t="shared" si="703"/>
        <v>33146.99964228263</v>
      </c>
      <c r="DH124" s="27">
        <f t="shared" si="704"/>
        <v>74166.411699607663</v>
      </c>
      <c r="DI124" s="27">
        <f t="shared" si="705"/>
        <v>67329.843023386813</v>
      </c>
      <c r="DJ124" s="27">
        <f t="shared" si="706"/>
        <v>171950.06064434088</v>
      </c>
      <c r="DK124" s="27">
        <f t="shared" si="707"/>
        <v>70437.374239850615</v>
      </c>
      <c r="DL124" s="27">
        <f t="shared" si="708"/>
        <v>51792.186941066742</v>
      </c>
      <c r="DM124" s="27">
        <f t="shared" si="709"/>
        <v>0</v>
      </c>
      <c r="DN124" s="110">
        <f t="shared" si="710"/>
        <v>0.99999999999999989</v>
      </c>
      <c r="DO124" s="28">
        <f t="shared" si="518"/>
        <v>54804.690977253835</v>
      </c>
      <c r="DP124" s="28">
        <f t="shared" si="519"/>
        <v>18633.594932266409</v>
      </c>
      <c r="DQ124" s="28">
        <f t="shared" si="520"/>
        <v>14094.149305929273</v>
      </c>
      <c r="DR124" s="28">
        <f t="shared" si="521"/>
        <v>18633.594932266431</v>
      </c>
      <c r="DS124" s="28">
        <f t="shared" si="522"/>
        <v>5480.4690977254049</v>
      </c>
      <c r="DT124" s="28">
        <f t="shared" si="523"/>
        <v>27402.345488627077</v>
      </c>
      <c r="DU124" s="28">
        <f t="shared" si="524"/>
        <v>5480.4690977254122</v>
      </c>
      <c r="DV124" s="28">
        <f t="shared" si="525"/>
        <v>0</v>
      </c>
      <c r="DW124" s="28">
        <f t="shared" si="526"/>
        <v>8178.3607226101703</v>
      </c>
      <c r="DX124" s="28">
        <f t="shared" si="527"/>
        <v>71246.098270430113</v>
      </c>
      <c r="DY124" s="28">
        <f t="shared" si="528"/>
        <v>219218.7639090165</v>
      </c>
      <c r="DZ124" s="28">
        <f t="shared" si="529"/>
        <v>29836.207307377408</v>
      </c>
      <c r="EA124" s="28">
        <f t="shared" si="530"/>
        <v>26306.251669081961</v>
      </c>
      <c r="EB124" s="28">
        <f t="shared" si="531"/>
        <v>68668.339998702097</v>
      </c>
      <c r="EC124" s="28">
        <f t="shared" si="532"/>
        <v>66861.722992249692</v>
      </c>
      <c r="ED124" s="28">
        <f t="shared" si="533"/>
        <v>37267.189864532862</v>
      </c>
      <c r="EE124" s="28">
        <f t="shared" si="534"/>
        <v>46164.388142037758</v>
      </c>
      <c r="EF124" s="28">
        <f t="shared" si="535"/>
        <v>43843.752781803109</v>
      </c>
      <c r="EG124" s="28">
        <f t="shared" si="536"/>
        <v>16112.579147312601</v>
      </c>
      <c r="EH124" s="28">
        <f t="shared" si="537"/>
        <v>17537.501112721278</v>
      </c>
      <c r="EI124" s="28">
        <f t="shared" si="538"/>
        <v>39240.15873971401</v>
      </c>
      <c r="EJ124" s="28">
        <f t="shared" si="539"/>
        <v>35623.049135215217</v>
      </c>
      <c r="EK124" s="28">
        <f t="shared" si="540"/>
        <v>90975.787022241508</v>
      </c>
      <c r="EL124" s="28">
        <f t="shared" si="541"/>
        <v>37267.189864532716</v>
      </c>
      <c r="EM124" s="28">
        <f t="shared" si="542"/>
        <v>27402.345488627063</v>
      </c>
      <c r="EN124" s="28">
        <f t="shared" si="543"/>
        <v>0</v>
      </c>
      <c r="EQ124" s="144">
        <v>3.2645632883572612E-2</v>
      </c>
      <c r="ER124" s="144">
        <v>5.4409431796929725E-2</v>
      </c>
      <c r="ES124" s="144">
        <v>8.7055064680502336E-2</v>
      </c>
      <c r="ET124" s="144">
        <v>0.10815219565758848</v>
      </c>
      <c r="EU124" s="144">
        <v>0.1179842815780089</v>
      </c>
      <c r="EV124" s="144">
        <v>0.14748053933927016</v>
      </c>
      <c r="EW124" s="144">
        <v>0.12781625991942891</v>
      </c>
      <c r="EX124" s="144">
        <v>7.8656153054328035E-2</v>
      </c>
      <c r="EY124" s="144">
        <v>6.8824174712907998E-2</v>
      </c>
      <c r="EZ124" s="144">
        <v>5.8992088792487588E-2</v>
      </c>
      <c r="FA124" s="144">
        <v>5.8992088792487588E-2</v>
      </c>
      <c r="FB124" s="144">
        <v>5.8992088792487588E-2</v>
      </c>
      <c r="FC124" s="145">
        <f t="shared" si="544"/>
        <v>1</v>
      </c>
      <c r="FD124" s="146">
        <f t="shared" si="545"/>
        <v>0.17411012936100467</v>
      </c>
      <c r="FE124" s="146">
        <f t="shared" si="546"/>
        <v>0.37361701657486757</v>
      </c>
      <c r="FF124" s="146">
        <f t="shared" si="547"/>
        <v>0.27529658768666498</v>
      </c>
      <c r="FG124" s="146">
        <f t="shared" si="548"/>
        <v>0.17697626637746278</v>
      </c>
      <c r="FH124" s="145">
        <f t="shared" si="655"/>
        <v>1</v>
      </c>
      <c r="FJ124" s="52">
        <f t="shared" si="549"/>
        <v>27577.140572036391</v>
      </c>
      <c r="FK124" s="52">
        <f t="shared" si="550"/>
        <v>9376.2277944924263</v>
      </c>
      <c r="FL124" s="52">
        <f t="shared" si="551"/>
        <v>7092.026790447504</v>
      </c>
      <c r="FM124" s="52">
        <f t="shared" si="552"/>
        <v>9376.2277944924354</v>
      </c>
      <c r="FN124" s="52">
        <f t="shared" si="553"/>
        <v>2757.7140572036501</v>
      </c>
      <c r="FO124" s="52">
        <f t="shared" si="554"/>
        <v>13788.570286018274</v>
      </c>
      <c r="FP124" s="52">
        <f t="shared" si="555"/>
        <v>2757.7140572036533</v>
      </c>
      <c r="FQ124" s="52">
        <f t="shared" si="556"/>
        <v>0</v>
      </c>
      <c r="FR124" s="52">
        <f t="shared" si="557"/>
        <v>4115.2645745206046</v>
      </c>
      <c r="FS124" s="52">
        <f t="shared" si="558"/>
        <v>35850.282743647374</v>
      </c>
      <c r="FT124" s="52">
        <f t="shared" si="559"/>
        <v>110308.56228814615</v>
      </c>
      <c r="FU124" s="52">
        <f t="shared" si="560"/>
        <v>15013.263798777014</v>
      </c>
      <c r="FV124" s="52">
        <f t="shared" si="561"/>
        <v>13237.02747457753</v>
      </c>
      <c r="FW124" s="52">
        <f t="shared" si="562"/>
        <v>34553.182058421771</v>
      </c>
      <c r="FX124" s="52">
        <f t="shared" si="563"/>
        <v>33644.111497884405</v>
      </c>
      <c r="FY124" s="52">
        <f t="shared" si="564"/>
        <v>18752.455588984871</v>
      </c>
      <c r="FZ124" s="52">
        <f t="shared" si="565"/>
        <v>23229.431614593097</v>
      </c>
      <c r="GA124" s="52">
        <f t="shared" si="566"/>
        <v>22061.712457629128</v>
      </c>
      <c r="GB124" s="52">
        <f t="shared" si="567"/>
        <v>8107.679328178685</v>
      </c>
      <c r="GC124" s="52">
        <f t="shared" si="568"/>
        <v>8824.6849830516694</v>
      </c>
      <c r="GD124" s="52">
        <f t="shared" si="569"/>
        <v>19745.232649578185</v>
      </c>
      <c r="GE124" s="52">
        <f t="shared" si="570"/>
        <v>17925.141371823764</v>
      </c>
      <c r="GF124" s="52">
        <f t="shared" si="571"/>
        <v>45778.05334958047</v>
      </c>
      <c r="GG124" s="52">
        <f t="shared" si="572"/>
        <v>18752.455588984802</v>
      </c>
      <c r="GH124" s="52">
        <f t="shared" si="573"/>
        <v>13788.570286018268</v>
      </c>
      <c r="GI124" s="52">
        <f t="shared" si="574"/>
        <v>0</v>
      </c>
      <c r="GJ124" s="26"/>
      <c r="GL124" s="150">
        <f t="shared" si="575"/>
        <v>59176.849870847276</v>
      </c>
      <c r="GM124" s="150">
        <f t="shared" si="576"/>
        <v>20120.128956088192</v>
      </c>
      <c r="GN124" s="150">
        <f t="shared" si="577"/>
        <v>15218.539556777114</v>
      </c>
      <c r="GO124" s="150">
        <f t="shared" si="578"/>
        <v>20120.128956088211</v>
      </c>
      <c r="GP124" s="150">
        <f t="shared" si="579"/>
        <v>5917.6849870847527</v>
      </c>
      <c r="GQ124" s="150">
        <f t="shared" si="580"/>
        <v>29588.424935423809</v>
      </c>
      <c r="GR124" s="150">
        <f t="shared" si="581"/>
        <v>5917.6849870847582</v>
      </c>
      <c r="GS124" s="150">
        <f t="shared" si="582"/>
        <v>0</v>
      </c>
      <c r="GT124" s="150">
        <f t="shared" si="583"/>
        <v>8830.8065612924092</v>
      </c>
      <c r="GU124" s="150">
        <f t="shared" si="584"/>
        <v>76929.904832101616</v>
      </c>
      <c r="GV124" s="150">
        <f t="shared" si="585"/>
        <v>236707.39948339039</v>
      </c>
      <c r="GW124" s="150">
        <f t="shared" si="586"/>
        <v>32216.453173268514</v>
      </c>
      <c r="GX124" s="150">
        <f t="shared" si="587"/>
        <v>28404.887938006828</v>
      </c>
      <c r="GY124" s="150">
        <f t="shared" si="588"/>
        <v>74146.500500660419</v>
      </c>
      <c r="GZ124" s="150">
        <f t="shared" si="589"/>
        <v>72195.756842433708</v>
      </c>
      <c r="HA124" s="150">
        <f t="shared" si="590"/>
        <v>40240.257912176421</v>
      </c>
      <c r="HB124" s="150">
        <f t="shared" si="591"/>
        <v>49847.248798368833</v>
      </c>
      <c r="HC124" s="150">
        <f t="shared" si="592"/>
        <v>47341.479896677862</v>
      </c>
      <c r="HD124" s="150">
        <f t="shared" si="593"/>
        <v>17397.99386202907</v>
      </c>
      <c r="HE124" s="150">
        <f t="shared" si="594"/>
        <v>18936.591958671183</v>
      </c>
      <c r="HF124" s="150">
        <f t="shared" si="595"/>
        <v>42370.624507526933</v>
      </c>
      <c r="HG124" s="150">
        <f t="shared" si="596"/>
        <v>38464.952416050968</v>
      </c>
      <c r="HH124" s="150">
        <f t="shared" si="597"/>
        <v>98233.570785606615</v>
      </c>
      <c r="HI124" s="150">
        <f t="shared" si="598"/>
        <v>40240.257912176276</v>
      </c>
      <c r="HJ124" s="150">
        <f t="shared" si="599"/>
        <v>29588.424935423798</v>
      </c>
      <c r="HK124" s="150">
        <f t="shared" si="600"/>
        <v>0</v>
      </c>
      <c r="HL124" s="26"/>
      <c r="HN124" s="147">
        <f t="shared" si="601"/>
        <v>43603.969082671036</v>
      </c>
      <c r="HO124" s="147">
        <f t="shared" si="602"/>
        <v>14825.349488108237</v>
      </c>
      <c r="HP124" s="147">
        <f t="shared" si="603"/>
        <v>11213.654153024187</v>
      </c>
      <c r="HQ124" s="147">
        <f t="shared" si="604"/>
        <v>14825.349488108252</v>
      </c>
      <c r="HR124" s="147">
        <f t="shared" si="605"/>
        <v>4360.3969082671219</v>
      </c>
      <c r="HS124" s="147">
        <f t="shared" si="606"/>
        <v>21801.984541335642</v>
      </c>
      <c r="HT124" s="147">
        <f t="shared" si="607"/>
        <v>4360.3969082671265</v>
      </c>
      <c r="HU124" s="147">
        <f t="shared" si="608"/>
        <v>0</v>
      </c>
      <c r="HV124" s="147">
        <f t="shared" si="609"/>
        <v>6506.9062836907906</v>
      </c>
      <c r="HW124" s="147">
        <f t="shared" si="610"/>
        <v>56685.159807472453</v>
      </c>
      <c r="HX124" s="147">
        <f t="shared" si="611"/>
        <v>174415.87633068507</v>
      </c>
      <c r="HY124" s="147">
        <f t="shared" si="612"/>
        <v>23738.425265731476</v>
      </c>
      <c r="HZ124" s="147">
        <f t="shared" si="613"/>
        <v>20929.905159682196</v>
      </c>
      <c r="IA124" s="147">
        <f t="shared" si="614"/>
        <v>54634.231502271738</v>
      </c>
      <c r="IB124" s="147">
        <f t="shared" si="615"/>
        <v>53196.842280858684</v>
      </c>
      <c r="IC124" s="147">
        <f t="shared" si="616"/>
        <v>29650.698976216503</v>
      </c>
      <c r="ID124" s="147">
        <f t="shared" si="617"/>
        <v>36729.530216697989</v>
      </c>
      <c r="IE124" s="147">
        <f t="shared" si="618"/>
        <v>34883.175266136859</v>
      </c>
      <c r="IF124" s="147">
        <f t="shared" si="619"/>
        <v>12819.566910305264</v>
      </c>
      <c r="IG124" s="147">
        <f t="shared" si="620"/>
        <v>13953.270106454771</v>
      </c>
      <c r="IH124" s="147">
        <f t="shared" si="621"/>
        <v>31220.441863192667</v>
      </c>
      <c r="II124" s="147">
        <f t="shared" si="622"/>
        <v>28342.579903736347</v>
      </c>
      <c r="IJ124" s="147">
        <f t="shared" si="623"/>
        <v>72382.588677234016</v>
      </c>
      <c r="IK124" s="147">
        <f t="shared" si="624"/>
        <v>29650.698976216394</v>
      </c>
      <c r="IL124" s="147">
        <f t="shared" si="625"/>
        <v>21801.984541335634</v>
      </c>
      <c r="IM124" s="147">
        <f t="shared" si="626"/>
        <v>0</v>
      </c>
      <c r="IN124" s="26"/>
      <c r="IP124" s="61">
        <f t="shared" si="627"/>
        <v>28031.10533383206</v>
      </c>
      <c r="IQ124" s="61">
        <f t="shared" si="628"/>
        <v>9530.5758135029555</v>
      </c>
      <c r="IR124" s="61">
        <f t="shared" si="629"/>
        <v>7208.7731312859978</v>
      </c>
      <c r="IS124" s="61">
        <f t="shared" si="630"/>
        <v>9530.5758135029646</v>
      </c>
      <c r="IT124" s="61">
        <f t="shared" si="631"/>
        <v>2803.1105333832174</v>
      </c>
      <c r="IU124" s="61">
        <f t="shared" si="632"/>
        <v>14015.55266691611</v>
      </c>
      <c r="IV124" s="61">
        <f t="shared" si="633"/>
        <v>2803.1105333832206</v>
      </c>
      <c r="IW124" s="61">
        <f t="shared" si="634"/>
        <v>0</v>
      </c>
      <c r="IX124" s="61">
        <f t="shared" si="635"/>
        <v>4183.008548824916</v>
      </c>
      <c r="IY124" s="61">
        <f t="shared" si="636"/>
        <v>36440.436933981749</v>
      </c>
      <c r="IZ124" s="61">
        <f t="shared" si="637"/>
        <v>112124.42133532884</v>
      </c>
      <c r="JA124" s="61">
        <f t="shared" si="638"/>
        <v>15260.406634575529</v>
      </c>
      <c r="JB124" s="61">
        <f t="shared" si="639"/>
        <v>13454.930560239452</v>
      </c>
      <c r="JC124" s="61">
        <f t="shared" si="640"/>
        <v>35121.983853570171</v>
      </c>
      <c r="JD124" s="61">
        <f t="shared" si="641"/>
        <v>34197.948507275127</v>
      </c>
      <c r="JE124" s="61">
        <f t="shared" si="642"/>
        <v>19061.151627005929</v>
      </c>
      <c r="JF124" s="61">
        <f t="shared" si="643"/>
        <v>23611.825988006156</v>
      </c>
      <c r="JG124" s="61">
        <f t="shared" si="644"/>
        <v>22424.884267065667</v>
      </c>
      <c r="JH124" s="61">
        <f t="shared" si="645"/>
        <v>8241.1449681466129</v>
      </c>
      <c r="JI124" s="61">
        <f t="shared" si="646"/>
        <v>8969.9537068262853</v>
      </c>
      <c r="JJ124" s="61">
        <f t="shared" si="647"/>
        <v>20070.271419023888</v>
      </c>
      <c r="JK124" s="61">
        <f t="shared" si="648"/>
        <v>18220.218466990951</v>
      </c>
      <c r="JL124" s="61">
        <f t="shared" si="649"/>
        <v>46531.634854161282</v>
      </c>
      <c r="JM124" s="61">
        <f t="shared" si="650"/>
        <v>19061.15162700586</v>
      </c>
      <c r="JN124" s="61">
        <f t="shared" si="651"/>
        <v>14015.552666916104</v>
      </c>
      <c r="JO124" s="61">
        <f t="shared" si="652"/>
        <v>0</v>
      </c>
      <c r="JQ124" s="26">
        <f t="shared" si="711"/>
        <v>2966012.0000000009</v>
      </c>
      <c r="JR124" s="156">
        <f t="shared" si="712"/>
        <v>1.0000000000000002</v>
      </c>
      <c r="JT124" s="157">
        <f t="shared" si="653"/>
        <v>158389.06485938677</v>
      </c>
      <c r="JU124" s="29">
        <f t="shared" si="654"/>
        <v>1</v>
      </c>
    </row>
    <row r="125" spans="1:281" ht="18.75" x14ac:dyDescent="0.3">
      <c r="A125" t="s">
        <v>234</v>
      </c>
      <c r="B125" t="s">
        <v>201</v>
      </c>
      <c r="C125" t="s">
        <v>74</v>
      </c>
      <c r="D125" t="s">
        <v>29</v>
      </c>
      <c r="E125" s="12" t="s">
        <v>285</v>
      </c>
      <c r="F125" s="114">
        <v>14086.000000148415</v>
      </c>
      <c r="G125" s="17">
        <v>3386133.540035679</v>
      </c>
      <c r="H125" s="21">
        <v>2604718.1077197529</v>
      </c>
      <c r="I125" s="25">
        <f t="shared" si="434"/>
        <v>1.3</v>
      </c>
      <c r="J125" s="13">
        <v>0.12750248473661779</v>
      </c>
      <c r="K125" s="13">
        <v>0</v>
      </c>
      <c r="L125" s="13">
        <v>0</v>
      </c>
      <c r="M125" s="13">
        <v>0</v>
      </c>
      <c r="N125" s="13">
        <v>0</v>
      </c>
      <c r="O125" s="13">
        <v>0.12778645463580918</v>
      </c>
      <c r="P125" s="13">
        <v>0</v>
      </c>
      <c r="Q125" s="13">
        <v>0</v>
      </c>
      <c r="R125" s="13">
        <v>2.2717591935254713E-2</v>
      </c>
      <c r="S125" s="13">
        <v>0.14092006247337788</v>
      </c>
      <c r="T125" s="13">
        <v>1.434047990912957E-2</v>
      </c>
      <c r="U125" s="13">
        <v>0</v>
      </c>
      <c r="V125" s="13">
        <v>0</v>
      </c>
      <c r="W125" s="13">
        <v>0</v>
      </c>
      <c r="X125" s="13">
        <v>0.48544654266647702</v>
      </c>
      <c r="Y125" s="13">
        <v>0</v>
      </c>
      <c r="Z125" s="13">
        <v>0</v>
      </c>
      <c r="AA125" s="13">
        <v>0</v>
      </c>
      <c r="AB125" s="13">
        <v>1.7038193951441193E-2</v>
      </c>
      <c r="AC125" s="13">
        <v>0</v>
      </c>
      <c r="AD125" s="13">
        <v>0</v>
      </c>
      <c r="AE125" s="13">
        <v>0</v>
      </c>
      <c r="AF125" s="13">
        <v>6.4248189691892735E-2</v>
      </c>
      <c r="AG125" s="9">
        <v>0</v>
      </c>
      <c r="AH125" s="13">
        <v>0</v>
      </c>
      <c r="AJ125" s="8">
        <f t="shared" si="656"/>
        <v>1.0000000000000002</v>
      </c>
      <c r="AK125" s="141">
        <f t="shared" si="435"/>
        <v>1796.0000000189216</v>
      </c>
      <c r="AL125" s="141">
        <f t="shared" si="436"/>
        <v>0</v>
      </c>
      <c r="AM125" s="141">
        <f t="shared" si="437"/>
        <v>0</v>
      </c>
      <c r="AN125" s="141">
        <f t="shared" si="438"/>
        <v>0</v>
      </c>
      <c r="AO125" s="141">
        <f t="shared" si="439"/>
        <v>0</v>
      </c>
      <c r="AP125" s="141">
        <f t="shared" si="440"/>
        <v>1800.0000000189734</v>
      </c>
      <c r="AQ125" s="141">
        <f t="shared" si="441"/>
        <v>0</v>
      </c>
      <c r="AR125" s="141">
        <f t="shared" si="442"/>
        <v>0</v>
      </c>
      <c r="AS125" s="141">
        <f t="shared" si="443"/>
        <v>320.00000000336951</v>
      </c>
      <c r="AT125" s="141">
        <f t="shared" si="444"/>
        <v>1985.0000000209154</v>
      </c>
      <c r="AU125" s="141">
        <f t="shared" si="445"/>
        <v>202.00000000212748</v>
      </c>
      <c r="AV125" s="141">
        <f t="shared" si="446"/>
        <v>0</v>
      </c>
      <c r="AW125" s="141">
        <f t="shared" si="447"/>
        <v>0</v>
      </c>
      <c r="AX125" s="141">
        <f t="shared" si="448"/>
        <v>0</v>
      </c>
      <c r="AY125" s="141">
        <f t="shared" si="449"/>
        <v>6838.0000000720429</v>
      </c>
      <c r="AZ125" s="141">
        <f t="shared" si="450"/>
        <v>0</v>
      </c>
      <c r="BA125" s="141">
        <f t="shared" si="451"/>
        <v>0</v>
      </c>
      <c r="BB125" s="141">
        <f t="shared" si="452"/>
        <v>0</v>
      </c>
      <c r="BC125" s="141">
        <f t="shared" si="453"/>
        <v>240.00000000252936</v>
      </c>
      <c r="BD125" s="141">
        <f t="shared" si="454"/>
        <v>0</v>
      </c>
      <c r="BE125" s="141">
        <f t="shared" si="455"/>
        <v>0</v>
      </c>
      <c r="BF125" s="141">
        <f t="shared" si="456"/>
        <v>0</v>
      </c>
      <c r="BG125" s="141">
        <f t="shared" si="457"/>
        <v>905.00000000953651</v>
      </c>
      <c r="BH125" s="141">
        <f t="shared" si="458"/>
        <v>0</v>
      </c>
      <c r="BI125" s="141">
        <f t="shared" si="459"/>
        <v>0</v>
      </c>
      <c r="BJ125" s="141">
        <f t="shared" si="460"/>
        <v>0</v>
      </c>
      <c r="BM125" s="26">
        <f t="shared" si="657"/>
        <v>431740.44000454876</v>
      </c>
      <c r="BN125" s="26">
        <f t="shared" si="658"/>
        <v>0</v>
      </c>
      <c r="BO125" s="26">
        <f t="shared" si="659"/>
        <v>0</v>
      </c>
      <c r="BP125" s="26">
        <f t="shared" si="660"/>
        <v>0</v>
      </c>
      <c r="BQ125" s="26">
        <f t="shared" si="661"/>
        <v>0</v>
      </c>
      <c r="BR125" s="26">
        <f t="shared" si="662"/>
        <v>432702.00000456121</v>
      </c>
      <c r="BS125" s="26">
        <f t="shared" si="663"/>
        <v>0</v>
      </c>
      <c r="BT125" s="26">
        <f t="shared" si="664"/>
        <v>0</v>
      </c>
      <c r="BU125" s="26">
        <f t="shared" si="665"/>
        <v>76924.800000810035</v>
      </c>
      <c r="BV125" s="26">
        <f t="shared" si="666"/>
        <v>477174.15000502806</v>
      </c>
      <c r="BW125" s="26">
        <f t="shared" si="667"/>
        <v>48558.78000051144</v>
      </c>
      <c r="BX125" s="26">
        <f t="shared" si="668"/>
        <v>0</v>
      </c>
      <c r="BY125" s="26">
        <f t="shared" si="669"/>
        <v>0</v>
      </c>
      <c r="BZ125" s="26">
        <f t="shared" si="670"/>
        <v>0</v>
      </c>
      <c r="CA125" s="26">
        <f t="shared" si="671"/>
        <v>1643786.8200173192</v>
      </c>
      <c r="CB125" s="26">
        <f t="shared" si="672"/>
        <v>0</v>
      </c>
      <c r="CC125" s="26">
        <f t="shared" si="673"/>
        <v>0</v>
      </c>
      <c r="CD125" s="26">
        <f t="shared" si="674"/>
        <v>0</v>
      </c>
      <c r="CE125" s="26">
        <f t="shared" si="675"/>
        <v>57693.600000608065</v>
      </c>
      <c r="CF125" s="26">
        <f t="shared" si="676"/>
        <v>0</v>
      </c>
      <c r="CG125" s="26">
        <f t="shared" si="677"/>
        <v>0</v>
      </c>
      <c r="CH125" s="26">
        <f t="shared" si="678"/>
        <v>0</v>
      </c>
      <c r="CI125" s="26">
        <f t="shared" si="679"/>
        <v>217552.95000229258</v>
      </c>
      <c r="CJ125" s="26">
        <f t="shared" si="680"/>
        <v>0</v>
      </c>
      <c r="CK125" s="26">
        <f t="shared" si="681"/>
        <v>0</v>
      </c>
      <c r="CL125" s="26">
        <f t="shared" si="682"/>
        <v>0</v>
      </c>
      <c r="CM125" s="110">
        <f t="shared" si="683"/>
        <v>1.0000000000000002</v>
      </c>
      <c r="CN125" s="27">
        <f t="shared" si="684"/>
        <v>332108.03077272978</v>
      </c>
      <c r="CO125" s="27">
        <f t="shared" si="685"/>
        <v>0</v>
      </c>
      <c r="CP125" s="27">
        <f t="shared" si="686"/>
        <v>0</v>
      </c>
      <c r="CQ125" s="27">
        <f t="shared" si="687"/>
        <v>0</v>
      </c>
      <c r="CR125" s="27">
        <f t="shared" si="688"/>
        <v>0</v>
      </c>
      <c r="CS125" s="27">
        <f t="shared" si="689"/>
        <v>332847.69231120095</v>
      </c>
      <c r="CT125" s="27">
        <f t="shared" si="690"/>
        <v>0</v>
      </c>
      <c r="CU125" s="27">
        <f t="shared" si="691"/>
        <v>0</v>
      </c>
      <c r="CV125" s="27">
        <f t="shared" si="692"/>
        <v>59172.923077546177</v>
      </c>
      <c r="CW125" s="27">
        <f t="shared" si="693"/>
        <v>367057.03846540616</v>
      </c>
      <c r="CX125" s="27">
        <f t="shared" si="694"/>
        <v>37352.907692701105</v>
      </c>
      <c r="CY125" s="27">
        <f t="shared" si="695"/>
        <v>0</v>
      </c>
      <c r="CZ125" s="27">
        <f t="shared" si="696"/>
        <v>0</v>
      </c>
      <c r="DA125" s="27">
        <f t="shared" si="697"/>
        <v>0</v>
      </c>
      <c r="DB125" s="27">
        <f t="shared" si="698"/>
        <v>1264451.4000133222</v>
      </c>
      <c r="DC125" s="27">
        <f t="shared" si="699"/>
        <v>0</v>
      </c>
      <c r="DD125" s="27">
        <f t="shared" si="700"/>
        <v>0</v>
      </c>
      <c r="DE125" s="27">
        <f t="shared" si="701"/>
        <v>0</v>
      </c>
      <c r="DF125" s="27">
        <f t="shared" si="702"/>
        <v>44379.692308160047</v>
      </c>
      <c r="DG125" s="27">
        <f t="shared" si="703"/>
        <v>0</v>
      </c>
      <c r="DH125" s="27">
        <f t="shared" si="704"/>
        <v>0</v>
      </c>
      <c r="DI125" s="27">
        <f t="shared" si="705"/>
        <v>0</v>
      </c>
      <c r="DJ125" s="27">
        <f t="shared" si="706"/>
        <v>167348.42307868658</v>
      </c>
      <c r="DK125" s="27">
        <f t="shared" si="707"/>
        <v>0</v>
      </c>
      <c r="DL125" s="27">
        <f t="shared" si="708"/>
        <v>0</v>
      </c>
      <c r="DM125" s="27">
        <f t="shared" si="709"/>
        <v>0</v>
      </c>
      <c r="DN125" s="110">
        <f t="shared" si="710"/>
        <v>1</v>
      </c>
      <c r="DO125" s="28">
        <f t="shared" si="518"/>
        <v>99632.40923181898</v>
      </c>
      <c r="DP125" s="28">
        <f t="shared" si="519"/>
        <v>0</v>
      </c>
      <c r="DQ125" s="28">
        <f t="shared" si="520"/>
        <v>0</v>
      </c>
      <c r="DR125" s="28">
        <f t="shared" si="521"/>
        <v>0</v>
      </c>
      <c r="DS125" s="28">
        <f t="shared" si="522"/>
        <v>0</v>
      </c>
      <c r="DT125" s="28">
        <f t="shared" si="523"/>
        <v>99854.307693360257</v>
      </c>
      <c r="DU125" s="28">
        <f t="shared" si="524"/>
        <v>0</v>
      </c>
      <c r="DV125" s="28">
        <f t="shared" si="525"/>
        <v>0</v>
      </c>
      <c r="DW125" s="28">
        <f t="shared" si="526"/>
        <v>17751.876923263859</v>
      </c>
      <c r="DX125" s="28">
        <f t="shared" si="527"/>
        <v>110117.1115396219</v>
      </c>
      <c r="DY125" s="28">
        <f t="shared" si="528"/>
        <v>11205.872307810336</v>
      </c>
      <c r="DZ125" s="28">
        <f t="shared" si="529"/>
        <v>0</v>
      </c>
      <c r="EA125" s="28">
        <f t="shared" si="530"/>
        <v>0</v>
      </c>
      <c r="EB125" s="28">
        <f t="shared" si="531"/>
        <v>0</v>
      </c>
      <c r="EC125" s="28">
        <f t="shared" si="532"/>
        <v>379335.42000399693</v>
      </c>
      <c r="ED125" s="28">
        <f t="shared" si="533"/>
        <v>0</v>
      </c>
      <c r="EE125" s="28">
        <f t="shared" si="534"/>
        <v>0</v>
      </c>
      <c r="EF125" s="28">
        <f t="shared" si="535"/>
        <v>0</v>
      </c>
      <c r="EG125" s="28">
        <f t="shared" si="536"/>
        <v>13313.907692448018</v>
      </c>
      <c r="EH125" s="28">
        <f t="shared" si="537"/>
        <v>0</v>
      </c>
      <c r="EI125" s="28">
        <f t="shared" si="538"/>
        <v>0</v>
      </c>
      <c r="EJ125" s="28">
        <f t="shared" si="539"/>
        <v>0</v>
      </c>
      <c r="EK125" s="28">
        <f t="shared" si="540"/>
        <v>50204.526923605998</v>
      </c>
      <c r="EL125" s="28">
        <f t="shared" si="541"/>
        <v>0</v>
      </c>
      <c r="EM125" s="28">
        <f t="shared" si="542"/>
        <v>0</v>
      </c>
      <c r="EN125" s="28">
        <f t="shared" si="543"/>
        <v>0</v>
      </c>
      <c r="EQ125" s="144">
        <v>0.03</v>
      </c>
      <c r="ER125" s="144">
        <v>0.05</v>
      </c>
      <c r="ES125" s="144">
        <v>0.08</v>
      </c>
      <c r="ET125" s="144">
        <v>0.11</v>
      </c>
      <c r="EU125" s="144">
        <v>0.12</v>
      </c>
      <c r="EV125" s="144">
        <v>0.15</v>
      </c>
      <c r="EW125" s="144">
        <v>0.13</v>
      </c>
      <c r="EX125" s="144">
        <v>0.08</v>
      </c>
      <c r="EY125" s="144">
        <v>7.0000000000000007E-2</v>
      </c>
      <c r="EZ125" s="144">
        <v>0.06</v>
      </c>
      <c r="FA125" s="144">
        <v>0.06</v>
      </c>
      <c r="FB125" s="144">
        <v>0.06</v>
      </c>
      <c r="FC125" s="145">
        <f t="shared" si="544"/>
        <v>1.0000000000000002</v>
      </c>
      <c r="FD125" s="146">
        <f t="shared" si="545"/>
        <v>0.16</v>
      </c>
      <c r="FE125" s="146">
        <f t="shared" si="546"/>
        <v>0.38</v>
      </c>
      <c r="FF125" s="146">
        <f t="shared" si="547"/>
        <v>0.28000000000000003</v>
      </c>
      <c r="FG125" s="146">
        <f t="shared" si="548"/>
        <v>0.18</v>
      </c>
      <c r="FH125" s="145">
        <f t="shared" si="655"/>
        <v>1</v>
      </c>
      <c r="FJ125" s="52">
        <f t="shared" si="549"/>
        <v>69078.470400727805</v>
      </c>
      <c r="FK125" s="52">
        <f t="shared" si="550"/>
        <v>0</v>
      </c>
      <c r="FL125" s="52">
        <f t="shared" si="551"/>
        <v>0</v>
      </c>
      <c r="FM125" s="52">
        <f t="shared" si="552"/>
        <v>0</v>
      </c>
      <c r="FN125" s="52">
        <f t="shared" si="553"/>
        <v>0</v>
      </c>
      <c r="FO125" s="52">
        <f t="shared" si="554"/>
        <v>69232.3200007298</v>
      </c>
      <c r="FP125" s="52">
        <f t="shared" si="555"/>
        <v>0</v>
      </c>
      <c r="FQ125" s="52">
        <f t="shared" si="556"/>
        <v>0</v>
      </c>
      <c r="FR125" s="52">
        <f t="shared" si="557"/>
        <v>12307.968000129606</v>
      </c>
      <c r="FS125" s="52">
        <f t="shared" si="558"/>
        <v>76347.864000804489</v>
      </c>
      <c r="FT125" s="52">
        <f t="shared" si="559"/>
        <v>7769.4048000818302</v>
      </c>
      <c r="FU125" s="52">
        <f t="shared" si="560"/>
        <v>0</v>
      </c>
      <c r="FV125" s="52">
        <f t="shared" si="561"/>
        <v>0</v>
      </c>
      <c r="FW125" s="52">
        <f t="shared" si="562"/>
        <v>0</v>
      </c>
      <c r="FX125" s="52">
        <f t="shared" si="563"/>
        <v>263005.89120277105</v>
      </c>
      <c r="FY125" s="52">
        <f t="shared" si="564"/>
        <v>0</v>
      </c>
      <c r="FZ125" s="52">
        <f t="shared" si="565"/>
        <v>0</v>
      </c>
      <c r="GA125" s="52">
        <f t="shared" si="566"/>
        <v>0</v>
      </c>
      <c r="GB125" s="52">
        <f t="shared" si="567"/>
        <v>9230.976000097291</v>
      </c>
      <c r="GC125" s="52">
        <f t="shared" si="568"/>
        <v>0</v>
      </c>
      <c r="GD125" s="52">
        <f t="shared" si="569"/>
        <v>0</v>
      </c>
      <c r="GE125" s="52">
        <f t="shared" si="570"/>
        <v>0</v>
      </c>
      <c r="GF125" s="52">
        <f t="shared" si="571"/>
        <v>34808.472000366812</v>
      </c>
      <c r="GG125" s="52">
        <f t="shared" si="572"/>
        <v>0</v>
      </c>
      <c r="GH125" s="52">
        <f t="shared" si="573"/>
        <v>0</v>
      </c>
      <c r="GI125" s="52">
        <f t="shared" si="574"/>
        <v>0</v>
      </c>
      <c r="GJ125" s="26"/>
      <c r="GL125" s="150">
        <f t="shared" si="575"/>
        <v>164061.36720172854</v>
      </c>
      <c r="GM125" s="150">
        <f t="shared" si="576"/>
        <v>0</v>
      </c>
      <c r="GN125" s="150">
        <f t="shared" si="577"/>
        <v>0</v>
      </c>
      <c r="GO125" s="150">
        <f t="shared" si="578"/>
        <v>0</v>
      </c>
      <c r="GP125" s="150">
        <f t="shared" si="579"/>
        <v>0</v>
      </c>
      <c r="GQ125" s="150">
        <f t="shared" si="580"/>
        <v>164426.76000173326</v>
      </c>
      <c r="GR125" s="150">
        <f t="shared" si="581"/>
        <v>0</v>
      </c>
      <c r="GS125" s="150">
        <f t="shared" si="582"/>
        <v>0</v>
      </c>
      <c r="GT125" s="150">
        <f t="shared" si="583"/>
        <v>29231.424000307812</v>
      </c>
      <c r="GU125" s="150">
        <f t="shared" si="584"/>
        <v>181326.17700191066</v>
      </c>
      <c r="GV125" s="150">
        <f t="shared" si="585"/>
        <v>18452.336400194348</v>
      </c>
      <c r="GW125" s="150">
        <f t="shared" si="586"/>
        <v>0</v>
      </c>
      <c r="GX125" s="150">
        <f t="shared" si="587"/>
        <v>0</v>
      </c>
      <c r="GY125" s="150">
        <f t="shared" si="588"/>
        <v>0</v>
      </c>
      <c r="GZ125" s="150">
        <f t="shared" si="589"/>
        <v>624638.99160658126</v>
      </c>
      <c r="HA125" s="150">
        <f t="shared" si="590"/>
        <v>0</v>
      </c>
      <c r="HB125" s="150">
        <f t="shared" si="591"/>
        <v>0</v>
      </c>
      <c r="HC125" s="150">
        <f t="shared" si="592"/>
        <v>0</v>
      </c>
      <c r="HD125" s="150">
        <f t="shared" si="593"/>
        <v>21923.568000231066</v>
      </c>
      <c r="HE125" s="150">
        <f t="shared" si="594"/>
        <v>0</v>
      </c>
      <c r="HF125" s="150">
        <f t="shared" si="595"/>
        <v>0</v>
      </c>
      <c r="HG125" s="150">
        <f t="shared" si="596"/>
        <v>0</v>
      </c>
      <c r="HH125" s="150">
        <f t="shared" si="597"/>
        <v>82670.121000871179</v>
      </c>
      <c r="HI125" s="150">
        <f t="shared" si="598"/>
        <v>0</v>
      </c>
      <c r="HJ125" s="150">
        <f t="shared" si="599"/>
        <v>0</v>
      </c>
      <c r="HK125" s="150">
        <f t="shared" si="600"/>
        <v>0</v>
      </c>
      <c r="HL125" s="26"/>
      <c r="HN125" s="147">
        <f t="shared" si="601"/>
        <v>120887.32320127367</v>
      </c>
      <c r="HO125" s="147">
        <f t="shared" si="602"/>
        <v>0</v>
      </c>
      <c r="HP125" s="147">
        <f t="shared" si="603"/>
        <v>0</v>
      </c>
      <c r="HQ125" s="147">
        <f t="shared" si="604"/>
        <v>0</v>
      </c>
      <c r="HR125" s="147">
        <f t="shared" si="605"/>
        <v>0</v>
      </c>
      <c r="HS125" s="147">
        <f t="shared" si="606"/>
        <v>121156.56000127715</v>
      </c>
      <c r="HT125" s="147">
        <f t="shared" si="607"/>
        <v>0</v>
      </c>
      <c r="HU125" s="147">
        <f t="shared" si="608"/>
        <v>0</v>
      </c>
      <c r="HV125" s="147">
        <f t="shared" si="609"/>
        <v>21538.944000226813</v>
      </c>
      <c r="HW125" s="147">
        <f t="shared" si="610"/>
        <v>133608.76200140786</v>
      </c>
      <c r="HX125" s="147">
        <f t="shared" si="611"/>
        <v>13596.458400143205</v>
      </c>
      <c r="HY125" s="147">
        <f t="shared" si="612"/>
        <v>0</v>
      </c>
      <c r="HZ125" s="147">
        <f t="shared" si="613"/>
        <v>0</v>
      </c>
      <c r="IA125" s="147">
        <f t="shared" si="614"/>
        <v>0</v>
      </c>
      <c r="IB125" s="147">
        <f t="shared" si="615"/>
        <v>460260.30960484943</v>
      </c>
      <c r="IC125" s="147">
        <f t="shared" si="616"/>
        <v>0</v>
      </c>
      <c r="ID125" s="147">
        <f t="shared" si="617"/>
        <v>0</v>
      </c>
      <c r="IE125" s="147">
        <f t="shared" si="618"/>
        <v>0</v>
      </c>
      <c r="IF125" s="147">
        <f t="shared" si="619"/>
        <v>16154.20800017026</v>
      </c>
      <c r="IG125" s="147">
        <f t="shared" si="620"/>
        <v>0</v>
      </c>
      <c r="IH125" s="147">
        <f t="shared" si="621"/>
        <v>0</v>
      </c>
      <c r="II125" s="147">
        <f t="shared" si="622"/>
        <v>0</v>
      </c>
      <c r="IJ125" s="147">
        <f t="shared" si="623"/>
        <v>60914.82600064193</v>
      </c>
      <c r="IK125" s="147">
        <f t="shared" si="624"/>
        <v>0</v>
      </c>
      <c r="IL125" s="147">
        <f t="shared" si="625"/>
        <v>0</v>
      </c>
      <c r="IM125" s="147">
        <f t="shared" si="626"/>
        <v>0</v>
      </c>
      <c r="IN125" s="26"/>
      <c r="IP125" s="61">
        <f t="shared" si="627"/>
        <v>77713.279200818768</v>
      </c>
      <c r="IQ125" s="61">
        <f t="shared" si="628"/>
        <v>0</v>
      </c>
      <c r="IR125" s="61">
        <f t="shared" si="629"/>
        <v>0</v>
      </c>
      <c r="IS125" s="61">
        <f t="shared" si="630"/>
        <v>0</v>
      </c>
      <c r="IT125" s="61">
        <f t="shared" si="631"/>
        <v>0</v>
      </c>
      <c r="IU125" s="61">
        <f t="shared" si="632"/>
        <v>77886.36000082102</v>
      </c>
      <c r="IV125" s="61">
        <f t="shared" si="633"/>
        <v>0</v>
      </c>
      <c r="IW125" s="61">
        <f t="shared" si="634"/>
        <v>0</v>
      </c>
      <c r="IX125" s="61">
        <f t="shared" si="635"/>
        <v>13846.464000145806</v>
      </c>
      <c r="IY125" s="61">
        <f t="shared" si="636"/>
        <v>85891.347000905051</v>
      </c>
      <c r="IZ125" s="61">
        <f t="shared" si="637"/>
        <v>8740.5804000920598</v>
      </c>
      <c r="JA125" s="61">
        <f t="shared" si="638"/>
        <v>0</v>
      </c>
      <c r="JB125" s="61">
        <f t="shared" si="639"/>
        <v>0</v>
      </c>
      <c r="JC125" s="61">
        <f t="shared" si="640"/>
        <v>0</v>
      </c>
      <c r="JD125" s="61">
        <f t="shared" si="641"/>
        <v>295881.62760311743</v>
      </c>
      <c r="JE125" s="61">
        <f t="shared" si="642"/>
        <v>0</v>
      </c>
      <c r="JF125" s="61">
        <f t="shared" si="643"/>
        <v>0</v>
      </c>
      <c r="JG125" s="61">
        <f t="shared" si="644"/>
        <v>0</v>
      </c>
      <c r="JH125" s="61">
        <f t="shared" si="645"/>
        <v>10384.848000109452</v>
      </c>
      <c r="JI125" s="61">
        <f t="shared" si="646"/>
        <v>0</v>
      </c>
      <c r="JJ125" s="61">
        <f t="shared" si="647"/>
        <v>0</v>
      </c>
      <c r="JK125" s="61">
        <f t="shared" si="648"/>
        <v>0</v>
      </c>
      <c r="JL125" s="61">
        <f t="shared" si="649"/>
        <v>39159.531000412666</v>
      </c>
      <c r="JM125" s="61">
        <f t="shared" si="650"/>
        <v>0</v>
      </c>
      <c r="JN125" s="61">
        <f t="shared" si="651"/>
        <v>0</v>
      </c>
      <c r="JO125" s="61">
        <f t="shared" si="652"/>
        <v>0</v>
      </c>
      <c r="JQ125" s="26">
        <f t="shared" si="711"/>
        <v>3386133.5400356795</v>
      </c>
      <c r="JR125" s="156">
        <f t="shared" si="712"/>
        <v>1.0000000000000002</v>
      </c>
      <c r="JT125" s="157">
        <f t="shared" si="653"/>
        <v>431740.44000454876</v>
      </c>
      <c r="JU125" s="29">
        <f t="shared" si="654"/>
        <v>1</v>
      </c>
    </row>
    <row r="126" spans="1:281" ht="18.75" x14ac:dyDescent="0.3">
      <c r="A126" t="s">
        <v>234</v>
      </c>
      <c r="B126" t="s">
        <v>202</v>
      </c>
      <c r="C126" t="s">
        <v>74</v>
      </c>
      <c r="D126" t="s">
        <v>29</v>
      </c>
      <c r="E126" s="11" t="s">
        <v>286</v>
      </c>
      <c r="F126" s="114">
        <v>8408</v>
      </c>
      <c r="G126" s="17">
        <v>2577472</v>
      </c>
      <c r="H126" s="21">
        <v>1663439</v>
      </c>
      <c r="I126" s="25">
        <f t="shared" si="434"/>
        <v>1.5494839305799613</v>
      </c>
      <c r="J126" s="13">
        <v>5.5899874124234361E-2</v>
      </c>
      <c r="K126" s="13">
        <v>1.7840385358798144E-2</v>
      </c>
      <c r="L126" s="13">
        <v>1.3548361622706399E-2</v>
      </c>
      <c r="M126" s="13">
        <v>1.7840385358798155E-2</v>
      </c>
      <c r="N126" s="13">
        <v>2.3787180478397492E-3</v>
      </c>
      <c r="O126" s="13">
        <v>2.9139296086037006E-2</v>
      </c>
      <c r="P126" s="13">
        <v>2.9733975597996932E-3</v>
      </c>
      <c r="Q126" s="13">
        <v>0</v>
      </c>
      <c r="R126" s="13">
        <v>8.3576276119309394E-3</v>
      </c>
      <c r="S126" s="13">
        <v>7.7308336554791579E-2</v>
      </c>
      <c r="T126" s="13">
        <v>0.22003141942517765</v>
      </c>
      <c r="U126" s="13">
        <v>2.8618316480567989E-2</v>
      </c>
      <c r="V126" s="13">
        <v>1.308294926311865E-2</v>
      </c>
      <c r="W126" s="13">
        <v>7.1361541435192952E-2</v>
      </c>
      <c r="X126" s="13">
        <v>6.54147463155932E-2</v>
      </c>
      <c r="Y126" s="13">
        <v>4.1627565837195762E-2</v>
      </c>
      <c r="Z126" s="13">
        <v>4.7574360956794938E-2</v>
      </c>
      <c r="AA126" s="13">
        <v>3.5680770717596531E-2</v>
      </c>
      <c r="AB126" s="13">
        <v>1.7245705846838291E-2</v>
      </c>
      <c r="AC126" s="13">
        <v>1.7493963141178077E-2</v>
      </c>
      <c r="AD126" s="13">
        <v>3.5680770717596497E-2</v>
      </c>
      <c r="AE126" s="13">
        <v>3.0923334621916883E-2</v>
      </c>
      <c r="AF126" s="13">
        <v>8.5633849722231287E-2</v>
      </c>
      <c r="AG126" s="13">
        <v>3.7583745155868133E-2</v>
      </c>
      <c r="AH126" s="13">
        <v>2.6760578038197241E-2</v>
      </c>
      <c r="AJ126" s="8">
        <f t="shared" si="656"/>
        <v>1.0000000000000002</v>
      </c>
      <c r="AK126" s="141">
        <f t="shared" si="435"/>
        <v>470.00614163656252</v>
      </c>
      <c r="AL126" s="141">
        <f t="shared" si="436"/>
        <v>150.00196009677481</v>
      </c>
      <c r="AM126" s="141">
        <f t="shared" si="437"/>
        <v>113.9146245237154</v>
      </c>
      <c r="AN126" s="141">
        <f t="shared" si="438"/>
        <v>150.00196009677489</v>
      </c>
      <c r="AO126" s="141">
        <f t="shared" si="439"/>
        <v>20.000261346236613</v>
      </c>
      <c r="AP126" s="141">
        <f t="shared" si="440"/>
        <v>245.00320149139915</v>
      </c>
      <c r="AQ126" s="141">
        <f t="shared" si="441"/>
        <v>25.000326682795819</v>
      </c>
      <c r="AR126" s="141">
        <f t="shared" si="442"/>
        <v>0</v>
      </c>
      <c r="AS126" s="141">
        <f t="shared" si="443"/>
        <v>70.270932961115335</v>
      </c>
      <c r="AT126" s="141">
        <f t="shared" si="444"/>
        <v>650.00849375268763</v>
      </c>
      <c r="AU126" s="141">
        <f t="shared" si="445"/>
        <v>1850.0241745268936</v>
      </c>
      <c r="AV126" s="141">
        <f t="shared" si="446"/>
        <v>240.62280496861567</v>
      </c>
      <c r="AW126" s="141">
        <f t="shared" si="447"/>
        <v>110.00143740430161</v>
      </c>
      <c r="AX126" s="141">
        <f t="shared" si="448"/>
        <v>600.00784038710231</v>
      </c>
      <c r="AY126" s="141">
        <f t="shared" si="449"/>
        <v>550.00718702150766</v>
      </c>
      <c r="AZ126" s="141">
        <f t="shared" si="450"/>
        <v>350.00457355914199</v>
      </c>
      <c r="BA126" s="141">
        <f t="shared" si="451"/>
        <v>400.00522692473186</v>
      </c>
      <c r="BB126" s="141">
        <f t="shared" si="452"/>
        <v>300.00392019355161</v>
      </c>
      <c r="BC126" s="141">
        <f t="shared" si="453"/>
        <v>145.00189476021635</v>
      </c>
      <c r="BD126" s="141">
        <f t="shared" si="454"/>
        <v>147.08924209102528</v>
      </c>
      <c r="BE126" s="141">
        <f t="shared" si="455"/>
        <v>300.00392019355132</v>
      </c>
      <c r="BF126" s="141">
        <f t="shared" si="456"/>
        <v>260.00339750107713</v>
      </c>
      <c r="BG126" s="141">
        <f t="shared" si="457"/>
        <v>720.00940846452067</v>
      </c>
      <c r="BH126" s="141">
        <f t="shared" si="458"/>
        <v>316.00412927053924</v>
      </c>
      <c r="BI126" s="141">
        <f t="shared" si="459"/>
        <v>225.0029401451624</v>
      </c>
      <c r="BJ126" s="141">
        <f t="shared" si="460"/>
        <v>0</v>
      </c>
      <c r="BM126" s="26">
        <f t="shared" si="657"/>
        <v>144080.36035873857</v>
      </c>
      <c r="BN126" s="26">
        <f t="shared" si="658"/>
        <v>45983.09373151217</v>
      </c>
      <c r="BO126" s="26">
        <f t="shared" si="659"/>
        <v>34920.522728400305</v>
      </c>
      <c r="BP126" s="26">
        <f t="shared" si="660"/>
        <v>45983.093731512199</v>
      </c>
      <c r="BQ126" s="26">
        <f t="shared" si="661"/>
        <v>6131.0791642016138</v>
      </c>
      <c r="BR126" s="26">
        <f t="shared" si="662"/>
        <v>75105.719761469969</v>
      </c>
      <c r="BS126" s="26">
        <f t="shared" si="663"/>
        <v>7663.848955252035</v>
      </c>
      <c r="BT126" s="26">
        <f t="shared" si="664"/>
        <v>0</v>
      </c>
      <c r="BU126" s="26">
        <f t="shared" si="665"/>
        <v>21541.551156178863</v>
      </c>
      <c r="BV126" s="26">
        <f t="shared" si="666"/>
        <v>199260.07283655176</v>
      </c>
      <c r="BW126" s="26">
        <f t="shared" si="667"/>
        <v>567124.8226886515</v>
      </c>
      <c r="BX126" s="26">
        <f t="shared" si="668"/>
        <v>73762.90941580254</v>
      </c>
      <c r="BY126" s="26">
        <f t="shared" si="669"/>
        <v>33720.935403108953</v>
      </c>
      <c r="BZ126" s="26">
        <f t="shared" si="670"/>
        <v>183932.37492604964</v>
      </c>
      <c r="CA126" s="26">
        <f t="shared" si="671"/>
        <v>168604.67701554464</v>
      </c>
      <c r="CB126" s="26">
        <f t="shared" si="672"/>
        <v>107293.88537352864</v>
      </c>
      <c r="CC126" s="26">
        <f t="shared" si="673"/>
        <v>122621.58328403217</v>
      </c>
      <c r="CD126" s="26">
        <f t="shared" si="674"/>
        <v>91966.187463024966</v>
      </c>
      <c r="CE126" s="26">
        <f t="shared" si="675"/>
        <v>44450.323940461982</v>
      </c>
      <c r="CF126" s="26">
        <f t="shared" si="676"/>
        <v>45090.200165418544</v>
      </c>
      <c r="CG126" s="26">
        <f t="shared" si="677"/>
        <v>91966.187463024879</v>
      </c>
      <c r="CH126" s="26">
        <f t="shared" si="678"/>
        <v>79704.029134621349</v>
      </c>
      <c r="CI126" s="26">
        <f t="shared" si="679"/>
        <v>220718.84991125891</v>
      </c>
      <c r="CJ126" s="26">
        <f t="shared" si="680"/>
        <v>96871.050794385752</v>
      </c>
      <c r="CK126" s="26">
        <f t="shared" si="681"/>
        <v>68974.640597268313</v>
      </c>
      <c r="CL126" s="26">
        <f t="shared" si="682"/>
        <v>0</v>
      </c>
      <c r="CM126" s="110">
        <f t="shared" si="683"/>
        <v>1.0000000000000002</v>
      </c>
      <c r="CN126" s="27">
        <f t="shared" si="684"/>
        <v>92986.030713342276</v>
      </c>
      <c r="CO126" s="27">
        <f t="shared" si="685"/>
        <v>29676.392780853825</v>
      </c>
      <c r="CP126" s="27">
        <f t="shared" si="686"/>
        <v>22536.87310931311</v>
      </c>
      <c r="CQ126" s="27">
        <f t="shared" si="687"/>
        <v>29676.392780853843</v>
      </c>
      <c r="CR126" s="27">
        <f t="shared" si="688"/>
        <v>3956.8523707805048</v>
      </c>
      <c r="CS126" s="27">
        <f t="shared" si="689"/>
        <v>48471.441542061308</v>
      </c>
      <c r="CT126" s="27">
        <f t="shared" si="690"/>
        <v>4946.065463475642</v>
      </c>
      <c r="CU126" s="27">
        <f t="shared" si="691"/>
        <v>0</v>
      </c>
      <c r="CV126" s="27">
        <f t="shared" si="692"/>
        <v>13902.40371716279</v>
      </c>
      <c r="CW126" s="27">
        <f t="shared" si="693"/>
        <v>128597.70205036594</v>
      </c>
      <c r="CX126" s="27">
        <f t="shared" si="694"/>
        <v>366008.84429719805</v>
      </c>
      <c r="CY126" s="27">
        <f t="shared" si="695"/>
        <v>47604.823748119539</v>
      </c>
      <c r="CZ126" s="27">
        <f t="shared" si="696"/>
        <v>21762.688039292825</v>
      </c>
      <c r="DA126" s="27">
        <f t="shared" si="697"/>
        <v>118705.57112341592</v>
      </c>
      <c r="DB126" s="27">
        <f t="shared" si="698"/>
        <v>108813.44019646404</v>
      </c>
      <c r="DC126" s="27">
        <f t="shared" si="699"/>
        <v>69244.916488659088</v>
      </c>
      <c r="DD126" s="27">
        <f t="shared" si="700"/>
        <v>79137.04741561001</v>
      </c>
      <c r="DE126" s="27">
        <f t="shared" si="701"/>
        <v>59352.785561708057</v>
      </c>
      <c r="DF126" s="27">
        <f t="shared" si="702"/>
        <v>28687.179688158838</v>
      </c>
      <c r="DG126" s="27">
        <f t="shared" si="703"/>
        <v>29100.140553598121</v>
      </c>
      <c r="DH126" s="27">
        <f t="shared" si="704"/>
        <v>59352.785561707999</v>
      </c>
      <c r="DI126" s="27">
        <f t="shared" si="705"/>
        <v>51439.080820146795</v>
      </c>
      <c r="DJ126" s="27">
        <f t="shared" si="706"/>
        <v>142446.68534809869</v>
      </c>
      <c r="DK126" s="27">
        <f t="shared" si="707"/>
        <v>62518.267458332128</v>
      </c>
      <c r="DL126" s="27">
        <f t="shared" si="708"/>
        <v>44514.589171280779</v>
      </c>
      <c r="DM126" s="27">
        <f t="shared" si="709"/>
        <v>0</v>
      </c>
      <c r="DN126" s="110">
        <f t="shared" si="710"/>
        <v>1.0000000000000002</v>
      </c>
      <c r="DO126" s="28">
        <f t="shared" si="518"/>
        <v>51094.329645396298</v>
      </c>
      <c r="DP126" s="28">
        <f t="shared" si="519"/>
        <v>16306.700950658345</v>
      </c>
      <c r="DQ126" s="28">
        <f t="shared" si="520"/>
        <v>12383.649619087195</v>
      </c>
      <c r="DR126" s="28">
        <f t="shared" si="521"/>
        <v>16306.700950658356</v>
      </c>
      <c r="DS126" s="28">
        <f t="shared" si="522"/>
        <v>2174.2267934211091</v>
      </c>
      <c r="DT126" s="28">
        <f t="shared" si="523"/>
        <v>26634.278219408661</v>
      </c>
      <c r="DU126" s="28">
        <f t="shared" si="524"/>
        <v>2717.783491776393</v>
      </c>
      <c r="DV126" s="28">
        <f t="shared" si="525"/>
        <v>0</v>
      </c>
      <c r="DW126" s="28">
        <f t="shared" si="526"/>
        <v>7639.1474390160729</v>
      </c>
      <c r="DX126" s="28">
        <f t="shared" si="527"/>
        <v>70662.370786185813</v>
      </c>
      <c r="DY126" s="28">
        <f t="shared" si="528"/>
        <v>201115.97839145345</v>
      </c>
      <c r="DZ126" s="28">
        <f t="shared" si="529"/>
        <v>26158.085667683001</v>
      </c>
      <c r="EA126" s="28">
        <f t="shared" si="530"/>
        <v>11958.247363816128</v>
      </c>
      <c r="EB126" s="28">
        <f t="shared" si="531"/>
        <v>65226.803802633716</v>
      </c>
      <c r="EC126" s="28">
        <f t="shared" si="532"/>
        <v>59791.236819080601</v>
      </c>
      <c r="ED126" s="28">
        <f t="shared" si="533"/>
        <v>38048.968884869551</v>
      </c>
      <c r="EE126" s="28">
        <f t="shared" si="534"/>
        <v>43484.535868422157</v>
      </c>
      <c r="EF126" s="28">
        <f t="shared" si="535"/>
        <v>32613.401901316909</v>
      </c>
      <c r="EG126" s="28">
        <f t="shared" si="536"/>
        <v>15763.144252303144</v>
      </c>
      <c r="EH126" s="28">
        <f t="shared" si="537"/>
        <v>15990.059611820423</v>
      </c>
      <c r="EI126" s="28">
        <f t="shared" si="538"/>
        <v>32613.40190131688</v>
      </c>
      <c r="EJ126" s="28">
        <f t="shared" si="539"/>
        <v>28264.948314474554</v>
      </c>
      <c r="EK126" s="28">
        <f t="shared" si="540"/>
        <v>78272.164563160215</v>
      </c>
      <c r="EL126" s="28">
        <f t="shared" si="541"/>
        <v>34352.783336053624</v>
      </c>
      <c r="EM126" s="28">
        <f t="shared" si="542"/>
        <v>24460.051425987534</v>
      </c>
      <c r="EN126" s="28">
        <f t="shared" si="543"/>
        <v>0</v>
      </c>
      <c r="EQ126" s="144">
        <v>3.2645722170953455E-2</v>
      </c>
      <c r="ER126" s="144">
        <v>5.4409495900799951E-2</v>
      </c>
      <c r="ES126" s="144">
        <v>8.7055085796988382E-2</v>
      </c>
      <c r="ET126" s="144">
        <v>0.1081522954098945</v>
      </c>
      <c r="EU126" s="144">
        <v>0.1179841386871615</v>
      </c>
      <c r="EV126" s="144">
        <v>0.14748026608466419</v>
      </c>
      <c r="EW126" s="144">
        <v>0.12781622099070922</v>
      </c>
      <c r="EX126" s="144">
        <v>7.8656172133534555E-2</v>
      </c>
      <c r="EY126" s="144">
        <v>6.8824209343127218E-2</v>
      </c>
      <c r="EZ126" s="144">
        <v>5.8992131160722307E-2</v>
      </c>
      <c r="FA126" s="144">
        <v>5.8992131160722307E-2</v>
      </c>
      <c r="FB126" s="144">
        <v>5.8992131160722307E-2</v>
      </c>
      <c r="FC126" s="145">
        <f t="shared" si="544"/>
        <v>1</v>
      </c>
      <c r="FD126" s="146">
        <f t="shared" si="545"/>
        <v>0.17411030386874177</v>
      </c>
      <c r="FE126" s="146">
        <f t="shared" si="546"/>
        <v>0.37361670018172022</v>
      </c>
      <c r="FF126" s="146">
        <f t="shared" si="547"/>
        <v>0.27529660246737098</v>
      </c>
      <c r="FG126" s="146">
        <f t="shared" si="548"/>
        <v>0.17697639348216693</v>
      </c>
      <c r="FH126" s="145">
        <f t="shared" si="655"/>
        <v>1</v>
      </c>
      <c r="FJ126" s="52">
        <f t="shared" si="549"/>
        <v>25085.875323577788</v>
      </c>
      <c r="FK126" s="52">
        <f t="shared" si="550"/>
        <v>8006.1304224184187</v>
      </c>
      <c r="FL126" s="52">
        <f t="shared" si="551"/>
        <v>6080.02282349708</v>
      </c>
      <c r="FM126" s="52">
        <f t="shared" si="552"/>
        <v>8006.1304224184241</v>
      </c>
      <c r="FN126" s="52">
        <f t="shared" si="553"/>
        <v>1067.4840563224543</v>
      </c>
      <c r="FO126" s="52">
        <f t="shared" si="554"/>
        <v>13076.679689950101</v>
      </c>
      <c r="FP126" s="52">
        <f t="shared" si="555"/>
        <v>1334.3550704030708</v>
      </c>
      <c r="FQ126" s="52">
        <f t="shared" si="556"/>
        <v>0</v>
      </c>
      <c r="FR126" s="52">
        <f t="shared" si="557"/>
        <v>3750.6060176063475</v>
      </c>
      <c r="FS126" s="52">
        <f t="shared" si="558"/>
        <v>34693.231830479643</v>
      </c>
      <c r="FT126" s="52">
        <f t="shared" si="559"/>
        <v>98742.275209827407</v>
      </c>
      <c r="FU126" s="52">
        <f t="shared" si="560"/>
        <v>12842.882572627854</v>
      </c>
      <c r="FV126" s="52">
        <f t="shared" si="561"/>
        <v>5871.1623097735119</v>
      </c>
      <c r="FW126" s="52">
        <f t="shared" si="562"/>
        <v>32024.521689673842</v>
      </c>
      <c r="FX126" s="52">
        <f t="shared" si="563"/>
        <v>29355.811548867539</v>
      </c>
      <c r="FY126" s="52">
        <f t="shared" si="564"/>
        <v>18680.97098564302</v>
      </c>
      <c r="FZ126" s="52">
        <f t="shared" si="565"/>
        <v>21349.681126449068</v>
      </c>
      <c r="GA126" s="52">
        <f t="shared" si="566"/>
        <v>16012.260844836946</v>
      </c>
      <c r="GB126" s="52">
        <f t="shared" si="567"/>
        <v>7739.2594083378426</v>
      </c>
      <c r="GC126" s="52">
        <f t="shared" si="568"/>
        <v>7850.6684523034128</v>
      </c>
      <c r="GD126" s="52">
        <f t="shared" si="569"/>
        <v>16012.260844836932</v>
      </c>
      <c r="GE126" s="52">
        <f t="shared" si="570"/>
        <v>13877.292732191971</v>
      </c>
      <c r="GF126" s="52">
        <f t="shared" si="571"/>
        <v>38429.426027608497</v>
      </c>
      <c r="GG126" s="52">
        <f t="shared" si="572"/>
        <v>16866.248089894823</v>
      </c>
      <c r="GH126" s="52">
        <f t="shared" si="573"/>
        <v>12009.195633627638</v>
      </c>
      <c r="GI126" s="52">
        <f t="shared" si="574"/>
        <v>0</v>
      </c>
      <c r="GJ126" s="26"/>
      <c r="GL126" s="150">
        <f t="shared" si="575"/>
        <v>53830.828798225033</v>
      </c>
      <c r="GM126" s="150">
        <f t="shared" si="576"/>
        <v>17180.05174411432</v>
      </c>
      <c r="GN126" s="150">
        <f t="shared" si="577"/>
        <v>13046.890470405684</v>
      </c>
      <c r="GO126" s="150">
        <f t="shared" si="578"/>
        <v>17180.051744114331</v>
      </c>
      <c r="GP126" s="150">
        <f t="shared" si="579"/>
        <v>2290.6735658819061</v>
      </c>
      <c r="GQ126" s="150">
        <f t="shared" si="580"/>
        <v>28060.751182053424</v>
      </c>
      <c r="GR126" s="150">
        <f t="shared" si="581"/>
        <v>2863.3419573523893</v>
      </c>
      <c r="GS126" s="150">
        <f t="shared" si="582"/>
        <v>0</v>
      </c>
      <c r="GT126" s="150">
        <f t="shared" si="583"/>
        <v>8048.2832597672668</v>
      </c>
      <c r="GU126" s="150">
        <f t="shared" si="584"/>
        <v>74446.890891161689</v>
      </c>
      <c r="GV126" s="150">
        <f t="shared" si="585"/>
        <v>211887.30484407715</v>
      </c>
      <c r="GW126" s="150">
        <f t="shared" si="586"/>
        <v>27559.054811735285</v>
      </c>
      <c r="GX126" s="150">
        <f t="shared" si="587"/>
        <v>12598.704612350513</v>
      </c>
      <c r="GY126" s="150">
        <f t="shared" si="588"/>
        <v>68720.206976457644</v>
      </c>
      <c r="GZ126" s="150">
        <f t="shared" si="589"/>
        <v>62993.523061752516</v>
      </c>
      <c r="HA126" s="150">
        <f t="shared" si="590"/>
        <v>40086.787402933507</v>
      </c>
      <c r="HB126" s="150">
        <f t="shared" si="591"/>
        <v>45813.471317638083</v>
      </c>
      <c r="HC126" s="150">
        <f t="shared" si="592"/>
        <v>34360.103488228873</v>
      </c>
      <c r="HD126" s="150">
        <f t="shared" si="593"/>
        <v>16607.383352643923</v>
      </c>
      <c r="HE126" s="150">
        <f t="shared" si="594"/>
        <v>16846.451796336933</v>
      </c>
      <c r="HF126" s="150">
        <f t="shared" si="595"/>
        <v>34360.103488228844</v>
      </c>
      <c r="HG126" s="150">
        <f t="shared" si="596"/>
        <v>29778.756356464917</v>
      </c>
      <c r="HH126" s="150">
        <f t="shared" si="597"/>
        <v>82464.248371748923</v>
      </c>
      <c r="HI126" s="150">
        <f t="shared" si="598"/>
        <v>36192.64234093421</v>
      </c>
      <c r="HJ126" s="150">
        <f t="shared" si="599"/>
        <v>25770.077616171504</v>
      </c>
      <c r="HK126" s="150">
        <f t="shared" si="600"/>
        <v>0</v>
      </c>
      <c r="HL126" s="26"/>
      <c r="HN126" s="147">
        <f t="shared" si="601"/>
        <v>39664.833689035207</v>
      </c>
      <c r="HO126" s="147">
        <f t="shared" si="602"/>
        <v>12658.989475223963</v>
      </c>
      <c r="HP126" s="147">
        <f t="shared" si="603"/>
        <v>9613.5012635132116</v>
      </c>
      <c r="HQ126" s="147">
        <f t="shared" si="604"/>
        <v>12658.989475223972</v>
      </c>
      <c r="HR126" s="147">
        <f t="shared" si="605"/>
        <v>1687.8652633631928</v>
      </c>
      <c r="HS126" s="147">
        <f t="shared" si="606"/>
        <v>20676.349476199168</v>
      </c>
      <c r="HT126" s="147">
        <f t="shared" si="607"/>
        <v>2109.8315792039957</v>
      </c>
      <c r="HU126" s="147">
        <f t="shared" si="608"/>
        <v>0</v>
      </c>
      <c r="HV126" s="147">
        <f t="shared" si="609"/>
        <v>5930.3158451731078</v>
      </c>
      <c r="HW126" s="147">
        <f t="shared" si="610"/>
        <v>54855.621059303572</v>
      </c>
      <c r="HX126" s="147">
        <f t="shared" si="611"/>
        <v>156127.53686109596</v>
      </c>
      <c r="HY126" s="147">
        <f t="shared" si="612"/>
        <v>20306.678350278886</v>
      </c>
      <c r="HZ126" s="147">
        <f t="shared" si="613"/>
        <v>9283.2589484975815</v>
      </c>
      <c r="IA126" s="147">
        <f t="shared" si="614"/>
        <v>50635.957900896123</v>
      </c>
      <c r="IB126" s="147">
        <f t="shared" si="615"/>
        <v>46416.294742487873</v>
      </c>
      <c r="IC126" s="147">
        <f t="shared" si="616"/>
        <v>29537.642108855984</v>
      </c>
      <c r="ID126" s="147">
        <f t="shared" si="617"/>
        <v>33757.305267263822</v>
      </c>
      <c r="IE126" s="147">
        <f t="shared" si="618"/>
        <v>25317.978950448101</v>
      </c>
      <c r="IF126" s="147">
        <f t="shared" si="619"/>
        <v>12237.023159383225</v>
      </c>
      <c r="IG126" s="147">
        <f t="shared" si="620"/>
        <v>12413.178910113415</v>
      </c>
      <c r="IH126" s="147">
        <f t="shared" si="621"/>
        <v>25317.978950448076</v>
      </c>
      <c r="II126" s="147">
        <f t="shared" si="622"/>
        <v>21942.248423721609</v>
      </c>
      <c r="IJ126" s="147">
        <f t="shared" si="623"/>
        <v>60763.149481075161</v>
      </c>
      <c r="IK126" s="147">
        <f t="shared" si="624"/>
        <v>26668.271161138517</v>
      </c>
      <c r="IL126" s="147">
        <f t="shared" si="625"/>
        <v>18988.484212835963</v>
      </c>
      <c r="IM126" s="147">
        <f t="shared" si="626"/>
        <v>0</v>
      </c>
      <c r="IN126" s="26"/>
      <c r="IP126" s="61">
        <f t="shared" si="627"/>
        <v>25498.822547900523</v>
      </c>
      <c r="IQ126" s="61">
        <f t="shared" si="628"/>
        <v>8137.9220897554615</v>
      </c>
      <c r="IR126" s="61">
        <f t="shared" si="629"/>
        <v>6180.1081709843256</v>
      </c>
      <c r="IS126" s="61">
        <f t="shared" si="630"/>
        <v>8137.922089755466</v>
      </c>
      <c r="IT126" s="61">
        <f t="shared" si="631"/>
        <v>1085.0562786340599</v>
      </c>
      <c r="IU126" s="61">
        <f t="shared" si="632"/>
        <v>13291.93941326727</v>
      </c>
      <c r="IV126" s="61">
        <f t="shared" si="633"/>
        <v>1356.320348292578</v>
      </c>
      <c r="IW126" s="61">
        <f t="shared" si="634"/>
        <v>0</v>
      </c>
      <c r="IX126" s="61">
        <f t="shared" si="635"/>
        <v>3812.3460336321382</v>
      </c>
      <c r="IY126" s="61">
        <f t="shared" si="636"/>
        <v>35264.329055606824</v>
      </c>
      <c r="IZ126" s="61">
        <f t="shared" si="637"/>
        <v>100367.70577365095</v>
      </c>
      <c r="JA126" s="61">
        <f t="shared" si="638"/>
        <v>13054.293681160507</v>
      </c>
      <c r="JB126" s="61">
        <f t="shared" si="639"/>
        <v>5967.8095324873429</v>
      </c>
      <c r="JC126" s="61">
        <f t="shared" si="640"/>
        <v>32551.688359022017</v>
      </c>
      <c r="JD126" s="61">
        <f t="shared" si="641"/>
        <v>29839.047662436697</v>
      </c>
      <c r="JE126" s="61">
        <f t="shared" si="642"/>
        <v>18988.484876096118</v>
      </c>
      <c r="JF126" s="61">
        <f t="shared" si="643"/>
        <v>21701.12557268118</v>
      </c>
      <c r="JG126" s="61">
        <f t="shared" si="644"/>
        <v>16275.844179511034</v>
      </c>
      <c r="JH126" s="61">
        <f t="shared" si="645"/>
        <v>7866.6580200969847</v>
      </c>
      <c r="JI126" s="61">
        <f t="shared" si="646"/>
        <v>7979.9010066647807</v>
      </c>
      <c r="JJ126" s="61">
        <f t="shared" si="647"/>
        <v>16275.844179511018</v>
      </c>
      <c r="JK126" s="61">
        <f t="shared" si="648"/>
        <v>14105.731622242845</v>
      </c>
      <c r="JL126" s="61">
        <f t="shared" si="649"/>
        <v>39062.026030826302</v>
      </c>
      <c r="JM126" s="61">
        <f t="shared" si="650"/>
        <v>17143.889202418191</v>
      </c>
      <c r="JN126" s="61">
        <f t="shared" si="651"/>
        <v>12206.883134633203</v>
      </c>
      <c r="JO126" s="61">
        <f t="shared" si="652"/>
        <v>0</v>
      </c>
      <c r="JQ126" s="26">
        <f t="shared" si="711"/>
        <v>2577472.0000000005</v>
      </c>
      <c r="JR126" s="156">
        <f t="shared" si="712"/>
        <v>1.0000000000000002</v>
      </c>
      <c r="JT126" s="157">
        <f t="shared" si="653"/>
        <v>144080.36035873854</v>
      </c>
      <c r="JU126" s="29">
        <f t="shared" si="654"/>
        <v>0.99999999999999978</v>
      </c>
    </row>
    <row r="127" spans="1:281" ht="18.75" x14ac:dyDescent="0.3">
      <c r="A127" t="s">
        <v>234</v>
      </c>
      <c r="B127" s="10" t="s">
        <v>203</v>
      </c>
      <c r="C127" t="s">
        <v>79</v>
      </c>
      <c r="D127" t="s">
        <v>29</v>
      </c>
      <c r="E127" t="s">
        <v>287</v>
      </c>
      <c r="F127" s="114">
        <v>57</v>
      </c>
      <c r="G127" s="17">
        <v>27510</v>
      </c>
      <c r="H127" s="21">
        <v>15076</v>
      </c>
      <c r="I127" s="25">
        <f t="shared" si="434"/>
        <v>1.8247545768108251</v>
      </c>
      <c r="J127" s="13">
        <v>5.0000007042254553E-2</v>
      </c>
      <c r="K127" s="13">
        <v>4.3192494346360792E-2</v>
      </c>
      <c r="L127" s="13">
        <v>9.389672683991501E-4</v>
      </c>
      <c r="M127" s="13">
        <v>0</v>
      </c>
      <c r="N127" s="13">
        <v>0</v>
      </c>
      <c r="O127" s="13">
        <v>0.13169001854789036</v>
      </c>
      <c r="P127" s="13">
        <v>0</v>
      </c>
      <c r="Q127" s="13">
        <v>0</v>
      </c>
      <c r="R127" s="13">
        <v>9.3896726839914739E-4</v>
      </c>
      <c r="S127" s="13">
        <v>3.2863854393970263E-3</v>
      </c>
      <c r="T127" s="13">
        <v>0.40000005633803548</v>
      </c>
      <c r="U127" s="13">
        <v>1.4084509025987148E-3</v>
      </c>
      <c r="V127" s="13">
        <v>1.408450902598717E-3</v>
      </c>
      <c r="W127" s="13">
        <v>0.20000002816901807</v>
      </c>
      <c r="X127" s="13">
        <v>0.10000001408450887</v>
      </c>
      <c r="Y127" s="13">
        <v>1.7370894465384208E-2</v>
      </c>
      <c r="Z127" s="13">
        <v>1.8779345367983002E-3</v>
      </c>
      <c r="AA127" s="13">
        <v>1.3615025391787654E-2</v>
      </c>
      <c r="AB127" s="13">
        <v>4.2253527077961558E-3</v>
      </c>
      <c r="AC127" s="13">
        <v>0</v>
      </c>
      <c r="AD127" s="13">
        <v>1.9248829002182551E-2</v>
      </c>
      <c r="AE127" s="13">
        <v>1.8779345367982991E-3</v>
      </c>
      <c r="AF127" s="13">
        <v>9.389672683991501E-4</v>
      </c>
      <c r="AG127" s="9">
        <v>0</v>
      </c>
      <c r="AH127" s="13">
        <v>7.9812217813927527E-3</v>
      </c>
      <c r="AJ127" s="8">
        <f t="shared" si="656"/>
        <v>0.99999999999999967</v>
      </c>
      <c r="AK127" s="141">
        <f t="shared" si="435"/>
        <v>2.8500004014085096</v>
      </c>
      <c r="AL127" s="141">
        <f t="shared" si="436"/>
        <v>2.4619721777425649</v>
      </c>
      <c r="AM127" s="141">
        <f t="shared" si="437"/>
        <v>5.3521134298751556E-2</v>
      </c>
      <c r="AN127" s="141">
        <f t="shared" si="438"/>
        <v>0</v>
      </c>
      <c r="AO127" s="141">
        <f t="shared" si="439"/>
        <v>0</v>
      </c>
      <c r="AP127" s="141">
        <f t="shared" si="440"/>
        <v>7.506331057229751</v>
      </c>
      <c r="AQ127" s="141">
        <f t="shared" si="441"/>
        <v>0</v>
      </c>
      <c r="AR127" s="141">
        <f t="shared" si="442"/>
        <v>0</v>
      </c>
      <c r="AS127" s="141">
        <f t="shared" si="443"/>
        <v>5.3521134298751404E-2</v>
      </c>
      <c r="AT127" s="141">
        <f t="shared" si="444"/>
        <v>0.18732397004563051</v>
      </c>
      <c r="AU127" s="141">
        <f t="shared" si="445"/>
        <v>22.800003211268024</v>
      </c>
      <c r="AV127" s="141">
        <f t="shared" si="446"/>
        <v>8.0281701448126741E-2</v>
      </c>
      <c r="AW127" s="141">
        <f t="shared" si="447"/>
        <v>8.0281701448126866E-2</v>
      </c>
      <c r="AX127" s="141">
        <f t="shared" si="448"/>
        <v>11.40000160563403</v>
      </c>
      <c r="AY127" s="141">
        <f t="shared" si="449"/>
        <v>5.7000008028170059</v>
      </c>
      <c r="AZ127" s="141">
        <f t="shared" si="450"/>
        <v>0.99014098452689991</v>
      </c>
      <c r="BA127" s="141">
        <f t="shared" si="451"/>
        <v>0.10704226859750311</v>
      </c>
      <c r="BB127" s="141">
        <f t="shared" si="452"/>
        <v>0.77605644733189627</v>
      </c>
      <c r="BC127" s="141">
        <f t="shared" si="453"/>
        <v>0.24084510434438089</v>
      </c>
      <c r="BD127" s="141">
        <f t="shared" si="454"/>
        <v>0</v>
      </c>
      <c r="BE127" s="141">
        <f t="shared" si="455"/>
        <v>1.0971832531244055</v>
      </c>
      <c r="BF127" s="141">
        <f t="shared" si="456"/>
        <v>0.10704226859750304</v>
      </c>
      <c r="BG127" s="141">
        <f t="shared" si="457"/>
        <v>5.3521134298751556E-2</v>
      </c>
      <c r="BH127" s="141">
        <f t="shared" si="458"/>
        <v>0</v>
      </c>
      <c r="BI127" s="141">
        <f t="shared" si="459"/>
        <v>0.45492964153938692</v>
      </c>
      <c r="BJ127" s="141">
        <f t="shared" si="460"/>
        <v>0</v>
      </c>
      <c r="BM127" s="26">
        <f t="shared" si="657"/>
        <v>1375.5001937324228</v>
      </c>
      <c r="BN127" s="26">
        <f t="shared" si="658"/>
        <v>1188.2255194683853</v>
      </c>
      <c r="BO127" s="26">
        <f t="shared" si="659"/>
        <v>25.830989553660618</v>
      </c>
      <c r="BP127" s="26">
        <f t="shared" si="660"/>
        <v>0</v>
      </c>
      <c r="BQ127" s="26">
        <f t="shared" si="661"/>
        <v>0</v>
      </c>
      <c r="BR127" s="26">
        <f t="shared" si="662"/>
        <v>3622.7924102524639</v>
      </c>
      <c r="BS127" s="26">
        <f t="shared" si="663"/>
        <v>0</v>
      </c>
      <c r="BT127" s="26">
        <f t="shared" si="664"/>
        <v>0</v>
      </c>
      <c r="BU127" s="26">
        <f t="shared" si="665"/>
        <v>25.830989553660544</v>
      </c>
      <c r="BV127" s="26">
        <f t="shared" si="666"/>
        <v>90.408463437812188</v>
      </c>
      <c r="BW127" s="26">
        <f t="shared" si="667"/>
        <v>11004.001549859357</v>
      </c>
      <c r="BX127" s="26">
        <f t="shared" si="668"/>
        <v>38.746484330490645</v>
      </c>
      <c r="BY127" s="26">
        <f t="shared" si="669"/>
        <v>38.746484330490702</v>
      </c>
      <c r="BZ127" s="26">
        <f t="shared" si="670"/>
        <v>5502.0007749296874</v>
      </c>
      <c r="CA127" s="26">
        <f t="shared" si="671"/>
        <v>2751.0003874648392</v>
      </c>
      <c r="CB127" s="26">
        <f t="shared" si="672"/>
        <v>477.87330674271959</v>
      </c>
      <c r="CC127" s="26">
        <f t="shared" si="673"/>
        <v>51.661979107321237</v>
      </c>
      <c r="CD127" s="26">
        <f t="shared" si="674"/>
        <v>374.54934852807838</v>
      </c>
      <c r="CE127" s="26">
        <f t="shared" si="675"/>
        <v>116.23945299147225</v>
      </c>
      <c r="CF127" s="26">
        <f t="shared" si="676"/>
        <v>0</v>
      </c>
      <c r="CG127" s="26">
        <f t="shared" si="677"/>
        <v>529.53528585004199</v>
      </c>
      <c r="CH127" s="26">
        <f t="shared" si="678"/>
        <v>51.661979107321208</v>
      </c>
      <c r="CI127" s="26">
        <f t="shared" si="679"/>
        <v>25.830989553660618</v>
      </c>
      <c r="CJ127" s="26">
        <f t="shared" si="680"/>
        <v>0</v>
      </c>
      <c r="CK127" s="26">
        <f t="shared" si="681"/>
        <v>219.56341120611464</v>
      </c>
      <c r="CL127" s="26">
        <f t="shared" si="682"/>
        <v>0</v>
      </c>
      <c r="CM127" s="110">
        <f t="shared" si="683"/>
        <v>1</v>
      </c>
      <c r="CN127" s="27">
        <f t="shared" si="684"/>
        <v>753.80010616902962</v>
      </c>
      <c r="CO127" s="27">
        <f t="shared" si="685"/>
        <v>651.17004476573527</v>
      </c>
      <c r="CP127" s="27">
        <f t="shared" si="686"/>
        <v>14.155870538385587</v>
      </c>
      <c r="CQ127" s="27">
        <f t="shared" si="687"/>
        <v>0</v>
      </c>
      <c r="CR127" s="27">
        <f t="shared" si="688"/>
        <v>0</v>
      </c>
      <c r="CS127" s="27">
        <f t="shared" si="689"/>
        <v>1985.358719627995</v>
      </c>
      <c r="CT127" s="27">
        <f t="shared" si="690"/>
        <v>0</v>
      </c>
      <c r="CU127" s="27">
        <f t="shared" si="691"/>
        <v>0</v>
      </c>
      <c r="CV127" s="27">
        <f t="shared" si="692"/>
        <v>14.155870538385546</v>
      </c>
      <c r="CW127" s="27">
        <f t="shared" si="693"/>
        <v>49.545546884349569</v>
      </c>
      <c r="CX127" s="27">
        <f t="shared" si="694"/>
        <v>6030.4008493522233</v>
      </c>
      <c r="CY127" s="27">
        <f t="shared" si="695"/>
        <v>21.233805807578225</v>
      </c>
      <c r="CZ127" s="27">
        <f t="shared" si="696"/>
        <v>21.233805807578257</v>
      </c>
      <c r="DA127" s="27">
        <f t="shared" si="697"/>
        <v>3015.2004246761167</v>
      </c>
      <c r="DB127" s="27">
        <f t="shared" si="698"/>
        <v>1507.6002123380558</v>
      </c>
      <c r="DC127" s="27">
        <f t="shared" si="699"/>
        <v>261.88360496013235</v>
      </c>
      <c r="DD127" s="27">
        <f t="shared" si="700"/>
        <v>28.311741076771174</v>
      </c>
      <c r="DE127" s="27">
        <f t="shared" si="701"/>
        <v>205.26012280659066</v>
      </c>
      <c r="DF127" s="27">
        <f t="shared" si="702"/>
        <v>63.701417422734842</v>
      </c>
      <c r="DG127" s="27">
        <f t="shared" si="703"/>
        <v>0</v>
      </c>
      <c r="DH127" s="27">
        <f t="shared" si="704"/>
        <v>290.19534603690414</v>
      </c>
      <c r="DI127" s="27">
        <f t="shared" si="705"/>
        <v>28.311741076771156</v>
      </c>
      <c r="DJ127" s="27">
        <f t="shared" si="706"/>
        <v>14.155870538385587</v>
      </c>
      <c r="DK127" s="27">
        <f t="shared" si="707"/>
        <v>0</v>
      </c>
      <c r="DL127" s="27">
        <f t="shared" si="708"/>
        <v>120.32489957627715</v>
      </c>
      <c r="DM127" s="27">
        <f t="shared" si="709"/>
        <v>0</v>
      </c>
      <c r="DN127" s="110">
        <f t="shared" si="710"/>
        <v>1.0000000000000002</v>
      </c>
      <c r="DO127" s="28">
        <f t="shared" si="518"/>
        <v>621.70008756339314</v>
      </c>
      <c r="DP127" s="28">
        <f t="shared" si="519"/>
        <v>537.05547470265003</v>
      </c>
      <c r="DQ127" s="28">
        <f t="shared" si="520"/>
        <v>11.675119015275031</v>
      </c>
      <c r="DR127" s="28">
        <f t="shared" si="521"/>
        <v>0</v>
      </c>
      <c r="DS127" s="28">
        <f t="shared" si="522"/>
        <v>0</v>
      </c>
      <c r="DT127" s="28">
        <f t="shared" si="523"/>
        <v>1637.4336906244689</v>
      </c>
      <c r="DU127" s="28">
        <f t="shared" si="524"/>
        <v>0</v>
      </c>
      <c r="DV127" s="28">
        <f t="shared" si="525"/>
        <v>0</v>
      </c>
      <c r="DW127" s="28">
        <f t="shared" si="526"/>
        <v>11.675119015274998</v>
      </c>
      <c r="DX127" s="28">
        <f t="shared" si="527"/>
        <v>40.862916553462618</v>
      </c>
      <c r="DY127" s="28">
        <f t="shared" si="528"/>
        <v>4973.6007005071333</v>
      </c>
      <c r="DZ127" s="28">
        <f t="shared" si="529"/>
        <v>17.51267852291242</v>
      </c>
      <c r="EA127" s="28">
        <f t="shared" si="530"/>
        <v>17.512678522912445</v>
      </c>
      <c r="EB127" s="28">
        <f t="shared" si="531"/>
        <v>2486.8003502535707</v>
      </c>
      <c r="EC127" s="28">
        <f t="shared" si="532"/>
        <v>1243.4001751267833</v>
      </c>
      <c r="ED127" s="28">
        <f t="shared" si="533"/>
        <v>215.98970178258725</v>
      </c>
      <c r="EE127" s="28">
        <f t="shared" si="534"/>
        <v>23.350238030550063</v>
      </c>
      <c r="EF127" s="28">
        <f t="shared" si="535"/>
        <v>169.28922572148772</v>
      </c>
      <c r="EG127" s="28">
        <f t="shared" si="536"/>
        <v>52.538035568737406</v>
      </c>
      <c r="EH127" s="28">
        <f t="shared" si="537"/>
        <v>0</v>
      </c>
      <c r="EI127" s="28">
        <f t="shared" si="538"/>
        <v>239.33993981313785</v>
      </c>
      <c r="EJ127" s="28">
        <f t="shared" si="539"/>
        <v>23.350238030550052</v>
      </c>
      <c r="EK127" s="28">
        <f t="shared" si="540"/>
        <v>11.675119015275031</v>
      </c>
      <c r="EL127" s="28">
        <f t="shared" si="541"/>
        <v>0</v>
      </c>
      <c r="EM127" s="28">
        <f t="shared" si="542"/>
        <v>99.23851162983749</v>
      </c>
      <c r="EN127" s="28">
        <f t="shared" si="543"/>
        <v>0</v>
      </c>
      <c r="EQ127" s="144">
        <v>0</v>
      </c>
      <c r="ER127" s="144">
        <v>2.9999881237093809E-2</v>
      </c>
      <c r="ES127" s="144">
        <v>2.9999881237093809E-2</v>
      </c>
      <c r="ET127" s="144">
        <v>0.20000007422681634</v>
      </c>
      <c r="EU127" s="144">
        <v>0.20000007422681634</v>
      </c>
      <c r="EV127" s="144">
        <v>0.20000007422681634</v>
      </c>
      <c r="EW127" s="144">
        <v>0.20000007422681634</v>
      </c>
      <c r="EX127" s="144">
        <v>6.0000133608269453E-2</v>
      </c>
      <c r="EY127" s="144">
        <v>2.9999881237093809E-2</v>
      </c>
      <c r="EZ127" s="144">
        <v>9.9998367010039908E-3</v>
      </c>
      <c r="FA127" s="144">
        <v>2.0000044536089816E-2</v>
      </c>
      <c r="FB127" s="144">
        <v>2.0000044536089816E-2</v>
      </c>
      <c r="FC127" s="145">
        <f t="shared" si="544"/>
        <v>1</v>
      </c>
      <c r="FD127" s="146">
        <f t="shared" si="545"/>
        <v>5.9999762474187618E-2</v>
      </c>
      <c r="FE127" s="146">
        <f t="shared" si="546"/>
        <v>0.60000022268044906</v>
      </c>
      <c r="FF127" s="146">
        <f t="shared" si="547"/>
        <v>0.29000008907217961</v>
      </c>
      <c r="FG127" s="146">
        <f t="shared" si="548"/>
        <v>4.9999925773183629E-2</v>
      </c>
      <c r="FH127" s="145">
        <f t="shared" si="655"/>
        <v>0.99999999999999978</v>
      </c>
      <c r="FJ127" s="52">
        <f t="shared" si="549"/>
        <v>82.529684907144414</v>
      </c>
      <c r="FK127" s="52">
        <f t="shared" si="550"/>
        <v>71.293248933871311</v>
      </c>
      <c r="FL127" s="52">
        <f t="shared" si="551"/>
        <v>1.5498532376928587</v>
      </c>
      <c r="FM127" s="52">
        <f t="shared" si="552"/>
        <v>0</v>
      </c>
      <c r="FN127" s="52">
        <f t="shared" si="553"/>
        <v>0</v>
      </c>
      <c r="FO127" s="52">
        <f t="shared" si="554"/>
        <v>217.36668410843751</v>
      </c>
      <c r="FP127" s="52">
        <f t="shared" si="555"/>
        <v>0</v>
      </c>
      <c r="FQ127" s="52">
        <f t="shared" si="556"/>
        <v>0</v>
      </c>
      <c r="FR127" s="52">
        <f t="shared" si="557"/>
        <v>1.5498532376928542</v>
      </c>
      <c r="FS127" s="52">
        <f t="shared" si="558"/>
        <v>5.4244863319250074</v>
      </c>
      <c r="FT127" s="52">
        <f t="shared" si="559"/>
        <v>660.23747925715384</v>
      </c>
      <c r="FU127" s="52">
        <f t="shared" si="560"/>
        <v>2.324779856539271</v>
      </c>
      <c r="FV127" s="52">
        <f t="shared" si="561"/>
        <v>2.3247798565392745</v>
      </c>
      <c r="FW127" s="52">
        <f t="shared" si="562"/>
        <v>330.11873962857743</v>
      </c>
      <c r="FX127" s="52">
        <f t="shared" si="563"/>
        <v>165.05936981428846</v>
      </c>
      <c r="FY127" s="52">
        <f t="shared" si="564"/>
        <v>28.672284897317777</v>
      </c>
      <c r="FZ127" s="52">
        <f t="shared" si="565"/>
        <v>3.0997064753857173</v>
      </c>
      <c r="GA127" s="52">
        <f t="shared" si="566"/>
        <v>22.472871946546416</v>
      </c>
      <c r="GB127" s="52">
        <f t="shared" si="567"/>
        <v>6.9743395696178325</v>
      </c>
      <c r="GC127" s="52">
        <f t="shared" si="568"/>
        <v>0</v>
      </c>
      <c r="GD127" s="52">
        <f t="shared" si="569"/>
        <v>31.771991372703564</v>
      </c>
      <c r="GE127" s="52">
        <f t="shared" si="570"/>
        <v>3.099706475385716</v>
      </c>
      <c r="GF127" s="52">
        <f t="shared" si="571"/>
        <v>1.5498532376928587</v>
      </c>
      <c r="GG127" s="52">
        <f t="shared" si="572"/>
        <v>0</v>
      </c>
      <c r="GH127" s="52">
        <f t="shared" si="573"/>
        <v>13.173752520389263</v>
      </c>
      <c r="GI127" s="52">
        <f t="shared" si="574"/>
        <v>0</v>
      </c>
      <c r="GJ127" s="26"/>
      <c r="GL127" s="150">
        <f t="shared" si="575"/>
        <v>825.30042253645445</v>
      </c>
      <c r="GM127" s="150">
        <f t="shared" si="576"/>
        <v>712.93557627562348</v>
      </c>
      <c r="GN127" s="150">
        <f t="shared" si="577"/>
        <v>15.498599484252724</v>
      </c>
      <c r="GO127" s="150">
        <f t="shared" si="578"/>
        <v>0</v>
      </c>
      <c r="GP127" s="150">
        <f t="shared" si="579"/>
        <v>0</v>
      </c>
      <c r="GQ127" s="150">
        <f t="shared" si="580"/>
        <v>2173.6762528765189</v>
      </c>
      <c r="GR127" s="150">
        <f t="shared" si="581"/>
        <v>0</v>
      </c>
      <c r="GS127" s="150">
        <f t="shared" si="582"/>
        <v>0</v>
      </c>
      <c r="GT127" s="150">
        <f t="shared" si="583"/>
        <v>15.498599484252679</v>
      </c>
      <c r="GU127" s="150">
        <f t="shared" si="584"/>
        <v>54.245098194884548</v>
      </c>
      <c r="GV127" s="150">
        <f t="shared" si="585"/>
        <v>6602.4033802916201</v>
      </c>
      <c r="GW127" s="150">
        <f t="shared" si="586"/>
        <v>23.247899226378916</v>
      </c>
      <c r="GX127" s="150">
        <f t="shared" si="587"/>
        <v>23.247899226378951</v>
      </c>
      <c r="GY127" s="150">
        <f t="shared" si="588"/>
        <v>3301.2016901458155</v>
      </c>
      <c r="GZ127" s="150">
        <f t="shared" si="589"/>
        <v>1650.600845072905</v>
      </c>
      <c r="HA127" s="150">
        <f t="shared" si="590"/>
        <v>286.72409045867431</v>
      </c>
      <c r="HB127" s="150">
        <f t="shared" si="591"/>
        <v>30.997198968505447</v>
      </c>
      <c r="HC127" s="150">
        <f t="shared" si="592"/>
        <v>224.72969252166416</v>
      </c>
      <c r="HD127" s="150">
        <f t="shared" si="593"/>
        <v>69.743697679136943</v>
      </c>
      <c r="HE127" s="150">
        <f t="shared" si="594"/>
        <v>0</v>
      </c>
      <c r="HF127" s="150">
        <f t="shared" si="595"/>
        <v>317.72128942718041</v>
      </c>
      <c r="HG127" s="150">
        <f t="shared" si="596"/>
        <v>30.997198968505433</v>
      </c>
      <c r="HH127" s="150">
        <f t="shared" si="597"/>
        <v>15.498599484252724</v>
      </c>
      <c r="HI127" s="150">
        <f t="shared" si="598"/>
        <v>0</v>
      </c>
      <c r="HJ127" s="150">
        <f t="shared" si="599"/>
        <v>131.73809561614777</v>
      </c>
      <c r="HK127" s="150">
        <f t="shared" si="600"/>
        <v>0</v>
      </c>
      <c r="HL127" s="26"/>
      <c r="HN127" s="147">
        <f t="shared" si="601"/>
        <v>398.89517870120289</v>
      </c>
      <c r="HO127" s="147">
        <f t="shared" si="602"/>
        <v>344.58550648366861</v>
      </c>
      <c r="HP127" s="147">
        <f t="shared" si="603"/>
        <v>7.4909892713841204</v>
      </c>
      <c r="HQ127" s="147">
        <f t="shared" si="604"/>
        <v>0</v>
      </c>
      <c r="HR127" s="147">
        <f t="shared" si="605"/>
        <v>0</v>
      </c>
      <c r="HS127" s="147">
        <f t="shared" si="606"/>
        <v>1050.6101216632308</v>
      </c>
      <c r="HT127" s="147">
        <f t="shared" si="607"/>
        <v>0</v>
      </c>
      <c r="HU127" s="147">
        <f t="shared" si="608"/>
        <v>0</v>
      </c>
      <c r="HV127" s="147">
        <f t="shared" si="609"/>
        <v>7.4909892713840991</v>
      </c>
      <c r="HW127" s="147">
        <f t="shared" si="610"/>
        <v>26.218462449844427</v>
      </c>
      <c r="HX127" s="147">
        <f t="shared" si="611"/>
        <v>3191.1614296096159</v>
      </c>
      <c r="HY127" s="147">
        <f t="shared" si="612"/>
        <v>11.236483907076099</v>
      </c>
      <c r="HZ127" s="147">
        <f t="shared" si="613"/>
        <v>11.236483907076115</v>
      </c>
      <c r="IA127" s="147">
        <f t="shared" si="614"/>
        <v>1595.5807148048107</v>
      </c>
      <c r="IB127" s="147">
        <f t="shared" si="615"/>
        <v>797.79035740240397</v>
      </c>
      <c r="IC127" s="147">
        <f t="shared" si="616"/>
        <v>138.58330152060569</v>
      </c>
      <c r="ID127" s="147">
        <f t="shared" si="617"/>
        <v>14.981978542768241</v>
      </c>
      <c r="IE127" s="147">
        <f t="shared" si="618"/>
        <v>108.61934443506958</v>
      </c>
      <c r="IF127" s="147">
        <f t="shared" si="619"/>
        <v>33.70945172122839</v>
      </c>
      <c r="IG127" s="147">
        <f t="shared" si="620"/>
        <v>0</v>
      </c>
      <c r="IH127" s="147">
        <f t="shared" si="621"/>
        <v>153.56528006337427</v>
      </c>
      <c r="II127" s="147">
        <f t="shared" si="622"/>
        <v>14.981978542768232</v>
      </c>
      <c r="IJ127" s="147">
        <f t="shared" si="623"/>
        <v>7.4909892713841204</v>
      </c>
      <c r="IK127" s="147">
        <f t="shared" si="624"/>
        <v>0</v>
      </c>
      <c r="IL127" s="147">
        <f t="shared" si="625"/>
        <v>63.673408806764847</v>
      </c>
      <c r="IM127" s="147">
        <f t="shared" si="626"/>
        <v>0</v>
      </c>
      <c r="IN127" s="26"/>
      <c r="IP127" s="61">
        <f t="shared" si="627"/>
        <v>68.774907587620845</v>
      </c>
      <c r="IQ127" s="61">
        <f t="shared" si="628"/>
        <v>59.411187775221826</v>
      </c>
      <c r="IR127" s="61">
        <f t="shared" si="629"/>
        <v>1.2915475603309126</v>
      </c>
      <c r="IS127" s="61">
        <f t="shared" si="630"/>
        <v>0</v>
      </c>
      <c r="IT127" s="61">
        <f t="shared" si="631"/>
        <v>0</v>
      </c>
      <c r="IU127" s="61">
        <f t="shared" si="632"/>
        <v>181.13935160427621</v>
      </c>
      <c r="IV127" s="61">
        <f t="shared" si="633"/>
        <v>0</v>
      </c>
      <c r="IW127" s="61">
        <f t="shared" si="634"/>
        <v>0</v>
      </c>
      <c r="IX127" s="61">
        <f t="shared" si="635"/>
        <v>1.291547560330909</v>
      </c>
      <c r="IY127" s="61">
        <f t="shared" si="636"/>
        <v>4.5204164611581952</v>
      </c>
      <c r="IZ127" s="61">
        <f t="shared" si="637"/>
        <v>550.1992607009654</v>
      </c>
      <c r="JA127" s="61">
        <f t="shared" si="638"/>
        <v>1.9373213404963547</v>
      </c>
      <c r="JB127" s="61">
        <f t="shared" si="639"/>
        <v>1.9373213404963576</v>
      </c>
      <c r="JC127" s="61">
        <f t="shared" si="640"/>
        <v>275.09963035048315</v>
      </c>
      <c r="JD127" s="61">
        <f t="shared" si="641"/>
        <v>137.54981517524135</v>
      </c>
      <c r="JE127" s="61">
        <f t="shared" si="642"/>
        <v>23.893629866121792</v>
      </c>
      <c r="JF127" s="61">
        <f t="shared" si="643"/>
        <v>2.5830951206618251</v>
      </c>
      <c r="JG127" s="61">
        <f t="shared" si="644"/>
        <v>18.727439624798205</v>
      </c>
      <c r="JH127" s="61">
        <f t="shared" si="645"/>
        <v>5.8119640214890804</v>
      </c>
      <c r="JI127" s="61">
        <f t="shared" si="646"/>
        <v>0</v>
      </c>
      <c r="JJ127" s="61">
        <f t="shared" si="647"/>
        <v>26.476724986783676</v>
      </c>
      <c r="JK127" s="61">
        <f t="shared" si="648"/>
        <v>2.5830951206618238</v>
      </c>
      <c r="JL127" s="61">
        <f t="shared" si="649"/>
        <v>1.2915475603309126</v>
      </c>
      <c r="JM127" s="61">
        <f t="shared" si="650"/>
        <v>0</v>
      </c>
      <c r="JN127" s="61">
        <f t="shared" si="651"/>
        <v>10.978154262812726</v>
      </c>
      <c r="JO127" s="61">
        <f t="shared" si="652"/>
        <v>0</v>
      </c>
      <c r="JQ127" s="26">
        <f t="shared" si="711"/>
        <v>27509.999999999993</v>
      </c>
      <c r="JR127" s="156">
        <f t="shared" si="712"/>
        <v>0.99999999999999978</v>
      </c>
      <c r="JT127" s="157">
        <f t="shared" si="653"/>
        <v>1375.5001937324225</v>
      </c>
      <c r="JU127" s="29">
        <f t="shared" si="654"/>
        <v>0.99999999999999989</v>
      </c>
    </row>
    <row r="128" spans="1:281" ht="18.75" x14ac:dyDescent="0.3">
      <c r="A128" t="s">
        <v>234</v>
      </c>
      <c r="B128" s="10" t="s">
        <v>204</v>
      </c>
      <c r="C128" t="s">
        <v>79</v>
      </c>
      <c r="D128" t="s">
        <v>29</v>
      </c>
      <c r="E128" t="s">
        <v>288</v>
      </c>
      <c r="F128" s="114">
        <v>3000</v>
      </c>
      <c r="G128" s="17">
        <v>619170</v>
      </c>
      <c r="H128" s="21">
        <v>467220</v>
      </c>
      <c r="I128" s="25">
        <f t="shared" si="434"/>
        <v>1.3252215230512392</v>
      </c>
      <c r="J128" s="13">
        <v>5.000000704225456E-2</v>
      </c>
      <c r="K128" s="13">
        <v>4.3192494346360674E-2</v>
      </c>
      <c r="L128" s="13">
        <v>9.3896726839914641E-4</v>
      </c>
      <c r="M128" s="13">
        <v>0</v>
      </c>
      <c r="N128" s="13">
        <v>0</v>
      </c>
      <c r="O128" s="13">
        <v>0.13169001854788945</v>
      </c>
      <c r="P128" s="13">
        <v>0</v>
      </c>
      <c r="Q128" s="13">
        <v>0</v>
      </c>
      <c r="R128" s="13">
        <v>9.3896726839914435E-4</v>
      </c>
      <c r="S128" s="13">
        <v>3.2863854393969968E-3</v>
      </c>
      <c r="T128" s="13">
        <v>0.40000005633803654</v>
      </c>
      <c r="U128" s="13">
        <v>1.4084509025987237E-3</v>
      </c>
      <c r="V128" s="13">
        <v>1.4084509025987205E-3</v>
      </c>
      <c r="W128" s="13">
        <v>0.20000002816901852</v>
      </c>
      <c r="X128" s="13">
        <v>0.10000001408450913</v>
      </c>
      <c r="Y128" s="13">
        <v>1.7370894465384177E-2</v>
      </c>
      <c r="Z128" s="13">
        <v>1.8779345367982894E-3</v>
      </c>
      <c r="AA128" s="13">
        <v>1.3615025391787595E-2</v>
      </c>
      <c r="AB128" s="13">
        <v>4.225352707796135E-3</v>
      </c>
      <c r="AC128" s="13">
        <v>0</v>
      </c>
      <c r="AD128" s="13">
        <v>1.9248829002182478E-2</v>
      </c>
      <c r="AE128" s="13">
        <v>1.8779345367982902E-3</v>
      </c>
      <c r="AF128" s="13">
        <v>9.3896726839914619E-4</v>
      </c>
      <c r="AG128" s="9">
        <v>0</v>
      </c>
      <c r="AH128" s="13">
        <v>7.9812217813927232E-3</v>
      </c>
      <c r="AJ128" s="8">
        <f t="shared" si="656"/>
        <v>1.0000000000000004</v>
      </c>
      <c r="AK128" s="141">
        <f t="shared" si="435"/>
        <v>150.00002112676367</v>
      </c>
      <c r="AL128" s="141">
        <f t="shared" si="436"/>
        <v>129.57748303908201</v>
      </c>
      <c r="AM128" s="141">
        <f t="shared" si="437"/>
        <v>2.816901805197439</v>
      </c>
      <c r="AN128" s="141">
        <f t="shared" si="438"/>
        <v>0</v>
      </c>
      <c r="AO128" s="141">
        <f t="shared" si="439"/>
        <v>0</v>
      </c>
      <c r="AP128" s="141">
        <f t="shared" si="440"/>
        <v>395.07005564366835</v>
      </c>
      <c r="AQ128" s="141">
        <f t="shared" si="441"/>
        <v>0</v>
      </c>
      <c r="AR128" s="141">
        <f t="shared" si="442"/>
        <v>0</v>
      </c>
      <c r="AS128" s="141">
        <f t="shared" si="443"/>
        <v>2.8169018051974333</v>
      </c>
      <c r="AT128" s="141">
        <f t="shared" si="444"/>
        <v>9.8591563181909905</v>
      </c>
      <c r="AU128" s="141">
        <f t="shared" si="445"/>
        <v>1200.0001690141096</v>
      </c>
      <c r="AV128" s="141">
        <f t="shared" si="446"/>
        <v>4.225352707796171</v>
      </c>
      <c r="AW128" s="141">
        <f t="shared" si="447"/>
        <v>4.2253527077961612</v>
      </c>
      <c r="AX128" s="141">
        <f t="shared" si="448"/>
        <v>600.00008450705559</v>
      </c>
      <c r="AY128" s="141">
        <f t="shared" si="449"/>
        <v>300.0000422535274</v>
      </c>
      <c r="AZ128" s="141">
        <f t="shared" si="450"/>
        <v>52.112683396152534</v>
      </c>
      <c r="BA128" s="141">
        <f t="shared" si="451"/>
        <v>5.6338036103948683</v>
      </c>
      <c r="BB128" s="141">
        <f t="shared" si="452"/>
        <v>40.845076175362784</v>
      </c>
      <c r="BC128" s="141">
        <f t="shared" si="453"/>
        <v>12.676058123388405</v>
      </c>
      <c r="BD128" s="141">
        <f t="shared" si="454"/>
        <v>0</v>
      </c>
      <c r="BE128" s="141">
        <f t="shared" si="455"/>
        <v>57.746487006547433</v>
      </c>
      <c r="BF128" s="141">
        <f t="shared" si="456"/>
        <v>5.633803610394871</v>
      </c>
      <c r="BG128" s="141">
        <f t="shared" si="457"/>
        <v>2.8169018051974386</v>
      </c>
      <c r="BH128" s="141">
        <f t="shared" si="458"/>
        <v>0</v>
      </c>
      <c r="BI128" s="141">
        <f t="shared" si="459"/>
        <v>23.943665344178171</v>
      </c>
      <c r="BJ128" s="141">
        <f t="shared" si="460"/>
        <v>0</v>
      </c>
      <c r="BM128" s="26">
        <f t="shared" si="657"/>
        <v>30958.504360352756</v>
      </c>
      <c r="BN128" s="26">
        <f t="shared" si="658"/>
        <v>26743.49672443614</v>
      </c>
      <c r="BO128" s="26">
        <f t="shared" si="659"/>
        <v>581.38036357469946</v>
      </c>
      <c r="BP128" s="26">
        <f t="shared" si="660"/>
        <v>0</v>
      </c>
      <c r="BQ128" s="26">
        <f t="shared" si="661"/>
        <v>0</v>
      </c>
      <c r="BR128" s="26">
        <f t="shared" si="662"/>
        <v>81538.508784296704</v>
      </c>
      <c r="BS128" s="26">
        <f t="shared" si="663"/>
        <v>0</v>
      </c>
      <c r="BT128" s="26">
        <f t="shared" si="664"/>
        <v>0</v>
      </c>
      <c r="BU128" s="26">
        <f t="shared" si="665"/>
        <v>581.38036357469821</v>
      </c>
      <c r="BV128" s="26">
        <f t="shared" si="666"/>
        <v>2034.8312725114386</v>
      </c>
      <c r="BW128" s="26">
        <f t="shared" si="667"/>
        <v>247668.03488282207</v>
      </c>
      <c r="BX128" s="26">
        <f t="shared" si="668"/>
        <v>872.0705453620518</v>
      </c>
      <c r="BY128" s="26">
        <f t="shared" si="669"/>
        <v>872.07054536204976</v>
      </c>
      <c r="BZ128" s="26">
        <f t="shared" si="670"/>
        <v>123834.0174414112</v>
      </c>
      <c r="CA128" s="26">
        <f t="shared" si="671"/>
        <v>61917.008720705518</v>
      </c>
      <c r="CB128" s="26">
        <f t="shared" si="672"/>
        <v>10755.536726131921</v>
      </c>
      <c r="CC128" s="26">
        <f t="shared" si="673"/>
        <v>1162.7607271493969</v>
      </c>
      <c r="CD128" s="26">
        <f t="shared" si="674"/>
        <v>8430.0152718331246</v>
      </c>
      <c r="CE128" s="26">
        <f t="shared" si="675"/>
        <v>2616.2116360861328</v>
      </c>
      <c r="CF128" s="26">
        <f t="shared" si="676"/>
        <v>0</v>
      </c>
      <c r="CG128" s="26">
        <f t="shared" si="677"/>
        <v>11918.297453281326</v>
      </c>
      <c r="CH128" s="26">
        <f t="shared" si="678"/>
        <v>1162.7607271493973</v>
      </c>
      <c r="CI128" s="26">
        <f t="shared" si="679"/>
        <v>581.38036357469935</v>
      </c>
      <c r="CJ128" s="26">
        <f t="shared" si="680"/>
        <v>0</v>
      </c>
      <c r="CK128" s="26">
        <f t="shared" si="681"/>
        <v>4941.7330903849324</v>
      </c>
      <c r="CL128" s="26">
        <f t="shared" si="682"/>
        <v>0</v>
      </c>
      <c r="CM128" s="110">
        <f t="shared" si="683"/>
        <v>1.0000000000000007</v>
      </c>
      <c r="CN128" s="27">
        <f t="shared" si="684"/>
        <v>23361.003290282177</v>
      </c>
      <c r="CO128" s="27">
        <f t="shared" si="685"/>
        <v>20180.397208506634</v>
      </c>
      <c r="CP128" s="27">
        <f t="shared" si="686"/>
        <v>438.70428714144919</v>
      </c>
      <c r="CQ128" s="27">
        <f t="shared" si="687"/>
        <v>0</v>
      </c>
      <c r="CR128" s="27">
        <f t="shared" si="688"/>
        <v>0</v>
      </c>
      <c r="CS128" s="27">
        <f t="shared" si="689"/>
        <v>61528.210465944911</v>
      </c>
      <c r="CT128" s="27">
        <f t="shared" si="690"/>
        <v>0</v>
      </c>
      <c r="CU128" s="27">
        <f t="shared" si="691"/>
        <v>0</v>
      </c>
      <c r="CV128" s="27">
        <f t="shared" si="692"/>
        <v>438.70428714144822</v>
      </c>
      <c r="CW128" s="27">
        <f t="shared" si="693"/>
        <v>1535.4650049950649</v>
      </c>
      <c r="CX128" s="27">
        <f t="shared" si="694"/>
        <v>186888.02632225744</v>
      </c>
      <c r="CY128" s="27">
        <f t="shared" si="695"/>
        <v>658.05643071217571</v>
      </c>
      <c r="CZ128" s="27">
        <f t="shared" si="696"/>
        <v>658.05643071217423</v>
      </c>
      <c r="DA128" s="27">
        <f t="shared" si="697"/>
        <v>93444.013161128838</v>
      </c>
      <c r="DB128" s="27">
        <f t="shared" si="698"/>
        <v>46722.006580564361</v>
      </c>
      <c r="DC128" s="27">
        <f t="shared" si="699"/>
        <v>8116.0293121167952</v>
      </c>
      <c r="DD128" s="27">
        <f t="shared" si="700"/>
        <v>877.40857428289678</v>
      </c>
      <c r="DE128" s="27">
        <f t="shared" si="701"/>
        <v>6361.2121635510002</v>
      </c>
      <c r="DF128" s="27">
        <f t="shared" si="702"/>
        <v>1974.1692921365102</v>
      </c>
      <c r="DG128" s="27">
        <f t="shared" si="703"/>
        <v>0</v>
      </c>
      <c r="DH128" s="27">
        <f t="shared" si="704"/>
        <v>8993.4378863996972</v>
      </c>
      <c r="DI128" s="27">
        <f t="shared" si="705"/>
        <v>877.40857428289712</v>
      </c>
      <c r="DJ128" s="27">
        <f t="shared" si="706"/>
        <v>438.70428714144907</v>
      </c>
      <c r="DK128" s="27">
        <f t="shared" si="707"/>
        <v>0</v>
      </c>
      <c r="DL128" s="27">
        <f t="shared" si="708"/>
        <v>3728.9864407023083</v>
      </c>
      <c r="DM128" s="27">
        <f t="shared" si="709"/>
        <v>0</v>
      </c>
      <c r="DN128" s="110">
        <f t="shared" si="710"/>
        <v>1.0000000000000004</v>
      </c>
      <c r="DO128" s="28">
        <f t="shared" si="518"/>
        <v>7597.5010700705789</v>
      </c>
      <c r="DP128" s="28">
        <f t="shared" si="519"/>
        <v>6563.0995159295053</v>
      </c>
      <c r="DQ128" s="28">
        <f t="shared" si="520"/>
        <v>142.67607643325027</v>
      </c>
      <c r="DR128" s="28">
        <f t="shared" si="521"/>
        <v>0</v>
      </c>
      <c r="DS128" s="28">
        <f t="shared" si="522"/>
        <v>0</v>
      </c>
      <c r="DT128" s="28">
        <f t="shared" si="523"/>
        <v>20010.298318351794</v>
      </c>
      <c r="DU128" s="28">
        <f t="shared" si="524"/>
        <v>0</v>
      </c>
      <c r="DV128" s="28">
        <f t="shared" si="525"/>
        <v>0</v>
      </c>
      <c r="DW128" s="28">
        <f t="shared" si="526"/>
        <v>142.67607643324999</v>
      </c>
      <c r="DX128" s="28">
        <f t="shared" si="527"/>
        <v>499.36626751637368</v>
      </c>
      <c r="DY128" s="28">
        <f t="shared" si="528"/>
        <v>60780.008560564631</v>
      </c>
      <c r="DZ128" s="28">
        <f t="shared" si="529"/>
        <v>214.01411464987609</v>
      </c>
      <c r="EA128" s="28">
        <f t="shared" si="530"/>
        <v>214.01411464987552</v>
      </c>
      <c r="EB128" s="28">
        <f t="shared" si="531"/>
        <v>30390.004280282359</v>
      </c>
      <c r="EC128" s="28">
        <f t="shared" si="532"/>
        <v>15195.002140141158</v>
      </c>
      <c r="ED128" s="28">
        <f t="shared" si="533"/>
        <v>2639.5074140151255</v>
      </c>
      <c r="EE128" s="28">
        <f t="shared" si="534"/>
        <v>285.35215286650009</v>
      </c>
      <c r="EF128" s="28">
        <f t="shared" si="535"/>
        <v>2068.8031082821244</v>
      </c>
      <c r="EG128" s="28">
        <f t="shared" si="536"/>
        <v>642.04234394962259</v>
      </c>
      <c r="EH128" s="28">
        <f t="shared" si="537"/>
        <v>0</v>
      </c>
      <c r="EI128" s="28">
        <f t="shared" si="538"/>
        <v>2924.8595668816288</v>
      </c>
      <c r="EJ128" s="28">
        <f t="shared" si="539"/>
        <v>285.35215286650021</v>
      </c>
      <c r="EK128" s="28">
        <f t="shared" si="540"/>
        <v>142.67607643325027</v>
      </c>
      <c r="EL128" s="28">
        <f t="shared" si="541"/>
        <v>0</v>
      </c>
      <c r="EM128" s="28">
        <f t="shared" si="542"/>
        <v>1212.7466496826241</v>
      </c>
      <c r="EN128" s="28">
        <f t="shared" si="543"/>
        <v>0</v>
      </c>
      <c r="EQ128" s="144">
        <v>0</v>
      </c>
      <c r="ER128" s="144">
        <v>0.03</v>
      </c>
      <c r="ES128" s="144">
        <v>0.03</v>
      </c>
      <c r="ET128" s="144">
        <v>0.2</v>
      </c>
      <c r="EU128" s="144">
        <v>0.2</v>
      </c>
      <c r="EV128" s="144">
        <v>0.2</v>
      </c>
      <c r="EW128" s="144">
        <v>0.2</v>
      </c>
      <c r="EX128" s="144">
        <v>0.06</v>
      </c>
      <c r="EY128" s="144">
        <v>0.03</v>
      </c>
      <c r="EZ128" s="144">
        <v>0.01</v>
      </c>
      <c r="FA128" s="144">
        <v>0.02</v>
      </c>
      <c r="FB128" s="144">
        <v>0.02</v>
      </c>
      <c r="FC128" s="145">
        <f t="shared" si="544"/>
        <v>1.0000000000000002</v>
      </c>
      <c r="FD128" s="146">
        <f t="shared" si="545"/>
        <v>0.06</v>
      </c>
      <c r="FE128" s="146">
        <f t="shared" si="546"/>
        <v>0.60000000000000009</v>
      </c>
      <c r="FF128" s="146">
        <f t="shared" si="547"/>
        <v>0.29000000000000004</v>
      </c>
      <c r="FG128" s="146">
        <f t="shared" si="548"/>
        <v>0.05</v>
      </c>
      <c r="FH128" s="145">
        <f t="shared" si="655"/>
        <v>1.0000000000000002</v>
      </c>
      <c r="FJ128" s="52">
        <f t="shared" si="549"/>
        <v>1857.5102616211652</v>
      </c>
      <c r="FK128" s="52">
        <f t="shared" si="550"/>
        <v>1604.6098034661684</v>
      </c>
      <c r="FL128" s="52">
        <f t="shared" si="551"/>
        <v>34.882821814481964</v>
      </c>
      <c r="FM128" s="52">
        <f t="shared" si="552"/>
        <v>0</v>
      </c>
      <c r="FN128" s="52">
        <f t="shared" si="553"/>
        <v>0</v>
      </c>
      <c r="FO128" s="52">
        <f t="shared" si="554"/>
        <v>4892.3105270578017</v>
      </c>
      <c r="FP128" s="52">
        <f t="shared" si="555"/>
        <v>0</v>
      </c>
      <c r="FQ128" s="52">
        <f t="shared" si="556"/>
        <v>0</v>
      </c>
      <c r="FR128" s="52">
        <f t="shared" si="557"/>
        <v>34.882821814481893</v>
      </c>
      <c r="FS128" s="52">
        <f t="shared" si="558"/>
        <v>122.08987635068631</v>
      </c>
      <c r="FT128" s="52">
        <f t="shared" si="559"/>
        <v>14860.082092969324</v>
      </c>
      <c r="FU128" s="52">
        <f t="shared" si="560"/>
        <v>52.324232721723106</v>
      </c>
      <c r="FV128" s="52">
        <f t="shared" si="561"/>
        <v>52.324232721722986</v>
      </c>
      <c r="FW128" s="52">
        <f t="shared" si="562"/>
        <v>7430.0410464846718</v>
      </c>
      <c r="FX128" s="52">
        <f t="shared" si="563"/>
        <v>3715.0205232423309</v>
      </c>
      <c r="FY128" s="52">
        <f t="shared" si="564"/>
        <v>645.33220356791526</v>
      </c>
      <c r="FZ128" s="52">
        <f t="shared" si="565"/>
        <v>69.765643628963815</v>
      </c>
      <c r="GA128" s="52">
        <f t="shared" si="566"/>
        <v>505.80091630998749</v>
      </c>
      <c r="GB128" s="52">
        <f t="shared" si="567"/>
        <v>156.97269816516797</v>
      </c>
      <c r="GC128" s="52">
        <f t="shared" si="568"/>
        <v>0</v>
      </c>
      <c r="GD128" s="52">
        <f t="shared" si="569"/>
        <v>715.09784719687957</v>
      </c>
      <c r="GE128" s="52">
        <f t="shared" si="570"/>
        <v>69.765643628963844</v>
      </c>
      <c r="GF128" s="52">
        <f t="shared" si="571"/>
        <v>34.882821814481957</v>
      </c>
      <c r="GG128" s="52">
        <f t="shared" si="572"/>
        <v>0</v>
      </c>
      <c r="GH128" s="52">
        <f t="shared" si="573"/>
        <v>296.50398542309591</v>
      </c>
      <c r="GI128" s="52">
        <f t="shared" si="574"/>
        <v>0</v>
      </c>
      <c r="GJ128" s="26"/>
      <c r="GL128" s="150">
        <f t="shared" si="575"/>
        <v>18575.102616211658</v>
      </c>
      <c r="GM128" s="150">
        <f t="shared" si="576"/>
        <v>16046.098034661687</v>
      </c>
      <c r="GN128" s="150">
        <f t="shared" si="577"/>
        <v>348.82821814481974</v>
      </c>
      <c r="GO128" s="150">
        <f t="shared" si="578"/>
        <v>0</v>
      </c>
      <c r="GP128" s="150">
        <f t="shared" si="579"/>
        <v>0</v>
      </c>
      <c r="GQ128" s="150">
        <f t="shared" si="580"/>
        <v>48923.105270578031</v>
      </c>
      <c r="GR128" s="150">
        <f t="shared" si="581"/>
        <v>0</v>
      </c>
      <c r="GS128" s="150">
        <f t="shared" si="582"/>
        <v>0</v>
      </c>
      <c r="GT128" s="150">
        <f t="shared" si="583"/>
        <v>348.828218144819</v>
      </c>
      <c r="GU128" s="150">
        <f t="shared" si="584"/>
        <v>1220.8987635068634</v>
      </c>
      <c r="GV128" s="150">
        <f t="shared" si="585"/>
        <v>148600.82092969326</v>
      </c>
      <c r="GW128" s="150">
        <f t="shared" si="586"/>
        <v>523.24232721723115</v>
      </c>
      <c r="GX128" s="150">
        <f t="shared" si="587"/>
        <v>523.2423272172299</v>
      </c>
      <c r="GY128" s="150">
        <f t="shared" si="588"/>
        <v>74300.410464846733</v>
      </c>
      <c r="GZ128" s="150">
        <f t="shared" si="589"/>
        <v>37150.205232423315</v>
      </c>
      <c r="HA128" s="150">
        <f t="shared" si="590"/>
        <v>6453.3220356791535</v>
      </c>
      <c r="HB128" s="150">
        <f t="shared" si="591"/>
        <v>697.65643628963824</v>
      </c>
      <c r="HC128" s="150">
        <f t="shared" si="592"/>
        <v>5058.0091630998759</v>
      </c>
      <c r="HD128" s="150">
        <f t="shared" si="593"/>
        <v>1569.7269816516798</v>
      </c>
      <c r="HE128" s="150">
        <f t="shared" si="594"/>
        <v>0</v>
      </c>
      <c r="HF128" s="150">
        <f t="shared" si="595"/>
        <v>7150.9784719687968</v>
      </c>
      <c r="HG128" s="150">
        <f t="shared" si="596"/>
        <v>697.65643628963846</v>
      </c>
      <c r="HH128" s="150">
        <f t="shared" si="597"/>
        <v>348.82821814481969</v>
      </c>
      <c r="HI128" s="150">
        <f t="shared" si="598"/>
        <v>0</v>
      </c>
      <c r="HJ128" s="150">
        <f t="shared" si="599"/>
        <v>2965.0398542309599</v>
      </c>
      <c r="HK128" s="150">
        <f t="shared" si="600"/>
        <v>0</v>
      </c>
      <c r="HL128" s="26"/>
      <c r="HN128" s="147">
        <f t="shared" si="601"/>
        <v>8977.9662645023</v>
      </c>
      <c r="HO128" s="147">
        <f t="shared" si="602"/>
        <v>7755.6140500864813</v>
      </c>
      <c r="HP128" s="147">
        <f t="shared" si="603"/>
        <v>168.60030543666286</v>
      </c>
      <c r="HQ128" s="147">
        <f t="shared" si="604"/>
        <v>0</v>
      </c>
      <c r="HR128" s="147">
        <f t="shared" si="605"/>
        <v>0</v>
      </c>
      <c r="HS128" s="147">
        <f t="shared" si="606"/>
        <v>23646.167547446046</v>
      </c>
      <c r="HT128" s="147">
        <f t="shared" si="607"/>
        <v>0</v>
      </c>
      <c r="HU128" s="147">
        <f t="shared" si="608"/>
        <v>0</v>
      </c>
      <c r="HV128" s="147">
        <f t="shared" si="609"/>
        <v>168.6003054366625</v>
      </c>
      <c r="HW128" s="147">
        <f t="shared" si="610"/>
        <v>590.10106902831728</v>
      </c>
      <c r="HX128" s="147">
        <f t="shared" si="611"/>
        <v>71823.730116018414</v>
      </c>
      <c r="HY128" s="147">
        <f t="shared" si="612"/>
        <v>252.90045815499505</v>
      </c>
      <c r="HZ128" s="147">
        <f t="shared" si="613"/>
        <v>252.90045815499445</v>
      </c>
      <c r="IA128" s="147">
        <f t="shared" si="614"/>
        <v>35911.865058009251</v>
      </c>
      <c r="IB128" s="147">
        <f t="shared" si="615"/>
        <v>17955.932529004604</v>
      </c>
      <c r="IC128" s="147">
        <f t="shared" si="616"/>
        <v>3119.1056505782572</v>
      </c>
      <c r="ID128" s="147">
        <f t="shared" si="617"/>
        <v>337.20061087332516</v>
      </c>
      <c r="IE128" s="147">
        <f t="shared" si="618"/>
        <v>2444.7044288316065</v>
      </c>
      <c r="IF128" s="147">
        <f t="shared" si="619"/>
        <v>758.70137446497858</v>
      </c>
      <c r="IG128" s="147">
        <f t="shared" si="620"/>
        <v>0</v>
      </c>
      <c r="IH128" s="147">
        <f t="shared" si="621"/>
        <v>3456.3062614515848</v>
      </c>
      <c r="II128" s="147">
        <f t="shared" si="622"/>
        <v>337.20061087332527</v>
      </c>
      <c r="IJ128" s="147">
        <f t="shared" si="623"/>
        <v>168.60030543666284</v>
      </c>
      <c r="IK128" s="147">
        <f t="shared" si="624"/>
        <v>0</v>
      </c>
      <c r="IL128" s="147">
        <f t="shared" si="625"/>
        <v>1433.1025962116305</v>
      </c>
      <c r="IM128" s="147">
        <f t="shared" si="626"/>
        <v>0</v>
      </c>
      <c r="IN128" s="26"/>
      <c r="IP128" s="61">
        <f t="shared" si="627"/>
        <v>1547.9252180176379</v>
      </c>
      <c r="IQ128" s="61">
        <f t="shared" si="628"/>
        <v>1337.174836221807</v>
      </c>
      <c r="IR128" s="61">
        <f t="shared" si="629"/>
        <v>29.069018178734975</v>
      </c>
      <c r="IS128" s="61">
        <f t="shared" si="630"/>
        <v>0</v>
      </c>
      <c r="IT128" s="61">
        <f t="shared" si="631"/>
        <v>0</v>
      </c>
      <c r="IU128" s="61">
        <f t="shared" si="632"/>
        <v>4076.9254392148355</v>
      </c>
      <c r="IV128" s="61">
        <f t="shared" si="633"/>
        <v>0</v>
      </c>
      <c r="IW128" s="61">
        <f t="shared" si="634"/>
        <v>0</v>
      </c>
      <c r="IX128" s="61">
        <f t="shared" si="635"/>
        <v>29.069018178734911</v>
      </c>
      <c r="IY128" s="61">
        <f t="shared" si="636"/>
        <v>101.74156362557193</v>
      </c>
      <c r="IZ128" s="61">
        <f t="shared" si="637"/>
        <v>12383.401744141105</v>
      </c>
      <c r="JA128" s="61">
        <f t="shared" si="638"/>
        <v>43.603527268102596</v>
      </c>
      <c r="JB128" s="61">
        <f t="shared" si="639"/>
        <v>43.603527268102489</v>
      </c>
      <c r="JC128" s="61">
        <f t="shared" si="640"/>
        <v>6191.7008720705599</v>
      </c>
      <c r="JD128" s="61">
        <f t="shared" si="641"/>
        <v>3095.8504360352763</v>
      </c>
      <c r="JE128" s="61">
        <f t="shared" si="642"/>
        <v>537.77683630659601</v>
      </c>
      <c r="JF128" s="61">
        <f t="shared" si="643"/>
        <v>58.138036357469844</v>
      </c>
      <c r="JG128" s="61">
        <f t="shared" si="644"/>
        <v>421.50076359165627</v>
      </c>
      <c r="JH128" s="61">
        <f t="shared" si="645"/>
        <v>130.81058180430665</v>
      </c>
      <c r="JI128" s="61">
        <f t="shared" si="646"/>
        <v>0</v>
      </c>
      <c r="JJ128" s="61">
        <f t="shared" si="647"/>
        <v>595.91487266406637</v>
      </c>
      <c r="JK128" s="61">
        <f t="shared" si="648"/>
        <v>58.138036357469872</v>
      </c>
      <c r="JL128" s="61">
        <f t="shared" si="649"/>
        <v>29.069018178734968</v>
      </c>
      <c r="JM128" s="61">
        <f t="shared" si="650"/>
        <v>0</v>
      </c>
      <c r="JN128" s="61">
        <f t="shared" si="651"/>
        <v>247.08665451924662</v>
      </c>
      <c r="JO128" s="61">
        <f t="shared" si="652"/>
        <v>0</v>
      </c>
      <c r="JQ128" s="26">
        <f t="shared" si="711"/>
        <v>619170.0000000007</v>
      </c>
      <c r="JR128" s="156">
        <f t="shared" si="712"/>
        <v>1.0000000000000011</v>
      </c>
      <c r="JT128" s="157">
        <f t="shared" si="653"/>
        <v>30958.504360352759</v>
      </c>
      <c r="JU128" s="29">
        <f t="shared" si="654"/>
        <v>1.0000000000000002</v>
      </c>
    </row>
    <row r="129" spans="1:281" ht="18.75" x14ac:dyDescent="0.3">
      <c r="A129" t="s">
        <v>234</v>
      </c>
      <c r="B129" s="10" t="s">
        <v>205</v>
      </c>
      <c r="C129" t="s">
        <v>83</v>
      </c>
      <c r="D129" t="s">
        <v>29</v>
      </c>
      <c r="E129" t="s">
        <v>289</v>
      </c>
      <c r="F129" s="114">
        <v>2220</v>
      </c>
      <c r="G129" s="17">
        <v>484138</v>
      </c>
      <c r="H129" s="21">
        <v>310400</v>
      </c>
      <c r="I129" s="25">
        <f t="shared" si="434"/>
        <v>1.5597229381443298</v>
      </c>
      <c r="J129" s="13">
        <v>0</v>
      </c>
      <c r="K129" s="13">
        <v>6.322436750579836E-3</v>
      </c>
      <c r="L129" s="13">
        <v>0</v>
      </c>
      <c r="M129" s="13">
        <v>0</v>
      </c>
      <c r="N129" s="13">
        <v>0</v>
      </c>
      <c r="O129" s="13">
        <v>1.0537394584299725E-3</v>
      </c>
      <c r="P129" s="13">
        <v>1.0537394584299721E-3</v>
      </c>
      <c r="Q129" s="13">
        <v>0.28330964474343778</v>
      </c>
      <c r="R129" s="13">
        <v>2.3182268085459441E-2</v>
      </c>
      <c r="S129" s="13">
        <v>7.3761762090098024E-3</v>
      </c>
      <c r="T129" s="13">
        <v>0.2402525965220336</v>
      </c>
      <c r="U129" s="13">
        <v>0</v>
      </c>
      <c r="V129" s="13">
        <v>0</v>
      </c>
      <c r="W129" s="13">
        <v>2.3182268085459458E-2</v>
      </c>
      <c r="X129" s="13">
        <v>2.0021049710169471E-2</v>
      </c>
      <c r="Y129" s="13">
        <v>2.0547919439384429E-2</v>
      </c>
      <c r="Z129" s="13">
        <v>1.580609187644959E-3</v>
      </c>
      <c r="AA129" s="13">
        <v>0.35999954857801653</v>
      </c>
      <c r="AB129" s="13">
        <v>0</v>
      </c>
      <c r="AC129" s="13">
        <v>5.7955670213648601E-3</v>
      </c>
      <c r="AD129" s="13">
        <v>5.2686972921498626E-4</v>
      </c>
      <c r="AE129" s="13">
        <v>1.5806091876449583E-3</v>
      </c>
      <c r="AF129" s="13">
        <v>2.6343486460749278E-3</v>
      </c>
      <c r="AG129" s="9">
        <v>0</v>
      </c>
      <c r="AH129" s="13">
        <v>1.580609187644959E-3</v>
      </c>
      <c r="AJ129" s="8">
        <f t="shared" si="656"/>
        <v>0.99999999999999978</v>
      </c>
      <c r="AK129" s="141">
        <f t="shared" si="435"/>
        <v>0</v>
      </c>
      <c r="AL129" s="141">
        <f t="shared" si="436"/>
        <v>14.035809586287236</v>
      </c>
      <c r="AM129" s="141">
        <f t="shared" si="437"/>
        <v>0</v>
      </c>
      <c r="AN129" s="141">
        <f t="shared" si="438"/>
        <v>0</v>
      </c>
      <c r="AO129" s="141">
        <f t="shared" si="439"/>
        <v>0</v>
      </c>
      <c r="AP129" s="141">
        <f t="shared" si="440"/>
        <v>2.339301597714539</v>
      </c>
      <c r="AQ129" s="141">
        <f t="shared" si="441"/>
        <v>2.3393015977145382</v>
      </c>
      <c r="AR129" s="141">
        <f t="shared" si="442"/>
        <v>628.94741133043192</v>
      </c>
      <c r="AS129" s="141">
        <f t="shared" si="443"/>
        <v>51.46463514971996</v>
      </c>
      <c r="AT129" s="141">
        <f t="shared" si="444"/>
        <v>16.37511118400176</v>
      </c>
      <c r="AU129" s="141">
        <f t="shared" si="445"/>
        <v>533.36076427891453</v>
      </c>
      <c r="AV129" s="141">
        <f t="shared" si="446"/>
        <v>0</v>
      </c>
      <c r="AW129" s="141">
        <f t="shared" si="447"/>
        <v>0</v>
      </c>
      <c r="AX129" s="141">
        <f t="shared" si="448"/>
        <v>51.464635149719996</v>
      </c>
      <c r="AY129" s="141">
        <f t="shared" si="449"/>
        <v>44.446730356576225</v>
      </c>
      <c r="AZ129" s="141">
        <f t="shared" si="450"/>
        <v>45.61638115543343</v>
      </c>
      <c r="BA129" s="141">
        <f t="shared" si="451"/>
        <v>3.508952396571809</v>
      </c>
      <c r="BB129" s="141">
        <f t="shared" si="452"/>
        <v>799.19899784319671</v>
      </c>
      <c r="BC129" s="141">
        <f t="shared" si="453"/>
        <v>0</v>
      </c>
      <c r="BD129" s="141">
        <f t="shared" si="454"/>
        <v>12.86615878742999</v>
      </c>
      <c r="BE129" s="141">
        <f t="shared" si="455"/>
        <v>1.1696507988572695</v>
      </c>
      <c r="BF129" s="141">
        <f t="shared" si="456"/>
        <v>3.5089523965718077</v>
      </c>
      <c r="BG129" s="141">
        <f t="shared" si="457"/>
        <v>5.8482539942863401</v>
      </c>
      <c r="BH129" s="141">
        <f t="shared" si="458"/>
        <v>0</v>
      </c>
      <c r="BI129" s="141">
        <f t="shared" si="459"/>
        <v>3.508952396571809</v>
      </c>
      <c r="BJ129" s="141">
        <f t="shared" si="460"/>
        <v>0</v>
      </c>
      <c r="BM129" s="26">
        <f t="shared" si="657"/>
        <v>0</v>
      </c>
      <c r="BN129" s="26">
        <f t="shared" si="658"/>
        <v>3060.9318835522208</v>
      </c>
      <c r="BO129" s="26">
        <f t="shared" si="659"/>
        <v>0</v>
      </c>
      <c r="BP129" s="26">
        <f t="shared" si="660"/>
        <v>0</v>
      </c>
      <c r="BQ129" s="26">
        <f t="shared" si="661"/>
        <v>0</v>
      </c>
      <c r="BR129" s="26">
        <f t="shared" si="662"/>
        <v>510.15531392537002</v>
      </c>
      <c r="BS129" s="26">
        <f t="shared" si="663"/>
        <v>510.15531392536985</v>
      </c>
      <c r="BT129" s="26">
        <f t="shared" si="664"/>
        <v>137160.96478679849</v>
      </c>
      <c r="BU129" s="26">
        <f t="shared" si="665"/>
        <v>11223.416906358163</v>
      </c>
      <c r="BV129" s="26">
        <f t="shared" si="666"/>
        <v>3571.0871974775878</v>
      </c>
      <c r="BW129" s="26">
        <f t="shared" si="667"/>
        <v>116315.4115749843</v>
      </c>
      <c r="BX129" s="26">
        <f t="shared" si="668"/>
        <v>0</v>
      </c>
      <c r="BY129" s="26">
        <f t="shared" si="669"/>
        <v>0</v>
      </c>
      <c r="BZ129" s="26">
        <f t="shared" si="670"/>
        <v>11223.41690635817</v>
      </c>
      <c r="CA129" s="26">
        <f t="shared" si="671"/>
        <v>9692.9509645820272</v>
      </c>
      <c r="CB129" s="26">
        <f t="shared" si="672"/>
        <v>9948.0286215446995</v>
      </c>
      <c r="CC129" s="26">
        <f t="shared" si="673"/>
        <v>765.23297088805521</v>
      </c>
      <c r="CD129" s="26">
        <f t="shared" si="674"/>
        <v>174289.46144946376</v>
      </c>
      <c r="CE129" s="26">
        <f t="shared" si="675"/>
        <v>0</v>
      </c>
      <c r="CF129" s="26">
        <f t="shared" si="676"/>
        <v>2805.8542265895408</v>
      </c>
      <c r="CG129" s="26">
        <f t="shared" si="677"/>
        <v>255.07765696268501</v>
      </c>
      <c r="CH129" s="26">
        <f t="shared" si="678"/>
        <v>765.23297088805487</v>
      </c>
      <c r="CI129" s="26">
        <f t="shared" si="679"/>
        <v>1275.3882848134233</v>
      </c>
      <c r="CJ129" s="26">
        <f t="shared" si="680"/>
        <v>0</v>
      </c>
      <c r="CK129" s="26">
        <f t="shared" si="681"/>
        <v>765.23297088805521</v>
      </c>
      <c r="CL129" s="26">
        <f t="shared" si="682"/>
        <v>0</v>
      </c>
      <c r="CM129" s="110">
        <f t="shared" si="683"/>
        <v>0.99999999999999989</v>
      </c>
      <c r="CN129" s="27">
        <f t="shared" si="684"/>
        <v>0</v>
      </c>
      <c r="CO129" s="27">
        <f t="shared" si="685"/>
        <v>1962.484367379981</v>
      </c>
      <c r="CP129" s="27">
        <f t="shared" si="686"/>
        <v>0</v>
      </c>
      <c r="CQ129" s="27">
        <f t="shared" si="687"/>
        <v>0</v>
      </c>
      <c r="CR129" s="27">
        <f t="shared" si="688"/>
        <v>0</v>
      </c>
      <c r="CS129" s="27">
        <f t="shared" si="689"/>
        <v>327.08072789666346</v>
      </c>
      <c r="CT129" s="27">
        <f t="shared" si="690"/>
        <v>327.08072789666335</v>
      </c>
      <c r="CU129" s="27">
        <f t="shared" si="691"/>
        <v>87939.313728363093</v>
      </c>
      <c r="CV129" s="27">
        <f t="shared" si="692"/>
        <v>7195.7760137266105</v>
      </c>
      <c r="CW129" s="27">
        <f t="shared" si="693"/>
        <v>2289.5650952766428</v>
      </c>
      <c r="CX129" s="27">
        <f t="shared" si="694"/>
        <v>74574.405960439224</v>
      </c>
      <c r="CY129" s="27">
        <f t="shared" si="695"/>
        <v>0</v>
      </c>
      <c r="CZ129" s="27">
        <f t="shared" si="696"/>
        <v>0</v>
      </c>
      <c r="DA129" s="27">
        <f t="shared" si="697"/>
        <v>7195.7760137266159</v>
      </c>
      <c r="DB129" s="27">
        <f t="shared" si="698"/>
        <v>6214.5338300366038</v>
      </c>
      <c r="DC129" s="27">
        <f t="shared" si="699"/>
        <v>6378.0741939849268</v>
      </c>
      <c r="DD129" s="27">
        <f t="shared" si="700"/>
        <v>490.62109184499525</v>
      </c>
      <c r="DE129" s="27">
        <f t="shared" si="701"/>
        <v>111743.85987861633</v>
      </c>
      <c r="DF129" s="27">
        <f t="shared" si="702"/>
        <v>0</v>
      </c>
      <c r="DG129" s="27">
        <f t="shared" si="703"/>
        <v>1798.9440034316526</v>
      </c>
      <c r="DH129" s="27">
        <f t="shared" si="704"/>
        <v>163.54036394833173</v>
      </c>
      <c r="DI129" s="27">
        <f t="shared" si="705"/>
        <v>490.62109184499508</v>
      </c>
      <c r="DJ129" s="27">
        <f t="shared" si="706"/>
        <v>817.70181974165757</v>
      </c>
      <c r="DK129" s="27">
        <f t="shared" si="707"/>
        <v>0</v>
      </c>
      <c r="DL129" s="27">
        <f t="shared" si="708"/>
        <v>490.62109184499525</v>
      </c>
      <c r="DM129" s="27">
        <f t="shared" si="709"/>
        <v>0</v>
      </c>
      <c r="DN129" s="110">
        <f t="shared" si="710"/>
        <v>0.99999999999999978</v>
      </c>
      <c r="DO129" s="28">
        <f t="shared" si="518"/>
        <v>0</v>
      </c>
      <c r="DP129" s="28">
        <f t="shared" si="519"/>
        <v>1098.4475161722398</v>
      </c>
      <c r="DQ129" s="28">
        <f t="shared" si="520"/>
        <v>0</v>
      </c>
      <c r="DR129" s="28">
        <f t="shared" si="521"/>
        <v>0</v>
      </c>
      <c r="DS129" s="28">
        <f t="shared" si="522"/>
        <v>0</v>
      </c>
      <c r="DT129" s="28">
        <f t="shared" si="523"/>
        <v>183.07458602870656</v>
      </c>
      <c r="DU129" s="28">
        <f t="shared" si="524"/>
        <v>183.07458602870651</v>
      </c>
      <c r="DV129" s="28">
        <f t="shared" si="525"/>
        <v>49221.651058435396</v>
      </c>
      <c r="DW129" s="28">
        <f t="shared" si="526"/>
        <v>4027.6408926315526</v>
      </c>
      <c r="DX129" s="28">
        <f t="shared" si="527"/>
        <v>1281.522102200945</v>
      </c>
      <c r="DY129" s="28">
        <f t="shared" si="528"/>
        <v>41741.00561454508</v>
      </c>
      <c r="DZ129" s="28">
        <f t="shared" si="529"/>
        <v>0</v>
      </c>
      <c r="EA129" s="28">
        <f t="shared" si="530"/>
        <v>0</v>
      </c>
      <c r="EB129" s="28">
        <f t="shared" si="531"/>
        <v>4027.6408926315544</v>
      </c>
      <c r="EC129" s="28">
        <f t="shared" si="532"/>
        <v>3478.4171345454233</v>
      </c>
      <c r="ED129" s="28">
        <f t="shared" si="533"/>
        <v>3569.9544275597727</v>
      </c>
      <c r="EE129" s="28">
        <f t="shared" si="534"/>
        <v>274.61187904305996</v>
      </c>
      <c r="EF129" s="28">
        <f t="shared" si="535"/>
        <v>62545.60157084743</v>
      </c>
      <c r="EG129" s="28">
        <f t="shared" si="536"/>
        <v>0</v>
      </c>
      <c r="EH129" s="28">
        <f t="shared" si="537"/>
        <v>1006.9102231578881</v>
      </c>
      <c r="EI129" s="28">
        <f t="shared" si="538"/>
        <v>91.537293014353281</v>
      </c>
      <c r="EJ129" s="28">
        <f t="shared" si="539"/>
        <v>274.61187904305979</v>
      </c>
      <c r="EK129" s="28">
        <f t="shared" si="540"/>
        <v>457.68646507176572</v>
      </c>
      <c r="EL129" s="28">
        <f t="shared" si="541"/>
        <v>0</v>
      </c>
      <c r="EM129" s="28">
        <f t="shared" si="542"/>
        <v>274.61187904305996</v>
      </c>
      <c r="EN129" s="28">
        <f t="shared" si="543"/>
        <v>0</v>
      </c>
      <c r="EQ129" s="144">
        <v>0</v>
      </c>
      <c r="ER129" s="144">
        <v>3.0000008803878632E-2</v>
      </c>
      <c r="ES129" s="144">
        <v>3.0000008803878632E-2</v>
      </c>
      <c r="ET129" s="144">
        <v>0.19999999999999996</v>
      </c>
      <c r="EU129" s="144">
        <v>0.19999999999999996</v>
      </c>
      <c r="EV129" s="144">
        <v>0.19999999999999996</v>
      </c>
      <c r="EW129" s="144">
        <v>0.19999999999999996</v>
      </c>
      <c r="EX129" s="144">
        <v>5.9999995598060671E-2</v>
      </c>
      <c r="EY129" s="144">
        <v>3.0000008803878632E-2</v>
      </c>
      <c r="EZ129" s="144">
        <v>9.9999955980606785E-3</v>
      </c>
      <c r="FA129" s="144">
        <v>1.9999991196121357E-2</v>
      </c>
      <c r="FB129" s="144">
        <v>1.9999991196121357E-2</v>
      </c>
      <c r="FC129" s="145">
        <f t="shared" si="544"/>
        <v>0.99999999999999989</v>
      </c>
      <c r="FD129" s="146">
        <f t="shared" si="545"/>
        <v>6.0000017607757264E-2</v>
      </c>
      <c r="FE129" s="146">
        <f t="shared" si="546"/>
        <v>0.59999999999999987</v>
      </c>
      <c r="FF129" s="146">
        <f t="shared" si="547"/>
        <v>0.29000000440193929</v>
      </c>
      <c r="FG129" s="146">
        <f t="shared" si="548"/>
        <v>4.9999977990303396E-2</v>
      </c>
      <c r="FH129" s="145">
        <f t="shared" si="655"/>
        <v>0.99999999999999989</v>
      </c>
      <c r="FJ129" s="52">
        <f t="shared" si="549"/>
        <v>0</v>
      </c>
      <c r="FK129" s="52">
        <f t="shared" si="550"/>
        <v>183.65596690927885</v>
      </c>
      <c r="FL129" s="52">
        <f t="shared" si="551"/>
        <v>0</v>
      </c>
      <c r="FM129" s="52">
        <f t="shared" si="552"/>
        <v>0</v>
      </c>
      <c r="FN129" s="52">
        <f t="shared" si="553"/>
        <v>0</v>
      </c>
      <c r="FO129" s="52">
        <f t="shared" si="554"/>
        <v>30.609327818213135</v>
      </c>
      <c r="FP129" s="52">
        <f t="shared" si="555"/>
        <v>30.609327818213124</v>
      </c>
      <c r="FQ129" s="52">
        <f t="shared" si="556"/>
        <v>8229.6603023048829</v>
      </c>
      <c r="FR129" s="52">
        <f t="shared" si="557"/>
        <v>673.40521200069031</v>
      </c>
      <c r="FS129" s="52">
        <f t="shared" si="558"/>
        <v>214.26529472749181</v>
      </c>
      <c r="FT129" s="52">
        <f t="shared" si="559"/>
        <v>6978.9267425525913</v>
      </c>
      <c r="FU129" s="52">
        <f t="shared" si="560"/>
        <v>0</v>
      </c>
      <c r="FV129" s="52">
        <f t="shared" si="561"/>
        <v>0</v>
      </c>
      <c r="FW129" s="52">
        <f t="shared" si="562"/>
        <v>673.40521200069077</v>
      </c>
      <c r="FX129" s="52">
        <f t="shared" si="563"/>
        <v>581.57722854604935</v>
      </c>
      <c r="FY129" s="52">
        <f t="shared" si="564"/>
        <v>596.88189245515514</v>
      </c>
      <c r="FZ129" s="52">
        <f t="shared" si="565"/>
        <v>45.913991727319711</v>
      </c>
      <c r="GA129" s="52">
        <f t="shared" si="566"/>
        <v>10457.370755814356</v>
      </c>
      <c r="GB129" s="52">
        <f t="shared" si="567"/>
        <v>0</v>
      </c>
      <c r="GC129" s="52">
        <f t="shared" si="568"/>
        <v>168.35130300017258</v>
      </c>
      <c r="GD129" s="52">
        <f t="shared" si="569"/>
        <v>15.304663909106567</v>
      </c>
      <c r="GE129" s="52">
        <f t="shared" si="570"/>
        <v>45.913991727319697</v>
      </c>
      <c r="GF129" s="52">
        <f t="shared" si="571"/>
        <v>76.523319545532729</v>
      </c>
      <c r="GG129" s="52">
        <f t="shared" si="572"/>
        <v>0</v>
      </c>
      <c r="GH129" s="52">
        <f t="shared" si="573"/>
        <v>45.913991727319711</v>
      </c>
      <c r="GI129" s="52">
        <f t="shared" si="574"/>
        <v>0</v>
      </c>
      <c r="GJ129" s="26"/>
      <c r="GL129" s="150">
        <f t="shared" si="575"/>
        <v>0</v>
      </c>
      <c r="GM129" s="150">
        <f t="shared" si="576"/>
        <v>1836.559130131332</v>
      </c>
      <c r="GN129" s="150">
        <f t="shared" si="577"/>
        <v>0</v>
      </c>
      <c r="GO129" s="150">
        <f t="shared" si="578"/>
        <v>0</v>
      </c>
      <c r="GP129" s="150">
        <f t="shared" si="579"/>
        <v>0</v>
      </c>
      <c r="GQ129" s="150">
        <f t="shared" si="580"/>
        <v>306.09318835522197</v>
      </c>
      <c r="GR129" s="150">
        <f t="shared" si="581"/>
        <v>306.09318835522186</v>
      </c>
      <c r="GS129" s="150">
        <f t="shared" si="582"/>
        <v>82296.578872079073</v>
      </c>
      <c r="GT129" s="150">
        <f t="shared" si="583"/>
        <v>6734.0501438148967</v>
      </c>
      <c r="GU129" s="150">
        <f t="shared" si="584"/>
        <v>2142.6523184865523</v>
      </c>
      <c r="GV129" s="150">
        <f t="shared" si="585"/>
        <v>69789.246944990562</v>
      </c>
      <c r="GW129" s="150">
        <f t="shared" si="586"/>
        <v>0</v>
      </c>
      <c r="GX129" s="150">
        <f t="shared" si="587"/>
        <v>0</v>
      </c>
      <c r="GY129" s="150">
        <f t="shared" si="588"/>
        <v>6734.0501438149004</v>
      </c>
      <c r="GZ129" s="150">
        <f t="shared" si="589"/>
        <v>5815.770578749215</v>
      </c>
      <c r="HA129" s="150">
        <f t="shared" si="590"/>
        <v>5968.8171729268188</v>
      </c>
      <c r="HB129" s="150">
        <f t="shared" si="591"/>
        <v>459.13978253283301</v>
      </c>
      <c r="HC129" s="150">
        <f t="shared" si="592"/>
        <v>104573.67686967824</v>
      </c>
      <c r="HD129" s="150">
        <f t="shared" si="593"/>
        <v>0</v>
      </c>
      <c r="HE129" s="150">
        <f t="shared" si="594"/>
        <v>1683.5125359537242</v>
      </c>
      <c r="HF129" s="150">
        <f t="shared" si="595"/>
        <v>153.04659417761098</v>
      </c>
      <c r="HG129" s="150">
        <f t="shared" si="596"/>
        <v>459.13978253283284</v>
      </c>
      <c r="HH129" s="150">
        <f t="shared" si="597"/>
        <v>765.23297088805384</v>
      </c>
      <c r="HI129" s="150">
        <f t="shared" si="598"/>
        <v>0</v>
      </c>
      <c r="HJ129" s="150">
        <f t="shared" si="599"/>
        <v>459.13978253283301</v>
      </c>
      <c r="HK129" s="150">
        <f t="shared" si="600"/>
        <v>0</v>
      </c>
      <c r="HL129" s="26"/>
      <c r="HN129" s="147">
        <f t="shared" si="601"/>
        <v>0</v>
      </c>
      <c r="HO129" s="147">
        <f t="shared" si="602"/>
        <v>887.67025970418035</v>
      </c>
      <c r="HP129" s="147">
        <f t="shared" si="603"/>
        <v>0</v>
      </c>
      <c r="HQ129" s="147">
        <f t="shared" si="604"/>
        <v>0</v>
      </c>
      <c r="HR129" s="147">
        <f t="shared" si="605"/>
        <v>0</v>
      </c>
      <c r="HS129" s="147">
        <f t="shared" si="606"/>
        <v>147.94504328403002</v>
      </c>
      <c r="HT129" s="147">
        <f t="shared" si="607"/>
        <v>147.94504328402999</v>
      </c>
      <c r="HU129" s="147">
        <f t="shared" si="608"/>
        <v>39776.680391945803</v>
      </c>
      <c r="HV129" s="147">
        <f t="shared" si="609"/>
        <v>3254.7909522486671</v>
      </c>
      <c r="HW129" s="147">
        <f t="shared" si="610"/>
        <v>1035.6153029882096</v>
      </c>
      <c r="HX129" s="147">
        <f t="shared" si="611"/>
        <v>33731.469868758832</v>
      </c>
      <c r="HY129" s="147">
        <f t="shared" si="612"/>
        <v>0</v>
      </c>
      <c r="HZ129" s="147">
        <f t="shared" si="613"/>
        <v>0</v>
      </c>
      <c r="IA129" s="147">
        <f t="shared" si="614"/>
        <v>3254.7909522486693</v>
      </c>
      <c r="IB129" s="147">
        <f t="shared" si="615"/>
        <v>2810.9558223965696</v>
      </c>
      <c r="IC129" s="147">
        <f t="shared" si="616"/>
        <v>2884.9283440385811</v>
      </c>
      <c r="ID129" s="147">
        <f t="shared" si="617"/>
        <v>221.91756492604509</v>
      </c>
      <c r="IE129" s="147">
        <f t="shared" si="618"/>
        <v>50543.944587556121</v>
      </c>
      <c r="IF129" s="147">
        <f t="shared" si="619"/>
        <v>0</v>
      </c>
      <c r="IG129" s="147">
        <f t="shared" si="620"/>
        <v>813.69773806216676</v>
      </c>
      <c r="IH129" s="147">
        <f t="shared" si="621"/>
        <v>73.97252164201501</v>
      </c>
      <c r="II129" s="147">
        <f t="shared" si="622"/>
        <v>221.917564926045</v>
      </c>
      <c r="IJ129" s="147">
        <f t="shared" si="623"/>
        <v>369.86260821007454</v>
      </c>
      <c r="IK129" s="147">
        <f t="shared" si="624"/>
        <v>0</v>
      </c>
      <c r="IL129" s="147">
        <f t="shared" si="625"/>
        <v>221.91756492604509</v>
      </c>
      <c r="IM129" s="147">
        <f t="shared" si="626"/>
        <v>0</v>
      </c>
      <c r="IN129" s="26"/>
      <c r="IP129" s="61">
        <f t="shared" si="627"/>
        <v>0</v>
      </c>
      <c r="IQ129" s="61">
        <f t="shared" si="628"/>
        <v>153.04652680742896</v>
      </c>
      <c r="IR129" s="61">
        <f t="shared" si="629"/>
        <v>0</v>
      </c>
      <c r="IS129" s="61">
        <f t="shared" si="630"/>
        <v>0</v>
      </c>
      <c r="IT129" s="61">
        <f t="shared" si="631"/>
        <v>0</v>
      </c>
      <c r="IU129" s="61">
        <f t="shared" si="632"/>
        <v>25.507754467904821</v>
      </c>
      <c r="IV129" s="61">
        <f t="shared" si="633"/>
        <v>25.507754467904814</v>
      </c>
      <c r="IW129" s="61">
        <f t="shared" si="634"/>
        <v>6858.0452204687035</v>
      </c>
      <c r="IX129" s="61">
        <f t="shared" si="635"/>
        <v>561.17059829390723</v>
      </c>
      <c r="IY129" s="61">
        <f t="shared" si="636"/>
        <v>178.55428127533364</v>
      </c>
      <c r="IZ129" s="61">
        <f t="shared" si="637"/>
        <v>5815.7680186822963</v>
      </c>
      <c r="JA129" s="61">
        <f t="shared" si="638"/>
        <v>0</v>
      </c>
      <c r="JB129" s="61">
        <f t="shared" si="639"/>
        <v>0</v>
      </c>
      <c r="JC129" s="61">
        <f t="shared" si="640"/>
        <v>561.17059829390757</v>
      </c>
      <c r="JD129" s="61">
        <f t="shared" si="641"/>
        <v>484.64733489019142</v>
      </c>
      <c r="JE129" s="61">
        <f t="shared" si="642"/>
        <v>497.40121212414323</v>
      </c>
      <c r="JF129" s="61">
        <f t="shared" si="643"/>
        <v>38.26163170185724</v>
      </c>
      <c r="JG129" s="61">
        <f t="shared" si="644"/>
        <v>8714.4692364150196</v>
      </c>
      <c r="JH129" s="61">
        <f t="shared" si="645"/>
        <v>0</v>
      </c>
      <c r="JI129" s="61">
        <f t="shared" si="646"/>
        <v>140.29264957347681</v>
      </c>
      <c r="JJ129" s="61">
        <f t="shared" si="647"/>
        <v>12.75387723395241</v>
      </c>
      <c r="JK129" s="61">
        <f t="shared" si="648"/>
        <v>38.261631701857226</v>
      </c>
      <c r="JL129" s="61">
        <f t="shared" si="649"/>
        <v>63.769386169761965</v>
      </c>
      <c r="JM129" s="61">
        <f t="shared" si="650"/>
        <v>0</v>
      </c>
      <c r="JN129" s="61">
        <f t="shared" si="651"/>
        <v>38.26163170185724</v>
      </c>
      <c r="JO129" s="61">
        <f t="shared" si="652"/>
        <v>0</v>
      </c>
      <c r="JQ129" s="26">
        <f t="shared" si="711"/>
        <v>484137.99999999994</v>
      </c>
      <c r="JR129" s="156">
        <f t="shared" si="712"/>
        <v>0.99999999999999989</v>
      </c>
      <c r="JT129" s="157">
        <f t="shared" si="653"/>
        <v>0</v>
      </c>
      <c r="JU129" s="29">
        <f t="shared" si="654"/>
        <v>0</v>
      </c>
    </row>
    <row r="130" spans="1:281" ht="18.75" x14ac:dyDescent="0.3">
      <c r="A130" t="s">
        <v>234</v>
      </c>
      <c r="B130" s="10" t="s">
        <v>206</v>
      </c>
      <c r="C130" t="s">
        <v>28</v>
      </c>
      <c r="D130" t="s">
        <v>29</v>
      </c>
      <c r="E130" t="s">
        <v>290</v>
      </c>
      <c r="F130" s="114">
        <v>900</v>
      </c>
      <c r="G130" s="17">
        <v>1143999</v>
      </c>
      <c r="H130" s="21">
        <v>743193</v>
      </c>
      <c r="I130" s="25">
        <f t="shared" si="434"/>
        <v>1.5393027114087459</v>
      </c>
      <c r="J130" s="13">
        <v>3.981264637002329E-2</v>
      </c>
      <c r="K130" s="13">
        <v>2.8883684621389624E-2</v>
      </c>
      <c r="L130" s="13">
        <v>3.5128805620608841E-2</v>
      </c>
      <c r="M130" s="13">
        <v>3.1225604996096747E-3</v>
      </c>
      <c r="N130" s="13">
        <v>6.9476971116315484E-2</v>
      </c>
      <c r="O130" s="13">
        <v>1.6393442622950831E-2</v>
      </c>
      <c r="P130" s="13">
        <v>2.4980483996877408E-2</v>
      </c>
      <c r="Q130" s="13">
        <v>1.5612802498048358E-3</v>
      </c>
      <c r="R130" s="13">
        <v>1.4051522248243542E-2</v>
      </c>
      <c r="S130" s="13">
        <v>0.1889149102263854</v>
      </c>
      <c r="T130" s="13">
        <v>6.2451209992193654E-2</v>
      </c>
      <c r="U130" s="13">
        <v>1.2490241998438725E-2</v>
      </c>
      <c r="V130" s="13">
        <v>3.1225604996096765E-3</v>
      </c>
      <c r="W130" s="13">
        <v>0.10616705698672914</v>
      </c>
      <c r="X130" s="13">
        <v>0.12334113973458219</v>
      </c>
      <c r="Y130" s="13">
        <v>4.9180327868852514E-2</v>
      </c>
      <c r="Z130" s="13">
        <v>2.185792349726776E-2</v>
      </c>
      <c r="AA130" s="13">
        <v>5.9328649492584082E-2</v>
      </c>
      <c r="AB130" s="13">
        <v>1.2490241998438704E-2</v>
      </c>
      <c r="AC130" s="13">
        <v>1.483216237314602E-2</v>
      </c>
      <c r="AD130" s="13">
        <v>5.0741608118657341E-2</v>
      </c>
      <c r="AE130" s="13">
        <v>1.0148321623731442E-2</v>
      </c>
      <c r="AF130" s="13">
        <v>3.9032006245120876E-2</v>
      </c>
      <c r="AG130" s="9">
        <v>0</v>
      </c>
      <c r="AH130" s="13">
        <v>1.2490241998438718E-2</v>
      </c>
      <c r="AJ130" s="8">
        <f t="shared" si="656"/>
        <v>0.99999999999999978</v>
      </c>
      <c r="AK130" s="141">
        <f t="shared" si="435"/>
        <v>35.831381733020962</v>
      </c>
      <c r="AL130" s="141">
        <f t="shared" si="436"/>
        <v>25.99531615925066</v>
      </c>
      <c r="AM130" s="141">
        <f t="shared" si="437"/>
        <v>31.615925058547958</v>
      </c>
      <c r="AN130" s="141">
        <f t="shared" si="438"/>
        <v>2.8103044496487071</v>
      </c>
      <c r="AO130" s="141">
        <f t="shared" si="439"/>
        <v>62.529274004683934</v>
      </c>
      <c r="AP130" s="141">
        <f t="shared" si="440"/>
        <v>14.754098360655748</v>
      </c>
      <c r="AQ130" s="141">
        <f t="shared" si="441"/>
        <v>22.482435597189667</v>
      </c>
      <c r="AR130" s="141">
        <f t="shared" si="442"/>
        <v>1.4051522248243522</v>
      </c>
      <c r="AS130" s="141">
        <f t="shared" si="443"/>
        <v>12.646370023419188</v>
      </c>
      <c r="AT130" s="141">
        <f t="shared" si="444"/>
        <v>170.02341920374687</v>
      </c>
      <c r="AU130" s="141">
        <f t="shared" si="445"/>
        <v>56.206088992974287</v>
      </c>
      <c r="AV130" s="141">
        <f t="shared" si="446"/>
        <v>11.241217798594853</v>
      </c>
      <c r="AW130" s="141">
        <f t="shared" si="447"/>
        <v>2.8103044496487088</v>
      </c>
      <c r="AX130" s="141">
        <f t="shared" si="448"/>
        <v>95.55035128805622</v>
      </c>
      <c r="AY130" s="141">
        <f t="shared" si="449"/>
        <v>111.00702576112397</v>
      </c>
      <c r="AZ130" s="141">
        <f t="shared" si="450"/>
        <v>44.26229508196726</v>
      </c>
      <c r="BA130" s="141">
        <f t="shared" si="451"/>
        <v>19.672131147540984</v>
      </c>
      <c r="BB130" s="141">
        <f t="shared" si="452"/>
        <v>53.395784543325675</v>
      </c>
      <c r="BC130" s="141">
        <f t="shared" si="453"/>
        <v>11.241217798594834</v>
      </c>
      <c r="BD130" s="141">
        <f t="shared" si="454"/>
        <v>13.348946135831419</v>
      </c>
      <c r="BE130" s="141">
        <f t="shared" si="455"/>
        <v>45.667447306791608</v>
      </c>
      <c r="BF130" s="141">
        <f t="shared" si="456"/>
        <v>9.1334894613582982</v>
      </c>
      <c r="BG130" s="141">
        <f t="shared" si="457"/>
        <v>35.128805620608787</v>
      </c>
      <c r="BH130" s="141">
        <f t="shared" si="458"/>
        <v>0</v>
      </c>
      <c r="BI130" s="141">
        <f t="shared" si="459"/>
        <v>11.241217798594846</v>
      </c>
      <c r="BJ130" s="141">
        <f t="shared" si="460"/>
        <v>0</v>
      </c>
      <c r="BM130" s="26">
        <f t="shared" si="657"/>
        <v>45545.627634660275</v>
      </c>
      <c r="BN130" s="26">
        <f t="shared" si="658"/>
        <v>33042.906323185111</v>
      </c>
      <c r="BO130" s="26">
        <f t="shared" si="659"/>
        <v>40187.318501170892</v>
      </c>
      <c r="BP130" s="26">
        <f t="shared" si="660"/>
        <v>3572.2060889929685</v>
      </c>
      <c r="BQ130" s="26">
        <f t="shared" si="661"/>
        <v>79481.585480093796</v>
      </c>
      <c r="BR130" s="26">
        <f t="shared" si="662"/>
        <v>18754.081967213129</v>
      </c>
      <c r="BS130" s="26">
        <f t="shared" si="663"/>
        <v>28577.648711943759</v>
      </c>
      <c r="BT130" s="26">
        <f t="shared" si="664"/>
        <v>1786.1030444964824</v>
      </c>
      <c r="BU130" s="26">
        <f t="shared" si="665"/>
        <v>16074.927400468365</v>
      </c>
      <c r="BV130" s="26">
        <f t="shared" si="666"/>
        <v>216118.46838407469</v>
      </c>
      <c r="BW130" s="26">
        <f t="shared" si="667"/>
        <v>71444.121779859546</v>
      </c>
      <c r="BX130" s="26">
        <f t="shared" si="668"/>
        <v>14288.824355971903</v>
      </c>
      <c r="BY130" s="26">
        <f t="shared" si="669"/>
        <v>3572.2060889929703</v>
      </c>
      <c r="BZ130" s="26">
        <f t="shared" si="670"/>
        <v>121455.00702576115</v>
      </c>
      <c r="CA130" s="26">
        <f t="shared" si="671"/>
        <v>141102.1405152223</v>
      </c>
      <c r="CB130" s="26">
        <f t="shared" si="672"/>
        <v>56262.245901639406</v>
      </c>
      <c r="CC130" s="26">
        <f t="shared" si="673"/>
        <v>25005.442622950821</v>
      </c>
      <c r="CD130" s="26">
        <f t="shared" si="674"/>
        <v>67871.915690866692</v>
      </c>
      <c r="CE130" s="26">
        <f t="shared" si="675"/>
        <v>14288.824355971879</v>
      </c>
      <c r="CF130" s="26">
        <f t="shared" si="676"/>
        <v>16967.978922716673</v>
      </c>
      <c r="CG130" s="26">
        <f t="shared" si="677"/>
        <v>58048.348946135877</v>
      </c>
      <c r="CH130" s="26">
        <f t="shared" si="678"/>
        <v>11609.669789227146</v>
      </c>
      <c r="CI130" s="26">
        <f t="shared" si="679"/>
        <v>44652.57611241204</v>
      </c>
      <c r="CJ130" s="26">
        <f t="shared" si="680"/>
        <v>0</v>
      </c>
      <c r="CK130" s="26">
        <f t="shared" si="681"/>
        <v>14288.824355971896</v>
      </c>
      <c r="CL130" s="26">
        <f t="shared" si="682"/>
        <v>0</v>
      </c>
      <c r="CM130" s="110">
        <f t="shared" si="683"/>
        <v>1</v>
      </c>
      <c r="CN130" s="27">
        <f t="shared" si="684"/>
        <v>29588.480093676721</v>
      </c>
      <c r="CO130" s="27">
        <f t="shared" si="685"/>
        <v>21466.152224824418</v>
      </c>
      <c r="CP130" s="27">
        <f t="shared" si="686"/>
        <v>26107.482435597147</v>
      </c>
      <c r="CQ130" s="27">
        <f t="shared" si="687"/>
        <v>2320.665105386413</v>
      </c>
      <c r="CR130" s="27">
        <f t="shared" si="688"/>
        <v>51634.798594847853</v>
      </c>
      <c r="CS130" s="27">
        <f t="shared" si="689"/>
        <v>12183.491803278697</v>
      </c>
      <c r="CT130" s="27">
        <f t="shared" si="690"/>
        <v>18565.320843091311</v>
      </c>
      <c r="CU130" s="27">
        <f t="shared" si="691"/>
        <v>1160.3325526932053</v>
      </c>
      <c r="CV130" s="27">
        <f t="shared" si="692"/>
        <v>10442.992974238863</v>
      </c>
      <c r="CW130" s="27">
        <f t="shared" si="693"/>
        <v>140400.23887587804</v>
      </c>
      <c r="CX130" s="27">
        <f t="shared" si="694"/>
        <v>46413.302107728377</v>
      </c>
      <c r="CY130" s="27">
        <f t="shared" si="695"/>
        <v>9282.6604215456719</v>
      </c>
      <c r="CZ130" s="27">
        <f t="shared" si="696"/>
        <v>2320.6651053864143</v>
      </c>
      <c r="DA130" s="27">
        <f t="shared" si="697"/>
        <v>78902.613583138183</v>
      </c>
      <c r="DB130" s="27">
        <f t="shared" si="698"/>
        <v>91666.271662763334</v>
      </c>
      <c r="DC130" s="27">
        <f t="shared" si="699"/>
        <v>36550.475409836108</v>
      </c>
      <c r="DD130" s="27">
        <f t="shared" si="700"/>
        <v>16244.655737704918</v>
      </c>
      <c r="DE130" s="27">
        <f t="shared" si="701"/>
        <v>44092.637002342039</v>
      </c>
      <c r="DF130" s="27">
        <f t="shared" si="702"/>
        <v>9282.6604215456555</v>
      </c>
      <c r="DG130" s="27">
        <f t="shared" si="703"/>
        <v>11023.15925058551</v>
      </c>
      <c r="DH130" s="27">
        <f t="shared" si="704"/>
        <v>37710.807962529303</v>
      </c>
      <c r="DI130" s="27">
        <f t="shared" si="705"/>
        <v>7542.1615925058413</v>
      </c>
      <c r="DJ130" s="27">
        <f t="shared" si="706"/>
        <v>29008.313817330119</v>
      </c>
      <c r="DK130" s="27">
        <f t="shared" si="707"/>
        <v>0</v>
      </c>
      <c r="DL130" s="27">
        <f t="shared" si="708"/>
        <v>9282.6604215456664</v>
      </c>
      <c r="DM130" s="27">
        <f t="shared" si="709"/>
        <v>0</v>
      </c>
      <c r="DN130" s="110">
        <f t="shared" si="710"/>
        <v>0.99999999999999967</v>
      </c>
      <c r="DO130" s="28">
        <f t="shared" si="518"/>
        <v>15957.147540983555</v>
      </c>
      <c r="DP130" s="28">
        <f t="shared" si="519"/>
        <v>11576.754098360692</v>
      </c>
      <c r="DQ130" s="28">
        <f t="shared" si="520"/>
        <v>14079.836065573745</v>
      </c>
      <c r="DR130" s="28">
        <f t="shared" si="521"/>
        <v>1251.5409836065555</v>
      </c>
      <c r="DS130" s="28">
        <f t="shared" si="522"/>
        <v>27846.786885245943</v>
      </c>
      <c r="DT130" s="28">
        <f t="shared" si="523"/>
        <v>6570.590163934432</v>
      </c>
      <c r="DU130" s="28">
        <f t="shared" si="524"/>
        <v>10012.327868852448</v>
      </c>
      <c r="DV130" s="28">
        <f t="shared" si="525"/>
        <v>625.77049180327708</v>
      </c>
      <c r="DW130" s="28">
        <f t="shared" si="526"/>
        <v>5631.9344262295017</v>
      </c>
      <c r="DX130" s="28">
        <f t="shared" si="527"/>
        <v>75718.229508196644</v>
      </c>
      <c r="DY130" s="28">
        <f t="shared" si="528"/>
        <v>25030.819672131169</v>
      </c>
      <c r="DZ130" s="28">
        <f t="shared" si="529"/>
        <v>5006.1639344262312</v>
      </c>
      <c r="EA130" s="28">
        <f t="shared" si="530"/>
        <v>1251.540983606556</v>
      </c>
      <c r="EB130" s="28">
        <f t="shared" si="531"/>
        <v>42552.393442622968</v>
      </c>
      <c r="EC130" s="28">
        <f t="shared" si="532"/>
        <v>49435.868852458967</v>
      </c>
      <c r="ED130" s="28">
        <f t="shared" si="533"/>
        <v>19711.770491803298</v>
      </c>
      <c r="EE130" s="28">
        <f t="shared" si="534"/>
        <v>8760.7868852459032</v>
      </c>
      <c r="EF130" s="28">
        <f t="shared" si="535"/>
        <v>23779.278688524653</v>
      </c>
      <c r="EG130" s="28">
        <f t="shared" si="536"/>
        <v>5006.1639344262239</v>
      </c>
      <c r="EH130" s="28">
        <f t="shared" si="537"/>
        <v>5944.8196721311633</v>
      </c>
      <c r="EI130" s="28">
        <f t="shared" si="538"/>
        <v>20337.540983606574</v>
      </c>
      <c r="EJ130" s="28">
        <f t="shared" si="539"/>
        <v>4067.5081967213046</v>
      </c>
      <c r="EK130" s="28">
        <f t="shared" si="540"/>
        <v>15644.26229508192</v>
      </c>
      <c r="EL130" s="28">
        <f t="shared" si="541"/>
        <v>0</v>
      </c>
      <c r="EM130" s="28">
        <f t="shared" si="542"/>
        <v>5006.1639344262294</v>
      </c>
      <c r="EN130" s="28">
        <f t="shared" si="543"/>
        <v>0</v>
      </c>
      <c r="EQ130" s="144">
        <v>0.04</v>
      </c>
      <c r="ER130" s="144">
        <v>0.05</v>
      </c>
      <c r="ES130" s="144">
        <v>5.9999999999999991E-2</v>
      </c>
      <c r="ET130" s="144">
        <v>7.0000000000000007E-2</v>
      </c>
      <c r="EU130" s="144">
        <v>9.0000000000000011E-2</v>
      </c>
      <c r="EV130" s="144">
        <v>0.11</v>
      </c>
      <c r="EW130" s="144">
        <v>0.11999999999999998</v>
      </c>
      <c r="EX130" s="144">
        <v>0.1</v>
      </c>
      <c r="EY130" s="144">
        <v>0.1</v>
      </c>
      <c r="EZ130" s="144">
        <v>0.08</v>
      </c>
      <c r="FA130" s="144">
        <v>9.0000000000000011E-2</v>
      </c>
      <c r="FB130" s="144">
        <v>9.0000000000000011E-2</v>
      </c>
      <c r="FC130" s="145">
        <f t="shared" si="544"/>
        <v>0.99999999999999978</v>
      </c>
      <c r="FD130" s="146">
        <f t="shared" si="545"/>
        <v>0.15</v>
      </c>
      <c r="FE130" s="146">
        <f t="shared" si="546"/>
        <v>0.27</v>
      </c>
      <c r="FF130" s="146">
        <f t="shared" si="547"/>
        <v>0.31999999999999995</v>
      </c>
      <c r="FG130" s="146">
        <f t="shared" si="548"/>
        <v>0.26</v>
      </c>
      <c r="FH130" s="145">
        <f t="shared" si="655"/>
        <v>1</v>
      </c>
      <c r="FJ130" s="52">
        <f t="shared" si="549"/>
        <v>6831.8441451990411</v>
      </c>
      <c r="FK130" s="52">
        <f t="shared" si="550"/>
        <v>4956.435948477766</v>
      </c>
      <c r="FL130" s="52">
        <f t="shared" si="551"/>
        <v>6028.0977751756336</v>
      </c>
      <c r="FM130" s="52">
        <f t="shared" si="552"/>
        <v>535.83091334894527</v>
      </c>
      <c r="FN130" s="52">
        <f t="shared" si="553"/>
        <v>11922.237822014069</v>
      </c>
      <c r="FO130" s="52">
        <f t="shared" si="554"/>
        <v>2813.1122950819695</v>
      </c>
      <c r="FP130" s="52">
        <f t="shared" si="555"/>
        <v>4286.647306791564</v>
      </c>
      <c r="FQ130" s="52">
        <f t="shared" si="556"/>
        <v>267.91545667447235</v>
      </c>
      <c r="FR130" s="52">
        <f t="shared" si="557"/>
        <v>2411.2391100702548</v>
      </c>
      <c r="FS130" s="52">
        <f t="shared" si="558"/>
        <v>32417.770257611202</v>
      </c>
      <c r="FT130" s="52">
        <f t="shared" si="559"/>
        <v>10716.618266978932</v>
      </c>
      <c r="FU130" s="52">
        <f t="shared" si="560"/>
        <v>2143.3236533957852</v>
      </c>
      <c r="FV130" s="52">
        <f t="shared" si="561"/>
        <v>535.8309133489455</v>
      </c>
      <c r="FW130" s="52">
        <f t="shared" si="562"/>
        <v>18218.251053864173</v>
      </c>
      <c r="FX130" s="52">
        <f t="shared" si="563"/>
        <v>21165.321077283344</v>
      </c>
      <c r="FY130" s="52">
        <f t="shared" si="564"/>
        <v>8439.3368852459098</v>
      </c>
      <c r="FZ130" s="52">
        <f t="shared" si="565"/>
        <v>3750.8163934426229</v>
      </c>
      <c r="GA130" s="52">
        <f t="shared" si="566"/>
        <v>10180.787353630003</v>
      </c>
      <c r="GB130" s="52">
        <f t="shared" si="567"/>
        <v>2143.323653395782</v>
      </c>
      <c r="GC130" s="52">
        <f t="shared" si="568"/>
        <v>2545.1968384075008</v>
      </c>
      <c r="GD130" s="52">
        <f t="shared" si="569"/>
        <v>8707.2523419203808</v>
      </c>
      <c r="GE130" s="52">
        <f t="shared" si="570"/>
        <v>1741.4504683840719</v>
      </c>
      <c r="GF130" s="52">
        <f t="shared" si="571"/>
        <v>6697.8864168618056</v>
      </c>
      <c r="GG130" s="52">
        <f t="shared" si="572"/>
        <v>0</v>
      </c>
      <c r="GH130" s="52">
        <f t="shared" si="573"/>
        <v>2143.3236533957843</v>
      </c>
      <c r="GI130" s="52">
        <f t="shared" si="574"/>
        <v>0</v>
      </c>
      <c r="GJ130" s="26"/>
      <c r="GL130" s="150">
        <f t="shared" si="575"/>
        <v>12297.319461358275</v>
      </c>
      <c r="GM130" s="150">
        <f t="shared" si="576"/>
        <v>8921.5847072599809</v>
      </c>
      <c r="GN130" s="150">
        <f t="shared" si="577"/>
        <v>10850.575995316141</v>
      </c>
      <c r="GO130" s="150">
        <f t="shared" si="578"/>
        <v>964.49564402810154</v>
      </c>
      <c r="GP130" s="150">
        <f t="shared" si="579"/>
        <v>21460.028079625325</v>
      </c>
      <c r="GQ130" s="150">
        <f t="shared" si="580"/>
        <v>5063.6021311475452</v>
      </c>
      <c r="GR130" s="150">
        <f t="shared" si="581"/>
        <v>7715.965152224815</v>
      </c>
      <c r="GS130" s="150">
        <f t="shared" si="582"/>
        <v>482.24782201405031</v>
      </c>
      <c r="GT130" s="150">
        <f t="shared" si="583"/>
        <v>4340.2303981264586</v>
      </c>
      <c r="GU130" s="150">
        <f t="shared" si="584"/>
        <v>58351.986463700166</v>
      </c>
      <c r="GV130" s="150">
        <f t="shared" si="585"/>
        <v>19289.912880562078</v>
      </c>
      <c r="GW130" s="150">
        <f t="shared" si="586"/>
        <v>3857.9825761124139</v>
      </c>
      <c r="GX130" s="150">
        <f t="shared" si="587"/>
        <v>964.49564402810199</v>
      </c>
      <c r="GY130" s="150">
        <f t="shared" si="588"/>
        <v>32792.851896955515</v>
      </c>
      <c r="GZ130" s="150">
        <f t="shared" si="589"/>
        <v>38097.577939110022</v>
      </c>
      <c r="HA130" s="150">
        <f t="shared" si="590"/>
        <v>15190.806393442641</v>
      </c>
      <c r="HB130" s="150">
        <f t="shared" si="591"/>
        <v>6751.469508196722</v>
      </c>
      <c r="HC130" s="150">
        <f t="shared" si="592"/>
        <v>18325.417236534009</v>
      </c>
      <c r="HD130" s="150">
        <f t="shared" si="593"/>
        <v>3857.9825761124075</v>
      </c>
      <c r="HE130" s="150">
        <f t="shared" si="594"/>
        <v>4581.3543091335023</v>
      </c>
      <c r="HF130" s="150">
        <f t="shared" si="595"/>
        <v>15673.054215456688</v>
      </c>
      <c r="HG130" s="150">
        <f t="shared" si="596"/>
        <v>3134.6108430913296</v>
      </c>
      <c r="HH130" s="150">
        <f t="shared" si="597"/>
        <v>12056.195550351251</v>
      </c>
      <c r="HI130" s="150">
        <f t="shared" si="598"/>
        <v>0</v>
      </c>
      <c r="HJ130" s="150">
        <f t="shared" si="599"/>
        <v>3857.9825761124121</v>
      </c>
      <c r="HK130" s="150">
        <f t="shared" si="600"/>
        <v>0</v>
      </c>
      <c r="HL130" s="26"/>
      <c r="HN130" s="147">
        <f t="shared" si="601"/>
        <v>14574.600843091286</v>
      </c>
      <c r="HO130" s="147">
        <f t="shared" si="602"/>
        <v>10573.730023419233</v>
      </c>
      <c r="HP130" s="147">
        <f t="shared" si="603"/>
        <v>12859.941920374684</v>
      </c>
      <c r="HQ130" s="147">
        <f t="shared" si="604"/>
        <v>1143.1059484777497</v>
      </c>
      <c r="HR130" s="147">
        <f t="shared" si="605"/>
        <v>25434.10735363001</v>
      </c>
      <c r="HS130" s="147">
        <f t="shared" si="606"/>
        <v>6001.3062295082009</v>
      </c>
      <c r="HT130" s="147">
        <f t="shared" si="607"/>
        <v>9144.8475878220015</v>
      </c>
      <c r="HU130" s="147">
        <f t="shared" si="608"/>
        <v>571.5529742388743</v>
      </c>
      <c r="HV130" s="147">
        <f t="shared" si="609"/>
        <v>5143.9767681498761</v>
      </c>
      <c r="HW130" s="147">
        <f t="shared" si="610"/>
        <v>69157.909882903885</v>
      </c>
      <c r="HX130" s="147">
        <f t="shared" si="611"/>
        <v>22862.118969555053</v>
      </c>
      <c r="HY130" s="147">
        <f t="shared" si="612"/>
        <v>4572.423793911008</v>
      </c>
      <c r="HZ130" s="147">
        <f t="shared" si="613"/>
        <v>1143.1059484777504</v>
      </c>
      <c r="IA130" s="147">
        <f t="shared" si="614"/>
        <v>38865.602248243566</v>
      </c>
      <c r="IB130" s="147">
        <f t="shared" si="615"/>
        <v>45152.684964871129</v>
      </c>
      <c r="IC130" s="147">
        <f t="shared" si="616"/>
        <v>18003.918688524605</v>
      </c>
      <c r="ID130" s="147">
        <f t="shared" si="617"/>
        <v>8001.7416393442618</v>
      </c>
      <c r="IE130" s="147">
        <f t="shared" si="618"/>
        <v>21719.013021077339</v>
      </c>
      <c r="IF130" s="147">
        <f t="shared" si="619"/>
        <v>4572.4237939110008</v>
      </c>
      <c r="IG130" s="147">
        <f t="shared" si="620"/>
        <v>5429.7532552693347</v>
      </c>
      <c r="IH130" s="147">
        <f t="shared" si="621"/>
        <v>18575.471662763477</v>
      </c>
      <c r="II130" s="147">
        <f t="shared" si="622"/>
        <v>3715.094332552686</v>
      </c>
      <c r="IJ130" s="147">
        <f t="shared" si="623"/>
        <v>14288.82435597185</v>
      </c>
      <c r="IK130" s="147">
        <f t="shared" si="624"/>
        <v>0</v>
      </c>
      <c r="IL130" s="147">
        <f t="shared" si="625"/>
        <v>4572.4237939110062</v>
      </c>
      <c r="IM130" s="147">
        <f t="shared" si="626"/>
        <v>0</v>
      </c>
      <c r="IN130" s="26"/>
      <c r="IP130" s="61">
        <f t="shared" si="627"/>
        <v>11841.863185011673</v>
      </c>
      <c r="IQ130" s="61">
        <f t="shared" si="628"/>
        <v>8591.1556440281292</v>
      </c>
      <c r="IR130" s="61">
        <f t="shared" si="629"/>
        <v>10448.702810304432</v>
      </c>
      <c r="IS130" s="61">
        <f t="shared" si="630"/>
        <v>928.77358313817183</v>
      </c>
      <c r="IT130" s="61">
        <f t="shared" si="631"/>
        <v>20665.212224824387</v>
      </c>
      <c r="IU130" s="61">
        <f t="shared" si="632"/>
        <v>4876.0613114754142</v>
      </c>
      <c r="IV130" s="61">
        <f t="shared" si="633"/>
        <v>7430.1886651053774</v>
      </c>
      <c r="IW130" s="61">
        <f t="shared" si="634"/>
        <v>464.38679156908546</v>
      </c>
      <c r="IX130" s="61">
        <f t="shared" si="635"/>
        <v>4179.4811241217749</v>
      </c>
      <c r="IY130" s="61">
        <f t="shared" si="636"/>
        <v>56190.801779859423</v>
      </c>
      <c r="IZ130" s="61">
        <f t="shared" si="637"/>
        <v>18575.471662763484</v>
      </c>
      <c r="JA130" s="61">
        <f t="shared" si="638"/>
        <v>3715.0943325526951</v>
      </c>
      <c r="JB130" s="61">
        <f t="shared" si="639"/>
        <v>928.77358313817228</v>
      </c>
      <c r="JC130" s="61">
        <f t="shared" si="640"/>
        <v>31578.301826697902</v>
      </c>
      <c r="JD130" s="61">
        <f t="shared" si="641"/>
        <v>36686.556533957802</v>
      </c>
      <c r="JE130" s="61">
        <f t="shared" si="642"/>
        <v>14628.183934426246</v>
      </c>
      <c r="JF130" s="61">
        <f t="shared" si="643"/>
        <v>6501.4150819672141</v>
      </c>
      <c r="JG130" s="61">
        <f t="shared" si="644"/>
        <v>17646.698079625341</v>
      </c>
      <c r="JH130" s="61">
        <f t="shared" si="645"/>
        <v>3715.0943325526887</v>
      </c>
      <c r="JI130" s="61">
        <f t="shared" si="646"/>
        <v>4411.6745199063353</v>
      </c>
      <c r="JJ130" s="61">
        <f t="shared" si="647"/>
        <v>15092.570725995329</v>
      </c>
      <c r="JK130" s="61">
        <f t="shared" si="648"/>
        <v>3018.514145199058</v>
      </c>
      <c r="JL130" s="61">
        <f t="shared" si="649"/>
        <v>11609.669789227131</v>
      </c>
      <c r="JM130" s="61">
        <f t="shared" si="650"/>
        <v>0</v>
      </c>
      <c r="JN130" s="61">
        <f t="shared" si="651"/>
        <v>3715.0943325526932</v>
      </c>
      <c r="JO130" s="61">
        <f t="shared" si="652"/>
        <v>0</v>
      </c>
      <c r="JQ130" s="26">
        <f t="shared" si="711"/>
        <v>1143998.9999999993</v>
      </c>
      <c r="JR130" s="156">
        <f t="shared" si="712"/>
        <v>0.99999999999999944</v>
      </c>
      <c r="JT130" s="157">
        <f t="shared" si="653"/>
        <v>45545.627634660275</v>
      </c>
      <c r="JU130" s="29">
        <f t="shared" si="654"/>
        <v>1</v>
      </c>
    </row>
    <row r="131" spans="1:281" ht="18.75" x14ac:dyDescent="0.3">
      <c r="A131" t="s">
        <v>234</v>
      </c>
      <c r="B131" s="10" t="s">
        <v>207</v>
      </c>
      <c r="C131" t="s">
        <v>28</v>
      </c>
      <c r="D131" t="s">
        <v>29</v>
      </c>
      <c r="E131" t="s">
        <v>291</v>
      </c>
      <c r="F131" s="114">
        <v>750.00000000000011</v>
      </c>
      <c r="G131" s="17">
        <v>796913</v>
      </c>
      <c r="H131" s="21">
        <v>473783</v>
      </c>
      <c r="I131" s="25">
        <f t="shared" si="434"/>
        <v>1.6820210940451641</v>
      </c>
      <c r="J131" s="13">
        <v>3.9812646370023491E-2</v>
      </c>
      <c r="K131" s="13">
        <v>2.888368462138953E-2</v>
      </c>
      <c r="L131" s="13">
        <v>3.5128805620608876E-2</v>
      </c>
      <c r="M131" s="13">
        <v>3.1225604996096821E-3</v>
      </c>
      <c r="N131" s="13">
        <v>6.9476971116315386E-2</v>
      </c>
      <c r="O131" s="13">
        <v>1.6393442622950824E-2</v>
      </c>
      <c r="P131" s="13">
        <v>2.4980483996877457E-2</v>
      </c>
      <c r="Q131" s="13">
        <v>1.561280249804843E-3</v>
      </c>
      <c r="R131" s="13">
        <v>1.4051522248243594E-2</v>
      </c>
      <c r="S131" s="13">
        <v>0.18891491022638593</v>
      </c>
      <c r="T131" s="13">
        <v>6.2451209992193474E-2</v>
      </c>
      <c r="U131" s="13">
        <v>1.2490241998438732E-2</v>
      </c>
      <c r="V131" s="13">
        <v>3.1225604996096821E-3</v>
      </c>
      <c r="W131" s="13">
        <v>0.10616705698672922</v>
      </c>
      <c r="X131" s="13">
        <v>0.1233411397345819</v>
      </c>
      <c r="Y131" s="13">
        <v>4.9180327868852514E-2</v>
      </c>
      <c r="Z131" s="13">
        <v>2.1857923497267784E-2</v>
      </c>
      <c r="AA131" s="13">
        <v>5.9328649492583908E-2</v>
      </c>
      <c r="AB131" s="13">
        <v>1.2490241998438728E-2</v>
      </c>
      <c r="AC131" s="13">
        <v>1.4832162373146003E-2</v>
      </c>
      <c r="AD131" s="13">
        <v>5.0741608118657328E-2</v>
      </c>
      <c r="AE131" s="13">
        <v>1.0148321623731449E-2</v>
      </c>
      <c r="AF131" s="13">
        <v>3.9032006245121015E-2</v>
      </c>
      <c r="AG131" s="9">
        <v>0</v>
      </c>
      <c r="AH131" s="13">
        <v>1.2490241998438735E-2</v>
      </c>
      <c r="AJ131" s="8">
        <f t="shared" si="656"/>
        <v>1.0000000000000002</v>
      </c>
      <c r="AK131" s="141">
        <f t="shared" si="435"/>
        <v>29.859484777517622</v>
      </c>
      <c r="AL131" s="141">
        <f t="shared" si="436"/>
        <v>21.662763466042151</v>
      </c>
      <c r="AM131" s="141">
        <f t="shared" si="437"/>
        <v>26.346604215456662</v>
      </c>
      <c r="AN131" s="141">
        <f t="shared" si="438"/>
        <v>2.3419203747072621</v>
      </c>
      <c r="AO131" s="141">
        <f t="shared" si="439"/>
        <v>52.107728337236544</v>
      </c>
      <c r="AP131" s="141">
        <f t="shared" si="440"/>
        <v>12.29508196721312</v>
      </c>
      <c r="AQ131" s="141">
        <f t="shared" si="441"/>
        <v>18.735362997658097</v>
      </c>
      <c r="AR131" s="141">
        <f t="shared" si="442"/>
        <v>1.1709601873536324</v>
      </c>
      <c r="AS131" s="141">
        <f t="shared" si="443"/>
        <v>10.538641686182697</v>
      </c>
      <c r="AT131" s="141">
        <f t="shared" si="444"/>
        <v>141.68618266978947</v>
      </c>
      <c r="AU131" s="141">
        <f t="shared" si="445"/>
        <v>46.838407494145109</v>
      </c>
      <c r="AV131" s="141">
        <f t="shared" si="446"/>
        <v>9.3676814988290502</v>
      </c>
      <c r="AW131" s="141">
        <f t="shared" si="447"/>
        <v>2.3419203747072621</v>
      </c>
      <c r="AX131" s="141">
        <f t="shared" si="448"/>
        <v>79.62529274004693</v>
      </c>
      <c r="AY131" s="141">
        <f t="shared" si="449"/>
        <v>92.505854800936433</v>
      </c>
      <c r="AZ131" s="141">
        <f t="shared" si="450"/>
        <v>36.885245901639394</v>
      </c>
      <c r="BA131" s="141">
        <f t="shared" si="451"/>
        <v>16.39344262295084</v>
      </c>
      <c r="BB131" s="141">
        <f t="shared" si="452"/>
        <v>44.496487119437937</v>
      </c>
      <c r="BC131" s="141">
        <f t="shared" si="453"/>
        <v>9.3676814988290484</v>
      </c>
      <c r="BD131" s="141">
        <f t="shared" si="454"/>
        <v>11.124121779859504</v>
      </c>
      <c r="BE131" s="141">
        <f t="shared" si="455"/>
        <v>38.056206088993001</v>
      </c>
      <c r="BF131" s="141">
        <f t="shared" si="456"/>
        <v>7.6112412177985878</v>
      </c>
      <c r="BG131" s="141">
        <f t="shared" si="457"/>
        <v>29.274004683840765</v>
      </c>
      <c r="BH131" s="141">
        <f t="shared" si="458"/>
        <v>0</v>
      </c>
      <c r="BI131" s="141">
        <f t="shared" si="459"/>
        <v>9.3676814988290538</v>
      </c>
      <c r="BJ131" s="141">
        <f t="shared" si="460"/>
        <v>0</v>
      </c>
      <c r="BM131" s="26">
        <f t="shared" si="657"/>
        <v>31727.21545667453</v>
      </c>
      <c r="BN131" s="26">
        <f t="shared" si="658"/>
        <v>23017.783762685394</v>
      </c>
      <c r="BO131" s="26">
        <f t="shared" si="659"/>
        <v>27994.601873536281</v>
      </c>
      <c r="BP131" s="26">
        <f t="shared" si="660"/>
        <v>2488.4090554254508</v>
      </c>
      <c r="BQ131" s="26">
        <f t="shared" si="661"/>
        <v>55367.10148321624</v>
      </c>
      <c r="BR131" s="26">
        <f t="shared" si="662"/>
        <v>13064.147540983609</v>
      </c>
      <c r="BS131" s="26">
        <f t="shared" si="663"/>
        <v>19907.272443403606</v>
      </c>
      <c r="BT131" s="26">
        <f t="shared" si="664"/>
        <v>1244.2045277127268</v>
      </c>
      <c r="BU131" s="26">
        <f t="shared" si="665"/>
        <v>11197.840749414547</v>
      </c>
      <c r="BV131" s="26">
        <f t="shared" si="666"/>
        <v>150548.74785323988</v>
      </c>
      <c r="BW131" s="26">
        <f t="shared" si="667"/>
        <v>49768.181108508878</v>
      </c>
      <c r="BX131" s="26">
        <f t="shared" si="668"/>
        <v>9953.636221701805</v>
      </c>
      <c r="BY131" s="26">
        <f t="shared" si="669"/>
        <v>2488.4090554254508</v>
      </c>
      <c r="BZ131" s="26">
        <f t="shared" si="670"/>
        <v>84605.907884465341</v>
      </c>
      <c r="CA131" s="26">
        <f t="shared" si="671"/>
        <v>98292.157689304862</v>
      </c>
      <c r="CB131" s="26">
        <f t="shared" si="672"/>
        <v>39192.442622950861</v>
      </c>
      <c r="CC131" s="26">
        <f t="shared" si="673"/>
        <v>17418.863387978163</v>
      </c>
      <c r="CD131" s="26">
        <f t="shared" si="674"/>
        <v>47279.772053083521</v>
      </c>
      <c r="CE131" s="26">
        <f t="shared" si="675"/>
        <v>9953.6362217018032</v>
      </c>
      <c r="CF131" s="26">
        <f t="shared" si="676"/>
        <v>11819.9430132709</v>
      </c>
      <c r="CG131" s="26">
        <f t="shared" si="677"/>
        <v>40436.647150663564</v>
      </c>
      <c r="CH131" s="26">
        <f t="shared" si="678"/>
        <v>8087.3294301326996</v>
      </c>
      <c r="CI131" s="26">
        <f t="shared" si="679"/>
        <v>31105.113192818124</v>
      </c>
      <c r="CJ131" s="26">
        <f t="shared" si="680"/>
        <v>0</v>
      </c>
      <c r="CK131" s="26">
        <f t="shared" si="681"/>
        <v>9953.6362217018086</v>
      </c>
      <c r="CL131" s="26">
        <f t="shared" si="682"/>
        <v>0</v>
      </c>
      <c r="CM131" s="110">
        <f t="shared" si="683"/>
        <v>1.0000000000000002</v>
      </c>
      <c r="CN131" s="27">
        <f t="shared" si="684"/>
        <v>18862.55503512884</v>
      </c>
      <c r="CO131" s="27">
        <f t="shared" si="685"/>
        <v>13684.598750975796</v>
      </c>
      <c r="CP131" s="27">
        <f t="shared" si="686"/>
        <v>16643.430913348933</v>
      </c>
      <c r="CQ131" s="27">
        <f t="shared" si="687"/>
        <v>1479.416081186574</v>
      </c>
      <c r="CR131" s="27">
        <f t="shared" si="688"/>
        <v>32917.007806401256</v>
      </c>
      <c r="CS131" s="27">
        <f t="shared" si="689"/>
        <v>7766.9344262295099</v>
      </c>
      <c r="CT131" s="27">
        <f t="shared" si="690"/>
        <v>11835.328649492592</v>
      </c>
      <c r="CU131" s="27">
        <f t="shared" si="691"/>
        <v>739.70804059328793</v>
      </c>
      <c r="CV131" s="27">
        <f t="shared" si="692"/>
        <v>6657.3723653395946</v>
      </c>
      <c r="CW131" s="27">
        <f t="shared" si="693"/>
        <v>89504.672911787799</v>
      </c>
      <c r="CX131" s="27">
        <f t="shared" si="694"/>
        <v>29588.321623731401</v>
      </c>
      <c r="CY131" s="27">
        <f t="shared" si="695"/>
        <v>5917.664324746298</v>
      </c>
      <c r="CZ131" s="27">
        <f t="shared" si="696"/>
        <v>1479.416081186574</v>
      </c>
      <c r="DA131" s="27">
        <f t="shared" si="697"/>
        <v>50300.14676034353</v>
      </c>
      <c r="DB131" s="27">
        <f t="shared" si="698"/>
        <v>58436.935206869413</v>
      </c>
      <c r="DC131" s="27">
        <f t="shared" si="699"/>
        <v>23300.803278688549</v>
      </c>
      <c r="DD131" s="27">
        <f t="shared" si="700"/>
        <v>10355.912568306023</v>
      </c>
      <c r="DE131" s="27">
        <f t="shared" si="701"/>
        <v>28108.905542544882</v>
      </c>
      <c r="DF131" s="27">
        <f t="shared" si="702"/>
        <v>5917.6643247462962</v>
      </c>
      <c r="DG131" s="27">
        <f t="shared" si="703"/>
        <v>7027.2263856362324</v>
      </c>
      <c r="DH131" s="27">
        <f t="shared" si="704"/>
        <v>24040.511319281824</v>
      </c>
      <c r="DI131" s="27">
        <f t="shared" si="705"/>
        <v>4808.1022638563572</v>
      </c>
      <c r="DJ131" s="27">
        <f t="shared" si="706"/>
        <v>18492.701014832171</v>
      </c>
      <c r="DK131" s="27">
        <f t="shared" si="707"/>
        <v>0</v>
      </c>
      <c r="DL131" s="27">
        <f t="shared" si="708"/>
        <v>5917.6643247462989</v>
      </c>
      <c r="DM131" s="27">
        <f t="shared" si="709"/>
        <v>0</v>
      </c>
      <c r="DN131" s="110">
        <f t="shared" si="710"/>
        <v>1.0000000000000002</v>
      </c>
      <c r="DO131" s="28">
        <f t="shared" si="518"/>
        <v>12864.66042154569</v>
      </c>
      <c r="DP131" s="28">
        <f t="shared" si="519"/>
        <v>9333.1850117095983</v>
      </c>
      <c r="DQ131" s="28">
        <f t="shared" si="520"/>
        <v>11351.170960187348</v>
      </c>
      <c r="DR131" s="28">
        <f t="shared" si="521"/>
        <v>1008.9929742388767</v>
      </c>
      <c r="DS131" s="28">
        <f t="shared" si="522"/>
        <v>22450.093676814984</v>
      </c>
      <c r="DT131" s="28">
        <f t="shared" si="523"/>
        <v>5297.2131147540995</v>
      </c>
      <c r="DU131" s="28">
        <f t="shared" si="524"/>
        <v>8071.9437939110139</v>
      </c>
      <c r="DV131" s="28">
        <f t="shared" si="525"/>
        <v>504.49648711943883</v>
      </c>
      <c r="DW131" s="28">
        <f t="shared" si="526"/>
        <v>4540.4683840749522</v>
      </c>
      <c r="DX131" s="28">
        <f t="shared" si="527"/>
        <v>61044.074941452083</v>
      </c>
      <c r="DY131" s="28">
        <f t="shared" si="528"/>
        <v>20179.859484777477</v>
      </c>
      <c r="DZ131" s="28">
        <f t="shared" si="529"/>
        <v>4035.971896955507</v>
      </c>
      <c r="EA131" s="28">
        <f t="shared" si="530"/>
        <v>1008.9929742388767</v>
      </c>
      <c r="EB131" s="28">
        <f t="shared" si="531"/>
        <v>34305.761124121811</v>
      </c>
      <c r="EC131" s="28">
        <f t="shared" si="532"/>
        <v>39855.222482435449</v>
      </c>
      <c r="ED131" s="28">
        <f t="shared" si="533"/>
        <v>15891.639344262312</v>
      </c>
      <c r="EE131" s="28">
        <f t="shared" si="534"/>
        <v>7062.9508196721399</v>
      </c>
      <c r="EF131" s="28">
        <f t="shared" si="535"/>
        <v>19170.866510538639</v>
      </c>
      <c r="EG131" s="28">
        <f t="shared" si="536"/>
        <v>4035.971896955507</v>
      </c>
      <c r="EH131" s="28">
        <f t="shared" si="537"/>
        <v>4792.7166276346679</v>
      </c>
      <c r="EI131" s="28">
        <f t="shared" si="538"/>
        <v>16396.13583138174</v>
      </c>
      <c r="EJ131" s="28">
        <f t="shared" si="539"/>
        <v>3279.2271662763424</v>
      </c>
      <c r="EK131" s="28">
        <f t="shared" si="540"/>
        <v>12612.412177985952</v>
      </c>
      <c r="EL131" s="28">
        <f t="shared" si="541"/>
        <v>0</v>
      </c>
      <c r="EM131" s="28">
        <f t="shared" si="542"/>
        <v>4035.9718969555097</v>
      </c>
      <c r="EN131" s="28">
        <f t="shared" si="543"/>
        <v>0</v>
      </c>
      <c r="EQ131" s="144">
        <v>0</v>
      </c>
      <c r="ER131" s="144">
        <v>0</v>
      </c>
      <c r="ES131" s="144">
        <v>0</v>
      </c>
      <c r="ET131" s="144">
        <v>7.4467997079617182E-2</v>
      </c>
      <c r="EU131" s="144">
        <v>0.10638267155407614</v>
      </c>
      <c r="EV131" s="144">
        <v>0.12765999455058288</v>
      </c>
      <c r="EW131" s="144">
        <v>0.12765999455058288</v>
      </c>
      <c r="EX131" s="144">
        <v>0.12765999455058288</v>
      </c>
      <c r="EY131" s="144">
        <v>0.11702133305232953</v>
      </c>
      <c r="EZ131" s="144">
        <v>0.10638267155407614</v>
      </c>
      <c r="FA131" s="144">
        <v>0.10638267155407614</v>
      </c>
      <c r="FB131" s="144">
        <v>0.10638267155407614</v>
      </c>
      <c r="FC131" s="145">
        <f t="shared" si="544"/>
        <v>0.99999999999999978</v>
      </c>
      <c r="FD131" s="146">
        <f t="shared" si="545"/>
        <v>0</v>
      </c>
      <c r="FE131" s="146">
        <f t="shared" si="546"/>
        <v>0.30851066318427622</v>
      </c>
      <c r="FF131" s="146">
        <f t="shared" si="547"/>
        <v>0.3723413221534953</v>
      </c>
      <c r="FG131" s="146">
        <f t="shared" si="548"/>
        <v>0.31914801466222842</v>
      </c>
      <c r="FH131" s="145">
        <f t="shared" si="655"/>
        <v>0.99999999999999989</v>
      </c>
      <c r="FJ131" s="52">
        <f t="shared" si="549"/>
        <v>0</v>
      </c>
      <c r="FK131" s="52">
        <f t="shared" si="550"/>
        <v>0</v>
      </c>
      <c r="FL131" s="52">
        <f t="shared" si="551"/>
        <v>0</v>
      </c>
      <c r="FM131" s="52">
        <f t="shared" si="552"/>
        <v>0</v>
      </c>
      <c r="FN131" s="52">
        <f t="shared" si="553"/>
        <v>0</v>
      </c>
      <c r="FO131" s="52">
        <f t="shared" si="554"/>
        <v>0</v>
      </c>
      <c r="FP131" s="52">
        <f t="shared" si="555"/>
        <v>0</v>
      </c>
      <c r="FQ131" s="52">
        <f t="shared" si="556"/>
        <v>0</v>
      </c>
      <c r="FR131" s="52">
        <f t="shared" si="557"/>
        <v>0</v>
      </c>
      <c r="FS131" s="52">
        <f t="shared" si="558"/>
        <v>0</v>
      </c>
      <c r="FT131" s="52">
        <f t="shared" si="559"/>
        <v>0</v>
      </c>
      <c r="FU131" s="52">
        <f t="shared" si="560"/>
        <v>0</v>
      </c>
      <c r="FV131" s="52">
        <f t="shared" si="561"/>
        <v>0</v>
      </c>
      <c r="FW131" s="52">
        <f t="shared" si="562"/>
        <v>0</v>
      </c>
      <c r="FX131" s="52">
        <f t="shared" si="563"/>
        <v>0</v>
      </c>
      <c r="FY131" s="52">
        <f t="shared" si="564"/>
        <v>0</v>
      </c>
      <c r="FZ131" s="52">
        <f t="shared" si="565"/>
        <v>0</v>
      </c>
      <c r="GA131" s="52">
        <f t="shared" si="566"/>
        <v>0</v>
      </c>
      <c r="GB131" s="52">
        <f t="shared" si="567"/>
        <v>0</v>
      </c>
      <c r="GC131" s="52">
        <f t="shared" si="568"/>
        <v>0</v>
      </c>
      <c r="GD131" s="52">
        <f t="shared" si="569"/>
        <v>0</v>
      </c>
      <c r="GE131" s="52">
        <f t="shared" si="570"/>
        <v>0</v>
      </c>
      <c r="GF131" s="52">
        <f t="shared" si="571"/>
        <v>0</v>
      </c>
      <c r="GG131" s="52">
        <f t="shared" si="572"/>
        <v>0</v>
      </c>
      <c r="GH131" s="52">
        <f t="shared" si="573"/>
        <v>0</v>
      </c>
      <c r="GI131" s="52">
        <f t="shared" si="574"/>
        <v>0</v>
      </c>
      <c r="GJ131" s="26"/>
      <c r="GL131" s="150">
        <f t="shared" si="575"/>
        <v>9788.1842815290784</v>
      </c>
      <c r="GM131" s="150">
        <f t="shared" si="576"/>
        <v>7101.2317336583355</v>
      </c>
      <c r="GN131" s="150">
        <f t="shared" si="577"/>
        <v>8636.6331895844596</v>
      </c>
      <c r="GO131" s="150">
        <f t="shared" si="578"/>
        <v>767.7007279630642</v>
      </c>
      <c r="GP131" s="150">
        <f t="shared" si="579"/>
        <v>17081.341197178164</v>
      </c>
      <c r="GQ131" s="150">
        <f t="shared" si="580"/>
        <v>4030.4288218060847</v>
      </c>
      <c r="GR131" s="150">
        <f t="shared" si="581"/>
        <v>6141.6058237045136</v>
      </c>
      <c r="GS131" s="150">
        <f t="shared" si="582"/>
        <v>383.8503639815325</v>
      </c>
      <c r="GT131" s="150">
        <f t="shared" si="583"/>
        <v>3454.6532758337944</v>
      </c>
      <c r="GU131" s="150">
        <f t="shared" si="584"/>
        <v>46445.894041765416</v>
      </c>
      <c r="GV131" s="150">
        <f t="shared" si="585"/>
        <v>15354.014559261241</v>
      </c>
      <c r="GW131" s="150">
        <f t="shared" si="586"/>
        <v>3070.8029118522572</v>
      </c>
      <c r="GX131" s="150">
        <f t="shared" si="587"/>
        <v>767.7007279630642</v>
      </c>
      <c r="GY131" s="150">
        <f t="shared" si="588"/>
        <v>26101.824750744188</v>
      </c>
      <c r="GZ131" s="150">
        <f t="shared" si="589"/>
        <v>30324.178754540899</v>
      </c>
      <c r="HA131" s="150">
        <f t="shared" si="590"/>
        <v>12091.286465418265</v>
      </c>
      <c r="HB131" s="150">
        <f t="shared" si="591"/>
        <v>5373.905095741452</v>
      </c>
      <c r="HC131" s="150">
        <f t="shared" si="592"/>
        <v>14586.313831298206</v>
      </c>
      <c r="HD131" s="150">
        <f t="shared" si="593"/>
        <v>3070.8029118522568</v>
      </c>
      <c r="HE131" s="150">
        <f t="shared" si="594"/>
        <v>3646.5784578245575</v>
      </c>
      <c r="HF131" s="150">
        <f t="shared" si="595"/>
        <v>12475.136829399789</v>
      </c>
      <c r="HG131" s="150">
        <f t="shared" si="596"/>
        <v>2495.0273658799538</v>
      </c>
      <c r="HH131" s="150">
        <f t="shared" si="597"/>
        <v>9596.2590995382998</v>
      </c>
      <c r="HI131" s="150">
        <f t="shared" si="598"/>
        <v>0</v>
      </c>
      <c r="HJ131" s="150">
        <f t="shared" si="599"/>
        <v>3070.8029118522586</v>
      </c>
      <c r="HK131" s="150">
        <f t="shared" si="600"/>
        <v>0</v>
      </c>
      <c r="HL131" s="26"/>
      <c r="HN131" s="147">
        <f t="shared" si="601"/>
        <v>11813.353351387006</v>
      </c>
      <c r="HO131" s="147">
        <f t="shared" si="602"/>
        <v>8570.4720392415365</v>
      </c>
      <c r="HP131" s="147">
        <f t="shared" si="603"/>
        <v>10423.547074753216</v>
      </c>
      <c r="HQ131" s="147">
        <f t="shared" si="604"/>
        <v>926.53751775584271</v>
      </c>
      <c r="HR131" s="147">
        <f t="shared" si="605"/>
        <v>20615.459770067486</v>
      </c>
      <c r="HS131" s="147">
        <f t="shared" si="606"/>
        <v>4864.3219682181716</v>
      </c>
      <c r="HT131" s="147">
        <f t="shared" si="607"/>
        <v>7412.3001420467417</v>
      </c>
      <c r="HU131" s="147">
        <f t="shared" si="608"/>
        <v>463.26875887792187</v>
      </c>
      <c r="HV131" s="147">
        <f t="shared" si="609"/>
        <v>4169.4188299012994</v>
      </c>
      <c r="HW131" s="147">
        <f t="shared" si="610"/>
        <v>56055.519824228526</v>
      </c>
      <c r="HX131" s="147">
        <f t="shared" si="611"/>
        <v>18530.750355116805</v>
      </c>
      <c r="HY131" s="147">
        <f t="shared" si="612"/>
        <v>3706.1500710233718</v>
      </c>
      <c r="HZ131" s="147">
        <f t="shared" si="613"/>
        <v>926.53751775584271</v>
      </c>
      <c r="IA131" s="147">
        <f t="shared" si="614"/>
        <v>31502.275603698658</v>
      </c>
      <c r="IB131" s="147">
        <f t="shared" si="615"/>
        <v>36598.231951355621</v>
      </c>
      <c r="IC131" s="147">
        <f t="shared" si="616"/>
        <v>14592.965904654528</v>
      </c>
      <c r="ID131" s="147">
        <f t="shared" si="617"/>
        <v>6485.7626242909018</v>
      </c>
      <c r="IE131" s="147">
        <f t="shared" si="618"/>
        <v>17604.212837360996</v>
      </c>
      <c r="IF131" s="147">
        <f t="shared" si="619"/>
        <v>3706.1500710233709</v>
      </c>
      <c r="IG131" s="147">
        <f t="shared" si="620"/>
        <v>4401.0532093402562</v>
      </c>
      <c r="IH131" s="147">
        <f t="shared" si="621"/>
        <v>15056.234663532439</v>
      </c>
      <c r="II131" s="147">
        <f t="shared" si="622"/>
        <v>3011.2469327064832</v>
      </c>
      <c r="IJ131" s="147">
        <f t="shared" si="623"/>
        <v>11581.71897194803</v>
      </c>
      <c r="IK131" s="147">
        <f t="shared" si="624"/>
        <v>0</v>
      </c>
      <c r="IL131" s="147">
        <f t="shared" si="625"/>
        <v>3706.1500710233731</v>
      </c>
      <c r="IM131" s="147">
        <f t="shared" si="626"/>
        <v>0</v>
      </c>
      <c r="IN131" s="26"/>
      <c r="IP131" s="61">
        <f t="shared" si="627"/>
        <v>10125.677823758444</v>
      </c>
      <c r="IQ131" s="61">
        <f t="shared" si="628"/>
        <v>7346.0799897855213</v>
      </c>
      <c r="IR131" s="61">
        <f t="shared" si="629"/>
        <v>8934.4216091986036</v>
      </c>
      <c r="IS131" s="61">
        <f t="shared" si="630"/>
        <v>794.17080970654376</v>
      </c>
      <c r="IT131" s="61">
        <f t="shared" si="631"/>
        <v>17670.300515970586</v>
      </c>
      <c r="IU131" s="61">
        <f t="shared" si="632"/>
        <v>4169.3967509593522</v>
      </c>
      <c r="IV131" s="61">
        <f t="shared" si="633"/>
        <v>6353.3664776523501</v>
      </c>
      <c r="IW131" s="61">
        <f t="shared" si="634"/>
        <v>397.08540485327228</v>
      </c>
      <c r="IX131" s="61">
        <f t="shared" si="635"/>
        <v>3573.7686436794525</v>
      </c>
      <c r="IY131" s="61">
        <f t="shared" si="636"/>
        <v>48047.333987245933</v>
      </c>
      <c r="IZ131" s="61">
        <f t="shared" si="637"/>
        <v>15883.41619413083</v>
      </c>
      <c r="JA131" s="61">
        <f t="shared" si="638"/>
        <v>3176.6832388261755</v>
      </c>
      <c r="JB131" s="61">
        <f t="shared" si="639"/>
        <v>794.17080970654376</v>
      </c>
      <c r="JC131" s="61">
        <f t="shared" si="640"/>
        <v>27001.807530022492</v>
      </c>
      <c r="JD131" s="61">
        <f t="shared" si="641"/>
        <v>31369.746983408335</v>
      </c>
      <c r="JE131" s="61">
        <f t="shared" si="642"/>
        <v>12508.190252878067</v>
      </c>
      <c r="JF131" s="61">
        <f t="shared" si="643"/>
        <v>5559.1956679458081</v>
      </c>
      <c r="JG131" s="61">
        <f t="shared" si="644"/>
        <v>15089.245384424317</v>
      </c>
      <c r="JH131" s="61">
        <f t="shared" si="645"/>
        <v>3176.6832388261751</v>
      </c>
      <c r="JI131" s="61">
        <f t="shared" si="646"/>
        <v>3772.3113461060857</v>
      </c>
      <c r="JJ131" s="61">
        <f t="shared" si="647"/>
        <v>12905.275657731332</v>
      </c>
      <c r="JK131" s="61">
        <f t="shared" si="648"/>
        <v>2581.0551315462621</v>
      </c>
      <c r="JL131" s="61">
        <f t="shared" si="649"/>
        <v>9927.1351213317939</v>
      </c>
      <c r="JM131" s="61">
        <f t="shared" si="650"/>
        <v>0</v>
      </c>
      <c r="JN131" s="61">
        <f t="shared" si="651"/>
        <v>3176.6832388261769</v>
      </c>
      <c r="JO131" s="61">
        <f t="shared" si="652"/>
        <v>0</v>
      </c>
      <c r="JQ131" s="26">
        <f t="shared" si="711"/>
        <v>796913.00000000012</v>
      </c>
      <c r="JR131" s="156">
        <f t="shared" si="712"/>
        <v>1.0000000000000002</v>
      </c>
      <c r="JT131" s="157">
        <f t="shared" si="653"/>
        <v>31727.21545667453</v>
      </c>
      <c r="JU131" s="29">
        <f t="shared" si="654"/>
        <v>1</v>
      </c>
    </row>
    <row r="132" spans="1:281" ht="18.75" x14ac:dyDescent="0.3">
      <c r="A132" t="s">
        <v>234</v>
      </c>
      <c r="B132" s="10" t="s">
        <v>208</v>
      </c>
      <c r="C132" t="s">
        <v>28</v>
      </c>
      <c r="D132" t="s">
        <v>29</v>
      </c>
      <c r="E132" t="s">
        <v>292</v>
      </c>
      <c r="F132" s="114">
        <v>770</v>
      </c>
      <c r="G132" s="17">
        <v>4825544</v>
      </c>
      <c r="H132" s="21">
        <v>2659380</v>
      </c>
      <c r="I132" s="25">
        <f t="shared" si="434"/>
        <v>1.8145372229617429</v>
      </c>
      <c r="J132" s="13">
        <v>8.7976539589442737E-3</v>
      </c>
      <c r="K132" s="13">
        <v>0</v>
      </c>
      <c r="L132" s="13">
        <v>0</v>
      </c>
      <c r="M132" s="13">
        <v>8.7976539589442737E-3</v>
      </c>
      <c r="N132" s="13">
        <v>0</v>
      </c>
      <c r="O132" s="13">
        <v>1.3196480938416459E-2</v>
      </c>
      <c r="P132" s="13">
        <v>0.11436950146627613</v>
      </c>
      <c r="Q132" s="13">
        <v>1.7595307917888568E-2</v>
      </c>
      <c r="R132" s="13">
        <v>1.4662756598240478E-3</v>
      </c>
      <c r="S132" s="13">
        <v>1.0263929618768321E-2</v>
      </c>
      <c r="T132" s="13">
        <v>0.36217008797653927</v>
      </c>
      <c r="U132" s="13">
        <v>1.1730205278592403E-2</v>
      </c>
      <c r="V132" s="13">
        <v>0</v>
      </c>
      <c r="W132" s="13">
        <v>8.7976539589442709E-2</v>
      </c>
      <c r="X132" s="13">
        <v>3.3724340175953119E-2</v>
      </c>
      <c r="Y132" s="13">
        <v>1.9061583577712621E-2</v>
      </c>
      <c r="Z132" s="13">
        <v>8.7976539589442806E-3</v>
      </c>
      <c r="AA132" s="13">
        <v>6.4516129032258104E-2</v>
      </c>
      <c r="AB132" s="13">
        <v>1.9061583577712621E-2</v>
      </c>
      <c r="AC132" s="13">
        <v>4.3988269794721369E-3</v>
      </c>
      <c r="AD132" s="13">
        <v>8.7976539589442737E-3</v>
      </c>
      <c r="AE132" s="13">
        <v>7.3313782991202541E-3</v>
      </c>
      <c r="AF132" s="13">
        <v>1.4662756598240508E-2</v>
      </c>
      <c r="AG132" s="9">
        <v>0</v>
      </c>
      <c r="AH132" s="13">
        <v>0.18328445747800551</v>
      </c>
      <c r="AJ132" s="8">
        <f t="shared" si="656"/>
        <v>0.99999999999999978</v>
      </c>
      <c r="AK132" s="141">
        <f t="shared" si="435"/>
        <v>6.7741935483870908</v>
      </c>
      <c r="AL132" s="141">
        <f t="shared" si="436"/>
        <v>0</v>
      </c>
      <c r="AM132" s="141">
        <f t="shared" si="437"/>
        <v>0</v>
      </c>
      <c r="AN132" s="141">
        <f t="shared" si="438"/>
        <v>6.7741935483870908</v>
      </c>
      <c r="AO132" s="141">
        <f t="shared" si="439"/>
        <v>0</v>
      </c>
      <c r="AP132" s="141">
        <f t="shared" si="440"/>
        <v>10.161290322580674</v>
      </c>
      <c r="AQ132" s="141">
        <f t="shared" si="441"/>
        <v>88.064516129032612</v>
      </c>
      <c r="AR132" s="141">
        <f t="shared" si="442"/>
        <v>13.548387096774198</v>
      </c>
      <c r="AS132" s="141">
        <f t="shared" si="443"/>
        <v>1.1290322580645169</v>
      </c>
      <c r="AT132" s="141">
        <f t="shared" si="444"/>
        <v>7.9032258064516077</v>
      </c>
      <c r="AU132" s="141">
        <f t="shared" si="445"/>
        <v>278.87096774193526</v>
      </c>
      <c r="AV132" s="141">
        <f t="shared" si="446"/>
        <v>9.0322580645161512</v>
      </c>
      <c r="AW132" s="141">
        <f t="shared" si="447"/>
        <v>0</v>
      </c>
      <c r="AX132" s="141">
        <f t="shared" si="448"/>
        <v>67.74193548387089</v>
      </c>
      <c r="AY132" s="141">
        <f t="shared" si="449"/>
        <v>25.9677419354839</v>
      </c>
      <c r="AZ132" s="141">
        <f t="shared" si="450"/>
        <v>14.677419354838719</v>
      </c>
      <c r="BA132" s="141">
        <f t="shared" si="451"/>
        <v>6.7741935483870961</v>
      </c>
      <c r="BB132" s="141">
        <f t="shared" si="452"/>
        <v>49.67741935483874</v>
      </c>
      <c r="BC132" s="141">
        <f t="shared" si="453"/>
        <v>14.677419354838719</v>
      </c>
      <c r="BD132" s="141">
        <f t="shared" si="454"/>
        <v>3.3870967741935454</v>
      </c>
      <c r="BE132" s="141">
        <f t="shared" si="455"/>
        <v>6.7741935483870908</v>
      </c>
      <c r="BF132" s="141">
        <f t="shared" si="456"/>
        <v>5.6451612903225961</v>
      </c>
      <c r="BG132" s="141">
        <f t="shared" si="457"/>
        <v>11.290322580645192</v>
      </c>
      <c r="BH132" s="141">
        <f t="shared" si="458"/>
        <v>0</v>
      </c>
      <c r="BI132" s="141">
        <f t="shared" si="459"/>
        <v>141.12903225806423</v>
      </c>
      <c r="BJ132" s="141">
        <f t="shared" si="460"/>
        <v>0</v>
      </c>
      <c r="BM132" s="26">
        <f t="shared" si="657"/>
        <v>42453.46627565979</v>
      </c>
      <c r="BN132" s="26">
        <f t="shared" si="658"/>
        <v>0</v>
      </c>
      <c r="BO132" s="26">
        <f t="shared" si="659"/>
        <v>0</v>
      </c>
      <c r="BP132" s="26">
        <f t="shared" si="660"/>
        <v>42453.46627565979</v>
      </c>
      <c r="BQ132" s="26">
        <f t="shared" si="661"/>
        <v>0</v>
      </c>
      <c r="BR132" s="26">
        <f t="shared" si="662"/>
        <v>63680.199413489914</v>
      </c>
      <c r="BS132" s="26">
        <f t="shared" si="663"/>
        <v>551895.06158357998</v>
      </c>
      <c r="BT132" s="26">
        <f t="shared" si="664"/>
        <v>84906.932551319667</v>
      </c>
      <c r="BU132" s="26">
        <f t="shared" si="665"/>
        <v>7075.5777126099747</v>
      </c>
      <c r="BV132" s="26">
        <f t="shared" si="666"/>
        <v>49529.043988269761</v>
      </c>
      <c r="BW132" s="26">
        <f t="shared" si="667"/>
        <v>1747667.6950146612</v>
      </c>
      <c r="BX132" s="26">
        <f t="shared" si="668"/>
        <v>56604.621700879899</v>
      </c>
      <c r="BY132" s="26">
        <f t="shared" si="669"/>
        <v>0</v>
      </c>
      <c r="BZ132" s="26">
        <f t="shared" si="670"/>
        <v>424534.66275659774</v>
      </c>
      <c r="CA132" s="26">
        <f t="shared" si="671"/>
        <v>162738.28739002952</v>
      </c>
      <c r="CB132" s="26">
        <f t="shared" si="672"/>
        <v>91982.510263929667</v>
      </c>
      <c r="CC132" s="26">
        <f t="shared" si="673"/>
        <v>42453.466275659819</v>
      </c>
      <c r="CD132" s="26">
        <f t="shared" si="674"/>
        <v>311325.4193548389</v>
      </c>
      <c r="CE132" s="26">
        <f t="shared" si="675"/>
        <v>91982.510263929667</v>
      </c>
      <c r="CF132" s="26">
        <f t="shared" si="676"/>
        <v>21226.733137829895</v>
      </c>
      <c r="CG132" s="26">
        <f t="shared" si="677"/>
        <v>42453.46627565979</v>
      </c>
      <c r="CH132" s="26">
        <f t="shared" si="678"/>
        <v>35377.88856304995</v>
      </c>
      <c r="CI132" s="26">
        <f t="shared" si="679"/>
        <v>70755.7771260999</v>
      </c>
      <c r="CJ132" s="26">
        <f t="shared" si="680"/>
        <v>0</v>
      </c>
      <c r="CK132" s="26">
        <f t="shared" si="681"/>
        <v>884447.21407624462</v>
      </c>
      <c r="CL132" s="26">
        <f t="shared" si="682"/>
        <v>0</v>
      </c>
      <c r="CM132" s="110">
        <f t="shared" si="683"/>
        <v>0.99999999999999978</v>
      </c>
      <c r="CN132" s="27">
        <f t="shared" si="684"/>
        <v>23396.304985337221</v>
      </c>
      <c r="CO132" s="27">
        <f t="shared" si="685"/>
        <v>0</v>
      </c>
      <c r="CP132" s="27">
        <f t="shared" si="686"/>
        <v>0</v>
      </c>
      <c r="CQ132" s="27">
        <f t="shared" si="687"/>
        <v>23396.304985337221</v>
      </c>
      <c r="CR132" s="27">
        <f t="shared" si="688"/>
        <v>0</v>
      </c>
      <c r="CS132" s="27">
        <f t="shared" si="689"/>
        <v>35094.457478005963</v>
      </c>
      <c r="CT132" s="27">
        <f t="shared" si="690"/>
        <v>304151.96480938542</v>
      </c>
      <c r="CU132" s="27">
        <f t="shared" si="691"/>
        <v>46792.609970674501</v>
      </c>
      <c r="CV132" s="27">
        <f t="shared" si="692"/>
        <v>3899.3841642228763</v>
      </c>
      <c r="CW132" s="27">
        <f t="shared" si="693"/>
        <v>27295.689149560098</v>
      </c>
      <c r="CX132" s="27">
        <f t="shared" si="694"/>
        <v>963147.88856304903</v>
      </c>
      <c r="CY132" s="27">
        <f t="shared" si="695"/>
        <v>31195.073313783065</v>
      </c>
      <c r="CZ132" s="27">
        <f t="shared" si="696"/>
        <v>0</v>
      </c>
      <c r="DA132" s="27">
        <f t="shared" si="697"/>
        <v>233963.04985337215</v>
      </c>
      <c r="DB132" s="27">
        <f t="shared" si="698"/>
        <v>89685.835777126209</v>
      </c>
      <c r="DC132" s="27">
        <f t="shared" si="699"/>
        <v>50691.994134897388</v>
      </c>
      <c r="DD132" s="27">
        <f t="shared" si="700"/>
        <v>23396.304985337239</v>
      </c>
      <c r="DE132" s="27">
        <f t="shared" si="701"/>
        <v>171572.90322580657</v>
      </c>
      <c r="DF132" s="27">
        <f t="shared" si="702"/>
        <v>50691.994134897388</v>
      </c>
      <c r="DG132" s="27">
        <f t="shared" si="703"/>
        <v>11698.152492668611</v>
      </c>
      <c r="DH132" s="27">
        <f t="shared" si="704"/>
        <v>23396.304985337221</v>
      </c>
      <c r="DI132" s="27">
        <f t="shared" si="705"/>
        <v>19496.920821114421</v>
      </c>
      <c r="DJ132" s="27">
        <f t="shared" si="706"/>
        <v>38993.841642228843</v>
      </c>
      <c r="DK132" s="27">
        <f t="shared" si="707"/>
        <v>0</v>
      </c>
      <c r="DL132" s="27">
        <f t="shared" si="708"/>
        <v>487423.02052785829</v>
      </c>
      <c r="DM132" s="27">
        <f t="shared" si="709"/>
        <v>0</v>
      </c>
      <c r="DN132" s="110">
        <f t="shared" si="710"/>
        <v>1</v>
      </c>
      <c r="DO132" s="28">
        <f t="shared" si="518"/>
        <v>19057.161290322569</v>
      </c>
      <c r="DP132" s="28">
        <f t="shared" si="519"/>
        <v>0</v>
      </c>
      <c r="DQ132" s="28">
        <f t="shared" si="520"/>
        <v>0</v>
      </c>
      <c r="DR132" s="28">
        <f t="shared" si="521"/>
        <v>19057.161290322569</v>
      </c>
      <c r="DS132" s="28">
        <f t="shared" si="522"/>
        <v>0</v>
      </c>
      <c r="DT132" s="28">
        <f t="shared" si="523"/>
        <v>28585.741935483951</v>
      </c>
      <c r="DU132" s="28">
        <f t="shared" si="524"/>
        <v>247743.09677419456</v>
      </c>
      <c r="DV132" s="28">
        <f t="shared" si="525"/>
        <v>38114.322580645166</v>
      </c>
      <c r="DW132" s="28">
        <f t="shared" si="526"/>
        <v>3176.1935483870984</v>
      </c>
      <c r="DX132" s="28">
        <f t="shared" si="527"/>
        <v>22233.354838709663</v>
      </c>
      <c r="DY132" s="28">
        <f t="shared" si="528"/>
        <v>784519.80645161215</v>
      </c>
      <c r="DZ132" s="28">
        <f t="shared" si="529"/>
        <v>25409.548387096835</v>
      </c>
      <c r="EA132" s="28">
        <f t="shared" si="530"/>
        <v>0</v>
      </c>
      <c r="EB132" s="28">
        <f t="shared" si="531"/>
        <v>190571.61290322558</v>
      </c>
      <c r="EC132" s="28">
        <f t="shared" si="532"/>
        <v>73052.451612903315</v>
      </c>
      <c r="ED132" s="28">
        <f t="shared" si="533"/>
        <v>41290.516129032279</v>
      </c>
      <c r="EE132" s="28">
        <f t="shared" si="534"/>
        <v>19057.16129032258</v>
      </c>
      <c r="EF132" s="28">
        <f t="shared" si="535"/>
        <v>139752.51612903233</v>
      </c>
      <c r="EG132" s="28">
        <f t="shared" si="536"/>
        <v>41290.516129032279</v>
      </c>
      <c r="EH132" s="28">
        <f t="shared" si="537"/>
        <v>9528.5806451612843</v>
      </c>
      <c r="EI132" s="28">
        <f t="shared" si="538"/>
        <v>19057.161290322569</v>
      </c>
      <c r="EJ132" s="28">
        <f t="shared" si="539"/>
        <v>15880.967741935528</v>
      </c>
      <c r="EK132" s="28">
        <f t="shared" si="540"/>
        <v>31761.935483871057</v>
      </c>
      <c r="EL132" s="28">
        <f t="shared" si="541"/>
        <v>0</v>
      </c>
      <c r="EM132" s="28">
        <f t="shared" si="542"/>
        <v>397024.19354838633</v>
      </c>
      <c r="EN132" s="28">
        <f t="shared" si="543"/>
        <v>0</v>
      </c>
      <c r="EQ132" s="144">
        <v>0.04</v>
      </c>
      <c r="ER132" s="144">
        <v>0.05</v>
      </c>
      <c r="ES132" s="144">
        <v>0.06</v>
      </c>
      <c r="ET132" s="144">
        <v>7.0000000000000007E-2</v>
      </c>
      <c r="EU132" s="144">
        <v>9.0000000000000024E-2</v>
      </c>
      <c r="EV132" s="144">
        <v>0.10999999999999999</v>
      </c>
      <c r="EW132" s="144">
        <v>0.12</v>
      </c>
      <c r="EX132" s="144">
        <v>0.1</v>
      </c>
      <c r="EY132" s="144">
        <v>0.1</v>
      </c>
      <c r="EZ132" s="144">
        <v>0.08</v>
      </c>
      <c r="FA132" s="144">
        <v>9.0000000000000024E-2</v>
      </c>
      <c r="FB132" s="144">
        <v>9.0000000000000024E-2</v>
      </c>
      <c r="FC132" s="145">
        <f t="shared" si="544"/>
        <v>1</v>
      </c>
      <c r="FD132" s="146">
        <f t="shared" si="545"/>
        <v>0.15</v>
      </c>
      <c r="FE132" s="146">
        <f t="shared" si="546"/>
        <v>0.27</v>
      </c>
      <c r="FF132" s="146">
        <f t="shared" si="547"/>
        <v>0.32</v>
      </c>
      <c r="FG132" s="146">
        <f t="shared" si="548"/>
        <v>0.26000000000000006</v>
      </c>
      <c r="FH132" s="145">
        <f t="shared" si="655"/>
        <v>1</v>
      </c>
      <c r="FJ132" s="52">
        <f t="shared" si="549"/>
        <v>6368.0199413489681</v>
      </c>
      <c r="FK132" s="52">
        <f t="shared" si="550"/>
        <v>0</v>
      </c>
      <c r="FL132" s="52">
        <f t="shared" si="551"/>
        <v>0</v>
      </c>
      <c r="FM132" s="52">
        <f t="shared" si="552"/>
        <v>6368.0199413489681</v>
      </c>
      <c r="FN132" s="52">
        <f t="shared" si="553"/>
        <v>0</v>
      </c>
      <c r="FO132" s="52">
        <f t="shared" si="554"/>
        <v>9552.0299120234868</v>
      </c>
      <c r="FP132" s="52">
        <f t="shared" si="555"/>
        <v>82784.259237537</v>
      </c>
      <c r="FQ132" s="52">
        <f t="shared" si="556"/>
        <v>12736.039882697949</v>
      </c>
      <c r="FR132" s="52">
        <f t="shared" si="557"/>
        <v>1061.3366568914962</v>
      </c>
      <c r="FS132" s="52">
        <f t="shared" si="558"/>
        <v>7429.3565982404634</v>
      </c>
      <c r="FT132" s="52">
        <f t="shared" si="559"/>
        <v>262150.15425219917</v>
      </c>
      <c r="FU132" s="52">
        <f t="shared" si="560"/>
        <v>8490.6932551319842</v>
      </c>
      <c r="FV132" s="52">
        <f t="shared" si="561"/>
        <v>0</v>
      </c>
      <c r="FW132" s="52">
        <f t="shared" si="562"/>
        <v>63680.199413489659</v>
      </c>
      <c r="FX132" s="52">
        <f t="shared" si="563"/>
        <v>24410.743108504426</v>
      </c>
      <c r="FY132" s="52">
        <f t="shared" si="564"/>
        <v>13797.37653958945</v>
      </c>
      <c r="FZ132" s="52">
        <f t="shared" si="565"/>
        <v>6368.0199413489727</v>
      </c>
      <c r="GA132" s="52">
        <f t="shared" si="566"/>
        <v>46698.812903225837</v>
      </c>
      <c r="GB132" s="52">
        <f t="shared" si="567"/>
        <v>13797.37653958945</v>
      </c>
      <c r="GC132" s="52">
        <f t="shared" si="568"/>
        <v>3184.0099706744841</v>
      </c>
      <c r="GD132" s="52">
        <f t="shared" si="569"/>
        <v>6368.0199413489681</v>
      </c>
      <c r="GE132" s="52">
        <f t="shared" si="570"/>
        <v>5306.6832844574919</v>
      </c>
      <c r="GF132" s="52">
        <f t="shared" si="571"/>
        <v>10613.366568914984</v>
      </c>
      <c r="GG132" s="52">
        <f t="shared" si="572"/>
        <v>0</v>
      </c>
      <c r="GH132" s="52">
        <f t="shared" si="573"/>
        <v>132667.0821114367</v>
      </c>
      <c r="GI132" s="52">
        <f t="shared" si="574"/>
        <v>0</v>
      </c>
      <c r="GJ132" s="26"/>
      <c r="GL132" s="150">
        <f t="shared" si="575"/>
        <v>11462.435894428145</v>
      </c>
      <c r="GM132" s="150">
        <f t="shared" si="576"/>
        <v>0</v>
      </c>
      <c r="GN132" s="150">
        <f t="shared" si="577"/>
        <v>0</v>
      </c>
      <c r="GO132" s="150">
        <f t="shared" si="578"/>
        <v>11462.435894428145</v>
      </c>
      <c r="GP132" s="150">
        <f t="shared" si="579"/>
        <v>0</v>
      </c>
      <c r="GQ132" s="150">
        <f t="shared" si="580"/>
        <v>17193.653841642277</v>
      </c>
      <c r="GR132" s="150">
        <f t="shared" si="581"/>
        <v>149011.66662756659</v>
      </c>
      <c r="GS132" s="150">
        <f t="shared" si="582"/>
        <v>22924.871788856311</v>
      </c>
      <c r="GT132" s="150">
        <f t="shared" si="583"/>
        <v>1910.4059824046933</v>
      </c>
      <c r="GU132" s="150">
        <f t="shared" si="584"/>
        <v>13372.841876832836</v>
      </c>
      <c r="GV132" s="150">
        <f t="shared" si="585"/>
        <v>471870.27765395853</v>
      </c>
      <c r="GW132" s="150">
        <f t="shared" si="586"/>
        <v>15283.247859237574</v>
      </c>
      <c r="GX132" s="150">
        <f t="shared" si="587"/>
        <v>0</v>
      </c>
      <c r="GY132" s="150">
        <f t="shared" si="588"/>
        <v>114624.3589442814</v>
      </c>
      <c r="GZ132" s="150">
        <f t="shared" si="589"/>
        <v>43939.337595307974</v>
      </c>
      <c r="HA132" s="150">
        <f t="shared" si="590"/>
        <v>24835.277771261011</v>
      </c>
      <c r="HB132" s="150">
        <f t="shared" si="591"/>
        <v>11462.435894428152</v>
      </c>
      <c r="HC132" s="150">
        <f t="shared" si="592"/>
        <v>84057.863225806504</v>
      </c>
      <c r="HD132" s="150">
        <f t="shared" si="593"/>
        <v>24835.277771261011</v>
      </c>
      <c r="HE132" s="150">
        <f t="shared" si="594"/>
        <v>5731.2179472140724</v>
      </c>
      <c r="HF132" s="150">
        <f t="shared" si="595"/>
        <v>11462.435894428145</v>
      </c>
      <c r="HG132" s="150">
        <f t="shared" si="596"/>
        <v>9552.0299120234868</v>
      </c>
      <c r="HH132" s="150">
        <f t="shared" si="597"/>
        <v>19104.059824046974</v>
      </c>
      <c r="HI132" s="150">
        <f t="shared" si="598"/>
        <v>0</v>
      </c>
      <c r="HJ132" s="150">
        <f t="shared" si="599"/>
        <v>238800.74780058608</v>
      </c>
      <c r="HK132" s="150">
        <f t="shared" si="600"/>
        <v>0</v>
      </c>
      <c r="HL132" s="26"/>
      <c r="HN132" s="147">
        <f t="shared" si="601"/>
        <v>13585.109208211134</v>
      </c>
      <c r="HO132" s="147">
        <f t="shared" si="602"/>
        <v>0</v>
      </c>
      <c r="HP132" s="147">
        <f t="shared" si="603"/>
        <v>0</v>
      </c>
      <c r="HQ132" s="147">
        <f t="shared" si="604"/>
        <v>13585.109208211134</v>
      </c>
      <c r="HR132" s="147">
        <f t="shared" si="605"/>
        <v>0</v>
      </c>
      <c r="HS132" s="147">
        <f t="shared" si="606"/>
        <v>20377.663812316772</v>
      </c>
      <c r="HT132" s="147">
        <f t="shared" si="607"/>
        <v>176606.4197067456</v>
      </c>
      <c r="HU132" s="147">
        <f t="shared" si="608"/>
        <v>27170.218416422293</v>
      </c>
      <c r="HV132" s="147">
        <f t="shared" si="609"/>
        <v>2264.1848680351918</v>
      </c>
      <c r="HW132" s="147">
        <f t="shared" si="610"/>
        <v>15849.294076246324</v>
      </c>
      <c r="HX132" s="147">
        <f t="shared" si="611"/>
        <v>559253.66240469157</v>
      </c>
      <c r="HY132" s="147">
        <f t="shared" si="612"/>
        <v>18113.478944281567</v>
      </c>
      <c r="HZ132" s="147">
        <f t="shared" si="613"/>
        <v>0</v>
      </c>
      <c r="IA132" s="147">
        <f t="shared" si="614"/>
        <v>135851.09208211128</v>
      </c>
      <c r="IB132" s="147">
        <f t="shared" si="615"/>
        <v>52076.251964809446</v>
      </c>
      <c r="IC132" s="147">
        <f t="shared" si="616"/>
        <v>29434.403284457494</v>
      </c>
      <c r="ID132" s="147">
        <f t="shared" si="617"/>
        <v>13585.109208211143</v>
      </c>
      <c r="IE132" s="147">
        <f t="shared" si="618"/>
        <v>99624.134193548452</v>
      </c>
      <c r="IF132" s="147">
        <f t="shared" si="619"/>
        <v>29434.403284457494</v>
      </c>
      <c r="IG132" s="147">
        <f t="shared" si="620"/>
        <v>6792.5546041055668</v>
      </c>
      <c r="IH132" s="147">
        <f t="shared" si="621"/>
        <v>13585.109208211134</v>
      </c>
      <c r="II132" s="147">
        <f t="shared" si="622"/>
        <v>11320.924340175985</v>
      </c>
      <c r="IJ132" s="147">
        <f t="shared" si="623"/>
        <v>22641.84868035197</v>
      </c>
      <c r="IK132" s="147">
        <f t="shared" si="624"/>
        <v>0</v>
      </c>
      <c r="IL132" s="147">
        <f t="shared" si="625"/>
        <v>283023.10850439826</v>
      </c>
      <c r="IM132" s="147">
        <f t="shared" si="626"/>
        <v>0</v>
      </c>
      <c r="IN132" s="26"/>
      <c r="IP132" s="61">
        <f t="shared" si="627"/>
        <v>11037.901231671549</v>
      </c>
      <c r="IQ132" s="61">
        <f t="shared" si="628"/>
        <v>0</v>
      </c>
      <c r="IR132" s="61">
        <f t="shared" si="629"/>
        <v>0</v>
      </c>
      <c r="IS132" s="61">
        <f t="shared" si="630"/>
        <v>11037.901231671549</v>
      </c>
      <c r="IT132" s="61">
        <f t="shared" si="631"/>
        <v>0</v>
      </c>
      <c r="IU132" s="61">
        <f t="shared" si="632"/>
        <v>16556.851847507383</v>
      </c>
      <c r="IV132" s="61">
        <f t="shared" si="633"/>
        <v>143492.71601173084</v>
      </c>
      <c r="IW132" s="61">
        <f t="shared" si="634"/>
        <v>22075.80246334312</v>
      </c>
      <c r="IX132" s="61">
        <f t="shared" si="635"/>
        <v>1839.6502052785938</v>
      </c>
      <c r="IY132" s="61">
        <f t="shared" si="636"/>
        <v>12877.551436950142</v>
      </c>
      <c r="IZ132" s="61">
        <f t="shared" si="637"/>
        <v>454393.60070381203</v>
      </c>
      <c r="JA132" s="61">
        <f t="shared" si="638"/>
        <v>14717.201642228778</v>
      </c>
      <c r="JB132" s="61">
        <f t="shared" si="639"/>
        <v>0</v>
      </c>
      <c r="JC132" s="61">
        <f t="shared" si="640"/>
        <v>110379.01231671544</v>
      </c>
      <c r="JD132" s="61">
        <f t="shared" si="641"/>
        <v>42311.954721407688</v>
      </c>
      <c r="JE132" s="61">
        <f t="shared" si="642"/>
        <v>23915.452668621718</v>
      </c>
      <c r="JF132" s="61">
        <f t="shared" si="643"/>
        <v>11037.901231671556</v>
      </c>
      <c r="JG132" s="61">
        <f t="shared" si="644"/>
        <v>80944.609032258129</v>
      </c>
      <c r="JH132" s="61">
        <f t="shared" si="645"/>
        <v>23915.452668621718</v>
      </c>
      <c r="JI132" s="61">
        <f t="shared" si="646"/>
        <v>5518.9506158357744</v>
      </c>
      <c r="JJ132" s="61">
        <f t="shared" si="647"/>
        <v>11037.901231671549</v>
      </c>
      <c r="JK132" s="61">
        <f t="shared" si="648"/>
        <v>9198.2510263929889</v>
      </c>
      <c r="JL132" s="61">
        <f t="shared" si="649"/>
        <v>18396.502052785978</v>
      </c>
      <c r="JM132" s="61">
        <f t="shared" si="650"/>
        <v>0</v>
      </c>
      <c r="JN132" s="61">
        <f t="shared" si="651"/>
        <v>229956.27565982364</v>
      </c>
      <c r="JO132" s="61">
        <f t="shared" si="652"/>
        <v>0</v>
      </c>
      <c r="JQ132" s="26">
        <f t="shared" si="711"/>
        <v>4825544</v>
      </c>
      <c r="JR132" s="156">
        <f t="shared" si="712"/>
        <v>1</v>
      </c>
      <c r="JT132" s="157">
        <f t="shared" si="653"/>
        <v>42453.46627565979</v>
      </c>
      <c r="JU132" s="29">
        <f t="shared" si="654"/>
        <v>1</v>
      </c>
    </row>
    <row r="133" spans="1:281" ht="18.75" x14ac:dyDescent="0.3">
      <c r="A133" t="s">
        <v>234</v>
      </c>
      <c r="B133" s="10" t="s">
        <v>209</v>
      </c>
      <c r="C133" t="s">
        <v>28</v>
      </c>
      <c r="D133" t="s">
        <v>29</v>
      </c>
      <c r="E133" t="s">
        <v>293</v>
      </c>
      <c r="F133" s="114">
        <v>1981</v>
      </c>
      <c r="G133" s="17">
        <v>2532748</v>
      </c>
      <c r="H133" s="21">
        <v>1496725</v>
      </c>
      <c r="I133" s="25">
        <f t="shared" si="434"/>
        <v>1.6921932886802853</v>
      </c>
      <c r="J133" s="13">
        <v>3.6643026004728109E-2</v>
      </c>
      <c r="K133" s="13">
        <v>4.8210064167510891E-2</v>
      </c>
      <c r="L133" s="13">
        <v>2.1698750422154647E-2</v>
      </c>
      <c r="M133" s="13">
        <v>3.3772374197906104E-4</v>
      </c>
      <c r="N133" s="13">
        <v>2.4907125970955745E-2</v>
      </c>
      <c r="O133" s="13">
        <v>3.6220871327254343E-2</v>
      </c>
      <c r="P133" s="13">
        <v>2.929753461668351E-2</v>
      </c>
      <c r="Q133" s="13">
        <v>2.8537656197230608E-2</v>
      </c>
      <c r="R133" s="13">
        <v>3.275920297196893E-2</v>
      </c>
      <c r="S133" s="13">
        <v>2.6426882809861475E-2</v>
      </c>
      <c r="T133" s="13">
        <v>6.8135764944275465E-2</v>
      </c>
      <c r="U133" s="13">
        <v>1.9587977034785532E-2</v>
      </c>
      <c r="V133" s="13">
        <v>1.82370820668693E-2</v>
      </c>
      <c r="W133" s="13">
        <v>0.10030395136778124</v>
      </c>
      <c r="X133" s="13">
        <v>9.8446470786896209E-2</v>
      </c>
      <c r="Y133" s="13">
        <v>0.10393448159405637</v>
      </c>
      <c r="Z133" s="13">
        <v>6.75447483958121E-3</v>
      </c>
      <c r="AA133" s="13">
        <v>7.8436339074637124E-2</v>
      </c>
      <c r="AB133" s="13">
        <v>1.8828098615332585E-2</v>
      </c>
      <c r="AC133" s="13">
        <v>3.8416075650118148E-2</v>
      </c>
      <c r="AD133" s="13">
        <v>5.8257345491388016E-2</v>
      </c>
      <c r="AE133" s="13">
        <v>2.9550827423167957E-2</v>
      </c>
      <c r="AF133" s="13">
        <v>3.5714285714285685E-2</v>
      </c>
      <c r="AG133" s="9">
        <v>0</v>
      </c>
      <c r="AH133" s="13">
        <v>4.0357987166497786E-2</v>
      </c>
      <c r="AJ133" s="8">
        <f t="shared" si="656"/>
        <v>1.0000000000000002</v>
      </c>
      <c r="AK133" s="141">
        <f t="shared" si="435"/>
        <v>72.589834515366377</v>
      </c>
      <c r="AL133" s="141">
        <f t="shared" si="436"/>
        <v>95.504137115839072</v>
      </c>
      <c r="AM133" s="141">
        <f t="shared" si="437"/>
        <v>42.985224586288354</v>
      </c>
      <c r="AN133" s="141">
        <f t="shared" si="438"/>
        <v>0.66903073286051995</v>
      </c>
      <c r="AO133" s="141">
        <f t="shared" si="439"/>
        <v>49.34101654846333</v>
      </c>
      <c r="AP133" s="141">
        <f t="shared" si="440"/>
        <v>71.753546099290858</v>
      </c>
      <c r="AQ133" s="141">
        <f t="shared" si="441"/>
        <v>58.038416075650034</v>
      </c>
      <c r="AR133" s="141">
        <f t="shared" si="442"/>
        <v>56.533096926713839</v>
      </c>
      <c r="AS133" s="141">
        <f t="shared" si="443"/>
        <v>64.895981087470446</v>
      </c>
      <c r="AT133" s="141">
        <f t="shared" si="444"/>
        <v>52.351654846335585</v>
      </c>
      <c r="AU133" s="141">
        <f t="shared" si="445"/>
        <v>134.9769503546097</v>
      </c>
      <c r="AV133" s="141">
        <f t="shared" si="446"/>
        <v>38.803782505910135</v>
      </c>
      <c r="AW133" s="141">
        <f t="shared" si="447"/>
        <v>36.127659574468083</v>
      </c>
      <c r="AX133" s="141">
        <f t="shared" si="448"/>
        <v>198.70212765957464</v>
      </c>
      <c r="AY133" s="141">
        <f t="shared" si="449"/>
        <v>195.02245862884138</v>
      </c>
      <c r="AZ133" s="141">
        <f t="shared" si="450"/>
        <v>205.89420803782568</v>
      </c>
      <c r="BA133" s="141">
        <f t="shared" si="451"/>
        <v>13.380614657210376</v>
      </c>
      <c r="BB133" s="141">
        <f t="shared" si="452"/>
        <v>155.38238770685615</v>
      </c>
      <c r="BC133" s="141">
        <f t="shared" si="453"/>
        <v>37.298463356973848</v>
      </c>
      <c r="BD133" s="141">
        <f t="shared" si="454"/>
        <v>76.102245862884047</v>
      </c>
      <c r="BE133" s="141">
        <f t="shared" si="455"/>
        <v>115.40780141843966</v>
      </c>
      <c r="BF133" s="141">
        <f t="shared" si="456"/>
        <v>58.540189125295726</v>
      </c>
      <c r="BG133" s="141">
        <f t="shared" si="457"/>
        <v>70.749999999999943</v>
      </c>
      <c r="BH133" s="141">
        <f t="shared" si="458"/>
        <v>0</v>
      </c>
      <c r="BI133" s="141">
        <f t="shared" si="459"/>
        <v>79.949172576832112</v>
      </c>
      <c r="BJ133" s="141">
        <f t="shared" si="460"/>
        <v>0</v>
      </c>
      <c r="BM133" s="26">
        <f t="shared" si="657"/>
        <v>92807.550827423111</v>
      </c>
      <c r="BN133" s="26">
        <f t="shared" si="658"/>
        <v>122103.94360013488</v>
      </c>
      <c r="BO133" s="26">
        <f t="shared" si="659"/>
        <v>54957.466734211339</v>
      </c>
      <c r="BP133" s="26">
        <f t="shared" si="660"/>
        <v>855.36913204998291</v>
      </c>
      <c r="BQ133" s="26">
        <f t="shared" si="661"/>
        <v>63083.473488686221</v>
      </c>
      <c r="BR133" s="26">
        <f t="shared" si="662"/>
        <v>91738.339412360787</v>
      </c>
      <c r="BS133" s="26">
        <f t="shared" si="663"/>
        <v>74203.272205335932</v>
      </c>
      <c r="BT133" s="26">
        <f t="shared" si="664"/>
        <v>72278.691658223426</v>
      </c>
      <c r="BU133" s="26">
        <f t="shared" si="665"/>
        <v>82970.805808848367</v>
      </c>
      <c r="BV133" s="26">
        <f t="shared" si="666"/>
        <v>66932.634582911036</v>
      </c>
      <c r="BW133" s="26">
        <f t="shared" si="667"/>
        <v>172570.72239108381</v>
      </c>
      <c r="BX133" s="26">
        <f t="shared" si="668"/>
        <v>49611.409658898985</v>
      </c>
      <c r="BY133" s="26">
        <f t="shared" si="669"/>
        <v>46189.933130699086</v>
      </c>
      <c r="BZ133" s="26">
        <f t="shared" si="670"/>
        <v>254044.63221884519</v>
      </c>
      <c r="CA133" s="26">
        <f t="shared" si="671"/>
        <v>249340.10199256981</v>
      </c>
      <c r="CB133" s="26">
        <f t="shared" si="672"/>
        <v>263239.85038838309</v>
      </c>
      <c r="CC133" s="26">
        <f t="shared" si="673"/>
        <v>17107.382640999629</v>
      </c>
      <c r="CD133" s="26">
        <f t="shared" si="674"/>
        <v>198659.48091860901</v>
      </c>
      <c r="CE133" s="26">
        <f t="shared" si="675"/>
        <v>47686.829111786377</v>
      </c>
      <c r="CF133" s="26">
        <f t="shared" si="676"/>
        <v>97298.238770685435</v>
      </c>
      <c r="CG133" s="26">
        <f t="shared" si="677"/>
        <v>147551.17527862202</v>
      </c>
      <c r="CH133" s="26">
        <f t="shared" si="678"/>
        <v>74844.799054373798</v>
      </c>
      <c r="CI133" s="26">
        <f t="shared" si="679"/>
        <v>90455.285714285637</v>
      </c>
      <c r="CJ133" s="26">
        <f t="shared" si="680"/>
        <v>0</v>
      </c>
      <c r="CK133" s="26">
        <f t="shared" si="681"/>
        <v>102216.61127997293</v>
      </c>
      <c r="CL133" s="26">
        <f t="shared" si="682"/>
        <v>0</v>
      </c>
      <c r="CM133" s="110">
        <f t="shared" si="683"/>
        <v>1</v>
      </c>
      <c r="CN133" s="27">
        <f t="shared" si="684"/>
        <v>54844.53309692668</v>
      </c>
      <c r="CO133" s="27">
        <f t="shared" si="685"/>
        <v>72157.208291117742</v>
      </c>
      <c r="CP133" s="27">
        <f t="shared" si="686"/>
        <v>32477.062225599413</v>
      </c>
      <c r="CQ133" s="27">
        <f t="shared" si="687"/>
        <v>505.47956771361015</v>
      </c>
      <c r="CR133" s="27">
        <f t="shared" si="688"/>
        <v>37279.118118878738</v>
      </c>
      <c r="CS133" s="27">
        <f t="shared" si="689"/>
        <v>54212.683637284754</v>
      </c>
      <c r="CT133" s="27">
        <f t="shared" si="690"/>
        <v>43850.352499155626</v>
      </c>
      <c r="CU133" s="27">
        <f t="shared" si="691"/>
        <v>42713.023471799985</v>
      </c>
      <c r="CV133" s="27">
        <f t="shared" si="692"/>
        <v>49031.518068220197</v>
      </c>
      <c r="CW133" s="27">
        <f t="shared" si="693"/>
        <v>39553.776173589918</v>
      </c>
      <c r="CX133" s="27">
        <f t="shared" si="694"/>
        <v>101980.50278622069</v>
      </c>
      <c r="CY133" s="27">
        <f t="shared" si="695"/>
        <v>29317.814927389376</v>
      </c>
      <c r="CZ133" s="27">
        <f t="shared" si="696"/>
        <v>27295.896656534955</v>
      </c>
      <c r="DA133" s="27">
        <f t="shared" si="697"/>
        <v>150127.43161094238</v>
      </c>
      <c r="DB133" s="27">
        <f t="shared" si="698"/>
        <v>147347.29398851722</v>
      </c>
      <c r="DC133" s="27">
        <f t="shared" si="699"/>
        <v>155561.33696386401</v>
      </c>
      <c r="DD133" s="27">
        <f t="shared" si="700"/>
        <v>10109.591354272186</v>
      </c>
      <c r="DE133" s="27">
        <f t="shared" si="701"/>
        <v>117397.62960148625</v>
      </c>
      <c r="DF133" s="27">
        <f t="shared" si="702"/>
        <v>28180.485900033662</v>
      </c>
      <c r="DG133" s="27">
        <f t="shared" si="703"/>
        <v>57498.300827423082</v>
      </c>
      <c r="DH133" s="27">
        <f t="shared" si="704"/>
        <v>87195.225430597726</v>
      </c>
      <c r="DI133" s="27">
        <f t="shared" si="705"/>
        <v>44229.462174941058</v>
      </c>
      <c r="DJ133" s="27">
        <f t="shared" si="706"/>
        <v>53454.464285714239</v>
      </c>
      <c r="DK133" s="27">
        <f t="shared" si="707"/>
        <v>0</v>
      </c>
      <c r="DL133" s="27">
        <f t="shared" si="708"/>
        <v>60404.808341776399</v>
      </c>
      <c r="DM133" s="27">
        <f t="shared" si="709"/>
        <v>0</v>
      </c>
      <c r="DN133" s="110">
        <f t="shared" si="710"/>
        <v>1.0000000000000002</v>
      </c>
      <c r="DO133" s="28">
        <f t="shared" si="518"/>
        <v>37963.017730496431</v>
      </c>
      <c r="DP133" s="28">
        <f t="shared" si="519"/>
        <v>49946.735309017138</v>
      </c>
      <c r="DQ133" s="28">
        <f t="shared" si="520"/>
        <v>22480.404508611926</v>
      </c>
      <c r="DR133" s="28">
        <f t="shared" si="521"/>
        <v>349.88956433637276</v>
      </c>
      <c r="DS133" s="28">
        <f t="shared" si="522"/>
        <v>25804.355369807483</v>
      </c>
      <c r="DT133" s="28">
        <f t="shared" si="523"/>
        <v>37525.655775076033</v>
      </c>
      <c r="DU133" s="28">
        <f t="shared" si="524"/>
        <v>30352.919706180306</v>
      </c>
      <c r="DV133" s="28">
        <f t="shared" si="525"/>
        <v>29565.668186423442</v>
      </c>
      <c r="DW133" s="28">
        <f t="shared" si="526"/>
        <v>33939.28774062817</v>
      </c>
      <c r="DX133" s="28">
        <f t="shared" si="527"/>
        <v>27378.858409321118</v>
      </c>
      <c r="DY133" s="28">
        <f t="shared" si="528"/>
        <v>70590.219604863116</v>
      </c>
      <c r="DZ133" s="28">
        <f t="shared" si="529"/>
        <v>20293.594731509609</v>
      </c>
      <c r="EA133" s="28">
        <f t="shared" si="530"/>
        <v>18894.036474164132</v>
      </c>
      <c r="EB133" s="28">
        <f t="shared" si="531"/>
        <v>103917.20060790281</v>
      </c>
      <c r="EC133" s="28">
        <f t="shared" si="532"/>
        <v>101992.80800405258</v>
      </c>
      <c r="ED133" s="28">
        <f t="shared" si="533"/>
        <v>107678.51342451907</v>
      </c>
      <c r="EE133" s="28">
        <f t="shared" si="534"/>
        <v>6997.7912867274426</v>
      </c>
      <c r="EF133" s="28">
        <f t="shared" si="535"/>
        <v>81261.851317122768</v>
      </c>
      <c r="EG133" s="28">
        <f t="shared" si="536"/>
        <v>19506.343211752715</v>
      </c>
      <c r="EH133" s="28">
        <f t="shared" si="537"/>
        <v>39799.937943262354</v>
      </c>
      <c r="EI133" s="28">
        <f t="shared" si="538"/>
        <v>60355.949848024291</v>
      </c>
      <c r="EJ133" s="28">
        <f t="shared" si="539"/>
        <v>30615.33687943274</v>
      </c>
      <c r="EK133" s="28">
        <f t="shared" si="540"/>
        <v>37000.821428571398</v>
      </c>
      <c r="EL133" s="28">
        <f t="shared" si="541"/>
        <v>0</v>
      </c>
      <c r="EM133" s="28">
        <f t="shared" si="542"/>
        <v>41811.802938196532</v>
      </c>
      <c r="EN133" s="28">
        <f t="shared" si="543"/>
        <v>0</v>
      </c>
      <c r="EQ133" s="144">
        <v>4.3573286788257323E-2</v>
      </c>
      <c r="ER133" s="144">
        <v>5.4466888254169593E-2</v>
      </c>
      <c r="ES133" s="144">
        <v>6.5359934924230881E-2</v>
      </c>
      <c r="ET133" s="144">
        <v>6.8896736235269207E-2</v>
      </c>
      <c r="EU133" s="144">
        <v>8.8581444570595441E-2</v>
      </c>
      <c r="EV133" s="144">
        <v>0.10826564735138781</v>
      </c>
      <c r="EW133" s="144">
        <v>0.11810774874178401</v>
      </c>
      <c r="EX133" s="144">
        <v>9.842304040645776E-2</v>
      </c>
      <c r="EY133" s="144">
        <v>9.8423545960991635E-2</v>
      </c>
      <c r="EZ133" s="144">
        <v>7.87388376256654E-2</v>
      </c>
      <c r="FA133" s="144">
        <v>8.8581444570595441E-2</v>
      </c>
      <c r="FB133" s="144">
        <v>8.8581444570595441E-2</v>
      </c>
      <c r="FC133" s="145">
        <f t="shared" si="544"/>
        <v>1</v>
      </c>
      <c r="FD133" s="146">
        <f t="shared" si="545"/>
        <v>0.1634001099666578</v>
      </c>
      <c r="FE133" s="146">
        <f t="shared" si="546"/>
        <v>0.26574382815725245</v>
      </c>
      <c r="FF133" s="146">
        <f t="shared" si="547"/>
        <v>0.31495433510923337</v>
      </c>
      <c r="FG133" s="146">
        <f t="shared" si="548"/>
        <v>0.2559017267668563</v>
      </c>
      <c r="FH133" s="145">
        <f t="shared" si="655"/>
        <v>0.99999999999999989</v>
      </c>
      <c r="FJ133" s="52">
        <f t="shared" si="549"/>
        <v>15164.764010937119</v>
      </c>
      <c r="FK133" s="52">
        <f t="shared" si="550"/>
        <v>19951.797811624619</v>
      </c>
      <c r="FL133" s="52">
        <f t="shared" si="551"/>
        <v>8980.0561078590708</v>
      </c>
      <c r="FM133" s="52">
        <f t="shared" si="552"/>
        <v>139.76741023905186</v>
      </c>
      <c r="FN133" s="52">
        <f t="shared" si="553"/>
        <v>10307.84650513007</v>
      </c>
      <c r="FO133" s="52">
        <f t="shared" si="554"/>
        <v>14990.054748138329</v>
      </c>
      <c r="FP133" s="52">
        <f t="shared" si="555"/>
        <v>12124.822838237733</v>
      </c>
      <c r="FQ133" s="52">
        <f t="shared" si="556"/>
        <v>11810.346165199859</v>
      </c>
      <c r="FR133" s="52">
        <f t="shared" si="557"/>
        <v>13557.438793188032</v>
      </c>
      <c r="FS133" s="52">
        <f t="shared" si="558"/>
        <v>10936.799851205786</v>
      </c>
      <c r="FT133" s="52">
        <f t="shared" si="559"/>
        <v>28198.075015728667</v>
      </c>
      <c r="FU133" s="52">
        <f t="shared" si="560"/>
        <v>8106.5097938650033</v>
      </c>
      <c r="FV133" s="52">
        <f t="shared" si="561"/>
        <v>7547.4401529088009</v>
      </c>
      <c r="FW133" s="52">
        <f t="shared" si="562"/>
        <v>41510.920840998442</v>
      </c>
      <c r="FX133" s="52">
        <f t="shared" si="563"/>
        <v>40742.20008468358</v>
      </c>
      <c r="FY133" s="52">
        <f t="shared" si="564"/>
        <v>43013.420501068344</v>
      </c>
      <c r="FZ133" s="52">
        <f t="shared" si="565"/>
        <v>2795.3482047810321</v>
      </c>
      <c r="GA133" s="52">
        <f t="shared" si="566"/>
        <v>32460.981028019869</v>
      </c>
      <c r="GB133" s="52">
        <f t="shared" si="567"/>
        <v>7792.0331208271127</v>
      </c>
      <c r="GC133" s="52">
        <f t="shared" si="568"/>
        <v>15898.542914692127</v>
      </c>
      <c r="GD133" s="52">
        <f t="shared" si="569"/>
        <v>24109.878266236436</v>
      </c>
      <c r="GE133" s="52">
        <f t="shared" si="570"/>
        <v>12229.648395917084</v>
      </c>
      <c r="GF133" s="52">
        <f t="shared" si="571"/>
        <v>14780.403632779724</v>
      </c>
      <c r="GG133" s="52">
        <f t="shared" si="572"/>
        <v>0</v>
      </c>
      <c r="GH133" s="52">
        <f t="shared" si="573"/>
        <v>16702.205523566692</v>
      </c>
      <c r="GI133" s="52">
        <f t="shared" si="574"/>
        <v>0</v>
      </c>
      <c r="GJ133" s="26"/>
      <c r="GL133" s="150">
        <f t="shared" si="575"/>
        <v>24663.033838778199</v>
      </c>
      <c r="GM133" s="150">
        <f t="shared" si="576"/>
        <v>32448.36940539709</v>
      </c>
      <c r="GN133" s="150">
        <f t="shared" si="577"/>
        <v>14604.607595774176</v>
      </c>
      <c r="GO133" s="150">
        <f t="shared" si="578"/>
        <v>227.30906763850885</v>
      </c>
      <c r="GP133" s="150">
        <f t="shared" si="579"/>
        <v>16764.04373834002</v>
      </c>
      <c r="GQ133" s="150">
        <f t="shared" si="580"/>
        <v>24378.897504230106</v>
      </c>
      <c r="GR133" s="150">
        <f t="shared" si="581"/>
        <v>19719.061617640618</v>
      </c>
      <c r="GS133" s="150">
        <f t="shared" si="582"/>
        <v>19207.616215453963</v>
      </c>
      <c r="GT133" s="150">
        <f t="shared" si="583"/>
        <v>22048.979560935364</v>
      </c>
      <c r="GU133" s="150">
        <f t="shared" si="584"/>
        <v>17786.934542713283</v>
      </c>
      <c r="GV133" s="150">
        <f t="shared" si="585"/>
        <v>45859.604396069095</v>
      </c>
      <c r="GW133" s="150">
        <f t="shared" si="586"/>
        <v>13183.925923033506</v>
      </c>
      <c r="GX133" s="150">
        <f t="shared" si="587"/>
        <v>12274.689652479479</v>
      </c>
      <c r="GY133" s="150">
        <f t="shared" si="588"/>
        <v>67510.793088637191</v>
      </c>
      <c r="GZ133" s="150">
        <f t="shared" si="589"/>
        <v>66260.593216625275</v>
      </c>
      <c r="HA133" s="150">
        <f t="shared" si="590"/>
        <v>69954.365565751315</v>
      </c>
      <c r="HB133" s="150">
        <f t="shared" si="591"/>
        <v>4546.1813527701688</v>
      </c>
      <c r="HC133" s="150">
        <f t="shared" si="592"/>
        <v>52792.530959043805</v>
      </c>
      <c r="HD133" s="150">
        <f t="shared" si="593"/>
        <v>12672.480520846822</v>
      </c>
      <c r="HE133" s="150">
        <f t="shared" si="594"/>
        <v>25856.406443880347</v>
      </c>
      <c r="HF133" s="150">
        <f t="shared" si="595"/>
        <v>39210.814167642762</v>
      </c>
      <c r="HG133" s="150">
        <f t="shared" si="596"/>
        <v>19889.543418369602</v>
      </c>
      <c r="HH133" s="150">
        <f t="shared" si="597"/>
        <v>24037.933902772296</v>
      </c>
      <c r="HI133" s="150">
        <f t="shared" si="598"/>
        <v>0</v>
      </c>
      <c r="HJ133" s="150">
        <f t="shared" si="599"/>
        <v>27163.433582801797</v>
      </c>
      <c r="HK133" s="150">
        <f t="shared" si="600"/>
        <v>0</v>
      </c>
      <c r="HL133" s="26"/>
      <c r="HN133" s="147">
        <f t="shared" si="601"/>
        <v>29230.140463967429</v>
      </c>
      <c r="HO133" s="147">
        <f t="shared" si="602"/>
        <v>38457.166370795814</v>
      </c>
      <c r="HP133" s="147">
        <f t="shared" si="603"/>
        <v>17309.092394561343</v>
      </c>
      <c r="HQ133" s="147">
        <f t="shared" si="604"/>
        <v>269.40221625776439</v>
      </c>
      <c r="HR133" s="147">
        <f t="shared" si="605"/>
        <v>19868.413449010121</v>
      </c>
      <c r="HS133" s="147">
        <f t="shared" si="606"/>
        <v>28893.387693645273</v>
      </c>
      <c r="HT133" s="147">
        <f t="shared" si="607"/>
        <v>23370.642260361037</v>
      </c>
      <c r="HU133" s="147">
        <f t="shared" si="608"/>
        <v>22764.487273781051</v>
      </c>
      <c r="HV133" s="147">
        <f t="shared" si="609"/>
        <v>26132.014977003157</v>
      </c>
      <c r="HW133" s="147">
        <f t="shared" si="610"/>
        <v>21080.723422170024</v>
      </c>
      <c r="HX133" s="147">
        <f t="shared" si="611"/>
        <v>54351.89713000389</v>
      </c>
      <c r="HY133" s="147">
        <f t="shared" si="612"/>
        <v>15625.328542950328</v>
      </c>
      <c r="HZ133" s="147">
        <f t="shared" si="613"/>
        <v>14547.719677919282</v>
      </c>
      <c r="IA133" s="147">
        <f t="shared" si="614"/>
        <v>80012.458228556119</v>
      </c>
      <c r="IB133" s="147">
        <f t="shared" si="615"/>
        <v>78530.746039138263</v>
      </c>
      <c r="IC133" s="147">
        <f t="shared" si="616"/>
        <v>82908.532053327261</v>
      </c>
      <c r="ID133" s="147">
        <f t="shared" si="617"/>
        <v>5388.0443251552788</v>
      </c>
      <c r="IE133" s="147">
        <f t="shared" si="618"/>
        <v>62568.664725865936</v>
      </c>
      <c r="IF133" s="147">
        <f t="shared" si="619"/>
        <v>15019.173556370313</v>
      </c>
      <c r="IG133" s="147">
        <f t="shared" si="620"/>
        <v>30644.502099320664</v>
      </c>
      <c r="IH133" s="147">
        <f t="shared" si="621"/>
        <v>46471.88230446435</v>
      </c>
      <c r="II133" s="147">
        <f t="shared" si="622"/>
        <v>23572.693922554477</v>
      </c>
      <c r="IJ133" s="147">
        <f t="shared" si="623"/>
        <v>28489.28436925857</v>
      </c>
      <c r="IK133" s="147">
        <f t="shared" si="624"/>
        <v>0</v>
      </c>
      <c r="IL133" s="147">
        <f t="shared" si="625"/>
        <v>32193.56484280284</v>
      </c>
      <c r="IM133" s="147">
        <f t="shared" si="626"/>
        <v>0</v>
      </c>
      <c r="IN133" s="26"/>
      <c r="IP133" s="61">
        <f t="shared" si="627"/>
        <v>23749.612513740358</v>
      </c>
      <c r="IQ133" s="61">
        <f t="shared" si="628"/>
        <v>31246.610012317349</v>
      </c>
      <c r="IR133" s="61">
        <f t="shared" si="629"/>
        <v>14063.710636016744</v>
      </c>
      <c r="IS133" s="61">
        <f t="shared" si="630"/>
        <v>218.89043791465775</v>
      </c>
      <c r="IT133" s="61">
        <f t="shared" si="631"/>
        <v>16143.169796206004</v>
      </c>
      <c r="IU133" s="61">
        <f t="shared" si="632"/>
        <v>23475.999466347075</v>
      </c>
      <c r="IV133" s="61">
        <f t="shared" si="633"/>
        <v>18988.745489096538</v>
      </c>
      <c r="IW133" s="61">
        <f t="shared" si="634"/>
        <v>18496.242003788546</v>
      </c>
      <c r="IX133" s="61">
        <f t="shared" si="635"/>
        <v>21232.372477721809</v>
      </c>
      <c r="IY133" s="61">
        <f t="shared" si="636"/>
        <v>17128.176766821936</v>
      </c>
      <c r="IZ133" s="61">
        <f t="shared" si="637"/>
        <v>44161.14584928214</v>
      </c>
      <c r="JA133" s="61">
        <f t="shared" si="638"/>
        <v>12695.645399050143</v>
      </c>
      <c r="JB133" s="61">
        <f t="shared" si="639"/>
        <v>11820.083647391521</v>
      </c>
      <c r="JC133" s="61">
        <f t="shared" si="640"/>
        <v>65010.460060653422</v>
      </c>
      <c r="JD133" s="61">
        <f t="shared" si="641"/>
        <v>63806.56265212268</v>
      </c>
      <c r="JE133" s="61">
        <f t="shared" si="642"/>
        <v>67363.532268236144</v>
      </c>
      <c r="JF133" s="61">
        <f t="shared" si="643"/>
        <v>4377.8087582931475</v>
      </c>
      <c r="JG133" s="61">
        <f t="shared" si="644"/>
        <v>50837.304205679386</v>
      </c>
      <c r="JH133" s="61">
        <f t="shared" si="645"/>
        <v>12203.141913742125</v>
      </c>
      <c r="JI133" s="61">
        <f t="shared" si="646"/>
        <v>24898.787312792287</v>
      </c>
      <c r="JJ133" s="61">
        <f t="shared" si="647"/>
        <v>37758.60054027845</v>
      </c>
      <c r="JK133" s="61">
        <f t="shared" si="648"/>
        <v>19152.913317532628</v>
      </c>
      <c r="JL133" s="61">
        <f t="shared" si="649"/>
        <v>23147.663809475041</v>
      </c>
      <c r="JM133" s="61">
        <f t="shared" si="650"/>
        <v>0</v>
      </c>
      <c r="JN133" s="61">
        <f t="shared" si="651"/>
        <v>26157.407330801594</v>
      </c>
      <c r="JO133" s="61">
        <f t="shared" si="652"/>
        <v>0</v>
      </c>
      <c r="JQ133" s="26">
        <f t="shared" si="711"/>
        <v>2532747.9999999995</v>
      </c>
      <c r="JR133" s="156">
        <f t="shared" si="712"/>
        <v>0.99999999999999978</v>
      </c>
      <c r="JT133" s="157">
        <f t="shared" si="653"/>
        <v>92807.550827423096</v>
      </c>
      <c r="JU133" s="29">
        <f t="shared" si="654"/>
        <v>0.99999999999999989</v>
      </c>
    </row>
    <row r="134" spans="1:281" ht="18.75" x14ac:dyDescent="0.3">
      <c r="A134" t="s">
        <v>234</v>
      </c>
      <c r="B134" s="10" t="s">
        <v>7</v>
      </c>
      <c r="C134" t="s">
        <v>28</v>
      </c>
      <c r="D134" t="s">
        <v>29</v>
      </c>
      <c r="E134" t="s">
        <v>30</v>
      </c>
      <c r="F134" s="114">
        <v>8543</v>
      </c>
      <c r="G134" s="17">
        <v>9155448</v>
      </c>
      <c r="H134" s="21">
        <v>5543980</v>
      </c>
      <c r="I134" s="25">
        <f t="shared" si="434"/>
        <v>1.6514215419247544</v>
      </c>
      <c r="J134" s="13">
        <v>3.6643026004728123E-2</v>
      </c>
      <c r="K134" s="13">
        <v>4.8210064167510905E-2</v>
      </c>
      <c r="L134" s="13">
        <v>2.1698750422154633E-2</v>
      </c>
      <c r="M134" s="13">
        <v>3.3772374197906093E-4</v>
      </c>
      <c r="N134" s="13">
        <v>2.4907125970955794E-2</v>
      </c>
      <c r="O134" s="13">
        <v>3.622087132725426E-2</v>
      </c>
      <c r="P134" s="13">
        <v>2.9297534616683538E-2</v>
      </c>
      <c r="Q134" s="13">
        <v>2.8537656197230577E-2</v>
      </c>
      <c r="R134" s="13">
        <v>3.2759202971968923E-2</v>
      </c>
      <c r="S134" s="13">
        <v>2.6426882809861572E-2</v>
      </c>
      <c r="T134" s="13">
        <v>6.8135764944275437E-2</v>
      </c>
      <c r="U134" s="13">
        <v>1.9587977034785587E-2</v>
      </c>
      <c r="V134" s="13">
        <v>1.8237082066869283E-2</v>
      </c>
      <c r="W134" s="13">
        <v>0.10030395136778136</v>
      </c>
      <c r="X134" s="13">
        <v>9.8446470786896112E-2</v>
      </c>
      <c r="Y134" s="13">
        <v>0.10393448159405616</v>
      </c>
      <c r="Z134" s="13">
        <v>6.7544748395812169E-3</v>
      </c>
      <c r="AA134" s="13">
        <v>7.8436339074636957E-2</v>
      </c>
      <c r="AB134" s="13">
        <v>1.8828098615332637E-2</v>
      </c>
      <c r="AC134" s="13">
        <v>3.8416075650118196E-2</v>
      </c>
      <c r="AD134" s="13">
        <v>5.8257345491388106E-2</v>
      </c>
      <c r="AE134" s="13">
        <v>2.9550827423167836E-2</v>
      </c>
      <c r="AF134" s="13">
        <v>3.5714285714285761E-2</v>
      </c>
      <c r="AG134" s="9">
        <v>0</v>
      </c>
      <c r="AH134" s="13">
        <v>4.0357987166497827E-2</v>
      </c>
      <c r="AJ134" s="8">
        <f t="shared" si="656"/>
        <v>0.99999999999999989</v>
      </c>
      <c r="AK134" s="141">
        <f t="shared" si="435"/>
        <v>313.04137115839234</v>
      </c>
      <c r="AL134" s="141">
        <f t="shared" si="436"/>
        <v>411.85857818304567</v>
      </c>
      <c r="AM134" s="141">
        <f t="shared" si="437"/>
        <v>185.37242485646703</v>
      </c>
      <c r="AN134" s="141">
        <f t="shared" si="438"/>
        <v>2.8851739277271173</v>
      </c>
      <c r="AO134" s="141">
        <f t="shared" si="439"/>
        <v>212.78157716987533</v>
      </c>
      <c r="AP134" s="141">
        <f t="shared" si="440"/>
        <v>309.43490374873312</v>
      </c>
      <c r="AQ134" s="141">
        <f t="shared" si="441"/>
        <v>250.28883823032746</v>
      </c>
      <c r="AR134" s="141">
        <f t="shared" si="442"/>
        <v>243.79719689294083</v>
      </c>
      <c r="AS134" s="141">
        <f t="shared" si="443"/>
        <v>279.86187098953053</v>
      </c>
      <c r="AT134" s="141">
        <f t="shared" si="444"/>
        <v>225.76485984464742</v>
      </c>
      <c r="AU134" s="141">
        <f t="shared" si="445"/>
        <v>582.08383991894505</v>
      </c>
      <c r="AV134" s="141">
        <f t="shared" si="446"/>
        <v>167.34008780817328</v>
      </c>
      <c r="AW134" s="141">
        <f t="shared" si="447"/>
        <v>155.79939209726427</v>
      </c>
      <c r="AX134" s="141">
        <f t="shared" si="448"/>
        <v>856.89665653495615</v>
      </c>
      <c r="AY134" s="141">
        <f t="shared" si="449"/>
        <v>841.0281999324535</v>
      </c>
      <c r="AZ134" s="141">
        <f t="shared" si="450"/>
        <v>887.91227625802173</v>
      </c>
      <c r="BA134" s="141">
        <f t="shared" si="451"/>
        <v>57.703478554542336</v>
      </c>
      <c r="BB134" s="141">
        <f t="shared" si="452"/>
        <v>670.08164471462351</v>
      </c>
      <c r="BC134" s="141">
        <f t="shared" si="453"/>
        <v>160.84844647078671</v>
      </c>
      <c r="BD134" s="141">
        <f t="shared" si="454"/>
        <v>328.18853427895976</v>
      </c>
      <c r="BE134" s="141">
        <f t="shared" si="455"/>
        <v>497.69250253292859</v>
      </c>
      <c r="BF134" s="141">
        <f t="shared" si="456"/>
        <v>252.45271867612283</v>
      </c>
      <c r="BG134" s="141">
        <f t="shared" si="457"/>
        <v>305.10714285714323</v>
      </c>
      <c r="BH134" s="141">
        <f t="shared" si="458"/>
        <v>0</v>
      </c>
      <c r="BI134" s="141">
        <f t="shared" si="459"/>
        <v>344.77828436339092</v>
      </c>
      <c r="BJ134" s="141">
        <f t="shared" si="460"/>
        <v>0</v>
      </c>
      <c r="BM134" s="26">
        <f t="shared" si="657"/>
        <v>335483.31914893608</v>
      </c>
      <c r="BN134" s="26">
        <f t="shared" si="658"/>
        <v>441384.73556230939</v>
      </c>
      <c r="BO134" s="26">
        <f t="shared" si="659"/>
        <v>198661.78115501479</v>
      </c>
      <c r="BP134" s="26">
        <f t="shared" si="660"/>
        <v>3092.0121580547093</v>
      </c>
      <c r="BQ134" s="26">
        <f t="shared" si="661"/>
        <v>228035.89665653527</v>
      </c>
      <c r="BR134" s="26">
        <f t="shared" si="662"/>
        <v>331618.30395136739</v>
      </c>
      <c r="BS134" s="26">
        <f t="shared" si="663"/>
        <v>268232.05471124605</v>
      </c>
      <c r="BT134" s="26">
        <f t="shared" si="664"/>
        <v>261275.0273556223</v>
      </c>
      <c r="BU134" s="26">
        <f t="shared" si="665"/>
        <v>299925.17933130695</v>
      </c>
      <c r="BV134" s="26">
        <f t="shared" si="666"/>
        <v>241949.95136778153</v>
      </c>
      <c r="BW134" s="26">
        <f t="shared" si="667"/>
        <v>623813.45288753661</v>
      </c>
      <c r="BX134" s="26">
        <f t="shared" si="668"/>
        <v>179336.70516717364</v>
      </c>
      <c r="BY134" s="26">
        <f t="shared" si="669"/>
        <v>166968.65653495424</v>
      </c>
      <c r="BZ134" s="26">
        <f t="shared" si="670"/>
        <v>918327.61094225117</v>
      </c>
      <c r="CA134" s="26">
        <f t="shared" si="671"/>
        <v>901321.54407294642</v>
      </c>
      <c r="CB134" s="26">
        <f t="shared" si="672"/>
        <v>951566.74164133833</v>
      </c>
      <c r="CC134" s="26">
        <f t="shared" si="673"/>
        <v>61840.243161094171</v>
      </c>
      <c r="CD134" s="26">
        <f t="shared" si="674"/>
        <v>718119.82370820676</v>
      </c>
      <c r="CE134" s="26">
        <f t="shared" si="675"/>
        <v>172379.67781154995</v>
      </c>
      <c r="CF134" s="26">
        <f t="shared" si="676"/>
        <v>351716.38297872333</v>
      </c>
      <c r="CG134" s="26">
        <f t="shared" si="677"/>
        <v>533372.09726443829</v>
      </c>
      <c r="CH134" s="26">
        <f t="shared" si="678"/>
        <v>270551.06382978713</v>
      </c>
      <c r="CI134" s="26">
        <f t="shared" si="679"/>
        <v>326980.28571428615</v>
      </c>
      <c r="CJ134" s="26">
        <f t="shared" si="680"/>
        <v>0</v>
      </c>
      <c r="CK134" s="26">
        <f t="shared" si="681"/>
        <v>369495.45288753818</v>
      </c>
      <c r="CL134" s="26">
        <f t="shared" si="682"/>
        <v>0</v>
      </c>
      <c r="CM134" s="110">
        <f t="shared" si="683"/>
        <v>0.99999999999999978</v>
      </c>
      <c r="CN134" s="27">
        <f t="shared" si="684"/>
        <v>203148.20330969262</v>
      </c>
      <c r="CO134" s="27">
        <f t="shared" si="685"/>
        <v>267275.63154339709</v>
      </c>
      <c r="CP134" s="27">
        <f t="shared" si="686"/>
        <v>120297.43836541685</v>
      </c>
      <c r="CQ134" s="27">
        <f t="shared" si="687"/>
        <v>1872.3336710570743</v>
      </c>
      <c r="CR134" s="27">
        <f t="shared" si="688"/>
        <v>138084.60824045949</v>
      </c>
      <c r="CS134" s="27">
        <f t="shared" si="689"/>
        <v>200807.78622087109</v>
      </c>
      <c r="CT134" s="27">
        <f t="shared" si="690"/>
        <v>162424.94596420121</v>
      </c>
      <c r="CU134" s="27">
        <f t="shared" si="691"/>
        <v>158212.19520432237</v>
      </c>
      <c r="CV134" s="27">
        <f t="shared" si="692"/>
        <v>181616.36609253628</v>
      </c>
      <c r="CW134" s="27">
        <f t="shared" si="693"/>
        <v>146510.10976021635</v>
      </c>
      <c r="CX134" s="27">
        <f t="shared" si="694"/>
        <v>377743.31813576416</v>
      </c>
      <c r="CY134" s="27">
        <f t="shared" si="695"/>
        <v>108595.35292131059</v>
      </c>
      <c r="CZ134" s="27">
        <f t="shared" si="696"/>
        <v>101106.01823708197</v>
      </c>
      <c r="DA134" s="27">
        <f t="shared" si="697"/>
        <v>556083.10030395247</v>
      </c>
      <c r="DB134" s="27">
        <f t="shared" si="698"/>
        <v>545785.26511313627</v>
      </c>
      <c r="DC134" s="27">
        <f t="shared" si="699"/>
        <v>576210.68726781546</v>
      </c>
      <c r="DD134" s="27">
        <f t="shared" si="700"/>
        <v>37446.673421141473</v>
      </c>
      <c r="DE134" s="27">
        <f t="shared" si="701"/>
        <v>434849.49510300579</v>
      </c>
      <c r="DF134" s="27">
        <f t="shared" si="702"/>
        <v>104382.60216143183</v>
      </c>
      <c r="DG134" s="27">
        <f t="shared" si="703"/>
        <v>212977.95508274226</v>
      </c>
      <c r="DH134" s="27">
        <f t="shared" si="704"/>
        <v>322977.55825734581</v>
      </c>
      <c r="DI134" s="27">
        <f t="shared" si="705"/>
        <v>163829.19621749403</v>
      </c>
      <c r="DJ134" s="27">
        <f t="shared" si="706"/>
        <v>197999.28571428597</v>
      </c>
      <c r="DK134" s="27">
        <f t="shared" si="707"/>
        <v>0</v>
      </c>
      <c r="DL134" s="27">
        <f t="shared" si="708"/>
        <v>223743.87369132062</v>
      </c>
      <c r="DM134" s="27">
        <f t="shared" si="709"/>
        <v>0</v>
      </c>
      <c r="DN134" s="110">
        <f t="shared" si="710"/>
        <v>1</v>
      </c>
      <c r="DO134" s="28">
        <f t="shared" si="518"/>
        <v>132335.11583924346</v>
      </c>
      <c r="DP134" s="28">
        <f t="shared" si="519"/>
        <v>174109.1040189123</v>
      </c>
      <c r="DQ134" s="28">
        <f t="shared" si="520"/>
        <v>78364.34278959794</v>
      </c>
      <c r="DR134" s="28">
        <f t="shared" si="521"/>
        <v>1219.678486997635</v>
      </c>
      <c r="DS134" s="28">
        <f t="shared" si="522"/>
        <v>89951.288416075782</v>
      </c>
      <c r="DT134" s="28">
        <f t="shared" si="523"/>
        <v>130810.5177304963</v>
      </c>
      <c r="DU134" s="28">
        <f t="shared" si="524"/>
        <v>105807.10874704484</v>
      </c>
      <c r="DV134" s="28">
        <f t="shared" si="525"/>
        <v>103062.83215129992</v>
      </c>
      <c r="DW134" s="28">
        <f t="shared" si="526"/>
        <v>118308.81323877067</v>
      </c>
      <c r="DX134" s="28">
        <f t="shared" si="527"/>
        <v>95439.841607565177</v>
      </c>
      <c r="DY134" s="28">
        <f t="shared" si="528"/>
        <v>246070.13475177245</v>
      </c>
      <c r="DZ134" s="28">
        <f t="shared" si="529"/>
        <v>70741.352245863047</v>
      </c>
      <c r="EA134" s="28">
        <f t="shared" si="530"/>
        <v>65862.638297872269</v>
      </c>
      <c r="EB134" s="28">
        <f t="shared" si="531"/>
        <v>362244.5106382987</v>
      </c>
      <c r="EC134" s="28">
        <f t="shared" si="532"/>
        <v>355536.27895981015</v>
      </c>
      <c r="ED134" s="28">
        <f t="shared" si="533"/>
        <v>375356.05437352287</v>
      </c>
      <c r="EE134" s="28">
        <f t="shared" si="534"/>
        <v>24393.569739952698</v>
      </c>
      <c r="EF134" s="28">
        <f t="shared" si="535"/>
        <v>283270.32860520098</v>
      </c>
      <c r="EG134" s="28">
        <f t="shared" si="536"/>
        <v>67997.075650118117</v>
      </c>
      <c r="EH134" s="28">
        <f t="shared" si="537"/>
        <v>138738.42789598106</v>
      </c>
      <c r="EI134" s="28">
        <f t="shared" si="538"/>
        <v>210394.53900709248</v>
      </c>
      <c r="EJ134" s="28">
        <f t="shared" si="539"/>
        <v>106721.86761229311</v>
      </c>
      <c r="EK134" s="28">
        <f t="shared" si="540"/>
        <v>128981.00000000017</v>
      </c>
      <c r="EL134" s="28">
        <f t="shared" si="541"/>
        <v>0</v>
      </c>
      <c r="EM134" s="28">
        <f t="shared" si="542"/>
        <v>145751.57919621756</v>
      </c>
      <c r="EN134" s="28">
        <f t="shared" si="543"/>
        <v>0</v>
      </c>
      <c r="EQ134" s="144">
        <v>4.3573289558328211E-2</v>
      </c>
      <c r="ER134" s="144">
        <v>5.4466612253726281E-2</v>
      </c>
      <c r="ES134" s="144">
        <v>6.5359934949124343E-2</v>
      </c>
      <c r="ET134" s="144">
        <v>6.8896484382510392E-2</v>
      </c>
      <c r="EU134" s="144">
        <v>8.858119341662353E-2</v>
      </c>
      <c r="EV134" s="144">
        <v>0.10826590355598245</v>
      </c>
      <c r="EW134" s="144">
        <v>0.1181082586256619</v>
      </c>
      <c r="EX134" s="144">
        <v>9.8423548486303011E-2</v>
      </c>
      <c r="EY134" s="144">
        <v>9.8423548486303011E-2</v>
      </c>
      <c r="EZ134" s="144">
        <v>7.873883945218986E-2</v>
      </c>
      <c r="FA134" s="144">
        <v>8.858119341662353E-2</v>
      </c>
      <c r="FB134" s="144">
        <v>8.858119341662353E-2</v>
      </c>
      <c r="FC134" s="145">
        <f t="shared" si="544"/>
        <v>0.99999999999999989</v>
      </c>
      <c r="FD134" s="146">
        <f t="shared" si="545"/>
        <v>0.16339983676117883</v>
      </c>
      <c r="FE134" s="146">
        <f t="shared" si="546"/>
        <v>0.26574358135511633</v>
      </c>
      <c r="FF134" s="146">
        <f t="shared" si="547"/>
        <v>0.31495535559826793</v>
      </c>
      <c r="FG134" s="146">
        <f t="shared" si="548"/>
        <v>0.25590122628543693</v>
      </c>
      <c r="FH134" s="145">
        <f t="shared" si="655"/>
        <v>1</v>
      </c>
      <c r="FJ134" s="52">
        <f t="shared" si="549"/>
        <v>54817.919585034615</v>
      </c>
      <c r="FK134" s="52">
        <f t="shared" si="550"/>
        <v>72122.193739757437</v>
      </c>
      <c r="FL134" s="52">
        <f t="shared" si="551"/>
        <v>32461.302611414449</v>
      </c>
      <c r="FM134" s="52">
        <f t="shared" si="552"/>
        <v>505.2342818897198</v>
      </c>
      <c r="FN134" s="52">
        <f t="shared" si="553"/>
        <v>37261.028289366914</v>
      </c>
      <c r="FO134" s="52">
        <f t="shared" si="554"/>
        <v>54186.376732672419</v>
      </c>
      <c r="FP134" s="52">
        <f t="shared" si="555"/>
        <v>43829.073953933192</v>
      </c>
      <c r="FQ134" s="52">
        <f t="shared" si="556"/>
        <v>42692.296819681214</v>
      </c>
      <c r="FR134" s="52">
        <f t="shared" si="557"/>
        <v>49007.725343302845</v>
      </c>
      <c r="FS134" s="52">
        <f t="shared" si="558"/>
        <v>39534.582557870657</v>
      </c>
      <c r="FT134" s="52">
        <f t="shared" si="559"/>
        <v>101931.01637125081</v>
      </c>
      <c r="FU134" s="52">
        <f t="shared" si="560"/>
        <v>29303.58834960383</v>
      </c>
      <c r="FV134" s="52">
        <f t="shared" si="561"/>
        <v>27282.651222044857</v>
      </c>
      <c r="FW134" s="52">
        <f t="shared" si="562"/>
        <v>150054.58172124717</v>
      </c>
      <c r="FX134" s="52">
        <f t="shared" si="563"/>
        <v>147275.79317085311</v>
      </c>
      <c r="FY134" s="52">
        <f t="shared" si="564"/>
        <v>155485.85025156153</v>
      </c>
      <c r="FZ134" s="52">
        <f t="shared" si="565"/>
        <v>10104.685637794393</v>
      </c>
      <c r="GA134" s="52">
        <f t="shared" si="566"/>
        <v>117340.66196888751</v>
      </c>
      <c r="GB134" s="52">
        <f t="shared" si="567"/>
        <v>28166.811215351863</v>
      </c>
      <c r="GC134" s="52">
        <f t="shared" si="568"/>
        <v>57470.399564955653</v>
      </c>
      <c r="GD134" s="52">
        <f t="shared" si="569"/>
        <v>87152.913625976813</v>
      </c>
      <c r="GE134" s="52">
        <f t="shared" si="570"/>
        <v>44207.999665350493</v>
      </c>
      <c r="GF134" s="52">
        <f t="shared" si="571"/>
        <v>53428.525309837969</v>
      </c>
      <c r="GG134" s="52">
        <f t="shared" si="572"/>
        <v>0</v>
      </c>
      <c r="GH134" s="52">
        <f t="shared" si="573"/>
        <v>60375.496685821585</v>
      </c>
      <c r="GI134" s="52">
        <f t="shared" si="574"/>
        <v>0</v>
      </c>
      <c r="GJ134" s="26"/>
      <c r="GL134" s="150">
        <f t="shared" si="575"/>
        <v>89152.538715539747</v>
      </c>
      <c r="GM134" s="150">
        <f t="shared" si="576"/>
        <v>117295.16038380907</v>
      </c>
      <c r="GN134" s="150">
        <f t="shared" si="577"/>
        <v>52793.093202519987</v>
      </c>
      <c r="GO134" s="150">
        <f t="shared" si="578"/>
        <v>821.6823844750204</v>
      </c>
      <c r="GP134" s="150">
        <f t="shared" si="579"/>
        <v>60599.075855032883</v>
      </c>
      <c r="GQ134" s="150">
        <f t="shared" si="580"/>
        <v>88125.435734945888</v>
      </c>
      <c r="GR134" s="150">
        <f t="shared" si="581"/>
        <v>71280.946853208035</v>
      </c>
      <c r="GS134" s="150">
        <f t="shared" si="582"/>
        <v>69432.161488139056</v>
      </c>
      <c r="GT134" s="150">
        <f t="shared" si="583"/>
        <v>79703.191294077027</v>
      </c>
      <c r="GU134" s="150">
        <f t="shared" si="584"/>
        <v>64296.646585170492</v>
      </c>
      <c r="GV134" s="150">
        <f t="shared" si="585"/>
        <v>165774.42106783512</v>
      </c>
      <c r="GW134" s="150">
        <f t="shared" si="586"/>
        <v>47657.578299551322</v>
      </c>
      <c r="GX134" s="150">
        <f t="shared" si="587"/>
        <v>44370.84876165109</v>
      </c>
      <c r="GY134" s="150">
        <f t="shared" si="588"/>
        <v>244039.66818908174</v>
      </c>
      <c r="GZ134" s="150">
        <f t="shared" si="589"/>
        <v>239520.4150744681</v>
      </c>
      <c r="HA134" s="150">
        <f t="shared" si="590"/>
        <v>252872.75382218795</v>
      </c>
      <c r="HB134" s="150">
        <f t="shared" si="591"/>
        <v>16433.647689500405</v>
      </c>
      <c r="HC134" s="150">
        <f t="shared" si="592"/>
        <v>190835.73379432363</v>
      </c>
      <c r="HD134" s="150">
        <f t="shared" si="593"/>
        <v>45808.792934482364</v>
      </c>
      <c r="HE134" s="150">
        <f t="shared" si="594"/>
        <v>93466.371234033621</v>
      </c>
      <c r="HF134" s="150">
        <f t="shared" si="595"/>
        <v>141740.21132194129</v>
      </c>
      <c r="HG134" s="150">
        <f t="shared" si="596"/>
        <v>71897.208641564313</v>
      </c>
      <c r="HH134" s="150">
        <f t="shared" si="597"/>
        <v>86892.912158233579</v>
      </c>
      <c r="HI134" s="150">
        <f t="shared" si="598"/>
        <v>0</v>
      </c>
      <c r="HJ134" s="150">
        <f t="shared" si="599"/>
        <v>98191.044944765061</v>
      </c>
      <c r="HK134" s="150">
        <f t="shared" si="600"/>
        <v>0</v>
      </c>
      <c r="HL134" s="26"/>
      <c r="HN134" s="147">
        <f t="shared" si="601"/>
        <v>105662.26807984037</v>
      </c>
      <c r="HO134" s="147">
        <f t="shared" si="602"/>
        <v>139016.4863446746</v>
      </c>
      <c r="HP134" s="147">
        <f t="shared" si="603"/>
        <v>62569.591927462963</v>
      </c>
      <c r="HQ134" s="147">
        <f t="shared" si="604"/>
        <v>973.84578875428883</v>
      </c>
      <c r="HR134" s="147">
        <f t="shared" si="605"/>
        <v>71821.126920628943</v>
      </c>
      <c r="HS134" s="147">
        <f t="shared" si="606"/>
        <v>104444.96084389741</v>
      </c>
      <c r="HT134" s="147">
        <f t="shared" si="607"/>
        <v>84481.122174434553</v>
      </c>
      <c r="HU134" s="147">
        <f t="shared" si="608"/>
        <v>82289.969149737197</v>
      </c>
      <c r="HV134" s="147">
        <f t="shared" si="609"/>
        <v>94463.041509166054</v>
      </c>
      <c r="HW134" s="147">
        <f t="shared" si="610"/>
        <v>76203.432970023263</v>
      </c>
      <c r="HX134" s="147">
        <f t="shared" si="611"/>
        <v>196473.38788117745</v>
      </c>
      <c r="HY134" s="147">
        <f t="shared" si="612"/>
        <v>56483.055747748906</v>
      </c>
      <c r="HZ134" s="147">
        <f t="shared" si="613"/>
        <v>52587.672592731571</v>
      </c>
      <c r="IA134" s="147">
        <f t="shared" si="614"/>
        <v>289232.19926002453</v>
      </c>
      <c r="IB134" s="147">
        <f t="shared" si="615"/>
        <v>283876.04742187477</v>
      </c>
      <c r="IC134" s="147">
        <f t="shared" si="616"/>
        <v>299701.04148913285</v>
      </c>
      <c r="ID134" s="147">
        <f t="shared" si="617"/>
        <v>19476.91577508577</v>
      </c>
      <c r="IE134" s="147">
        <f t="shared" si="618"/>
        <v>226175.68443818373</v>
      </c>
      <c r="IF134" s="147">
        <f t="shared" si="619"/>
        <v>54291.902723051571</v>
      </c>
      <c r="IG134" s="147">
        <f t="shared" si="620"/>
        <v>110774.9584708004</v>
      </c>
      <c r="IH134" s="147">
        <f t="shared" si="621"/>
        <v>167988.39856011511</v>
      </c>
      <c r="II134" s="147">
        <f t="shared" si="622"/>
        <v>85211.506516000285</v>
      </c>
      <c r="IJ134" s="147">
        <f t="shared" si="623"/>
        <v>102984.19216076624</v>
      </c>
      <c r="IK134" s="147">
        <f t="shared" si="624"/>
        <v>0</v>
      </c>
      <c r="IL134" s="147">
        <f t="shared" si="625"/>
        <v>116374.57175613764</v>
      </c>
      <c r="IM134" s="147">
        <f t="shared" si="626"/>
        <v>0</v>
      </c>
      <c r="IN134" s="26"/>
      <c r="IP134" s="61">
        <f t="shared" si="627"/>
        <v>85850.592768521354</v>
      </c>
      <c r="IQ134" s="61">
        <f t="shared" si="628"/>
        <v>112950.89509406828</v>
      </c>
      <c r="IR134" s="61">
        <f t="shared" si="629"/>
        <v>50837.793413617394</v>
      </c>
      <c r="IS134" s="61">
        <f t="shared" si="630"/>
        <v>791.24970293568038</v>
      </c>
      <c r="IT134" s="61">
        <f t="shared" si="631"/>
        <v>58354.665591506542</v>
      </c>
      <c r="IU134" s="61">
        <f t="shared" si="632"/>
        <v>84861.53063985167</v>
      </c>
      <c r="IV134" s="61">
        <f t="shared" si="633"/>
        <v>68640.911729670275</v>
      </c>
      <c r="IW134" s="61">
        <f t="shared" si="634"/>
        <v>66860.599898064829</v>
      </c>
      <c r="IX134" s="61">
        <f t="shared" si="635"/>
        <v>76751.221184761031</v>
      </c>
      <c r="IY134" s="61">
        <f t="shared" si="636"/>
        <v>61915.289254717121</v>
      </c>
      <c r="IZ134" s="61">
        <f t="shared" si="637"/>
        <v>159634.62756727324</v>
      </c>
      <c r="JA134" s="61">
        <f t="shared" si="638"/>
        <v>45892.482770269591</v>
      </c>
      <c r="JB134" s="61">
        <f t="shared" si="639"/>
        <v>42727.483958526725</v>
      </c>
      <c r="JC134" s="61">
        <f t="shared" si="640"/>
        <v>235001.16177189769</v>
      </c>
      <c r="JD134" s="61">
        <f t="shared" si="641"/>
        <v>230649.28840575047</v>
      </c>
      <c r="JE134" s="61">
        <f t="shared" si="642"/>
        <v>243507.09607845603</v>
      </c>
      <c r="JF134" s="61">
        <f t="shared" si="643"/>
        <v>15824.994058713602</v>
      </c>
      <c r="JG134" s="61">
        <f t="shared" si="644"/>
        <v>183767.74350681191</v>
      </c>
      <c r="JH134" s="61">
        <f t="shared" si="645"/>
        <v>44112.170938664152</v>
      </c>
      <c r="JI134" s="61">
        <f t="shared" si="646"/>
        <v>90004.653708933678</v>
      </c>
      <c r="JJ134" s="61">
        <f t="shared" si="647"/>
        <v>136490.57375640509</v>
      </c>
      <c r="JK134" s="61">
        <f t="shared" si="648"/>
        <v>69234.349006872042</v>
      </c>
      <c r="JL134" s="61">
        <f t="shared" si="649"/>
        <v>83674.656085448354</v>
      </c>
      <c r="JM134" s="61">
        <f t="shared" si="650"/>
        <v>0</v>
      </c>
      <c r="JN134" s="61">
        <f t="shared" si="651"/>
        <v>94554.339500813905</v>
      </c>
      <c r="JO134" s="61">
        <f t="shared" si="652"/>
        <v>0</v>
      </c>
      <c r="JQ134" s="26">
        <f t="shared" si="711"/>
        <v>9155447.9999999963</v>
      </c>
      <c r="JR134" s="156">
        <f t="shared" si="712"/>
        <v>0.99999999999999956</v>
      </c>
      <c r="JT134" s="157">
        <f t="shared" si="653"/>
        <v>335483.31914893608</v>
      </c>
      <c r="JU134" s="29">
        <f t="shared" si="654"/>
        <v>1</v>
      </c>
    </row>
    <row r="135" spans="1:281" ht="18.75" x14ac:dyDescent="0.3">
      <c r="A135" t="s">
        <v>234</v>
      </c>
      <c r="B135" s="10" t="s">
        <v>210</v>
      </c>
      <c r="C135" t="s">
        <v>28</v>
      </c>
      <c r="D135" t="s">
        <v>29</v>
      </c>
      <c r="E135" t="s">
        <v>294</v>
      </c>
      <c r="F135" s="114">
        <v>600</v>
      </c>
      <c r="G135" s="17">
        <v>4011876</v>
      </c>
      <c r="H135" s="21">
        <v>2399706</v>
      </c>
      <c r="I135" s="25">
        <f t="shared" si="434"/>
        <v>1.6718197979252458</v>
      </c>
      <c r="J135" s="13">
        <v>3.6643026004728164E-2</v>
      </c>
      <c r="K135" s="13">
        <v>4.8210064167511044E-2</v>
      </c>
      <c r="L135" s="13">
        <v>2.1698750422154706E-2</v>
      </c>
      <c r="M135" s="13">
        <v>3.3772374197906115E-4</v>
      </c>
      <c r="N135" s="13">
        <v>2.4907125970955749E-2</v>
      </c>
      <c r="O135" s="13">
        <v>3.622087132725433E-2</v>
      </c>
      <c r="P135" s="13">
        <v>2.9297534616683531E-2</v>
      </c>
      <c r="Q135" s="13">
        <v>2.8537656197230688E-2</v>
      </c>
      <c r="R135" s="13">
        <v>3.2759202971968902E-2</v>
      </c>
      <c r="S135" s="13">
        <v>2.6426882809861548E-2</v>
      </c>
      <c r="T135" s="13">
        <v>6.8135764944275659E-2</v>
      </c>
      <c r="U135" s="13">
        <v>1.9587977034785514E-2</v>
      </c>
      <c r="V135" s="13">
        <v>1.8237082066869349E-2</v>
      </c>
      <c r="W135" s="13">
        <v>0.10030395136778114</v>
      </c>
      <c r="X135" s="13">
        <v>9.8446470786896348E-2</v>
      </c>
      <c r="Y135" s="13">
        <v>0.10393448159405599</v>
      </c>
      <c r="Z135" s="13">
        <v>6.7544748395812256E-3</v>
      </c>
      <c r="AA135" s="13">
        <v>7.8436339074636957E-2</v>
      </c>
      <c r="AB135" s="13">
        <v>1.8828098615332661E-2</v>
      </c>
      <c r="AC135" s="13">
        <v>3.8416075650118134E-2</v>
      </c>
      <c r="AD135" s="13">
        <v>5.8257345491387912E-2</v>
      </c>
      <c r="AE135" s="13">
        <v>2.9550827423167763E-2</v>
      </c>
      <c r="AF135" s="13">
        <v>3.5714285714285747E-2</v>
      </c>
      <c r="AG135" s="9">
        <v>0</v>
      </c>
      <c r="AH135" s="13">
        <v>4.035798716649782E-2</v>
      </c>
      <c r="AJ135" s="8">
        <f t="shared" si="656"/>
        <v>1</v>
      </c>
      <c r="AK135" s="141">
        <f t="shared" si="435"/>
        <v>21.985815602836897</v>
      </c>
      <c r="AL135" s="141">
        <f t="shared" si="436"/>
        <v>28.926038500506625</v>
      </c>
      <c r="AM135" s="141">
        <f t="shared" si="437"/>
        <v>13.019250253292824</v>
      </c>
      <c r="AN135" s="141">
        <f t="shared" si="438"/>
        <v>0.2026342451874367</v>
      </c>
      <c r="AO135" s="141">
        <f t="shared" si="439"/>
        <v>14.944275582573448</v>
      </c>
      <c r="AP135" s="141">
        <f t="shared" si="440"/>
        <v>21.732522796352598</v>
      </c>
      <c r="AQ135" s="141">
        <f t="shared" si="441"/>
        <v>17.578520770010119</v>
      </c>
      <c r="AR135" s="141">
        <f t="shared" si="442"/>
        <v>17.122593718338411</v>
      </c>
      <c r="AS135" s="141">
        <f t="shared" si="443"/>
        <v>19.655521783181342</v>
      </c>
      <c r="AT135" s="141">
        <f t="shared" si="444"/>
        <v>15.85612968591693</v>
      </c>
      <c r="AU135" s="141">
        <f t="shared" si="445"/>
        <v>40.881458966565397</v>
      </c>
      <c r="AV135" s="141">
        <f t="shared" si="446"/>
        <v>11.752786220871309</v>
      </c>
      <c r="AW135" s="141">
        <f t="shared" si="447"/>
        <v>10.942249240121608</v>
      </c>
      <c r="AX135" s="141">
        <f t="shared" si="448"/>
        <v>60.182370820668687</v>
      </c>
      <c r="AY135" s="141">
        <f t="shared" si="449"/>
        <v>59.067882472137811</v>
      </c>
      <c r="AZ135" s="141">
        <f t="shared" si="450"/>
        <v>62.360688956433599</v>
      </c>
      <c r="BA135" s="141">
        <f t="shared" si="451"/>
        <v>4.0526849037487356</v>
      </c>
      <c r="BB135" s="141">
        <f t="shared" si="452"/>
        <v>47.061803444782171</v>
      </c>
      <c r="BC135" s="141">
        <f t="shared" si="453"/>
        <v>11.296859169199596</v>
      </c>
      <c r="BD135" s="141">
        <f t="shared" si="454"/>
        <v>23.049645390070879</v>
      </c>
      <c r="BE135" s="141">
        <f t="shared" si="455"/>
        <v>34.954407294832748</v>
      </c>
      <c r="BF135" s="141">
        <f t="shared" si="456"/>
        <v>17.730496453900656</v>
      </c>
      <c r="BG135" s="141">
        <f t="shared" si="457"/>
        <v>21.428571428571448</v>
      </c>
      <c r="BH135" s="141">
        <f t="shared" si="458"/>
        <v>0</v>
      </c>
      <c r="BI135" s="141">
        <f t="shared" si="459"/>
        <v>24.214792299898694</v>
      </c>
      <c r="BJ135" s="141">
        <f t="shared" si="460"/>
        <v>0</v>
      </c>
      <c r="BM135" s="26">
        <f t="shared" si="657"/>
        <v>147007.2765957448</v>
      </c>
      <c r="BN135" s="26">
        <f t="shared" si="658"/>
        <v>193412.79939209754</v>
      </c>
      <c r="BO135" s="26">
        <f t="shared" si="659"/>
        <v>87052.696048632337</v>
      </c>
      <c r="BP135" s="26">
        <f t="shared" si="660"/>
        <v>1354.905775075988</v>
      </c>
      <c r="BQ135" s="26">
        <f t="shared" si="661"/>
        <v>99924.300911854065</v>
      </c>
      <c r="BR135" s="26">
        <f t="shared" si="662"/>
        <v>145313.64437689979</v>
      </c>
      <c r="BS135" s="26">
        <f t="shared" si="663"/>
        <v>117538.07598784186</v>
      </c>
      <c r="BT135" s="26">
        <f t="shared" si="664"/>
        <v>114489.53799392107</v>
      </c>
      <c r="BU135" s="26">
        <f t="shared" si="665"/>
        <v>131425.8601823707</v>
      </c>
      <c r="BV135" s="26">
        <f t="shared" si="666"/>
        <v>106021.37689969612</v>
      </c>
      <c r="BW135" s="26">
        <f t="shared" si="667"/>
        <v>273352.24012158083</v>
      </c>
      <c r="BX135" s="26">
        <f t="shared" si="668"/>
        <v>78584.534954407165</v>
      </c>
      <c r="BY135" s="26">
        <f t="shared" si="669"/>
        <v>73164.911854103528</v>
      </c>
      <c r="BZ135" s="26">
        <f t="shared" si="670"/>
        <v>402407.01519756834</v>
      </c>
      <c r="CA135" s="26">
        <f t="shared" si="671"/>
        <v>394955.03343465057</v>
      </c>
      <c r="CB135" s="26">
        <f t="shared" si="672"/>
        <v>416972.25227963499</v>
      </c>
      <c r="CC135" s="26">
        <f t="shared" si="673"/>
        <v>27098.115501519769</v>
      </c>
      <c r="CD135" s="26">
        <f t="shared" si="674"/>
        <v>314676.86626139825</v>
      </c>
      <c r="CE135" s="26">
        <f t="shared" si="675"/>
        <v>75535.996960486329</v>
      </c>
      <c r="CF135" s="26">
        <f t="shared" si="676"/>
        <v>154120.53191489333</v>
      </c>
      <c r="CG135" s="26">
        <f t="shared" si="677"/>
        <v>233721.24620060736</v>
      </c>
      <c r="CH135" s="26">
        <f t="shared" si="678"/>
        <v>118554.25531914859</v>
      </c>
      <c r="CI135" s="26">
        <f t="shared" si="679"/>
        <v>143281.28571428586</v>
      </c>
      <c r="CJ135" s="26">
        <f t="shared" si="680"/>
        <v>0</v>
      </c>
      <c r="CK135" s="26">
        <f t="shared" si="681"/>
        <v>161911.2401215806</v>
      </c>
      <c r="CL135" s="26">
        <f t="shared" si="682"/>
        <v>0</v>
      </c>
      <c r="CM135" s="110">
        <f t="shared" si="683"/>
        <v>1.0000000000000002</v>
      </c>
      <c r="CN135" s="27">
        <f t="shared" si="684"/>
        <v>87932.489361702203</v>
      </c>
      <c r="CO135" s="27">
        <f t="shared" si="685"/>
        <v>115689.98024316126</v>
      </c>
      <c r="CP135" s="27">
        <f t="shared" si="686"/>
        <v>52070.62158054718</v>
      </c>
      <c r="CQ135" s="27">
        <f t="shared" si="687"/>
        <v>810.43768996960489</v>
      </c>
      <c r="CR135" s="27">
        <f t="shared" si="688"/>
        <v>59769.779635258339</v>
      </c>
      <c r="CS135" s="27">
        <f t="shared" si="689"/>
        <v>86919.442249240179</v>
      </c>
      <c r="CT135" s="27">
        <f t="shared" si="690"/>
        <v>70305.469604863174</v>
      </c>
      <c r="CU135" s="27">
        <f t="shared" si="691"/>
        <v>68481.98480243166</v>
      </c>
      <c r="CV135" s="27">
        <f t="shared" si="692"/>
        <v>78612.455927051604</v>
      </c>
      <c r="CW135" s="27">
        <f t="shared" si="693"/>
        <v>63416.749240121615</v>
      </c>
      <c r="CX135" s="27">
        <f t="shared" si="694"/>
        <v>163505.80395136797</v>
      </c>
      <c r="CY135" s="27">
        <f t="shared" si="695"/>
        <v>47005.386018237004</v>
      </c>
      <c r="CZ135" s="27">
        <f t="shared" si="696"/>
        <v>43763.63525835878</v>
      </c>
      <c r="DA135" s="27">
        <f t="shared" si="697"/>
        <v>240699.9939209726</v>
      </c>
      <c r="DB135" s="27">
        <f t="shared" si="698"/>
        <v>236242.58662613988</v>
      </c>
      <c r="DC135" s="27">
        <f t="shared" si="699"/>
        <v>249412.19908814575</v>
      </c>
      <c r="DD135" s="27">
        <f t="shared" si="700"/>
        <v>16208.753799392105</v>
      </c>
      <c r="DE135" s="27">
        <f t="shared" si="701"/>
        <v>188224.15349544075</v>
      </c>
      <c r="DF135" s="27">
        <f t="shared" si="702"/>
        <v>45181.901215805476</v>
      </c>
      <c r="DG135" s="27">
        <f t="shared" si="703"/>
        <v>92187.287234042393</v>
      </c>
      <c r="DH135" s="27">
        <f t="shared" si="704"/>
        <v>139800.50151975651</v>
      </c>
      <c r="DI135" s="27">
        <f t="shared" si="705"/>
        <v>70913.297872340219</v>
      </c>
      <c r="DJ135" s="27">
        <f t="shared" si="706"/>
        <v>85703.785714285797</v>
      </c>
      <c r="DK135" s="27">
        <f t="shared" si="707"/>
        <v>0</v>
      </c>
      <c r="DL135" s="27">
        <f t="shared" si="708"/>
        <v>96847.303951367823</v>
      </c>
      <c r="DM135" s="27">
        <f t="shared" si="709"/>
        <v>0</v>
      </c>
      <c r="DN135" s="110">
        <f t="shared" si="710"/>
        <v>1</v>
      </c>
      <c r="DO135" s="28">
        <f t="shared" si="518"/>
        <v>59074.787234042597</v>
      </c>
      <c r="DP135" s="28">
        <f t="shared" si="519"/>
        <v>77722.81914893628</v>
      </c>
      <c r="DQ135" s="28">
        <f t="shared" si="520"/>
        <v>34982.074468085157</v>
      </c>
      <c r="DR135" s="28">
        <f t="shared" si="521"/>
        <v>544.46808510638311</v>
      </c>
      <c r="DS135" s="28">
        <f t="shared" si="522"/>
        <v>40154.521276595726</v>
      </c>
      <c r="DT135" s="28">
        <f t="shared" si="523"/>
        <v>58394.202127659606</v>
      </c>
      <c r="DU135" s="28">
        <f t="shared" si="524"/>
        <v>47232.606382978687</v>
      </c>
      <c r="DV135" s="28">
        <f t="shared" si="525"/>
        <v>46007.553191489409</v>
      </c>
      <c r="DW135" s="28">
        <f t="shared" si="526"/>
        <v>52813.404255319096</v>
      </c>
      <c r="DX135" s="28">
        <f t="shared" si="527"/>
        <v>42604.6276595745</v>
      </c>
      <c r="DY135" s="28">
        <f t="shared" si="528"/>
        <v>109846.43617021287</v>
      </c>
      <c r="DZ135" s="28">
        <f t="shared" si="529"/>
        <v>31579.148936170161</v>
      </c>
      <c r="EA135" s="28">
        <f t="shared" si="530"/>
        <v>29401.276595744748</v>
      </c>
      <c r="EB135" s="28">
        <f t="shared" si="531"/>
        <v>161707.02127659574</v>
      </c>
      <c r="EC135" s="28">
        <f t="shared" si="532"/>
        <v>158712.44680851069</v>
      </c>
      <c r="ED135" s="28">
        <f t="shared" si="533"/>
        <v>167560.05319148925</v>
      </c>
      <c r="EE135" s="28">
        <f t="shared" si="534"/>
        <v>10889.361702127664</v>
      </c>
      <c r="EF135" s="28">
        <f t="shared" si="535"/>
        <v>126452.71276595749</v>
      </c>
      <c r="EG135" s="28">
        <f t="shared" si="536"/>
        <v>30354.095744680853</v>
      </c>
      <c r="EH135" s="28">
        <f t="shared" si="537"/>
        <v>61933.244680850941</v>
      </c>
      <c r="EI135" s="28">
        <f t="shared" si="538"/>
        <v>93920.744680850854</v>
      </c>
      <c r="EJ135" s="28">
        <f t="shared" si="539"/>
        <v>47640.957446808374</v>
      </c>
      <c r="EK135" s="28">
        <f t="shared" si="540"/>
        <v>57577.500000000058</v>
      </c>
      <c r="EL135" s="28">
        <f t="shared" si="541"/>
        <v>0</v>
      </c>
      <c r="EM135" s="28">
        <f t="shared" si="542"/>
        <v>65063.936170212779</v>
      </c>
      <c r="EN135" s="28">
        <f t="shared" si="543"/>
        <v>0</v>
      </c>
      <c r="EQ135" s="144">
        <v>0.04</v>
      </c>
      <c r="ER135" s="144">
        <v>4.9999999999999996E-2</v>
      </c>
      <c r="ES135" s="144">
        <v>0.06</v>
      </c>
      <c r="ET135" s="144">
        <v>7.0000000000000007E-2</v>
      </c>
      <c r="EU135" s="144">
        <v>0.09</v>
      </c>
      <c r="EV135" s="144">
        <v>0.11</v>
      </c>
      <c r="EW135" s="144">
        <v>0.12</v>
      </c>
      <c r="EX135" s="144">
        <v>9.9999999999999992E-2</v>
      </c>
      <c r="EY135" s="144">
        <v>9.9999999999999992E-2</v>
      </c>
      <c r="EZ135" s="144">
        <v>0.08</v>
      </c>
      <c r="FA135" s="144">
        <v>0.09</v>
      </c>
      <c r="FB135" s="144">
        <v>0.09</v>
      </c>
      <c r="FC135" s="145">
        <f t="shared" si="544"/>
        <v>0.99999999999999989</v>
      </c>
      <c r="FD135" s="146">
        <f t="shared" si="545"/>
        <v>0.15</v>
      </c>
      <c r="FE135" s="146">
        <f t="shared" si="546"/>
        <v>0.27</v>
      </c>
      <c r="FF135" s="146">
        <f t="shared" si="547"/>
        <v>0.31999999999999995</v>
      </c>
      <c r="FG135" s="146">
        <f t="shared" si="548"/>
        <v>0.26</v>
      </c>
      <c r="FH135" s="145">
        <f t="shared" si="655"/>
        <v>1</v>
      </c>
      <c r="FJ135" s="52">
        <f t="shared" si="549"/>
        <v>22051.091489361719</v>
      </c>
      <c r="FK135" s="52">
        <f t="shared" si="550"/>
        <v>29011.919908814631</v>
      </c>
      <c r="FL135" s="52">
        <f t="shared" si="551"/>
        <v>13057.904407294851</v>
      </c>
      <c r="FM135" s="52">
        <f t="shared" si="552"/>
        <v>203.2358662613982</v>
      </c>
      <c r="FN135" s="52">
        <f t="shared" si="553"/>
        <v>14988.645136778108</v>
      </c>
      <c r="FO135" s="52">
        <f t="shared" si="554"/>
        <v>21797.046656534967</v>
      </c>
      <c r="FP135" s="52">
        <f t="shared" si="555"/>
        <v>17630.711398176278</v>
      </c>
      <c r="FQ135" s="52">
        <f t="shared" si="556"/>
        <v>17173.43069908816</v>
      </c>
      <c r="FR135" s="52">
        <f t="shared" si="557"/>
        <v>19713.879027355604</v>
      </c>
      <c r="FS135" s="52">
        <f t="shared" si="558"/>
        <v>15903.206534954417</v>
      </c>
      <c r="FT135" s="52">
        <f t="shared" si="559"/>
        <v>41002.836018237125</v>
      </c>
      <c r="FU135" s="52">
        <f t="shared" si="560"/>
        <v>11787.680243161074</v>
      </c>
      <c r="FV135" s="52">
        <f t="shared" si="561"/>
        <v>10974.736778115528</v>
      </c>
      <c r="FW135" s="52">
        <f t="shared" si="562"/>
        <v>60361.052279635245</v>
      </c>
      <c r="FX135" s="52">
        <f t="shared" si="563"/>
        <v>59243.255015197581</v>
      </c>
      <c r="FY135" s="52">
        <f t="shared" si="564"/>
        <v>62545.837841945249</v>
      </c>
      <c r="FZ135" s="52">
        <f t="shared" si="565"/>
        <v>4064.7173252279654</v>
      </c>
      <c r="GA135" s="52">
        <f t="shared" si="566"/>
        <v>47201.529939209737</v>
      </c>
      <c r="GB135" s="52">
        <f t="shared" si="567"/>
        <v>11330.399544072949</v>
      </c>
      <c r="GC135" s="52">
        <f t="shared" si="568"/>
        <v>23118.079787234001</v>
      </c>
      <c r="GD135" s="52">
        <f t="shared" si="569"/>
        <v>35058.186930091106</v>
      </c>
      <c r="GE135" s="52">
        <f t="shared" si="570"/>
        <v>17783.138297872287</v>
      </c>
      <c r="GF135" s="52">
        <f t="shared" si="571"/>
        <v>21492.192857142876</v>
      </c>
      <c r="GG135" s="52">
        <f t="shared" si="572"/>
        <v>0</v>
      </c>
      <c r="GH135" s="52">
        <f t="shared" si="573"/>
        <v>24286.686018237091</v>
      </c>
      <c r="GI135" s="52">
        <f t="shared" si="574"/>
        <v>0</v>
      </c>
      <c r="GJ135" s="26"/>
      <c r="GL135" s="150">
        <f t="shared" si="575"/>
        <v>39691.964680851095</v>
      </c>
      <c r="GM135" s="150">
        <f t="shared" si="576"/>
        <v>52221.455835866342</v>
      </c>
      <c r="GN135" s="150">
        <f t="shared" si="577"/>
        <v>23504.227933130733</v>
      </c>
      <c r="GO135" s="150">
        <f t="shared" si="578"/>
        <v>365.82455927051677</v>
      </c>
      <c r="GP135" s="150">
        <f t="shared" si="579"/>
        <v>26979.561246200599</v>
      </c>
      <c r="GQ135" s="150">
        <f t="shared" si="580"/>
        <v>39234.683981762944</v>
      </c>
      <c r="GR135" s="150">
        <f t="shared" si="581"/>
        <v>31735.280516717303</v>
      </c>
      <c r="GS135" s="150">
        <f t="shared" si="582"/>
        <v>30912.175258358689</v>
      </c>
      <c r="GT135" s="150">
        <f t="shared" si="583"/>
        <v>35484.982249240093</v>
      </c>
      <c r="GU135" s="150">
        <f t="shared" si="584"/>
        <v>28625.771762917953</v>
      </c>
      <c r="GV135" s="150">
        <f t="shared" si="585"/>
        <v>73805.104832826837</v>
      </c>
      <c r="GW135" s="150">
        <f t="shared" si="586"/>
        <v>21217.824437689935</v>
      </c>
      <c r="GX135" s="150">
        <f t="shared" si="587"/>
        <v>19754.526200607954</v>
      </c>
      <c r="GY135" s="150">
        <f t="shared" si="588"/>
        <v>108649.89410334345</v>
      </c>
      <c r="GZ135" s="150">
        <f t="shared" si="589"/>
        <v>106637.85902735566</v>
      </c>
      <c r="HA135" s="150">
        <f t="shared" si="590"/>
        <v>112582.50811550146</v>
      </c>
      <c r="HB135" s="150">
        <f t="shared" si="591"/>
        <v>7316.4911854103384</v>
      </c>
      <c r="HC135" s="150">
        <f t="shared" si="592"/>
        <v>84962.753890577529</v>
      </c>
      <c r="HD135" s="150">
        <f t="shared" si="593"/>
        <v>20394.71917933131</v>
      </c>
      <c r="HE135" s="150">
        <f t="shared" si="594"/>
        <v>41612.543617021205</v>
      </c>
      <c r="HF135" s="150">
        <f t="shared" si="595"/>
        <v>63104.73647416399</v>
      </c>
      <c r="HG135" s="150">
        <f t="shared" si="596"/>
        <v>32009.648936170121</v>
      </c>
      <c r="HH135" s="150">
        <f t="shared" si="597"/>
        <v>38685.947142857185</v>
      </c>
      <c r="HI135" s="150">
        <f t="shared" si="598"/>
        <v>0</v>
      </c>
      <c r="HJ135" s="150">
        <f t="shared" si="599"/>
        <v>43716.034832826765</v>
      </c>
      <c r="HK135" s="150">
        <f t="shared" si="600"/>
        <v>0</v>
      </c>
      <c r="HL135" s="26"/>
      <c r="HN135" s="147">
        <f t="shared" si="601"/>
        <v>47042.328510638326</v>
      </c>
      <c r="HO135" s="147">
        <f t="shared" si="602"/>
        <v>61892.095805471203</v>
      </c>
      <c r="HP135" s="147">
        <f t="shared" si="603"/>
        <v>27856.862735562343</v>
      </c>
      <c r="HQ135" s="147">
        <f t="shared" si="604"/>
        <v>433.56984802431612</v>
      </c>
      <c r="HR135" s="147">
        <f t="shared" si="605"/>
        <v>31975.776291793296</v>
      </c>
      <c r="HS135" s="147">
        <f t="shared" si="606"/>
        <v>46500.366200607925</v>
      </c>
      <c r="HT135" s="147">
        <f t="shared" si="607"/>
        <v>37612.184316109393</v>
      </c>
      <c r="HU135" s="147">
        <f t="shared" si="608"/>
        <v>36636.652158054734</v>
      </c>
      <c r="HV135" s="147">
        <f t="shared" si="609"/>
        <v>42056.275258358619</v>
      </c>
      <c r="HW135" s="147">
        <f t="shared" si="610"/>
        <v>33926.840607902748</v>
      </c>
      <c r="HX135" s="147">
        <f t="shared" si="611"/>
        <v>87472.71683890585</v>
      </c>
      <c r="HY135" s="147">
        <f t="shared" si="612"/>
        <v>25147.051185410288</v>
      </c>
      <c r="HZ135" s="147">
        <f t="shared" si="613"/>
        <v>23412.771793313124</v>
      </c>
      <c r="IA135" s="147">
        <f t="shared" si="614"/>
        <v>128770.24486322184</v>
      </c>
      <c r="IB135" s="147">
        <f t="shared" si="615"/>
        <v>126385.61069908817</v>
      </c>
      <c r="IC135" s="147">
        <f t="shared" si="616"/>
        <v>133431.12072948317</v>
      </c>
      <c r="ID135" s="147">
        <f t="shared" si="617"/>
        <v>8671.396960486325</v>
      </c>
      <c r="IE135" s="147">
        <f t="shared" si="618"/>
        <v>100696.59720364743</v>
      </c>
      <c r="IF135" s="147">
        <f t="shared" si="619"/>
        <v>24171.519027355622</v>
      </c>
      <c r="IG135" s="147">
        <f t="shared" si="620"/>
        <v>49318.570212765859</v>
      </c>
      <c r="IH135" s="147">
        <f t="shared" si="621"/>
        <v>74790.79878419434</v>
      </c>
      <c r="II135" s="147">
        <f t="shared" si="622"/>
        <v>37937.361702127542</v>
      </c>
      <c r="IJ135" s="147">
        <f t="shared" si="623"/>
        <v>45850.011428571466</v>
      </c>
      <c r="IK135" s="147">
        <f t="shared" si="624"/>
        <v>0</v>
      </c>
      <c r="IL135" s="147">
        <f t="shared" si="625"/>
        <v>51811.596838905782</v>
      </c>
      <c r="IM135" s="147">
        <f t="shared" si="626"/>
        <v>0</v>
      </c>
      <c r="IN135" s="26"/>
      <c r="IP135" s="61">
        <f t="shared" si="627"/>
        <v>38221.891914893647</v>
      </c>
      <c r="IQ135" s="61">
        <f t="shared" si="628"/>
        <v>50287.327841945364</v>
      </c>
      <c r="IR135" s="61">
        <f t="shared" si="629"/>
        <v>22633.700972644408</v>
      </c>
      <c r="IS135" s="61">
        <f t="shared" si="630"/>
        <v>352.27550151975692</v>
      </c>
      <c r="IT135" s="61">
        <f t="shared" si="631"/>
        <v>25980.318237082058</v>
      </c>
      <c r="IU135" s="61">
        <f t="shared" si="632"/>
        <v>37781.547537993945</v>
      </c>
      <c r="IV135" s="61">
        <f t="shared" si="633"/>
        <v>30559.899756838884</v>
      </c>
      <c r="IW135" s="61">
        <f t="shared" si="634"/>
        <v>29767.279878419478</v>
      </c>
      <c r="IX135" s="61">
        <f t="shared" si="635"/>
        <v>34170.72364741638</v>
      </c>
      <c r="IY135" s="61">
        <f t="shared" si="636"/>
        <v>27565.557993920989</v>
      </c>
      <c r="IZ135" s="61">
        <f t="shared" si="637"/>
        <v>71071.582431611023</v>
      </c>
      <c r="JA135" s="61">
        <f t="shared" si="638"/>
        <v>20431.979088145865</v>
      </c>
      <c r="JB135" s="61">
        <f t="shared" si="639"/>
        <v>19022.877082066916</v>
      </c>
      <c r="JC135" s="61">
        <f t="shared" si="640"/>
        <v>104625.82395136777</v>
      </c>
      <c r="JD135" s="61">
        <f t="shared" si="641"/>
        <v>102688.30869300915</v>
      </c>
      <c r="JE135" s="61">
        <f t="shared" si="642"/>
        <v>108412.7855927051</v>
      </c>
      <c r="JF135" s="61">
        <f t="shared" si="643"/>
        <v>7045.5100303951403</v>
      </c>
      <c r="JG135" s="61">
        <f t="shared" si="644"/>
        <v>81815.985227963552</v>
      </c>
      <c r="JH135" s="61">
        <f t="shared" si="645"/>
        <v>19639.359209726445</v>
      </c>
      <c r="JI135" s="61">
        <f t="shared" si="646"/>
        <v>40071.338297872266</v>
      </c>
      <c r="JJ135" s="61">
        <f t="shared" si="647"/>
        <v>60767.524012157919</v>
      </c>
      <c r="JK135" s="61">
        <f t="shared" si="648"/>
        <v>30824.106382978636</v>
      </c>
      <c r="JL135" s="61">
        <f t="shared" si="649"/>
        <v>37253.134285714325</v>
      </c>
      <c r="JM135" s="61">
        <f t="shared" si="650"/>
        <v>0</v>
      </c>
      <c r="JN135" s="61">
        <f t="shared" si="651"/>
        <v>42096.922431610961</v>
      </c>
      <c r="JO135" s="61">
        <f t="shared" si="652"/>
        <v>0</v>
      </c>
      <c r="JQ135" s="26">
        <f t="shared" si="711"/>
        <v>4011875.9999999972</v>
      </c>
      <c r="JR135" s="156">
        <f t="shared" si="712"/>
        <v>0.99999999999999933</v>
      </c>
      <c r="JT135" s="157">
        <f t="shared" si="653"/>
        <v>147007.27659574477</v>
      </c>
      <c r="JU135" s="29">
        <f t="shared" si="654"/>
        <v>0.99999999999999978</v>
      </c>
    </row>
    <row r="136" spans="1:281" ht="18.75" x14ac:dyDescent="0.3">
      <c r="A136" t="s">
        <v>234</v>
      </c>
      <c r="B136" s="10" t="s">
        <v>211</v>
      </c>
      <c r="C136" t="s">
        <v>28</v>
      </c>
      <c r="D136" t="s">
        <v>29</v>
      </c>
      <c r="E136" t="s">
        <v>295</v>
      </c>
      <c r="F136" s="114">
        <v>1322</v>
      </c>
      <c r="G136" s="17">
        <v>1732242</v>
      </c>
      <c r="H136" s="21">
        <v>982245</v>
      </c>
      <c r="I136" s="25">
        <f t="shared" ref="I136:I191" si="713">G136/H136</f>
        <v>1.7635538994853626</v>
      </c>
      <c r="J136" s="13">
        <v>3.0383091149273421E-2</v>
      </c>
      <c r="K136" s="13">
        <v>4.517833553500672E-2</v>
      </c>
      <c r="L136" s="13">
        <v>1.84940554821665E-2</v>
      </c>
      <c r="M136" s="13">
        <v>2.6420079260237764E-3</v>
      </c>
      <c r="N136" s="13">
        <v>1.9550858652575949E-2</v>
      </c>
      <c r="O136" s="13">
        <v>2.1928665785997292E-2</v>
      </c>
      <c r="P136" s="13">
        <v>9.2470277410832274E-3</v>
      </c>
      <c r="Q136" s="13">
        <v>0</v>
      </c>
      <c r="R136" s="13">
        <v>2.140026420079259E-2</v>
      </c>
      <c r="S136" s="13">
        <v>3.9630118890356732E-2</v>
      </c>
      <c r="T136" s="13">
        <v>8.533685601056816E-2</v>
      </c>
      <c r="U136" s="13">
        <v>3.4346103038309143E-2</v>
      </c>
      <c r="V136" s="13">
        <v>2.2457067371202122E-2</v>
      </c>
      <c r="W136" s="13">
        <v>7.9260237780713463E-2</v>
      </c>
      <c r="X136" s="13">
        <v>0.23672391017172997</v>
      </c>
      <c r="Y136" s="13">
        <v>5.2311756935270806E-2</v>
      </c>
      <c r="Z136" s="13">
        <v>1.188903566710699E-2</v>
      </c>
      <c r="AA136" s="13">
        <v>5.1254953764861319E-2</v>
      </c>
      <c r="AB136" s="13">
        <v>3.8044914134742362E-2</v>
      </c>
      <c r="AC136" s="13">
        <v>2.0343461030383082E-2</v>
      </c>
      <c r="AD136" s="13">
        <v>6.4993394980185137E-2</v>
      </c>
      <c r="AE136" s="13">
        <v>1.9815059445178366E-2</v>
      </c>
      <c r="AF136" s="13">
        <v>3.4610303830911515E-2</v>
      </c>
      <c r="AG136" s="9">
        <v>0</v>
      </c>
      <c r="AH136" s="13">
        <v>4.0158520475561503E-2</v>
      </c>
      <c r="AJ136" s="8">
        <f t="shared" si="656"/>
        <v>1</v>
      </c>
      <c r="AK136" s="141">
        <f t="shared" ref="AK136:AK144" si="714">$F136*J136</f>
        <v>40.166446499339465</v>
      </c>
      <c r="AL136" s="141">
        <f t="shared" ref="AL136:AL144" si="715">$F136*K136</f>
        <v>59.725759577278886</v>
      </c>
      <c r="AM136" s="141">
        <f t="shared" ref="AM136:AM144" si="716">$F136*L136</f>
        <v>24.449141347424113</v>
      </c>
      <c r="AN136" s="141">
        <f t="shared" ref="AN136:AN144" si="717">$F136*M136</f>
        <v>3.4927344782034324</v>
      </c>
      <c r="AO136" s="141">
        <f t="shared" ref="AO136:AO144" si="718">$F136*N136</f>
        <v>25.846235138705403</v>
      </c>
      <c r="AP136" s="141">
        <f t="shared" ref="AP136:AP144" si="719">$F136*O136</f>
        <v>28.989696169088418</v>
      </c>
      <c r="AQ136" s="141">
        <f t="shared" ref="AQ136:AQ144" si="720">$F136*P136</f>
        <v>12.224570673712027</v>
      </c>
      <c r="AR136" s="141">
        <f t="shared" ref="AR136:AR144" si="721">$F136*Q136</f>
        <v>0</v>
      </c>
      <c r="AS136" s="141">
        <f t="shared" ref="AS136:AS144" si="722">$F136*R136</f>
        <v>28.291149273447804</v>
      </c>
      <c r="AT136" s="141">
        <f t="shared" ref="AT136:AT144" si="723">$F136*S136</f>
        <v>52.391017173051601</v>
      </c>
      <c r="AU136" s="141">
        <f t="shared" ref="AU136:AU144" si="724">$F136*T136</f>
        <v>112.81532364597111</v>
      </c>
      <c r="AV136" s="141">
        <f t="shared" ref="AV136:AV144" si="725">$F136*U136</f>
        <v>45.405548216644689</v>
      </c>
      <c r="AW136" s="141">
        <f t="shared" ref="AW136:AW144" si="726">$F136*V136</f>
        <v>29.688243064729207</v>
      </c>
      <c r="AX136" s="141">
        <f t="shared" ref="AX136:AX144" si="727">$F136*W136</f>
        <v>104.7820343461032</v>
      </c>
      <c r="AY136" s="141">
        <f t="shared" ref="AY136:AY144" si="728">$F136*X136</f>
        <v>312.94900924702705</v>
      </c>
      <c r="AZ136" s="141">
        <f t="shared" ref="AZ136:AZ144" si="729">$F136*Y136</f>
        <v>69.156142668428004</v>
      </c>
      <c r="BA136" s="141">
        <f t="shared" ref="BA136:BA144" si="730">$F136*Z136</f>
        <v>15.717305151915442</v>
      </c>
      <c r="BB136" s="141">
        <f t="shared" ref="BB136:BB144" si="731">$F136*AA136</f>
        <v>67.759048877146668</v>
      </c>
      <c r="BC136" s="141">
        <f t="shared" ref="BC136:BC144" si="732">$F136*AB136</f>
        <v>50.295376486129406</v>
      </c>
      <c r="BD136" s="141">
        <f t="shared" ref="BD136:BD144" si="733">$F136*AC136</f>
        <v>26.894055482166433</v>
      </c>
      <c r="BE136" s="141">
        <f t="shared" ref="BE136:BE144" si="734">$F136*AD136</f>
        <v>85.921268163804754</v>
      </c>
      <c r="BF136" s="141">
        <f t="shared" ref="BF136:BF144" si="735">$F136*AE136</f>
        <v>26.195508586525801</v>
      </c>
      <c r="BG136" s="141">
        <f t="shared" ref="BG136:BG144" si="736">$F136*AF136</f>
        <v>45.75482166446502</v>
      </c>
      <c r="BH136" s="141">
        <f t="shared" ref="BH136:BH144" si="737">$F136*AG136</f>
        <v>0</v>
      </c>
      <c r="BI136" s="141">
        <f t="shared" ref="BI136:BI144" si="738">$F136*AH136</f>
        <v>53.089564068692304</v>
      </c>
      <c r="BJ136" s="141">
        <f t="shared" ref="BJ136:BJ144" si="739">$F136*AI136</f>
        <v>0</v>
      </c>
      <c r="BM136" s="26">
        <f t="shared" si="657"/>
        <v>52630.866578599693</v>
      </c>
      <c r="BN136" s="26">
        <f t="shared" si="658"/>
        <v>78259.810303831109</v>
      </c>
      <c r="BO136" s="26">
        <f t="shared" si="659"/>
        <v>32036.179656539061</v>
      </c>
      <c r="BP136" s="26">
        <f t="shared" si="660"/>
        <v>4576.597093791278</v>
      </c>
      <c r="BQ136" s="26">
        <f t="shared" si="661"/>
        <v>33866.818494055464</v>
      </c>
      <c r="BR136" s="26">
        <f t="shared" si="662"/>
        <v>37985.75587846752</v>
      </c>
      <c r="BS136" s="26">
        <f t="shared" si="663"/>
        <v>16018.089828269493</v>
      </c>
      <c r="BT136" s="26">
        <f t="shared" si="664"/>
        <v>0</v>
      </c>
      <c r="BU136" s="26">
        <f t="shared" si="665"/>
        <v>37070.436459709359</v>
      </c>
      <c r="BV136" s="26">
        <f t="shared" si="666"/>
        <v>68648.956406869329</v>
      </c>
      <c r="BW136" s="26">
        <f t="shared" si="667"/>
        <v>147824.08612945862</v>
      </c>
      <c r="BX136" s="26">
        <f t="shared" si="668"/>
        <v>59495.762219286706</v>
      </c>
      <c r="BY136" s="26">
        <f t="shared" si="669"/>
        <v>38901.075297225907</v>
      </c>
      <c r="BZ136" s="26">
        <f t="shared" si="670"/>
        <v>137297.91281373866</v>
      </c>
      <c r="CA136" s="26">
        <f t="shared" si="671"/>
        <v>410063.09960369789</v>
      </c>
      <c r="CB136" s="26">
        <f t="shared" si="672"/>
        <v>90616.622457067366</v>
      </c>
      <c r="CC136" s="26">
        <f t="shared" si="673"/>
        <v>20594.686922060748</v>
      </c>
      <c r="CD136" s="26">
        <f t="shared" si="674"/>
        <v>88785.983619550898</v>
      </c>
      <c r="CE136" s="26">
        <f t="shared" si="675"/>
        <v>65902.998150594372</v>
      </c>
      <c r="CF136" s="26">
        <f t="shared" si="676"/>
        <v>35239.797622192847</v>
      </c>
      <c r="CG136" s="26">
        <f t="shared" si="677"/>
        <v>112584.28850726587</v>
      </c>
      <c r="CH136" s="26">
        <f t="shared" si="678"/>
        <v>34324.478203434664</v>
      </c>
      <c r="CI136" s="26">
        <f t="shared" si="679"/>
        <v>59953.421928665826</v>
      </c>
      <c r="CJ136" s="26">
        <f t="shared" si="680"/>
        <v>0</v>
      </c>
      <c r="CK136" s="26">
        <f t="shared" si="681"/>
        <v>69564.275825627614</v>
      </c>
      <c r="CL136" s="26">
        <f t="shared" si="682"/>
        <v>0</v>
      </c>
      <c r="CM136" s="110">
        <f t="shared" si="683"/>
        <v>1.0000000000000004</v>
      </c>
      <c r="CN136" s="27">
        <f t="shared" si="684"/>
        <v>29843.639365918072</v>
      </c>
      <c r="CO136" s="27">
        <f t="shared" si="685"/>
        <v>44376.194187582674</v>
      </c>
      <c r="CP136" s="27">
        <f t="shared" si="686"/>
        <v>18165.693527080635</v>
      </c>
      <c r="CQ136" s="27">
        <f t="shared" si="687"/>
        <v>2595.0990752972243</v>
      </c>
      <c r="CR136" s="27">
        <f t="shared" si="688"/>
        <v>19203.733157199462</v>
      </c>
      <c r="CS136" s="27">
        <f t="shared" si="689"/>
        <v>21539.32232496691</v>
      </c>
      <c r="CT136" s="27">
        <f t="shared" si="690"/>
        <v>9082.846763540294</v>
      </c>
      <c r="CU136" s="27">
        <f t="shared" si="691"/>
        <v>0</v>
      </c>
      <c r="CV136" s="27">
        <f t="shared" si="692"/>
        <v>21020.302509907517</v>
      </c>
      <c r="CW136" s="27">
        <f t="shared" si="693"/>
        <v>38926.486129458448</v>
      </c>
      <c r="CX136" s="27">
        <f t="shared" si="694"/>
        <v>83821.700132100523</v>
      </c>
      <c r="CY136" s="27">
        <f t="shared" si="695"/>
        <v>33736.287978863962</v>
      </c>
      <c r="CZ136" s="27">
        <f t="shared" si="696"/>
        <v>22058.342140026427</v>
      </c>
      <c r="DA136" s="27">
        <f t="shared" si="697"/>
        <v>77852.972258916896</v>
      </c>
      <c r="DB136" s="27">
        <f t="shared" si="698"/>
        <v>232520.8771466309</v>
      </c>
      <c r="DC136" s="27">
        <f t="shared" si="699"/>
        <v>51382.961690885073</v>
      </c>
      <c r="DD136" s="27">
        <f t="shared" si="700"/>
        <v>11677.945838837506</v>
      </c>
      <c r="DE136" s="27">
        <f t="shared" si="701"/>
        <v>50344.922060766206</v>
      </c>
      <c r="DF136" s="27">
        <f t="shared" si="702"/>
        <v>37369.426684280013</v>
      </c>
      <c r="DG136" s="27">
        <f t="shared" si="703"/>
        <v>19982.262879788632</v>
      </c>
      <c r="DH136" s="27">
        <f t="shared" si="704"/>
        <v>63839.437252311953</v>
      </c>
      <c r="DI136" s="27">
        <f t="shared" si="705"/>
        <v>19463.243064729224</v>
      </c>
      <c r="DJ136" s="27">
        <f t="shared" si="706"/>
        <v>33995.797886393681</v>
      </c>
      <c r="DK136" s="27">
        <f t="shared" si="707"/>
        <v>0</v>
      </c>
      <c r="DL136" s="27">
        <f t="shared" si="708"/>
        <v>39445.505944517907</v>
      </c>
      <c r="DM136" s="27">
        <f t="shared" si="709"/>
        <v>0</v>
      </c>
      <c r="DN136" s="110">
        <f t="shared" si="710"/>
        <v>1.0000000000000002</v>
      </c>
      <c r="DO136" s="28">
        <f t="shared" si="518"/>
        <v>22787.227212681621</v>
      </c>
      <c r="DP136" s="28">
        <f t="shared" si="519"/>
        <v>33883.616116248435</v>
      </c>
      <c r="DQ136" s="28">
        <f t="shared" si="520"/>
        <v>13870.486129458426</v>
      </c>
      <c r="DR136" s="28">
        <f t="shared" si="521"/>
        <v>1981.4980184940537</v>
      </c>
      <c r="DS136" s="28">
        <f t="shared" si="522"/>
        <v>14663.085336856002</v>
      </c>
      <c r="DT136" s="28">
        <f t="shared" si="523"/>
        <v>16446.43355350061</v>
      </c>
      <c r="DU136" s="28">
        <f t="shared" si="524"/>
        <v>6935.2430647291985</v>
      </c>
      <c r="DV136" s="28">
        <f t="shared" si="525"/>
        <v>0</v>
      </c>
      <c r="DW136" s="28">
        <f t="shared" si="526"/>
        <v>16050.133949801842</v>
      </c>
      <c r="DX136" s="28">
        <f t="shared" si="527"/>
        <v>29722.470277410881</v>
      </c>
      <c r="DY136" s="28">
        <f t="shared" si="528"/>
        <v>64002.385997358098</v>
      </c>
      <c r="DZ136" s="28">
        <f t="shared" si="529"/>
        <v>25759.474240422744</v>
      </c>
      <c r="EA136" s="28">
        <f t="shared" si="530"/>
        <v>16842.73315719948</v>
      </c>
      <c r="EB136" s="28">
        <f t="shared" si="531"/>
        <v>59444.940554821762</v>
      </c>
      <c r="EC136" s="28">
        <f t="shared" si="532"/>
        <v>177542.22245706699</v>
      </c>
      <c r="ED136" s="28">
        <f t="shared" si="533"/>
        <v>39233.660766182293</v>
      </c>
      <c r="EE136" s="28">
        <f t="shared" si="534"/>
        <v>8916.7410832232417</v>
      </c>
      <c r="EF136" s="28">
        <f t="shared" si="535"/>
        <v>38441.061558784691</v>
      </c>
      <c r="EG136" s="28">
        <f t="shared" si="536"/>
        <v>28533.571466314359</v>
      </c>
      <c r="EH136" s="28">
        <f t="shared" si="537"/>
        <v>15257.534742404216</v>
      </c>
      <c r="EI136" s="28">
        <f t="shared" si="538"/>
        <v>48744.851254953915</v>
      </c>
      <c r="EJ136" s="28">
        <f t="shared" si="539"/>
        <v>14861.23513870544</v>
      </c>
      <c r="EK136" s="28">
        <f t="shared" si="540"/>
        <v>25957.624042272146</v>
      </c>
      <c r="EL136" s="28">
        <f t="shared" si="541"/>
        <v>0</v>
      </c>
      <c r="EM136" s="28">
        <f t="shared" si="542"/>
        <v>30118.769881109707</v>
      </c>
      <c r="EN136" s="28">
        <f t="shared" si="543"/>
        <v>0</v>
      </c>
      <c r="EQ136" s="144">
        <v>4.3573623779472569E-2</v>
      </c>
      <c r="ER136" s="144">
        <v>5.4467028013043789E-2</v>
      </c>
      <c r="ES136" s="144">
        <v>6.5359597133722636E-2</v>
      </c>
      <c r="ET136" s="144">
        <v>6.8896252830434879E-2</v>
      </c>
      <c r="EU136" s="144">
        <v>8.8581116497612453E-2</v>
      </c>
      <c r="EV136" s="144">
        <v>0.10826597398001343</v>
      </c>
      <c r="EW136" s="144">
        <v>0.11810840272121391</v>
      </c>
      <c r="EX136" s="144">
        <v>9.8423545238812943E-2</v>
      </c>
      <c r="EY136" s="144">
        <v>9.8423545238812943E-2</v>
      </c>
      <c r="EZ136" s="144">
        <v>7.8738681571635369E-2</v>
      </c>
      <c r="FA136" s="144">
        <v>8.8581116497612453E-2</v>
      </c>
      <c r="FB136" s="144">
        <v>8.8581116497612453E-2</v>
      </c>
      <c r="FC136" s="145">
        <f t="shared" si="544"/>
        <v>0.99999999999999978</v>
      </c>
      <c r="FD136" s="146">
        <f t="shared" si="545"/>
        <v>0.163400248926239</v>
      </c>
      <c r="FE136" s="146">
        <f t="shared" si="546"/>
        <v>0.26574334330806076</v>
      </c>
      <c r="FF136" s="146">
        <f t="shared" si="547"/>
        <v>0.31495549319883975</v>
      </c>
      <c r="FG136" s="146">
        <f t="shared" si="548"/>
        <v>0.25590091456686026</v>
      </c>
      <c r="FH136" s="145">
        <f t="shared" si="655"/>
        <v>0.99999999999999978</v>
      </c>
      <c r="FJ136" s="52">
        <f t="shared" si="549"/>
        <v>8599.8967001468627</v>
      </c>
      <c r="FK136" s="52">
        <f t="shared" si="550"/>
        <v>12787.672484566247</v>
      </c>
      <c r="FL136" s="52">
        <f t="shared" si="551"/>
        <v>5234.7197305241962</v>
      </c>
      <c r="FM136" s="52">
        <f t="shared" si="552"/>
        <v>747.81710436059677</v>
      </c>
      <c r="FN136" s="52">
        <f t="shared" si="553"/>
        <v>5533.8465722684177</v>
      </c>
      <c r="FO136" s="52">
        <f t="shared" si="554"/>
        <v>6206.8819661929392</v>
      </c>
      <c r="FP136" s="52">
        <f t="shared" si="555"/>
        <v>2617.3598652620922</v>
      </c>
      <c r="FQ136" s="52">
        <f t="shared" si="556"/>
        <v>0</v>
      </c>
      <c r="FR136" s="52">
        <f t="shared" si="557"/>
        <v>6057.3185453208353</v>
      </c>
      <c r="FS136" s="52">
        <f t="shared" si="558"/>
        <v>11217.256565408978</v>
      </c>
      <c r="FT136" s="52">
        <f t="shared" si="559"/>
        <v>24154.492470847334</v>
      </c>
      <c r="FU136" s="52">
        <f t="shared" si="560"/>
        <v>9721.6223566877743</v>
      </c>
      <c r="FV136" s="52">
        <f t="shared" si="561"/>
        <v>6356.4453870650796</v>
      </c>
      <c r="FW136" s="52">
        <f t="shared" si="562"/>
        <v>22434.513130817955</v>
      </c>
      <c r="FX136" s="52">
        <f t="shared" si="563"/>
        <v>67004.41255070937</v>
      </c>
      <c r="FY136" s="52">
        <f t="shared" si="564"/>
        <v>14806.778666339827</v>
      </c>
      <c r="FZ136" s="52">
        <f t="shared" si="565"/>
        <v>3365.1769696226852</v>
      </c>
      <c r="GA136" s="52">
        <f t="shared" si="566"/>
        <v>14507.651824595596</v>
      </c>
      <c r="GB136" s="52">
        <f t="shared" si="567"/>
        <v>10768.566302792589</v>
      </c>
      <c r="GC136" s="52">
        <f t="shared" si="568"/>
        <v>5758.1917035765964</v>
      </c>
      <c r="GD136" s="52">
        <f t="shared" si="569"/>
        <v>18396.30076727075</v>
      </c>
      <c r="GE136" s="52">
        <f t="shared" si="570"/>
        <v>5608.6282827044888</v>
      </c>
      <c r="GF136" s="52">
        <f t="shared" si="571"/>
        <v>9796.4040671238326</v>
      </c>
      <c r="GG136" s="52">
        <f t="shared" si="572"/>
        <v>0</v>
      </c>
      <c r="GH136" s="52">
        <f t="shared" si="573"/>
        <v>11366.819986281102</v>
      </c>
      <c r="GI136" s="52">
        <f t="shared" si="574"/>
        <v>0</v>
      </c>
      <c r="GJ136" s="26"/>
      <c r="GL136" s="150">
        <f t="shared" si="575"/>
        <v>13986.302445797559</v>
      </c>
      <c r="GM136" s="150">
        <f t="shared" si="576"/>
        <v>20797.0236367947</v>
      </c>
      <c r="GN136" s="150">
        <f t="shared" si="577"/>
        <v>8513.4014887463727</v>
      </c>
      <c r="GO136" s="150">
        <f t="shared" si="578"/>
        <v>1216.2002126780487</v>
      </c>
      <c r="GP136" s="150">
        <f t="shared" si="579"/>
        <v>8999.8815738175617</v>
      </c>
      <c r="GQ136" s="150">
        <f t="shared" si="580"/>
        <v>10094.461765227781</v>
      </c>
      <c r="GR136" s="150">
        <f t="shared" si="581"/>
        <v>4256.7007443731754</v>
      </c>
      <c r="GS136" s="150">
        <f t="shared" si="582"/>
        <v>0</v>
      </c>
      <c r="GT136" s="150">
        <f t="shared" si="583"/>
        <v>9851.2217226921966</v>
      </c>
      <c r="GU136" s="150">
        <f t="shared" si="584"/>
        <v>18243.003190170773</v>
      </c>
      <c r="GV136" s="150">
        <f t="shared" si="585"/>
        <v>39283.266869501065</v>
      </c>
      <c r="GW136" s="150">
        <f t="shared" si="586"/>
        <v>15810.602764814657</v>
      </c>
      <c r="GX136" s="150">
        <f t="shared" si="587"/>
        <v>10337.701807763426</v>
      </c>
      <c r="GY136" s="150">
        <f t="shared" si="588"/>
        <v>36486.006380341547</v>
      </c>
      <c r="GZ136" s="150">
        <f t="shared" si="589"/>
        <v>108971.53905595301</v>
      </c>
      <c r="HA136" s="150">
        <f t="shared" si="590"/>
        <v>24080.76421102538</v>
      </c>
      <c r="HB136" s="150">
        <f t="shared" si="591"/>
        <v>5472.9009570512189</v>
      </c>
      <c r="HC136" s="150">
        <f t="shared" si="592"/>
        <v>23594.284125954175</v>
      </c>
      <c r="HD136" s="150">
        <f t="shared" si="593"/>
        <v>17513.283062563893</v>
      </c>
      <c r="HE136" s="150">
        <f t="shared" si="594"/>
        <v>9364.7416376209767</v>
      </c>
      <c r="HF136" s="150">
        <f t="shared" si="595"/>
        <v>29918.525231880114</v>
      </c>
      <c r="HG136" s="150">
        <f t="shared" si="596"/>
        <v>9121.5015950853867</v>
      </c>
      <c r="HH136" s="150">
        <f t="shared" si="597"/>
        <v>15932.222786082461</v>
      </c>
      <c r="HI136" s="150">
        <f t="shared" si="598"/>
        <v>0</v>
      </c>
      <c r="HJ136" s="150">
        <f t="shared" si="599"/>
        <v>18486.243232706391</v>
      </c>
      <c r="HK136" s="150">
        <f t="shared" si="600"/>
        <v>0</v>
      </c>
      <c r="HL136" s="26"/>
      <c r="HN136" s="147">
        <f t="shared" si="601"/>
        <v>16576.380540745198</v>
      </c>
      <c r="HO136" s="147">
        <f t="shared" si="602"/>
        <v>24648.357151890767</v>
      </c>
      <c r="HP136" s="147">
        <f t="shared" si="603"/>
        <v>10089.970763931897</v>
      </c>
      <c r="HQ136" s="147">
        <f t="shared" si="604"/>
        <v>1441.4243948474086</v>
      </c>
      <c r="HR136" s="147">
        <f t="shared" si="605"/>
        <v>10666.540521870826</v>
      </c>
      <c r="HS136" s="147">
        <f t="shared" si="606"/>
        <v>11963.822477233463</v>
      </c>
      <c r="HT136" s="147">
        <f t="shared" si="607"/>
        <v>5044.9853819659365</v>
      </c>
      <c r="HU136" s="147">
        <f t="shared" si="608"/>
        <v>0</v>
      </c>
      <c r="HV136" s="147">
        <f t="shared" si="609"/>
        <v>11675.537598264013</v>
      </c>
      <c r="HW136" s="147">
        <f t="shared" si="610"/>
        <v>21621.365922711178</v>
      </c>
      <c r="HX136" s="147">
        <f t="shared" si="611"/>
        <v>46558.007953571403</v>
      </c>
      <c r="HY136" s="147">
        <f t="shared" si="612"/>
        <v>18738.517133016339</v>
      </c>
      <c r="HZ136" s="147">
        <f t="shared" si="613"/>
        <v>12252.107356202987</v>
      </c>
      <c r="IA136" s="147">
        <f t="shared" si="614"/>
        <v>43242.731845422357</v>
      </c>
      <c r="IB136" s="147">
        <f t="shared" si="615"/>
        <v>129151.62577832762</v>
      </c>
      <c r="IC136" s="147">
        <f t="shared" si="616"/>
        <v>28540.203017978711</v>
      </c>
      <c r="ID136" s="147">
        <f t="shared" si="617"/>
        <v>6486.4097768133379</v>
      </c>
      <c r="IE136" s="147">
        <f t="shared" si="618"/>
        <v>27963.633260039762</v>
      </c>
      <c r="IF136" s="147">
        <f t="shared" si="619"/>
        <v>20756.511285802673</v>
      </c>
      <c r="IG136" s="147">
        <f t="shared" si="620"/>
        <v>11098.967840325049</v>
      </c>
      <c r="IH136" s="147">
        <f t="shared" si="621"/>
        <v>35459.040113246389</v>
      </c>
      <c r="II136" s="147">
        <f t="shared" si="622"/>
        <v>10810.682961355589</v>
      </c>
      <c r="IJ136" s="147">
        <f t="shared" si="623"/>
        <v>18882.659572501081</v>
      </c>
      <c r="IK136" s="147">
        <f t="shared" si="624"/>
        <v>0</v>
      </c>
      <c r="IL136" s="147">
        <f t="shared" si="625"/>
        <v>21909.650801680669</v>
      </c>
      <c r="IM136" s="147">
        <f t="shared" si="626"/>
        <v>0</v>
      </c>
      <c r="IN136" s="26"/>
      <c r="IP136" s="61">
        <f t="shared" si="627"/>
        <v>13468.28689191006</v>
      </c>
      <c r="IQ136" s="61">
        <f t="shared" si="628"/>
        <v>20026.757030579374</v>
      </c>
      <c r="IR136" s="61">
        <f t="shared" si="629"/>
        <v>8198.0876733365894</v>
      </c>
      <c r="IS136" s="61">
        <f t="shared" si="630"/>
        <v>1171.1553819052228</v>
      </c>
      <c r="IT136" s="61">
        <f t="shared" si="631"/>
        <v>8666.5498260986496</v>
      </c>
      <c r="IU136" s="61">
        <f t="shared" si="632"/>
        <v>9720.5896698133274</v>
      </c>
      <c r="IV136" s="61">
        <f t="shared" si="633"/>
        <v>4099.0438366682847</v>
      </c>
      <c r="IW136" s="61">
        <f t="shared" si="634"/>
        <v>0</v>
      </c>
      <c r="IX136" s="61">
        <f t="shared" si="635"/>
        <v>9486.3585934323073</v>
      </c>
      <c r="IY136" s="61">
        <f t="shared" si="636"/>
        <v>17567.330728578381</v>
      </c>
      <c r="IZ136" s="61">
        <f t="shared" si="637"/>
        <v>37828.318835538783</v>
      </c>
      <c r="JA136" s="61">
        <f t="shared" si="638"/>
        <v>15225.01996476792</v>
      </c>
      <c r="JB136" s="61">
        <f t="shared" si="639"/>
        <v>9954.8207461944057</v>
      </c>
      <c r="JC136" s="61">
        <f t="shared" si="640"/>
        <v>35134.661457156762</v>
      </c>
      <c r="JD136" s="61">
        <f t="shared" si="641"/>
        <v>104935.5222187078</v>
      </c>
      <c r="JE136" s="61">
        <f t="shared" si="642"/>
        <v>23188.876561723428</v>
      </c>
      <c r="JF136" s="61">
        <f t="shared" si="643"/>
        <v>5270.1992185735016</v>
      </c>
      <c r="JG136" s="61">
        <f t="shared" si="644"/>
        <v>22720.414408961347</v>
      </c>
      <c r="JH136" s="61">
        <f t="shared" si="645"/>
        <v>16864.637499435201</v>
      </c>
      <c r="JI136" s="61">
        <f t="shared" si="646"/>
        <v>9017.896440670218</v>
      </c>
      <c r="JJ136" s="61">
        <f t="shared" si="647"/>
        <v>28810.42239486859</v>
      </c>
      <c r="JK136" s="61">
        <f t="shared" si="648"/>
        <v>8783.6653642891906</v>
      </c>
      <c r="JL136" s="61">
        <f t="shared" si="649"/>
        <v>15342.135502958439</v>
      </c>
      <c r="JM136" s="61">
        <f t="shared" si="650"/>
        <v>0</v>
      </c>
      <c r="JN136" s="61">
        <f t="shared" si="651"/>
        <v>17801.561804959434</v>
      </c>
      <c r="JO136" s="61">
        <f t="shared" si="652"/>
        <v>0</v>
      </c>
      <c r="JQ136" s="26">
        <f t="shared" si="711"/>
        <v>1732242.0000000005</v>
      </c>
      <c r="JR136" s="156">
        <f t="shared" si="712"/>
        <v>1.0000000000000002</v>
      </c>
      <c r="JT136" s="157">
        <f t="shared" si="653"/>
        <v>52630.866578599678</v>
      </c>
      <c r="JU136" s="29">
        <f t="shared" si="654"/>
        <v>0.99999999999999978</v>
      </c>
    </row>
    <row r="137" spans="1:281" ht="18.75" x14ac:dyDescent="0.3">
      <c r="A137" t="s">
        <v>234</v>
      </c>
      <c r="B137" s="10" t="s">
        <v>212</v>
      </c>
      <c r="C137" t="s">
        <v>28</v>
      </c>
      <c r="D137" t="s">
        <v>29</v>
      </c>
      <c r="E137" t="s">
        <v>296</v>
      </c>
      <c r="F137" s="114">
        <v>2708</v>
      </c>
      <c r="G137" s="17">
        <v>3044712</v>
      </c>
      <c r="H137" s="21">
        <v>1788471</v>
      </c>
      <c r="I137" s="25">
        <f t="shared" si="713"/>
        <v>1.7024106066019522</v>
      </c>
      <c r="J137" s="13">
        <v>3.0383091149273345E-2</v>
      </c>
      <c r="K137" s="13">
        <v>4.5178335535006497E-2</v>
      </c>
      <c r="L137" s="13">
        <v>1.84940554821665E-2</v>
      </c>
      <c r="M137" s="13">
        <v>2.642007926023782E-3</v>
      </c>
      <c r="N137" s="13">
        <v>1.9550858652575945E-2</v>
      </c>
      <c r="O137" s="13">
        <v>2.1928665785997378E-2</v>
      </c>
      <c r="P137" s="13">
        <v>9.24702774108325E-3</v>
      </c>
      <c r="Q137" s="13">
        <v>0</v>
      </c>
      <c r="R137" s="13">
        <v>2.1400264200792659E-2</v>
      </c>
      <c r="S137" s="13">
        <v>3.9630118890356725E-2</v>
      </c>
      <c r="T137" s="13">
        <v>8.5336856010567938E-2</v>
      </c>
      <c r="U137" s="13">
        <v>3.4346103038309123E-2</v>
      </c>
      <c r="V137" s="13">
        <v>2.2457067371202056E-2</v>
      </c>
      <c r="W137" s="13">
        <v>7.9260237780713449E-2</v>
      </c>
      <c r="X137" s="13">
        <v>0.23672391017173042</v>
      </c>
      <c r="Y137" s="13">
        <v>5.2311756935270855E-2</v>
      </c>
      <c r="Z137" s="13">
        <v>1.188903566710699E-2</v>
      </c>
      <c r="AA137" s="13">
        <v>5.1254953764861402E-2</v>
      </c>
      <c r="AB137" s="13">
        <v>3.8044914134742383E-2</v>
      </c>
      <c r="AC137" s="13">
        <v>2.0343461030383085E-2</v>
      </c>
      <c r="AD137" s="13">
        <v>6.4993394980184888E-2</v>
      </c>
      <c r="AE137" s="13">
        <v>1.9815059445178362E-2</v>
      </c>
      <c r="AF137" s="13">
        <v>3.4610303830911501E-2</v>
      </c>
      <c r="AG137" s="9">
        <v>0</v>
      </c>
      <c r="AH137" s="13">
        <v>4.0158520475561434E-2</v>
      </c>
      <c r="AJ137" s="8">
        <f t="shared" si="656"/>
        <v>1</v>
      </c>
      <c r="AK137" s="141">
        <f t="shared" si="714"/>
        <v>82.277410832232221</v>
      </c>
      <c r="AL137" s="141">
        <f t="shared" si="715"/>
        <v>122.3429326287976</v>
      </c>
      <c r="AM137" s="141">
        <f t="shared" si="716"/>
        <v>50.081902245706885</v>
      </c>
      <c r="AN137" s="141">
        <f t="shared" si="717"/>
        <v>7.1545574636724014</v>
      </c>
      <c r="AO137" s="141">
        <f t="shared" si="718"/>
        <v>52.943725231175662</v>
      </c>
      <c r="AP137" s="141">
        <f t="shared" si="719"/>
        <v>59.382826948480897</v>
      </c>
      <c r="AQ137" s="141">
        <f t="shared" si="720"/>
        <v>25.040951122853443</v>
      </c>
      <c r="AR137" s="141">
        <f t="shared" si="721"/>
        <v>0</v>
      </c>
      <c r="AS137" s="141">
        <f t="shared" si="722"/>
        <v>57.951915455746523</v>
      </c>
      <c r="AT137" s="141">
        <f t="shared" si="723"/>
        <v>107.318361955086</v>
      </c>
      <c r="AU137" s="141">
        <f t="shared" si="724"/>
        <v>231.09220607661797</v>
      </c>
      <c r="AV137" s="141">
        <f t="shared" si="725"/>
        <v>93.009247027741111</v>
      </c>
      <c r="AW137" s="141">
        <f t="shared" si="726"/>
        <v>60.813738441215165</v>
      </c>
      <c r="AX137" s="141">
        <f t="shared" si="727"/>
        <v>214.63672391017201</v>
      </c>
      <c r="AY137" s="141">
        <f t="shared" si="728"/>
        <v>641.04834874504593</v>
      </c>
      <c r="AZ137" s="141">
        <f t="shared" si="729"/>
        <v>141.66023778071349</v>
      </c>
      <c r="BA137" s="141">
        <f t="shared" si="730"/>
        <v>32.195508586525733</v>
      </c>
      <c r="BB137" s="141">
        <f t="shared" si="731"/>
        <v>138.79841479524467</v>
      </c>
      <c r="BC137" s="141">
        <f t="shared" si="732"/>
        <v>103.02562747688238</v>
      </c>
      <c r="BD137" s="141">
        <f t="shared" si="733"/>
        <v>55.090092470277398</v>
      </c>
      <c r="BE137" s="141">
        <f t="shared" si="734"/>
        <v>176.00211360634069</v>
      </c>
      <c r="BF137" s="141">
        <f t="shared" si="735"/>
        <v>53.659180977543002</v>
      </c>
      <c r="BG137" s="141">
        <f t="shared" si="736"/>
        <v>93.724702774108351</v>
      </c>
      <c r="BH137" s="141">
        <f t="shared" si="737"/>
        <v>0</v>
      </c>
      <c r="BI137" s="141">
        <f t="shared" si="738"/>
        <v>108.74927344782036</v>
      </c>
      <c r="BJ137" s="141">
        <f t="shared" si="739"/>
        <v>0</v>
      </c>
      <c r="BM137" s="26">
        <f t="shared" si="657"/>
        <v>92507.762219286349</v>
      </c>
      <c r="BN137" s="26">
        <f t="shared" si="658"/>
        <v>137555.0203434607</v>
      </c>
      <c r="BO137" s="26">
        <f t="shared" si="659"/>
        <v>56309.07265521813</v>
      </c>
      <c r="BP137" s="26">
        <f t="shared" si="660"/>
        <v>8044.1532364597215</v>
      </c>
      <c r="BQ137" s="26">
        <f t="shared" si="661"/>
        <v>59526.733949801812</v>
      </c>
      <c r="BR137" s="26">
        <f t="shared" si="662"/>
        <v>66766.471862615654</v>
      </c>
      <c r="BS137" s="26">
        <f t="shared" si="663"/>
        <v>28154.536327609065</v>
      </c>
      <c r="BT137" s="26">
        <f t="shared" si="664"/>
        <v>0</v>
      </c>
      <c r="BU137" s="26">
        <f t="shared" si="665"/>
        <v>65157.64121532382</v>
      </c>
      <c r="BV137" s="26">
        <f t="shared" si="666"/>
        <v>120662.29854689581</v>
      </c>
      <c r="BW137" s="26">
        <f t="shared" si="667"/>
        <v>259826.14953764834</v>
      </c>
      <c r="BX137" s="26">
        <f t="shared" si="668"/>
        <v>104573.99207397625</v>
      </c>
      <c r="BY137" s="26">
        <f t="shared" si="669"/>
        <v>68375.302509907357</v>
      </c>
      <c r="BZ137" s="26">
        <f t="shared" si="670"/>
        <v>241324.59709379161</v>
      </c>
      <c r="CA137" s="26">
        <f t="shared" si="671"/>
        <v>720756.12998678966</v>
      </c>
      <c r="CB137" s="26">
        <f t="shared" si="672"/>
        <v>159274.2340819024</v>
      </c>
      <c r="CC137" s="26">
        <f t="shared" si="673"/>
        <v>36198.689564068656</v>
      </c>
      <c r="CD137" s="26">
        <f t="shared" si="674"/>
        <v>156056.5727873187</v>
      </c>
      <c r="CE137" s="26">
        <f t="shared" si="675"/>
        <v>115835.80660501975</v>
      </c>
      <c r="CF137" s="26">
        <f t="shared" si="676"/>
        <v>61939.979920739745</v>
      </c>
      <c r="CG137" s="26">
        <f t="shared" si="677"/>
        <v>197886.16961690868</v>
      </c>
      <c r="CH137" s="26">
        <f t="shared" si="678"/>
        <v>60331.149273447903</v>
      </c>
      <c r="CI137" s="26">
        <f t="shared" si="679"/>
        <v>105378.40739762221</v>
      </c>
      <c r="CJ137" s="26">
        <f t="shared" si="680"/>
        <v>0</v>
      </c>
      <c r="CK137" s="26">
        <f t="shared" si="681"/>
        <v>122271.1291941876</v>
      </c>
      <c r="CL137" s="26">
        <f t="shared" si="682"/>
        <v>0</v>
      </c>
      <c r="CM137" s="110">
        <f t="shared" si="683"/>
        <v>1</v>
      </c>
      <c r="CN137" s="27">
        <f t="shared" si="684"/>
        <v>54339.277410832045</v>
      </c>
      <c r="CO137" s="27">
        <f t="shared" si="685"/>
        <v>80800.142932628602</v>
      </c>
      <c r="CP137" s="27">
        <f t="shared" si="686"/>
        <v>33076.081902245802</v>
      </c>
      <c r="CQ137" s="27">
        <f t="shared" si="687"/>
        <v>4725.1545574636793</v>
      </c>
      <c r="CR137" s="27">
        <f t="shared" si="688"/>
        <v>34966.143725231152</v>
      </c>
      <c r="CS137" s="27">
        <f t="shared" si="689"/>
        <v>39218.782826948518</v>
      </c>
      <c r="CT137" s="27">
        <f t="shared" si="690"/>
        <v>16538.040951122901</v>
      </c>
      <c r="CU137" s="27">
        <f t="shared" si="691"/>
        <v>0</v>
      </c>
      <c r="CV137" s="27">
        <f t="shared" si="692"/>
        <v>38273.751915455847</v>
      </c>
      <c r="CW137" s="27">
        <f t="shared" si="693"/>
        <v>70877.318361955186</v>
      </c>
      <c r="CX137" s="27">
        <f t="shared" si="694"/>
        <v>152622.49220607645</v>
      </c>
      <c r="CY137" s="27">
        <f t="shared" si="695"/>
        <v>61427.009247027752</v>
      </c>
      <c r="CZ137" s="27">
        <f t="shared" si="696"/>
        <v>40163.813738441109</v>
      </c>
      <c r="DA137" s="27">
        <f t="shared" si="697"/>
        <v>141754.63672391037</v>
      </c>
      <c r="DB137" s="27">
        <f t="shared" si="698"/>
        <v>423373.84834874485</v>
      </c>
      <c r="DC137" s="27">
        <f t="shared" si="699"/>
        <v>93558.060237780795</v>
      </c>
      <c r="DD137" s="27">
        <f t="shared" si="700"/>
        <v>21263.195508586505</v>
      </c>
      <c r="DE137" s="27">
        <f t="shared" si="701"/>
        <v>91667.998414795438</v>
      </c>
      <c r="DF137" s="27">
        <f t="shared" si="702"/>
        <v>68042.225627476844</v>
      </c>
      <c r="DG137" s="27">
        <f t="shared" si="703"/>
        <v>36383.690092470264</v>
      </c>
      <c r="DH137" s="27">
        <f t="shared" si="704"/>
        <v>116238.80211360625</v>
      </c>
      <c r="DI137" s="27">
        <f t="shared" si="705"/>
        <v>35438.659180977593</v>
      </c>
      <c r="DJ137" s="27">
        <f t="shared" si="706"/>
        <v>61899.524702774121</v>
      </c>
      <c r="DK137" s="27">
        <f t="shared" si="707"/>
        <v>0</v>
      </c>
      <c r="DL137" s="27">
        <f t="shared" si="708"/>
        <v>71822.349273447835</v>
      </c>
      <c r="DM137" s="27">
        <f t="shared" si="709"/>
        <v>0</v>
      </c>
      <c r="DN137" s="110">
        <f t="shared" si="710"/>
        <v>0.99999999999999978</v>
      </c>
      <c r="DO137" s="28">
        <f t="shared" si="518"/>
        <v>38168.484808454305</v>
      </c>
      <c r="DP137" s="28">
        <f t="shared" si="519"/>
        <v>56754.877410832094</v>
      </c>
      <c r="DQ137" s="28">
        <f t="shared" si="520"/>
        <v>23232.990752972328</v>
      </c>
      <c r="DR137" s="28">
        <f t="shared" si="521"/>
        <v>3318.9986789960421</v>
      </c>
      <c r="DS137" s="28">
        <f t="shared" si="522"/>
        <v>24560.59022457066</v>
      </c>
      <c r="DT137" s="28">
        <f t="shared" si="523"/>
        <v>27547.689035667136</v>
      </c>
      <c r="DU137" s="28">
        <f t="shared" si="524"/>
        <v>11616.495376486164</v>
      </c>
      <c r="DV137" s="28">
        <f t="shared" si="525"/>
        <v>0</v>
      </c>
      <c r="DW137" s="28">
        <f t="shared" si="526"/>
        <v>26883.889299867973</v>
      </c>
      <c r="DX137" s="28">
        <f t="shared" si="527"/>
        <v>49784.980184940621</v>
      </c>
      <c r="DY137" s="28">
        <f t="shared" si="528"/>
        <v>107203.65733157189</v>
      </c>
      <c r="DZ137" s="28">
        <f t="shared" si="529"/>
        <v>43146.982826948493</v>
      </c>
      <c r="EA137" s="28">
        <f t="shared" si="530"/>
        <v>28211.488771466247</v>
      </c>
      <c r="EB137" s="28">
        <f t="shared" si="531"/>
        <v>99569.960369881243</v>
      </c>
      <c r="EC137" s="28">
        <f t="shared" si="532"/>
        <v>297382.28163804481</v>
      </c>
      <c r="ED137" s="28">
        <f t="shared" si="533"/>
        <v>65716.1738441216</v>
      </c>
      <c r="EE137" s="28">
        <f t="shared" si="534"/>
        <v>14935.494055482151</v>
      </c>
      <c r="EF137" s="28">
        <f t="shared" si="535"/>
        <v>64388.574372523261</v>
      </c>
      <c r="EG137" s="28">
        <f t="shared" si="536"/>
        <v>47793.580977542908</v>
      </c>
      <c r="EH137" s="28">
        <f t="shared" si="537"/>
        <v>25556.28982826948</v>
      </c>
      <c r="EI137" s="28">
        <f t="shared" si="538"/>
        <v>81647.367503302434</v>
      </c>
      <c r="EJ137" s="28">
        <f t="shared" si="539"/>
        <v>24892.490092470311</v>
      </c>
      <c r="EK137" s="28">
        <f t="shared" si="540"/>
        <v>43478.882694848093</v>
      </c>
      <c r="EL137" s="28">
        <f t="shared" si="541"/>
        <v>0</v>
      </c>
      <c r="EM137" s="28">
        <f t="shared" si="542"/>
        <v>50448.779920739762</v>
      </c>
      <c r="EN137" s="28">
        <f t="shared" si="543"/>
        <v>0</v>
      </c>
      <c r="EQ137" s="144">
        <v>4.3573288433632978E-2</v>
      </c>
      <c r="ER137" s="144">
        <v>5.4466816735141414E-2</v>
      </c>
      <c r="ES137" s="144">
        <v>6.5359934375914738E-2</v>
      </c>
      <c r="ET137" s="144">
        <v>6.8896666516225002E-2</v>
      </c>
      <c r="EU137" s="144">
        <v>8.8581377153863244E-2</v>
      </c>
      <c r="EV137" s="144">
        <v>0.10826571675055453</v>
      </c>
      <c r="EW137" s="144">
        <v>0.11810788654890018</v>
      </c>
      <c r="EX137" s="144">
        <v>9.8423175911261943E-2</v>
      </c>
      <c r="EY137" s="144">
        <v>9.8423546952208896E-2</v>
      </c>
      <c r="EZ137" s="144">
        <v>7.873883631457064E-2</v>
      </c>
      <c r="FA137" s="144">
        <v>8.8581377153863244E-2</v>
      </c>
      <c r="FB137" s="144">
        <v>8.8581377153863244E-2</v>
      </c>
      <c r="FC137" s="145">
        <f t="shared" si="544"/>
        <v>1</v>
      </c>
      <c r="FD137" s="146">
        <f t="shared" si="545"/>
        <v>0.16340003954468912</v>
      </c>
      <c r="FE137" s="146">
        <f t="shared" si="546"/>
        <v>0.26574376042064279</v>
      </c>
      <c r="FF137" s="146">
        <f t="shared" si="547"/>
        <v>0.31495460941237102</v>
      </c>
      <c r="FG137" s="146">
        <f t="shared" si="548"/>
        <v>0.25590159062229711</v>
      </c>
      <c r="FH137" s="145">
        <f t="shared" si="655"/>
        <v>1</v>
      </c>
      <c r="FJ137" s="52">
        <f t="shared" si="549"/>
        <v>15115.772004822087</v>
      </c>
      <c r="FK137" s="52">
        <f t="shared" si="550"/>
        <v>22476.495763691993</v>
      </c>
      <c r="FL137" s="52">
        <f t="shared" si="551"/>
        <v>9200.9046985874156</v>
      </c>
      <c r="FM137" s="52">
        <f t="shared" si="552"/>
        <v>1314.4149569410574</v>
      </c>
      <c r="FN137" s="52">
        <f t="shared" si="553"/>
        <v>9726.6706813638048</v>
      </c>
      <c r="FO137" s="52">
        <f t="shared" si="554"/>
        <v>10909.644142610772</v>
      </c>
      <c r="FP137" s="52">
        <f t="shared" si="555"/>
        <v>4600.4523492937078</v>
      </c>
      <c r="FQ137" s="52">
        <f t="shared" si="556"/>
        <v>0</v>
      </c>
      <c r="FR137" s="52">
        <f t="shared" si="557"/>
        <v>10646.761151222578</v>
      </c>
      <c r="FS137" s="52">
        <f t="shared" si="558"/>
        <v>19716.22435411586</v>
      </c>
      <c r="FT137" s="52">
        <f t="shared" si="559"/>
        <v>42455.603109196047</v>
      </c>
      <c r="FU137" s="52">
        <f t="shared" si="560"/>
        <v>17087.394440233726</v>
      </c>
      <c r="FV137" s="52">
        <f t="shared" si="561"/>
        <v>11172.527133998943</v>
      </c>
      <c r="FW137" s="52">
        <f t="shared" si="562"/>
        <v>39432.448708231721</v>
      </c>
      <c r="FX137" s="52">
        <f t="shared" si="563"/>
        <v>117771.58014191853</v>
      </c>
      <c r="FY137" s="52">
        <f t="shared" si="564"/>
        <v>26025.416147432923</v>
      </c>
      <c r="FZ137" s="52">
        <f t="shared" si="565"/>
        <v>5914.8673062347443</v>
      </c>
      <c r="GA137" s="52">
        <f t="shared" si="566"/>
        <v>25499.65016465653</v>
      </c>
      <c r="GB137" s="52">
        <f t="shared" si="567"/>
        <v>18927.575379951188</v>
      </c>
      <c r="GC137" s="52">
        <f t="shared" si="568"/>
        <v>10120.995168446125</v>
      </c>
      <c r="GD137" s="52">
        <f t="shared" si="569"/>
        <v>32334.607940749938</v>
      </c>
      <c r="GE137" s="52">
        <f t="shared" si="570"/>
        <v>9858.1121770579302</v>
      </c>
      <c r="GF137" s="52">
        <f t="shared" si="571"/>
        <v>17218.835935927829</v>
      </c>
      <c r="GG137" s="52">
        <f t="shared" si="572"/>
        <v>0</v>
      </c>
      <c r="GH137" s="52">
        <f t="shared" si="573"/>
        <v>19979.107345504046</v>
      </c>
      <c r="GI137" s="52">
        <f t="shared" si="574"/>
        <v>0</v>
      </c>
      <c r="GJ137" s="26"/>
      <c r="GL137" s="150">
        <f t="shared" si="575"/>
        <v>24583.360600251821</v>
      </c>
      <c r="GM137" s="150">
        <f t="shared" si="576"/>
        <v>36554.388370809262</v>
      </c>
      <c r="GN137" s="150">
        <f t="shared" si="577"/>
        <v>14963.784713196856</v>
      </c>
      <c r="GO137" s="150">
        <f t="shared" si="578"/>
        <v>2137.6835304566907</v>
      </c>
      <c r="GP137" s="150">
        <f t="shared" si="579"/>
        <v>15818.858125379476</v>
      </c>
      <c r="GQ137" s="150">
        <f t="shared" si="580"/>
        <v>17742.773302790523</v>
      </c>
      <c r="GR137" s="150">
        <f t="shared" si="581"/>
        <v>7481.8923565984278</v>
      </c>
      <c r="GS137" s="150">
        <f t="shared" si="582"/>
        <v>0</v>
      </c>
      <c r="GT137" s="150">
        <f t="shared" si="583"/>
        <v>17315.236596699215</v>
      </c>
      <c r="GU137" s="150">
        <f t="shared" si="584"/>
        <v>32065.252956850356</v>
      </c>
      <c r="GV137" s="150">
        <f t="shared" si="585"/>
        <v>69047.178033750926</v>
      </c>
      <c r="GW137" s="150">
        <f t="shared" si="586"/>
        <v>27789.885895936943</v>
      </c>
      <c r="GX137" s="150">
        <f t="shared" si="587"/>
        <v>18170.310008881796</v>
      </c>
      <c r="GY137" s="150">
        <f t="shared" si="588"/>
        <v>64130.505913700712</v>
      </c>
      <c r="GZ137" s="150">
        <f t="shared" si="589"/>
        <v>191536.44432891911</v>
      </c>
      <c r="HA137" s="150">
        <f t="shared" si="590"/>
        <v>42326.13390304245</v>
      </c>
      <c r="HB137" s="150">
        <f t="shared" si="591"/>
        <v>9619.5758870550835</v>
      </c>
      <c r="HC137" s="150">
        <f t="shared" si="592"/>
        <v>41471.060490859825</v>
      </c>
      <c r="HD137" s="150">
        <f t="shared" si="593"/>
        <v>30782.642838576281</v>
      </c>
      <c r="HE137" s="150">
        <f t="shared" si="594"/>
        <v>16460.163184516488</v>
      </c>
      <c r="HF137" s="150">
        <f t="shared" si="595"/>
        <v>52587.01484923446</v>
      </c>
      <c r="HG137" s="150">
        <f t="shared" si="596"/>
        <v>16032.626478425178</v>
      </c>
      <c r="HH137" s="150">
        <f t="shared" si="597"/>
        <v>28003.65424898261</v>
      </c>
      <c r="HI137" s="150">
        <f t="shared" si="598"/>
        <v>0</v>
      </c>
      <c r="HJ137" s="150">
        <f t="shared" si="599"/>
        <v>32492.78966294165</v>
      </c>
      <c r="HK137" s="150">
        <f t="shared" si="600"/>
        <v>0</v>
      </c>
      <c r="HL137" s="26"/>
      <c r="HN137" s="147">
        <f t="shared" si="601"/>
        <v>29135.746117387826</v>
      </c>
      <c r="HO137" s="147">
        <f t="shared" si="602"/>
        <v>43323.587704985417</v>
      </c>
      <c r="HP137" s="147">
        <f t="shared" si="603"/>
        <v>17734.801984497048</v>
      </c>
      <c r="HQ137" s="147">
        <f t="shared" si="604"/>
        <v>2533.5431406424318</v>
      </c>
      <c r="HR137" s="147">
        <f t="shared" si="605"/>
        <v>18748.219240753955</v>
      </c>
      <c r="HS137" s="147">
        <f t="shared" si="606"/>
        <v>21028.408067332173</v>
      </c>
      <c r="HT137" s="147">
        <f t="shared" si="607"/>
        <v>8867.4009922485238</v>
      </c>
      <c r="HU137" s="147">
        <f t="shared" si="608"/>
        <v>0</v>
      </c>
      <c r="HV137" s="147">
        <f t="shared" si="609"/>
        <v>20521.699439203723</v>
      </c>
      <c r="HW137" s="147">
        <f t="shared" si="610"/>
        <v>38003.147109636469</v>
      </c>
      <c r="HX137" s="147">
        <f t="shared" si="611"/>
        <v>81833.443442750344</v>
      </c>
      <c r="HY137" s="147">
        <f t="shared" si="612"/>
        <v>32936.060828351568</v>
      </c>
      <c r="HZ137" s="147">
        <f t="shared" si="613"/>
        <v>21535.116695460583</v>
      </c>
      <c r="IA137" s="147">
        <f t="shared" si="614"/>
        <v>76006.294219272939</v>
      </c>
      <c r="IB137" s="147">
        <f t="shared" si="615"/>
        <v>227005.46540156147</v>
      </c>
      <c r="IC137" s="147">
        <f t="shared" si="616"/>
        <v>50164.154184720122</v>
      </c>
      <c r="ID137" s="147">
        <f t="shared" si="617"/>
        <v>11400.944132890914</v>
      </c>
      <c r="IE137" s="147">
        <f t="shared" si="618"/>
        <v>49150.736928463208</v>
      </c>
      <c r="IF137" s="147">
        <f t="shared" si="619"/>
        <v>36483.021225250945</v>
      </c>
      <c r="IG137" s="147">
        <f t="shared" si="620"/>
        <v>19508.282182946688</v>
      </c>
      <c r="IH137" s="147">
        <f t="shared" si="621"/>
        <v>62325.161259803674</v>
      </c>
      <c r="II137" s="147">
        <f t="shared" si="622"/>
        <v>19001.573554818235</v>
      </c>
      <c r="IJ137" s="147">
        <f t="shared" si="623"/>
        <v>33189.415142415812</v>
      </c>
      <c r="IK137" s="147">
        <f t="shared" si="624"/>
        <v>0</v>
      </c>
      <c r="IL137" s="147">
        <f t="shared" si="625"/>
        <v>38509.855737764912</v>
      </c>
      <c r="IM137" s="147">
        <f t="shared" si="626"/>
        <v>0</v>
      </c>
      <c r="IN137" s="26"/>
      <c r="IP137" s="61">
        <f t="shared" si="627"/>
        <v>23672.883496824619</v>
      </c>
      <c r="IQ137" s="61">
        <f t="shared" si="628"/>
        <v>35200.548503974031</v>
      </c>
      <c r="IR137" s="61">
        <f t="shared" si="629"/>
        <v>14409.581258936814</v>
      </c>
      <c r="IS137" s="61">
        <f t="shared" si="630"/>
        <v>2058.511608419542</v>
      </c>
      <c r="IT137" s="61">
        <f t="shared" si="631"/>
        <v>15232.985902304579</v>
      </c>
      <c r="IU137" s="61">
        <f t="shared" si="632"/>
        <v>17085.64634988219</v>
      </c>
      <c r="IV137" s="61">
        <f t="shared" si="633"/>
        <v>7204.7906294684071</v>
      </c>
      <c r="IW137" s="61">
        <f t="shared" si="634"/>
        <v>0</v>
      </c>
      <c r="IX137" s="61">
        <f t="shared" si="635"/>
        <v>16673.944028198312</v>
      </c>
      <c r="IY137" s="61">
        <f t="shared" si="636"/>
        <v>30877.674126293128</v>
      </c>
      <c r="IZ137" s="61">
        <f t="shared" si="637"/>
        <v>66489.924951951034</v>
      </c>
      <c r="JA137" s="61">
        <f t="shared" si="638"/>
        <v>26760.650909454012</v>
      </c>
      <c r="JB137" s="61">
        <f t="shared" si="639"/>
        <v>17497.348671566037</v>
      </c>
      <c r="JC137" s="61">
        <f t="shared" si="640"/>
        <v>61755.348252586256</v>
      </c>
      <c r="JD137" s="61">
        <f t="shared" si="641"/>
        <v>184442.64011439061</v>
      </c>
      <c r="JE137" s="61">
        <f t="shared" si="642"/>
        <v>40758.529846706908</v>
      </c>
      <c r="JF137" s="61">
        <f t="shared" si="643"/>
        <v>9263.3022378879159</v>
      </c>
      <c r="JG137" s="61">
        <f t="shared" si="644"/>
        <v>39935.125203339143</v>
      </c>
      <c r="JH137" s="61">
        <f t="shared" si="645"/>
        <v>29642.567161241346</v>
      </c>
      <c r="JI137" s="61">
        <f t="shared" si="646"/>
        <v>15850.539384830445</v>
      </c>
      <c r="JJ137" s="61">
        <f t="shared" si="647"/>
        <v>50639.385567120611</v>
      </c>
      <c r="JK137" s="61">
        <f t="shared" si="648"/>
        <v>15438.837063146564</v>
      </c>
      <c r="JL137" s="61">
        <f t="shared" si="649"/>
        <v>26966.502070295966</v>
      </c>
      <c r="JM137" s="61">
        <f t="shared" si="650"/>
        <v>0</v>
      </c>
      <c r="JN137" s="61">
        <f t="shared" si="651"/>
        <v>31289.376447976996</v>
      </c>
      <c r="JO137" s="61">
        <f t="shared" si="652"/>
        <v>0</v>
      </c>
      <c r="JQ137" s="26">
        <f t="shared" si="711"/>
        <v>3044712.0000000009</v>
      </c>
      <c r="JR137" s="156">
        <f t="shared" si="712"/>
        <v>1.0000000000000002</v>
      </c>
      <c r="JT137" s="157">
        <f t="shared" si="653"/>
        <v>92507.762219286349</v>
      </c>
      <c r="JU137" s="29">
        <f t="shared" si="654"/>
        <v>1</v>
      </c>
    </row>
    <row r="138" spans="1:281" ht="18.75" x14ac:dyDescent="0.3">
      <c r="A138" t="s">
        <v>234</v>
      </c>
      <c r="B138" s="10" t="s">
        <v>213</v>
      </c>
      <c r="C138" t="s">
        <v>28</v>
      </c>
      <c r="D138" t="s">
        <v>29</v>
      </c>
      <c r="E138" t="s">
        <v>297</v>
      </c>
      <c r="F138" s="114">
        <v>250</v>
      </c>
      <c r="G138" s="17">
        <v>1638563</v>
      </c>
      <c r="H138" s="21">
        <v>962500</v>
      </c>
      <c r="I138" s="25">
        <f t="shared" si="713"/>
        <v>1.7024031168831169</v>
      </c>
      <c r="J138" s="13">
        <v>3.0383091149273504E-2</v>
      </c>
      <c r="K138" s="13">
        <v>4.5178335535006629E-2</v>
      </c>
      <c r="L138" s="13">
        <v>1.8494055482166448E-2</v>
      </c>
      <c r="M138" s="13">
        <v>2.6420079260237777E-3</v>
      </c>
      <c r="N138" s="13">
        <v>1.9550858652575932E-2</v>
      </c>
      <c r="O138" s="13">
        <v>2.1928665785997323E-2</v>
      </c>
      <c r="P138" s="13">
        <v>9.2470277410832222E-3</v>
      </c>
      <c r="Q138" s="13">
        <v>0</v>
      </c>
      <c r="R138" s="13">
        <v>2.1400264200792631E-2</v>
      </c>
      <c r="S138" s="13">
        <v>3.9630118890356607E-2</v>
      </c>
      <c r="T138" s="13">
        <v>8.5336856010567952E-2</v>
      </c>
      <c r="U138" s="13">
        <v>3.4346103038309199E-2</v>
      </c>
      <c r="V138" s="13">
        <v>2.245706737120208E-2</v>
      </c>
      <c r="W138" s="13">
        <v>7.9260237780713408E-2</v>
      </c>
      <c r="X138" s="13">
        <v>0.23672391017173056</v>
      </c>
      <c r="Y138" s="13">
        <v>5.2311756935270785E-2</v>
      </c>
      <c r="Z138" s="13">
        <v>1.1889035667107022E-2</v>
      </c>
      <c r="AA138" s="13">
        <v>5.1254953764861284E-2</v>
      </c>
      <c r="AB138" s="13">
        <v>3.8044914134742376E-2</v>
      </c>
      <c r="AC138" s="13">
        <v>2.0343461030383026E-2</v>
      </c>
      <c r="AD138" s="13">
        <v>6.4993394980184832E-2</v>
      </c>
      <c r="AE138" s="13">
        <v>1.9815059445178321E-2</v>
      </c>
      <c r="AF138" s="13">
        <v>3.4610303830911522E-2</v>
      </c>
      <c r="AG138" s="9">
        <v>0</v>
      </c>
      <c r="AH138" s="13">
        <v>4.0158520475561503E-2</v>
      </c>
      <c r="AJ138" s="8">
        <f t="shared" si="656"/>
        <v>1</v>
      </c>
      <c r="AK138" s="141">
        <f t="shared" si="714"/>
        <v>7.595772787318376</v>
      </c>
      <c r="AL138" s="141">
        <f t="shared" si="715"/>
        <v>11.294583883751658</v>
      </c>
      <c r="AM138" s="141">
        <f t="shared" si="716"/>
        <v>4.6235138705416121</v>
      </c>
      <c r="AN138" s="141">
        <f t="shared" si="717"/>
        <v>0.66050198150594441</v>
      </c>
      <c r="AO138" s="141">
        <f t="shared" si="718"/>
        <v>4.8877146631439832</v>
      </c>
      <c r="AP138" s="141">
        <f t="shared" si="719"/>
        <v>5.4821664464993303</v>
      </c>
      <c r="AQ138" s="141">
        <f t="shared" si="720"/>
        <v>2.3117569352708056</v>
      </c>
      <c r="AR138" s="141">
        <f t="shared" si="721"/>
        <v>0</v>
      </c>
      <c r="AS138" s="141">
        <f t="shared" si="722"/>
        <v>5.3500660501981576</v>
      </c>
      <c r="AT138" s="141">
        <f t="shared" si="723"/>
        <v>9.9075297225891514</v>
      </c>
      <c r="AU138" s="141">
        <f t="shared" si="724"/>
        <v>21.334214002641989</v>
      </c>
      <c r="AV138" s="141">
        <f t="shared" si="725"/>
        <v>8.5865257595773006</v>
      </c>
      <c r="AW138" s="141">
        <f t="shared" si="726"/>
        <v>5.6142668428005198</v>
      </c>
      <c r="AX138" s="141">
        <f t="shared" si="727"/>
        <v>19.815059445178353</v>
      </c>
      <c r="AY138" s="141">
        <f t="shared" si="728"/>
        <v>59.180977542932638</v>
      </c>
      <c r="AZ138" s="141">
        <f t="shared" si="729"/>
        <v>13.077939233817697</v>
      </c>
      <c r="BA138" s="141">
        <f t="shared" si="730"/>
        <v>2.9722589167767555</v>
      </c>
      <c r="BB138" s="141">
        <f t="shared" si="731"/>
        <v>12.813738441215321</v>
      </c>
      <c r="BC138" s="141">
        <f t="shared" si="732"/>
        <v>9.5112285336855944</v>
      </c>
      <c r="BD138" s="141">
        <f t="shared" si="733"/>
        <v>5.0858652575957564</v>
      </c>
      <c r="BE138" s="141">
        <f t="shared" si="734"/>
        <v>16.248348745046208</v>
      </c>
      <c r="BF138" s="141">
        <f t="shared" si="735"/>
        <v>4.9537648612945802</v>
      </c>
      <c r="BG138" s="141">
        <f t="shared" si="736"/>
        <v>8.6525759577278798</v>
      </c>
      <c r="BH138" s="141">
        <f t="shared" si="737"/>
        <v>0</v>
      </c>
      <c r="BI138" s="141">
        <f t="shared" si="738"/>
        <v>10.039630118890376</v>
      </c>
      <c r="BJ138" s="141">
        <f t="shared" si="739"/>
        <v>0</v>
      </c>
      <c r="BM138" s="26">
        <f t="shared" si="657"/>
        <v>49784.608982827041</v>
      </c>
      <c r="BN138" s="26">
        <f t="shared" si="658"/>
        <v>74027.549009247072</v>
      </c>
      <c r="BO138" s="26">
        <f t="shared" si="659"/>
        <v>30303.675033025102</v>
      </c>
      <c r="BP138" s="26">
        <f t="shared" si="660"/>
        <v>4329.0964332892991</v>
      </c>
      <c r="BQ138" s="26">
        <f t="shared" si="661"/>
        <v>32035.313606340776</v>
      </c>
      <c r="BR138" s="26">
        <f t="shared" si="662"/>
        <v>35931.500396301133</v>
      </c>
      <c r="BS138" s="26">
        <f t="shared" si="663"/>
        <v>15151.837516512547</v>
      </c>
      <c r="BT138" s="26">
        <f t="shared" si="664"/>
        <v>0</v>
      </c>
      <c r="BU138" s="26">
        <f t="shared" si="665"/>
        <v>35065.681109643374</v>
      </c>
      <c r="BV138" s="26">
        <f t="shared" si="666"/>
        <v>64936.446499339392</v>
      </c>
      <c r="BW138" s="26">
        <f t="shared" si="667"/>
        <v>139829.81479524425</v>
      </c>
      <c r="BX138" s="26">
        <f t="shared" si="668"/>
        <v>56278.253632761036</v>
      </c>
      <c r="BY138" s="26">
        <f t="shared" si="669"/>
        <v>36797.319682958994</v>
      </c>
      <c r="BZ138" s="26">
        <f t="shared" si="670"/>
        <v>129872.8929986791</v>
      </c>
      <c r="CA138" s="26">
        <f t="shared" si="671"/>
        <v>387887.04042272136</v>
      </c>
      <c r="CB138" s="26">
        <f t="shared" si="672"/>
        <v>85716.109379128102</v>
      </c>
      <c r="CC138" s="26">
        <f t="shared" si="673"/>
        <v>19480.933949801882</v>
      </c>
      <c r="CD138" s="26">
        <f t="shared" si="674"/>
        <v>83984.470805812394</v>
      </c>
      <c r="CE138" s="26">
        <f t="shared" si="675"/>
        <v>62338.988639365874</v>
      </c>
      <c r="CF138" s="26">
        <f t="shared" si="676"/>
        <v>33334.042536327499</v>
      </c>
      <c r="CG138" s="26">
        <f t="shared" si="677"/>
        <v>106495.77225891659</v>
      </c>
      <c r="CH138" s="26">
        <f t="shared" si="678"/>
        <v>32468.223249669725</v>
      </c>
      <c r="CI138" s="26">
        <f t="shared" si="679"/>
        <v>56711.163276089879</v>
      </c>
      <c r="CJ138" s="26">
        <f t="shared" si="680"/>
        <v>0</v>
      </c>
      <c r="CK138" s="26">
        <f t="shared" si="681"/>
        <v>65802.265785997486</v>
      </c>
      <c r="CL138" s="26">
        <f t="shared" si="682"/>
        <v>0</v>
      </c>
      <c r="CM138" s="110">
        <f t="shared" si="683"/>
        <v>1</v>
      </c>
      <c r="CN138" s="27">
        <f t="shared" si="684"/>
        <v>29243.725231175747</v>
      </c>
      <c r="CO138" s="27">
        <f t="shared" si="685"/>
        <v>43484.147952443884</v>
      </c>
      <c r="CP138" s="27">
        <f t="shared" si="686"/>
        <v>17800.528401585205</v>
      </c>
      <c r="CQ138" s="27">
        <f t="shared" si="687"/>
        <v>2542.9326287978861</v>
      </c>
      <c r="CR138" s="27">
        <f t="shared" si="688"/>
        <v>18817.701453104335</v>
      </c>
      <c r="CS138" s="27">
        <f t="shared" si="689"/>
        <v>21106.340819022422</v>
      </c>
      <c r="CT138" s="27">
        <f t="shared" si="690"/>
        <v>8900.2642007926006</v>
      </c>
      <c r="CU138" s="27">
        <f t="shared" si="691"/>
        <v>0</v>
      </c>
      <c r="CV138" s="27">
        <f t="shared" si="692"/>
        <v>20597.754293262908</v>
      </c>
      <c r="CW138" s="27">
        <f t="shared" si="693"/>
        <v>38143.989431968235</v>
      </c>
      <c r="CX138" s="27">
        <f t="shared" si="694"/>
        <v>82136.723910171655</v>
      </c>
      <c r="CY138" s="27">
        <f t="shared" si="695"/>
        <v>33058.124174372606</v>
      </c>
      <c r="CZ138" s="27">
        <f t="shared" si="696"/>
        <v>21614.927344782001</v>
      </c>
      <c r="DA138" s="27">
        <f t="shared" si="697"/>
        <v>76287.97886393666</v>
      </c>
      <c r="DB138" s="27">
        <f t="shared" si="698"/>
        <v>227846.76354029067</v>
      </c>
      <c r="DC138" s="27">
        <f t="shared" si="699"/>
        <v>50350.066050198133</v>
      </c>
      <c r="DD138" s="27">
        <f t="shared" si="700"/>
        <v>11443.196829590508</v>
      </c>
      <c r="DE138" s="27">
        <f t="shared" si="701"/>
        <v>49332.892998678988</v>
      </c>
      <c r="DF138" s="27">
        <f t="shared" si="702"/>
        <v>36618.22985468954</v>
      </c>
      <c r="DG138" s="27">
        <f t="shared" si="703"/>
        <v>19580.581241743661</v>
      </c>
      <c r="DH138" s="27">
        <f t="shared" si="704"/>
        <v>62556.142668427899</v>
      </c>
      <c r="DI138" s="27">
        <f t="shared" si="705"/>
        <v>19071.994715984132</v>
      </c>
      <c r="DJ138" s="27">
        <f t="shared" si="706"/>
        <v>33312.417437252341</v>
      </c>
      <c r="DK138" s="27">
        <f t="shared" si="707"/>
        <v>0</v>
      </c>
      <c r="DL138" s="27">
        <f t="shared" si="708"/>
        <v>38652.575957727946</v>
      </c>
      <c r="DM138" s="27">
        <f t="shared" si="709"/>
        <v>0</v>
      </c>
      <c r="DN138" s="110">
        <f t="shared" si="710"/>
        <v>0.99999999999999989</v>
      </c>
      <c r="DO138" s="28">
        <f t="shared" si="518"/>
        <v>20540.883751651294</v>
      </c>
      <c r="DP138" s="28">
        <f t="shared" si="519"/>
        <v>30543.401056803188</v>
      </c>
      <c r="DQ138" s="28">
        <f t="shared" si="520"/>
        <v>12503.146631439897</v>
      </c>
      <c r="DR138" s="28">
        <f t="shared" si="521"/>
        <v>1786.163804491413</v>
      </c>
      <c r="DS138" s="28">
        <f t="shared" si="522"/>
        <v>13217.612153236441</v>
      </c>
      <c r="DT138" s="28">
        <f t="shared" si="523"/>
        <v>14825.159577278711</v>
      </c>
      <c r="DU138" s="28">
        <f t="shared" si="524"/>
        <v>6251.5733157199465</v>
      </c>
      <c r="DV138" s="28">
        <f t="shared" si="525"/>
        <v>0</v>
      </c>
      <c r="DW138" s="28">
        <f t="shared" si="526"/>
        <v>14467.926816380466</v>
      </c>
      <c r="DX138" s="28">
        <f t="shared" si="527"/>
        <v>26792.457067371157</v>
      </c>
      <c r="DY138" s="28">
        <f t="shared" si="528"/>
        <v>57693.090885072597</v>
      </c>
      <c r="DZ138" s="28">
        <f t="shared" si="529"/>
        <v>23220.12945838843</v>
      </c>
      <c r="EA138" s="28">
        <f t="shared" si="530"/>
        <v>15182.392338176993</v>
      </c>
      <c r="EB138" s="28">
        <f t="shared" si="531"/>
        <v>53584.914134742445</v>
      </c>
      <c r="EC138" s="28">
        <f t="shared" si="532"/>
        <v>160040.27688243068</v>
      </c>
      <c r="ED138" s="28">
        <f t="shared" si="533"/>
        <v>35366.043328929969</v>
      </c>
      <c r="EE138" s="28">
        <f t="shared" si="534"/>
        <v>8037.7371202113736</v>
      </c>
      <c r="EF138" s="28">
        <f t="shared" si="535"/>
        <v>34651.577807133406</v>
      </c>
      <c r="EG138" s="28">
        <f t="shared" si="536"/>
        <v>25720.758784676334</v>
      </c>
      <c r="EH138" s="28">
        <f t="shared" si="537"/>
        <v>13753.461294583838</v>
      </c>
      <c r="EI138" s="28">
        <f t="shared" si="538"/>
        <v>43939.629590488694</v>
      </c>
      <c r="EJ138" s="28">
        <f t="shared" si="539"/>
        <v>13396.228533685593</v>
      </c>
      <c r="EK138" s="28">
        <f t="shared" si="540"/>
        <v>23398.745838837538</v>
      </c>
      <c r="EL138" s="28">
        <f t="shared" si="541"/>
        <v>0</v>
      </c>
      <c r="EM138" s="28">
        <f t="shared" si="542"/>
        <v>27149.68982826954</v>
      </c>
      <c r="EN138" s="28">
        <f t="shared" si="543"/>
        <v>0</v>
      </c>
      <c r="EQ138" s="144">
        <v>0.04</v>
      </c>
      <c r="ER138" s="144">
        <v>0.05</v>
      </c>
      <c r="ES138" s="144">
        <v>0.06</v>
      </c>
      <c r="ET138" s="144">
        <v>7.0000000000000007E-2</v>
      </c>
      <c r="EU138" s="144">
        <v>0.09</v>
      </c>
      <c r="EV138" s="144">
        <v>0.11</v>
      </c>
      <c r="EW138" s="144">
        <v>0.12</v>
      </c>
      <c r="EX138" s="144">
        <v>0.1</v>
      </c>
      <c r="EY138" s="144">
        <v>0.1</v>
      </c>
      <c r="EZ138" s="144">
        <v>0.08</v>
      </c>
      <c r="FA138" s="144">
        <v>0.09</v>
      </c>
      <c r="FB138" s="144">
        <v>0.09</v>
      </c>
      <c r="FC138" s="145">
        <f t="shared" si="544"/>
        <v>0.99999999999999989</v>
      </c>
      <c r="FD138" s="146">
        <f t="shared" si="545"/>
        <v>0.15</v>
      </c>
      <c r="FE138" s="146">
        <f t="shared" si="546"/>
        <v>0.27</v>
      </c>
      <c r="FF138" s="146">
        <f t="shared" si="547"/>
        <v>0.32</v>
      </c>
      <c r="FG138" s="146">
        <f t="shared" si="548"/>
        <v>0.26</v>
      </c>
      <c r="FH138" s="145">
        <f t="shared" si="655"/>
        <v>1</v>
      </c>
      <c r="FJ138" s="52">
        <f t="shared" si="549"/>
        <v>7467.6913474240555</v>
      </c>
      <c r="FK138" s="52">
        <f t="shared" si="550"/>
        <v>11104.132351387061</v>
      </c>
      <c r="FL138" s="52">
        <f t="shared" si="551"/>
        <v>4545.5512549537652</v>
      </c>
      <c r="FM138" s="52">
        <f t="shared" si="552"/>
        <v>649.36446499339479</v>
      </c>
      <c r="FN138" s="52">
        <f t="shared" si="553"/>
        <v>4805.2970409511163</v>
      </c>
      <c r="FO138" s="52">
        <f t="shared" si="554"/>
        <v>5389.7250594451698</v>
      </c>
      <c r="FP138" s="52">
        <f t="shared" si="555"/>
        <v>2272.7756274768822</v>
      </c>
      <c r="FQ138" s="52">
        <f t="shared" si="556"/>
        <v>0</v>
      </c>
      <c r="FR138" s="52">
        <f t="shared" si="557"/>
        <v>5259.8521664465061</v>
      </c>
      <c r="FS138" s="52">
        <f t="shared" si="558"/>
        <v>9740.4669749009081</v>
      </c>
      <c r="FT138" s="52">
        <f t="shared" si="559"/>
        <v>20974.472219286636</v>
      </c>
      <c r="FU138" s="52">
        <f t="shared" si="560"/>
        <v>8441.7380449141547</v>
      </c>
      <c r="FV138" s="52">
        <f t="shared" si="561"/>
        <v>5519.597952443849</v>
      </c>
      <c r="FW138" s="52">
        <f t="shared" si="562"/>
        <v>19480.933949801863</v>
      </c>
      <c r="FX138" s="52">
        <f t="shared" si="563"/>
        <v>58183.056063408199</v>
      </c>
      <c r="FY138" s="52">
        <f t="shared" si="564"/>
        <v>12857.416406869215</v>
      </c>
      <c r="FZ138" s="52">
        <f t="shared" si="565"/>
        <v>2922.1400924702821</v>
      </c>
      <c r="GA138" s="52">
        <f t="shared" si="566"/>
        <v>12597.670620871859</v>
      </c>
      <c r="GB138" s="52">
        <f t="shared" si="567"/>
        <v>9350.8482959048815</v>
      </c>
      <c r="GC138" s="52">
        <f t="shared" si="568"/>
        <v>5000.106380449125</v>
      </c>
      <c r="GD138" s="52">
        <f t="shared" si="569"/>
        <v>15974.365838837488</v>
      </c>
      <c r="GE138" s="52">
        <f t="shared" si="570"/>
        <v>4870.2334874504586</v>
      </c>
      <c r="GF138" s="52">
        <f t="shared" si="571"/>
        <v>8506.6744914134815</v>
      </c>
      <c r="GG138" s="52">
        <f t="shared" si="572"/>
        <v>0</v>
      </c>
      <c r="GH138" s="52">
        <f t="shared" si="573"/>
        <v>9870.3398678996218</v>
      </c>
      <c r="GI138" s="52">
        <f t="shared" si="574"/>
        <v>0</v>
      </c>
      <c r="GJ138" s="26"/>
      <c r="GL138" s="150">
        <f t="shared" si="575"/>
        <v>13441.844425363302</v>
      </c>
      <c r="GM138" s="150">
        <f t="shared" si="576"/>
        <v>19987.438232496712</v>
      </c>
      <c r="GN138" s="150">
        <f t="shared" si="577"/>
        <v>8181.9922589167782</v>
      </c>
      <c r="GO138" s="150">
        <f t="shared" si="578"/>
        <v>1168.8560369881109</v>
      </c>
      <c r="GP138" s="150">
        <f t="shared" si="579"/>
        <v>8649.5346737120108</v>
      </c>
      <c r="GQ138" s="150">
        <f t="shared" si="580"/>
        <v>9701.5051070013069</v>
      </c>
      <c r="GR138" s="150">
        <f t="shared" si="581"/>
        <v>4090.9961294583882</v>
      </c>
      <c r="GS138" s="150">
        <f t="shared" si="582"/>
        <v>0</v>
      </c>
      <c r="GT138" s="150">
        <f t="shared" si="583"/>
        <v>9467.7338996037124</v>
      </c>
      <c r="GU138" s="150">
        <f t="shared" si="584"/>
        <v>17532.840554821636</v>
      </c>
      <c r="GV138" s="150">
        <f t="shared" si="585"/>
        <v>37754.049994715948</v>
      </c>
      <c r="GW138" s="150">
        <f t="shared" si="586"/>
        <v>15195.12848084548</v>
      </c>
      <c r="GX138" s="150">
        <f t="shared" si="587"/>
        <v>9935.2763143989287</v>
      </c>
      <c r="GY138" s="150">
        <f t="shared" si="588"/>
        <v>35065.681109643359</v>
      </c>
      <c r="GZ138" s="150">
        <f t="shared" si="589"/>
        <v>104729.50091413477</v>
      </c>
      <c r="HA138" s="150">
        <f t="shared" si="590"/>
        <v>23143.349532364588</v>
      </c>
      <c r="HB138" s="150">
        <f t="shared" si="591"/>
        <v>5259.8521664465088</v>
      </c>
      <c r="HC138" s="150">
        <f t="shared" si="592"/>
        <v>22675.807117569348</v>
      </c>
      <c r="HD138" s="150">
        <f t="shared" si="593"/>
        <v>16831.526932628789</v>
      </c>
      <c r="HE138" s="150">
        <f t="shared" si="594"/>
        <v>9000.1914848084252</v>
      </c>
      <c r="HF138" s="150">
        <f t="shared" si="595"/>
        <v>28753.858509907481</v>
      </c>
      <c r="HG138" s="150">
        <f t="shared" si="596"/>
        <v>8766.4202774108271</v>
      </c>
      <c r="HH138" s="150">
        <f t="shared" si="597"/>
        <v>15312.014084544269</v>
      </c>
      <c r="HI138" s="150">
        <f t="shared" si="598"/>
        <v>0</v>
      </c>
      <c r="HJ138" s="150">
        <f t="shared" si="599"/>
        <v>17766.611762219323</v>
      </c>
      <c r="HK138" s="150">
        <f t="shared" si="600"/>
        <v>0</v>
      </c>
      <c r="HL138" s="26"/>
      <c r="HN138" s="147">
        <f t="shared" si="601"/>
        <v>15931.074874504653</v>
      </c>
      <c r="HO138" s="147">
        <f t="shared" si="602"/>
        <v>23688.815682959063</v>
      </c>
      <c r="HP138" s="147">
        <f t="shared" si="603"/>
        <v>9697.1760105680332</v>
      </c>
      <c r="HQ138" s="147">
        <f t="shared" si="604"/>
        <v>1385.3108586525757</v>
      </c>
      <c r="HR138" s="147">
        <f t="shared" si="605"/>
        <v>10251.300354029048</v>
      </c>
      <c r="HS138" s="147">
        <f t="shared" si="606"/>
        <v>11498.080126816363</v>
      </c>
      <c r="HT138" s="147">
        <f t="shared" si="607"/>
        <v>4848.5880052840148</v>
      </c>
      <c r="HU138" s="147">
        <f t="shared" si="608"/>
        <v>0</v>
      </c>
      <c r="HV138" s="147">
        <f t="shared" si="609"/>
        <v>11221.017955085879</v>
      </c>
      <c r="HW138" s="147">
        <f t="shared" si="610"/>
        <v>20779.662879788604</v>
      </c>
      <c r="HX138" s="147">
        <f t="shared" si="611"/>
        <v>44745.540734478163</v>
      </c>
      <c r="HY138" s="147">
        <f t="shared" si="612"/>
        <v>18009.041162483532</v>
      </c>
      <c r="HZ138" s="147">
        <f t="shared" si="613"/>
        <v>11775.142298546878</v>
      </c>
      <c r="IA138" s="147">
        <f t="shared" si="614"/>
        <v>41559.325759577318</v>
      </c>
      <c r="IB138" s="147">
        <f t="shared" si="615"/>
        <v>124123.85293527084</v>
      </c>
      <c r="IC138" s="147">
        <f t="shared" si="616"/>
        <v>27429.155001320993</v>
      </c>
      <c r="ID138" s="147">
        <f t="shared" si="617"/>
        <v>6233.8988639366025</v>
      </c>
      <c r="IE138" s="147">
        <f t="shared" si="618"/>
        <v>26875.030657859967</v>
      </c>
      <c r="IF138" s="147">
        <f t="shared" si="619"/>
        <v>19948.476364597082</v>
      </c>
      <c r="IG138" s="147">
        <f t="shared" si="620"/>
        <v>10666.893611624801</v>
      </c>
      <c r="IH138" s="147">
        <f t="shared" si="621"/>
        <v>34078.647122853312</v>
      </c>
      <c r="II138" s="147">
        <f t="shared" si="622"/>
        <v>10389.831439894313</v>
      </c>
      <c r="IJ138" s="147">
        <f t="shared" si="623"/>
        <v>18147.572248348763</v>
      </c>
      <c r="IK138" s="147">
        <f t="shared" si="624"/>
        <v>0</v>
      </c>
      <c r="IL138" s="147">
        <f t="shared" si="625"/>
        <v>21056.725051519195</v>
      </c>
      <c r="IM138" s="147">
        <f t="shared" si="626"/>
        <v>0</v>
      </c>
      <c r="IN138" s="26"/>
      <c r="IP138" s="61">
        <f t="shared" si="627"/>
        <v>12943.99833553503</v>
      </c>
      <c r="IQ138" s="61">
        <f t="shared" si="628"/>
        <v>19247.162742404238</v>
      </c>
      <c r="IR138" s="61">
        <f t="shared" si="629"/>
        <v>7878.9555085865268</v>
      </c>
      <c r="IS138" s="61">
        <f t="shared" si="630"/>
        <v>1125.5650726552178</v>
      </c>
      <c r="IT138" s="61">
        <f t="shared" si="631"/>
        <v>8329.1815376486029</v>
      </c>
      <c r="IU138" s="61">
        <f t="shared" si="632"/>
        <v>9342.1901030382942</v>
      </c>
      <c r="IV138" s="61">
        <f t="shared" si="633"/>
        <v>3939.4777542932625</v>
      </c>
      <c r="IW138" s="61">
        <f t="shared" si="634"/>
        <v>0</v>
      </c>
      <c r="IX138" s="61">
        <f t="shared" si="635"/>
        <v>9117.0770885072779</v>
      </c>
      <c r="IY138" s="61">
        <f t="shared" si="636"/>
        <v>16883.476089828244</v>
      </c>
      <c r="IZ138" s="61">
        <f t="shared" si="637"/>
        <v>36355.751846763509</v>
      </c>
      <c r="JA138" s="61">
        <f t="shared" si="638"/>
        <v>14632.345944517871</v>
      </c>
      <c r="JB138" s="61">
        <f t="shared" si="639"/>
        <v>9567.3031175693395</v>
      </c>
      <c r="JC138" s="61">
        <f t="shared" si="640"/>
        <v>33766.952179656568</v>
      </c>
      <c r="JD138" s="61">
        <f t="shared" si="641"/>
        <v>100850.63050990755</v>
      </c>
      <c r="JE138" s="61">
        <f t="shared" si="642"/>
        <v>22286.188438573306</v>
      </c>
      <c r="JF138" s="61">
        <f t="shared" si="643"/>
        <v>5065.0428269484892</v>
      </c>
      <c r="JG138" s="61">
        <f t="shared" si="644"/>
        <v>21835.962409511223</v>
      </c>
      <c r="JH138" s="61">
        <f t="shared" si="645"/>
        <v>16208.137046235128</v>
      </c>
      <c r="JI138" s="61">
        <f t="shared" si="646"/>
        <v>8666.8510594451509</v>
      </c>
      <c r="JJ138" s="61">
        <f t="shared" si="647"/>
        <v>27688.900787318315</v>
      </c>
      <c r="JK138" s="61">
        <f t="shared" si="648"/>
        <v>8441.7380449141292</v>
      </c>
      <c r="JL138" s="61">
        <f t="shared" si="649"/>
        <v>14744.90245178337</v>
      </c>
      <c r="JM138" s="61">
        <f t="shared" si="650"/>
        <v>0</v>
      </c>
      <c r="JN138" s="61">
        <f t="shared" si="651"/>
        <v>17108.589104359347</v>
      </c>
      <c r="JO138" s="61">
        <f t="shared" si="652"/>
        <v>0</v>
      </c>
      <c r="JQ138" s="26">
        <f t="shared" si="711"/>
        <v>1638563.0000000002</v>
      </c>
      <c r="JR138" s="156">
        <f t="shared" si="712"/>
        <v>1.0000000000000002</v>
      </c>
      <c r="JT138" s="157">
        <f t="shared" si="653"/>
        <v>49784.608982827049</v>
      </c>
      <c r="JU138" s="29">
        <f t="shared" si="654"/>
        <v>1.0000000000000002</v>
      </c>
    </row>
    <row r="139" spans="1:281" ht="18.75" x14ac:dyDescent="0.3">
      <c r="A139" t="s">
        <v>234</v>
      </c>
      <c r="B139" s="10" t="s">
        <v>214</v>
      </c>
      <c r="C139" t="s">
        <v>87</v>
      </c>
      <c r="D139" t="s">
        <v>29</v>
      </c>
      <c r="E139" t="s">
        <v>298</v>
      </c>
      <c r="F139" s="114">
        <v>586</v>
      </c>
      <c r="G139" s="17">
        <v>470101</v>
      </c>
      <c r="H139" s="21">
        <v>301403</v>
      </c>
      <c r="I139" s="25">
        <f t="shared" si="713"/>
        <v>1.5597090938046403</v>
      </c>
      <c r="J139" s="13">
        <v>9.2449922958397386E-3</v>
      </c>
      <c r="K139" s="13">
        <v>2.3112480739599407E-2</v>
      </c>
      <c r="L139" s="13">
        <v>7.7041602465331331E-3</v>
      </c>
      <c r="M139" s="13">
        <v>1.6949152542372874E-2</v>
      </c>
      <c r="N139" s="13">
        <v>6.1633281972264895E-3</v>
      </c>
      <c r="O139" s="13">
        <v>3.0816640986132487E-2</v>
      </c>
      <c r="P139" s="13">
        <v>2.9275808936825874E-2</v>
      </c>
      <c r="Q139" s="13">
        <v>2.927580893682593E-2</v>
      </c>
      <c r="R139" s="13">
        <v>1.3867488443759603E-2</v>
      </c>
      <c r="S139" s="13">
        <v>4.3143297380585581E-2</v>
      </c>
      <c r="T139" s="13">
        <v>0.23574730354391371</v>
      </c>
      <c r="U139" s="13">
        <v>0.13251155624037014</v>
      </c>
      <c r="V139" s="13">
        <v>9.2449922958397525E-3</v>
      </c>
      <c r="W139" s="13">
        <v>0.13097072419106284</v>
      </c>
      <c r="X139" s="13">
        <v>6.1633281972265043E-3</v>
      </c>
      <c r="Y139" s="13">
        <v>1.2326656394452979E-2</v>
      </c>
      <c r="Z139" s="13">
        <v>2.3112480739599407E-2</v>
      </c>
      <c r="AA139" s="13">
        <v>4.1602465331278954E-2</v>
      </c>
      <c r="AB139" s="13">
        <v>2.7734976887519205E-2</v>
      </c>
      <c r="AC139" s="13">
        <v>4.4684129429892069E-2</v>
      </c>
      <c r="AD139" s="13">
        <v>5.0847457627118786E-2</v>
      </c>
      <c r="AE139" s="13">
        <v>4.4684129429892139E-2</v>
      </c>
      <c r="AF139" s="13">
        <v>7.7041602465331123E-3</v>
      </c>
      <c r="AG139" s="9">
        <v>0</v>
      </c>
      <c r="AH139" s="13">
        <v>2.3112480739599397E-2</v>
      </c>
      <c r="AJ139" s="8">
        <f t="shared" si="656"/>
        <v>1.0000000000000002</v>
      </c>
      <c r="AK139" s="141">
        <f t="shared" si="714"/>
        <v>5.4175654853620872</v>
      </c>
      <c r="AL139" s="141">
        <f t="shared" si="715"/>
        <v>13.543913713405253</v>
      </c>
      <c r="AM139" s="141">
        <f t="shared" si="716"/>
        <v>4.5146379044684162</v>
      </c>
      <c r="AN139" s="141">
        <f t="shared" si="717"/>
        <v>9.9322033898305051</v>
      </c>
      <c r="AO139" s="141">
        <f t="shared" si="718"/>
        <v>3.611710323574723</v>
      </c>
      <c r="AP139" s="141">
        <f t="shared" si="719"/>
        <v>18.058551617873636</v>
      </c>
      <c r="AQ139" s="141">
        <f t="shared" si="720"/>
        <v>17.155624036979962</v>
      </c>
      <c r="AR139" s="141">
        <f t="shared" si="721"/>
        <v>17.155624036979994</v>
      </c>
      <c r="AS139" s="141">
        <f t="shared" si="722"/>
        <v>8.1263482280431276</v>
      </c>
      <c r="AT139" s="141">
        <f t="shared" si="723"/>
        <v>25.28197226502315</v>
      </c>
      <c r="AU139" s="141">
        <f t="shared" si="724"/>
        <v>138.14791987673343</v>
      </c>
      <c r="AV139" s="141">
        <f t="shared" si="725"/>
        <v>77.651771956856905</v>
      </c>
      <c r="AW139" s="141">
        <f t="shared" si="726"/>
        <v>5.4175654853620951</v>
      </c>
      <c r="AX139" s="141">
        <f t="shared" si="727"/>
        <v>76.748844375962832</v>
      </c>
      <c r="AY139" s="141">
        <f t="shared" si="728"/>
        <v>3.6117103235747314</v>
      </c>
      <c r="AZ139" s="141">
        <f t="shared" si="729"/>
        <v>7.223420647149446</v>
      </c>
      <c r="BA139" s="141">
        <f t="shared" si="730"/>
        <v>13.543913713405253</v>
      </c>
      <c r="BB139" s="141">
        <f t="shared" si="731"/>
        <v>24.379044684129468</v>
      </c>
      <c r="BC139" s="141">
        <f t="shared" si="732"/>
        <v>16.252696456086255</v>
      </c>
      <c r="BD139" s="141">
        <f t="shared" si="733"/>
        <v>26.184899845916753</v>
      </c>
      <c r="BE139" s="141">
        <f t="shared" si="734"/>
        <v>29.796610169491608</v>
      </c>
      <c r="BF139" s="141">
        <f t="shared" si="735"/>
        <v>26.184899845916792</v>
      </c>
      <c r="BG139" s="141">
        <f t="shared" si="736"/>
        <v>4.5146379044684037</v>
      </c>
      <c r="BH139" s="141">
        <f t="shared" si="737"/>
        <v>0</v>
      </c>
      <c r="BI139" s="141">
        <f t="shared" si="738"/>
        <v>13.543913713405246</v>
      </c>
      <c r="BJ139" s="141">
        <f t="shared" si="739"/>
        <v>0</v>
      </c>
      <c r="BM139" s="26">
        <f t="shared" si="657"/>
        <v>4346.0801232665572</v>
      </c>
      <c r="BN139" s="26">
        <f t="shared" si="658"/>
        <v>10865.200308166421</v>
      </c>
      <c r="BO139" s="26">
        <f t="shared" si="659"/>
        <v>3621.7334360554723</v>
      </c>
      <c r="BP139" s="26">
        <f t="shared" si="660"/>
        <v>7967.8135593220304</v>
      </c>
      <c r="BQ139" s="26">
        <f t="shared" si="661"/>
        <v>2897.3867488443698</v>
      </c>
      <c r="BR139" s="26">
        <f t="shared" si="662"/>
        <v>14486.933744221869</v>
      </c>
      <c r="BS139" s="26">
        <f t="shared" si="663"/>
        <v>13762.58705701078</v>
      </c>
      <c r="BT139" s="26">
        <f t="shared" si="664"/>
        <v>13762.587057010807</v>
      </c>
      <c r="BU139" s="26">
        <f t="shared" si="665"/>
        <v>6519.1201848998326</v>
      </c>
      <c r="BV139" s="26">
        <f t="shared" si="666"/>
        <v>20281.707241910663</v>
      </c>
      <c r="BW139" s="26">
        <f t="shared" si="667"/>
        <v>110825.04314329739</v>
      </c>
      <c r="BX139" s="26">
        <f t="shared" si="668"/>
        <v>62293.815100154243</v>
      </c>
      <c r="BY139" s="26">
        <f t="shared" si="669"/>
        <v>4346.0801232665635</v>
      </c>
      <c r="BZ139" s="26">
        <f t="shared" si="670"/>
        <v>61569.468412942835</v>
      </c>
      <c r="CA139" s="26">
        <f t="shared" si="671"/>
        <v>2897.3867488443771</v>
      </c>
      <c r="CB139" s="26">
        <f t="shared" si="672"/>
        <v>5794.7734976887396</v>
      </c>
      <c r="CC139" s="26">
        <f t="shared" si="673"/>
        <v>10865.200308166421</v>
      </c>
      <c r="CD139" s="26">
        <f t="shared" si="674"/>
        <v>19557.360554699568</v>
      </c>
      <c r="CE139" s="26">
        <f t="shared" si="675"/>
        <v>13038.240369799665</v>
      </c>
      <c r="CF139" s="26">
        <f t="shared" si="676"/>
        <v>21006.053929121692</v>
      </c>
      <c r="CG139" s="26">
        <f t="shared" si="677"/>
        <v>23903.440677966169</v>
      </c>
      <c r="CH139" s="26">
        <f t="shared" si="678"/>
        <v>21006.053929121725</v>
      </c>
      <c r="CI139" s="26">
        <f t="shared" si="679"/>
        <v>3621.7334360554628</v>
      </c>
      <c r="CJ139" s="26">
        <f t="shared" si="680"/>
        <v>0</v>
      </c>
      <c r="CK139" s="26">
        <f t="shared" si="681"/>
        <v>10865.200308166415</v>
      </c>
      <c r="CL139" s="26">
        <f t="shared" si="682"/>
        <v>0</v>
      </c>
      <c r="CM139" s="110">
        <f t="shared" si="683"/>
        <v>1.0000000000000002</v>
      </c>
      <c r="CN139" s="27">
        <f t="shared" si="684"/>
        <v>2786.4684129429847</v>
      </c>
      <c r="CO139" s="27">
        <f t="shared" si="685"/>
        <v>6966.1710323574798</v>
      </c>
      <c r="CP139" s="27">
        <f t="shared" si="686"/>
        <v>2322.0570107858262</v>
      </c>
      <c r="CQ139" s="27">
        <f t="shared" si="687"/>
        <v>5108.5254237288118</v>
      </c>
      <c r="CR139" s="27">
        <f t="shared" si="688"/>
        <v>1857.6456086286555</v>
      </c>
      <c r="CS139" s="27">
        <f t="shared" si="689"/>
        <v>9288.2280431432901</v>
      </c>
      <c r="CT139" s="27">
        <f t="shared" si="690"/>
        <v>8823.8166409861296</v>
      </c>
      <c r="CU139" s="27">
        <f t="shared" si="691"/>
        <v>8823.816640986146</v>
      </c>
      <c r="CV139" s="27">
        <f t="shared" si="692"/>
        <v>4179.7026194144755</v>
      </c>
      <c r="CW139" s="27">
        <f t="shared" si="693"/>
        <v>13003.519260400635</v>
      </c>
      <c r="CX139" s="27">
        <f t="shared" si="694"/>
        <v>71054.944530046225</v>
      </c>
      <c r="CY139" s="27">
        <f t="shared" si="695"/>
        <v>39939.380585516279</v>
      </c>
      <c r="CZ139" s="27">
        <f t="shared" si="696"/>
        <v>2786.4684129429888</v>
      </c>
      <c r="DA139" s="27">
        <f t="shared" si="697"/>
        <v>39474.969183358917</v>
      </c>
      <c r="DB139" s="27">
        <f t="shared" si="698"/>
        <v>1857.6456086286601</v>
      </c>
      <c r="DC139" s="27">
        <f t="shared" si="699"/>
        <v>3715.291217257311</v>
      </c>
      <c r="DD139" s="27">
        <f t="shared" si="700"/>
        <v>6966.1710323574798</v>
      </c>
      <c r="DE139" s="27">
        <f t="shared" si="701"/>
        <v>12539.107858243471</v>
      </c>
      <c r="DF139" s="27">
        <f t="shared" si="702"/>
        <v>8359.405238828951</v>
      </c>
      <c r="DG139" s="27">
        <f t="shared" si="703"/>
        <v>13467.930662557759</v>
      </c>
      <c r="DH139" s="27">
        <f t="shared" si="704"/>
        <v>15325.576271186483</v>
      </c>
      <c r="DI139" s="27">
        <f t="shared" si="705"/>
        <v>13467.930662557781</v>
      </c>
      <c r="DJ139" s="27">
        <f t="shared" si="706"/>
        <v>2322.0570107858198</v>
      </c>
      <c r="DK139" s="27">
        <f t="shared" si="707"/>
        <v>0</v>
      </c>
      <c r="DL139" s="27">
        <f t="shared" si="708"/>
        <v>6966.1710323574771</v>
      </c>
      <c r="DM139" s="27">
        <f t="shared" si="709"/>
        <v>0</v>
      </c>
      <c r="DN139" s="110">
        <f t="shared" si="710"/>
        <v>0.99999999999999978</v>
      </c>
      <c r="DO139" s="28">
        <f t="shared" si="518"/>
        <v>1559.6117103235724</v>
      </c>
      <c r="DP139" s="28">
        <f t="shared" si="519"/>
        <v>3899.0292758089408</v>
      </c>
      <c r="DQ139" s="28">
        <f t="shared" si="520"/>
        <v>1299.6764252696462</v>
      </c>
      <c r="DR139" s="28">
        <f t="shared" si="521"/>
        <v>2859.2881355932186</v>
      </c>
      <c r="DS139" s="28">
        <f t="shared" si="522"/>
        <v>1039.7411402157143</v>
      </c>
      <c r="DT139" s="28">
        <f t="shared" si="523"/>
        <v>5198.7057010785793</v>
      </c>
      <c r="DU139" s="28">
        <f t="shared" si="524"/>
        <v>4938.7704160246503</v>
      </c>
      <c r="DV139" s="28">
        <f t="shared" si="525"/>
        <v>4938.7704160246612</v>
      </c>
      <c r="DW139" s="28">
        <f t="shared" si="526"/>
        <v>2339.417565485357</v>
      </c>
      <c r="DX139" s="28">
        <f t="shared" si="527"/>
        <v>7278.1879815100274</v>
      </c>
      <c r="DY139" s="28">
        <f t="shared" si="528"/>
        <v>39770.098613251161</v>
      </c>
      <c r="DZ139" s="28">
        <f t="shared" si="529"/>
        <v>22354.434514637964</v>
      </c>
      <c r="EA139" s="28">
        <f t="shared" si="530"/>
        <v>1559.6117103235747</v>
      </c>
      <c r="EB139" s="28">
        <f t="shared" si="531"/>
        <v>22094.499229583918</v>
      </c>
      <c r="EC139" s="28">
        <f t="shared" si="532"/>
        <v>1039.741140215717</v>
      </c>
      <c r="ED139" s="28">
        <f t="shared" si="533"/>
        <v>2079.4822804314285</v>
      </c>
      <c r="EE139" s="28">
        <f t="shared" si="534"/>
        <v>3899.0292758089408</v>
      </c>
      <c r="EF139" s="28">
        <f t="shared" si="535"/>
        <v>7018.2526964560966</v>
      </c>
      <c r="EG139" s="28">
        <f t="shared" si="536"/>
        <v>4678.8351309707141</v>
      </c>
      <c r="EH139" s="28">
        <f t="shared" si="537"/>
        <v>7538.1232665639327</v>
      </c>
      <c r="EI139" s="28">
        <f t="shared" si="538"/>
        <v>8577.8644067796868</v>
      </c>
      <c r="EJ139" s="28">
        <f t="shared" si="539"/>
        <v>7538.1232665639436</v>
      </c>
      <c r="EK139" s="28">
        <f t="shared" si="540"/>
        <v>1299.676425269643</v>
      </c>
      <c r="EL139" s="28">
        <f t="shared" si="541"/>
        <v>0</v>
      </c>
      <c r="EM139" s="28">
        <f t="shared" si="542"/>
        <v>3899.0292758089381</v>
      </c>
      <c r="EN139" s="28">
        <f t="shared" si="543"/>
        <v>0</v>
      </c>
      <c r="EQ139" s="144">
        <v>3.0000353655233306E-2</v>
      </c>
      <c r="ER139" s="144">
        <v>3.9999294909591358E-2</v>
      </c>
      <c r="ES139" s="144">
        <v>8.0000343664972468E-2</v>
      </c>
      <c r="ET139" s="144">
        <v>0.10000000222005796</v>
      </c>
      <c r="EU139" s="144">
        <v>0.10000000222005796</v>
      </c>
      <c r="EV139" s="144">
        <v>0.10000000222005796</v>
      </c>
      <c r="EW139" s="144">
        <v>0.11000069732020577</v>
      </c>
      <c r="EX139" s="144">
        <v>0.10000000222005796</v>
      </c>
      <c r="EY139" s="144">
        <v>8.9999307119910138E-2</v>
      </c>
      <c r="EZ139" s="144">
        <v>8.0000343664972468E-2</v>
      </c>
      <c r="FA139" s="144">
        <v>8.0000343664972468E-2</v>
      </c>
      <c r="FB139" s="144">
        <v>8.9999307119910138E-2</v>
      </c>
      <c r="FC139" s="145">
        <f t="shared" si="544"/>
        <v>0.99999999999999989</v>
      </c>
      <c r="FD139" s="146">
        <f t="shared" si="545"/>
        <v>0.14999999222979712</v>
      </c>
      <c r="FE139" s="146">
        <f t="shared" si="546"/>
        <v>0.3000000066601739</v>
      </c>
      <c r="FF139" s="146">
        <f t="shared" si="547"/>
        <v>0.3000000066601739</v>
      </c>
      <c r="FG139" s="146">
        <f t="shared" si="548"/>
        <v>0.24999999444985507</v>
      </c>
      <c r="FH139" s="145">
        <f t="shared" si="655"/>
        <v>1</v>
      </c>
      <c r="FJ139" s="52">
        <f t="shared" si="549"/>
        <v>651.91198472005931</v>
      </c>
      <c r="FK139" s="52">
        <f t="shared" si="550"/>
        <v>1629.7799618001525</v>
      </c>
      <c r="FL139" s="52">
        <f t="shared" si="551"/>
        <v>543.2599872667173</v>
      </c>
      <c r="FM139" s="52">
        <f t="shared" si="552"/>
        <v>1195.1719719867767</v>
      </c>
      <c r="FN139" s="52">
        <f t="shared" si="553"/>
        <v>434.60798981337263</v>
      </c>
      <c r="FO139" s="52">
        <f t="shared" si="554"/>
        <v>2173.039949066866</v>
      </c>
      <c r="FP139" s="52">
        <f t="shared" si="555"/>
        <v>2064.3879516135235</v>
      </c>
      <c r="FQ139" s="52">
        <f t="shared" si="556"/>
        <v>2064.3879516135275</v>
      </c>
      <c r="FR139" s="52">
        <f t="shared" si="557"/>
        <v>977.86797708008851</v>
      </c>
      <c r="FS139" s="52">
        <f t="shared" si="558"/>
        <v>3042.2559286936194</v>
      </c>
      <c r="FT139" s="52">
        <f t="shared" si="559"/>
        <v>16623.755610361539</v>
      </c>
      <c r="FU139" s="52">
        <f t="shared" si="560"/>
        <v>9344.071780987555</v>
      </c>
      <c r="FV139" s="52">
        <f t="shared" si="561"/>
        <v>651.91198472006022</v>
      </c>
      <c r="FW139" s="52">
        <f t="shared" si="562"/>
        <v>9235.4197835341656</v>
      </c>
      <c r="FX139" s="52">
        <f t="shared" si="563"/>
        <v>434.60798981337371</v>
      </c>
      <c r="FY139" s="52">
        <f t="shared" si="564"/>
        <v>869.21597962674525</v>
      </c>
      <c r="FZ139" s="52">
        <f t="shared" si="565"/>
        <v>1629.7799618001525</v>
      </c>
      <c r="GA139" s="52">
        <f t="shared" si="566"/>
        <v>2933.6039312402759</v>
      </c>
      <c r="GB139" s="52">
        <f t="shared" si="567"/>
        <v>1955.735954160177</v>
      </c>
      <c r="GC139" s="52">
        <f t="shared" si="568"/>
        <v>3150.9079261469533</v>
      </c>
      <c r="GD139" s="52">
        <f t="shared" si="569"/>
        <v>3585.5159159603418</v>
      </c>
      <c r="GE139" s="52">
        <f t="shared" si="570"/>
        <v>3150.9079261469578</v>
      </c>
      <c r="GF139" s="52">
        <f t="shared" si="571"/>
        <v>543.25998726671583</v>
      </c>
      <c r="GG139" s="52">
        <f t="shared" si="572"/>
        <v>0</v>
      </c>
      <c r="GH139" s="52">
        <f t="shared" si="573"/>
        <v>1629.7799618001516</v>
      </c>
      <c r="GI139" s="52">
        <f t="shared" si="574"/>
        <v>0</v>
      </c>
      <c r="GJ139" s="26"/>
      <c r="GL139" s="150">
        <f t="shared" si="575"/>
        <v>1303.8240659256167</v>
      </c>
      <c r="GM139" s="150">
        <f t="shared" si="576"/>
        <v>3259.5601648140496</v>
      </c>
      <c r="GN139" s="150">
        <f t="shared" si="577"/>
        <v>1086.5200549380163</v>
      </c>
      <c r="GO139" s="150">
        <f t="shared" si="578"/>
        <v>2390.3441208636332</v>
      </c>
      <c r="GP139" s="150">
        <f t="shared" si="579"/>
        <v>869.21604395041049</v>
      </c>
      <c r="GQ139" s="150">
        <f t="shared" si="580"/>
        <v>4346.0802197520588</v>
      </c>
      <c r="GR139" s="150">
        <f t="shared" si="581"/>
        <v>4128.7762087644569</v>
      </c>
      <c r="GS139" s="150">
        <f t="shared" si="582"/>
        <v>4128.7762087644651</v>
      </c>
      <c r="GT139" s="150">
        <f t="shared" si="583"/>
        <v>1955.7360988884238</v>
      </c>
      <c r="GU139" s="150">
        <f t="shared" si="584"/>
        <v>6084.5123076528962</v>
      </c>
      <c r="GV139" s="150">
        <f t="shared" si="585"/>
        <v>33247.513681103279</v>
      </c>
      <c r="GW139" s="150">
        <f t="shared" si="586"/>
        <v>18688.144944933916</v>
      </c>
      <c r="GX139" s="150">
        <f t="shared" si="587"/>
        <v>1303.8240659256185</v>
      </c>
      <c r="GY139" s="150">
        <f t="shared" si="588"/>
        <v>18470.840933946216</v>
      </c>
      <c r="GZ139" s="150">
        <f t="shared" si="589"/>
        <v>869.21604395041277</v>
      </c>
      <c r="HA139" s="150">
        <f t="shared" si="590"/>
        <v>1738.432087900821</v>
      </c>
      <c r="HB139" s="150">
        <f t="shared" si="591"/>
        <v>3259.5601648140496</v>
      </c>
      <c r="HC139" s="150">
        <f t="shared" si="592"/>
        <v>5867.2082966652924</v>
      </c>
      <c r="HD139" s="150">
        <f t="shared" si="593"/>
        <v>3911.4721977768477</v>
      </c>
      <c r="HE139" s="150">
        <f t="shared" si="594"/>
        <v>6301.8163186404799</v>
      </c>
      <c r="HF139" s="150">
        <f t="shared" si="595"/>
        <v>7171.0323625909223</v>
      </c>
      <c r="HG139" s="150">
        <f t="shared" si="596"/>
        <v>6301.81631864049</v>
      </c>
      <c r="HH139" s="150">
        <f t="shared" si="597"/>
        <v>1086.5200549380133</v>
      </c>
      <c r="HI139" s="150">
        <f t="shared" si="598"/>
        <v>0</v>
      </c>
      <c r="HJ139" s="150">
        <f t="shared" si="599"/>
        <v>3259.5601648140482</v>
      </c>
      <c r="HK139" s="150">
        <f t="shared" si="600"/>
        <v>0</v>
      </c>
      <c r="HL139" s="26"/>
      <c r="HN139" s="147">
        <f t="shared" si="601"/>
        <v>1303.8240659256167</v>
      </c>
      <c r="HO139" s="147">
        <f t="shared" si="602"/>
        <v>3259.5601648140496</v>
      </c>
      <c r="HP139" s="147">
        <f t="shared" si="603"/>
        <v>1086.5200549380163</v>
      </c>
      <c r="HQ139" s="147">
        <f t="shared" si="604"/>
        <v>2390.3441208636332</v>
      </c>
      <c r="HR139" s="147">
        <f t="shared" si="605"/>
        <v>869.21604395041049</v>
      </c>
      <c r="HS139" s="147">
        <f t="shared" si="606"/>
        <v>4346.0802197520588</v>
      </c>
      <c r="HT139" s="147">
        <f t="shared" si="607"/>
        <v>4128.7762087644569</v>
      </c>
      <c r="HU139" s="147">
        <f t="shared" si="608"/>
        <v>4128.7762087644651</v>
      </c>
      <c r="HV139" s="147">
        <f t="shared" si="609"/>
        <v>1955.7360988884238</v>
      </c>
      <c r="HW139" s="147">
        <f t="shared" si="610"/>
        <v>6084.5123076528962</v>
      </c>
      <c r="HX139" s="147">
        <f t="shared" si="611"/>
        <v>33247.513681103279</v>
      </c>
      <c r="HY139" s="147">
        <f t="shared" si="612"/>
        <v>18688.144944933916</v>
      </c>
      <c r="HZ139" s="147">
        <f t="shared" si="613"/>
        <v>1303.8240659256185</v>
      </c>
      <c r="IA139" s="147">
        <f t="shared" si="614"/>
        <v>18470.840933946216</v>
      </c>
      <c r="IB139" s="147">
        <f t="shared" si="615"/>
        <v>869.21604395041277</v>
      </c>
      <c r="IC139" s="147">
        <f t="shared" si="616"/>
        <v>1738.432087900821</v>
      </c>
      <c r="ID139" s="147">
        <f t="shared" si="617"/>
        <v>3259.5601648140496</v>
      </c>
      <c r="IE139" s="147">
        <f t="shared" si="618"/>
        <v>5867.2082966652924</v>
      </c>
      <c r="IF139" s="147">
        <f t="shared" si="619"/>
        <v>3911.4721977768477</v>
      </c>
      <c r="IG139" s="147">
        <f t="shared" si="620"/>
        <v>6301.8163186404799</v>
      </c>
      <c r="IH139" s="147">
        <f t="shared" si="621"/>
        <v>7171.0323625909223</v>
      </c>
      <c r="II139" s="147">
        <f t="shared" si="622"/>
        <v>6301.81631864049</v>
      </c>
      <c r="IJ139" s="147">
        <f t="shared" si="623"/>
        <v>1086.5200549380133</v>
      </c>
      <c r="IK139" s="147">
        <f t="shared" si="624"/>
        <v>0</v>
      </c>
      <c r="IL139" s="147">
        <f t="shared" si="625"/>
        <v>3259.5601648140482</v>
      </c>
      <c r="IM139" s="147">
        <f t="shared" si="626"/>
        <v>0</v>
      </c>
      <c r="IN139" s="26"/>
      <c r="IP139" s="61">
        <f t="shared" si="627"/>
        <v>1086.5200066952648</v>
      </c>
      <c r="IQ139" s="61">
        <f t="shared" si="628"/>
        <v>2716.3000167381688</v>
      </c>
      <c r="IR139" s="61">
        <f t="shared" si="629"/>
        <v>905.43333891272266</v>
      </c>
      <c r="IS139" s="61">
        <f t="shared" si="630"/>
        <v>1991.9533456079876</v>
      </c>
      <c r="IT139" s="61">
        <f t="shared" si="631"/>
        <v>724.34667113017611</v>
      </c>
      <c r="IU139" s="61">
        <f t="shared" si="632"/>
        <v>3621.7333556508856</v>
      </c>
      <c r="IV139" s="61">
        <f t="shared" si="633"/>
        <v>3440.6466878683423</v>
      </c>
      <c r="IW139" s="61">
        <f t="shared" si="634"/>
        <v>3440.6466878683491</v>
      </c>
      <c r="IX139" s="61">
        <f t="shared" si="635"/>
        <v>1629.7800100428963</v>
      </c>
      <c r="IY139" s="61">
        <f t="shared" si="636"/>
        <v>5070.4266979112508</v>
      </c>
      <c r="IZ139" s="61">
        <f t="shared" si="637"/>
        <v>27706.260170729296</v>
      </c>
      <c r="JA139" s="61">
        <f t="shared" si="638"/>
        <v>15573.453429298859</v>
      </c>
      <c r="JB139" s="61">
        <f t="shared" si="639"/>
        <v>1086.5200066952664</v>
      </c>
      <c r="JC139" s="61">
        <f t="shared" si="640"/>
        <v>15392.366761516236</v>
      </c>
      <c r="JD139" s="61">
        <f t="shared" si="641"/>
        <v>724.34667113017792</v>
      </c>
      <c r="JE139" s="61">
        <f t="shared" si="642"/>
        <v>1448.6933422603522</v>
      </c>
      <c r="JF139" s="61">
        <f t="shared" si="643"/>
        <v>2716.3000167381688</v>
      </c>
      <c r="JG139" s="61">
        <f t="shared" si="644"/>
        <v>4889.3400301287065</v>
      </c>
      <c r="JH139" s="61">
        <f t="shared" si="645"/>
        <v>3259.5600200857925</v>
      </c>
      <c r="JI139" s="61">
        <f t="shared" si="646"/>
        <v>5251.5133656937796</v>
      </c>
      <c r="JJ139" s="61">
        <f t="shared" si="647"/>
        <v>5975.8600368239822</v>
      </c>
      <c r="JK139" s="61">
        <f t="shared" si="648"/>
        <v>5251.5133656937878</v>
      </c>
      <c r="JL139" s="61">
        <f t="shared" si="649"/>
        <v>905.43333891272027</v>
      </c>
      <c r="JM139" s="61">
        <f t="shared" si="650"/>
        <v>0</v>
      </c>
      <c r="JN139" s="61">
        <f t="shared" si="651"/>
        <v>2716.3000167381674</v>
      </c>
      <c r="JO139" s="61">
        <f t="shared" si="652"/>
        <v>0</v>
      </c>
      <c r="JQ139" s="26">
        <f t="shared" si="711"/>
        <v>470101.00000000006</v>
      </c>
      <c r="JR139" s="156">
        <f t="shared" si="712"/>
        <v>1.0000000000000002</v>
      </c>
      <c r="JT139" s="157">
        <f t="shared" si="653"/>
        <v>4346.0801232665572</v>
      </c>
      <c r="JU139" s="29">
        <f t="shared" si="654"/>
        <v>1</v>
      </c>
    </row>
    <row r="140" spans="1:281" ht="18.75" x14ac:dyDescent="0.3">
      <c r="A140" t="s">
        <v>234</v>
      </c>
      <c r="B140" s="10" t="s">
        <v>215</v>
      </c>
      <c r="C140" t="s">
        <v>87</v>
      </c>
      <c r="D140" t="s">
        <v>29</v>
      </c>
      <c r="E140" t="s">
        <v>299</v>
      </c>
      <c r="F140" s="114">
        <v>1090</v>
      </c>
      <c r="G140" s="17">
        <v>846190</v>
      </c>
      <c r="H140" s="21">
        <v>601507</v>
      </c>
      <c r="I140" s="25">
        <f t="shared" si="713"/>
        <v>1.4067832959549931</v>
      </c>
      <c r="J140" s="13">
        <v>1.2468827930174627E-2</v>
      </c>
      <c r="K140" s="13">
        <v>9.9750623441396454E-3</v>
      </c>
      <c r="L140" s="13">
        <v>0.19451371571072273</v>
      </c>
      <c r="M140" s="13">
        <v>4.9875311720698227E-3</v>
      </c>
      <c r="N140" s="13">
        <v>3.2418952618453838E-2</v>
      </c>
      <c r="O140" s="13">
        <v>1.2468827930174571E-2</v>
      </c>
      <c r="P140" s="13">
        <v>1.4962593516209448E-2</v>
      </c>
      <c r="Q140" s="13">
        <v>1.4962593516209457E-2</v>
      </c>
      <c r="R140" s="13">
        <v>3.7406483790523633E-3</v>
      </c>
      <c r="S140" s="13">
        <v>8.8528678304239633E-2</v>
      </c>
      <c r="T140" s="13">
        <v>9.8503740648379301E-2</v>
      </c>
      <c r="U140" s="13">
        <v>2.2443890274314177E-2</v>
      </c>
      <c r="V140" s="13">
        <v>3.7406483790523633E-3</v>
      </c>
      <c r="W140" s="13">
        <v>0.20822942643391484</v>
      </c>
      <c r="X140" s="13">
        <v>4.6134663341645954E-2</v>
      </c>
      <c r="Y140" s="13">
        <v>2.4937655860349253E-2</v>
      </c>
      <c r="Z140" s="13">
        <v>7.4812967581047284E-3</v>
      </c>
      <c r="AA140" s="13">
        <v>4.1147132169576009E-2</v>
      </c>
      <c r="AB140" s="13">
        <v>1.9950124688279291E-2</v>
      </c>
      <c r="AC140" s="13">
        <v>1.4962593516209453E-2</v>
      </c>
      <c r="AD140" s="13">
        <v>6.234413965087298E-2</v>
      </c>
      <c r="AE140" s="13">
        <v>1.9950124688279273E-2</v>
      </c>
      <c r="AF140" s="13">
        <v>2.2443890274314177E-2</v>
      </c>
      <c r="AG140" s="9">
        <v>0</v>
      </c>
      <c r="AH140" s="13">
        <v>1.8703241895261867E-2</v>
      </c>
      <c r="AJ140" s="8">
        <f t="shared" si="656"/>
        <v>0.99999999999999956</v>
      </c>
      <c r="AK140" s="141">
        <f t="shared" si="714"/>
        <v>13.591022443890344</v>
      </c>
      <c r="AL140" s="141">
        <f t="shared" si="715"/>
        <v>10.872817955112213</v>
      </c>
      <c r="AM140" s="141">
        <f t="shared" si="716"/>
        <v>212.01995012468777</v>
      </c>
      <c r="AN140" s="141">
        <f t="shared" si="717"/>
        <v>5.4364089775561064</v>
      </c>
      <c r="AO140" s="141">
        <f t="shared" si="718"/>
        <v>35.336658354114682</v>
      </c>
      <c r="AP140" s="141">
        <f t="shared" si="719"/>
        <v>13.591022443890283</v>
      </c>
      <c r="AQ140" s="141">
        <f t="shared" si="720"/>
        <v>16.309226932668299</v>
      </c>
      <c r="AR140" s="141">
        <f t="shared" si="721"/>
        <v>16.309226932668309</v>
      </c>
      <c r="AS140" s="141">
        <f t="shared" si="722"/>
        <v>4.0773067331670765</v>
      </c>
      <c r="AT140" s="141">
        <f t="shared" si="723"/>
        <v>96.496259351621205</v>
      </c>
      <c r="AU140" s="141">
        <f t="shared" si="724"/>
        <v>107.36907730673344</v>
      </c>
      <c r="AV140" s="141">
        <f t="shared" si="725"/>
        <v>24.463840399002454</v>
      </c>
      <c r="AW140" s="141">
        <f t="shared" si="726"/>
        <v>4.0773067331670765</v>
      </c>
      <c r="AX140" s="141">
        <f t="shared" si="727"/>
        <v>226.97007481296717</v>
      </c>
      <c r="AY140" s="141">
        <f t="shared" si="728"/>
        <v>50.286783042394092</v>
      </c>
      <c r="AZ140" s="141">
        <f t="shared" si="729"/>
        <v>27.182044887780688</v>
      </c>
      <c r="BA140" s="141">
        <f t="shared" si="730"/>
        <v>8.1546134663341547</v>
      </c>
      <c r="BB140" s="141">
        <f t="shared" si="731"/>
        <v>44.850374064837851</v>
      </c>
      <c r="BC140" s="141">
        <f t="shared" si="732"/>
        <v>21.745635910224426</v>
      </c>
      <c r="BD140" s="141">
        <f t="shared" si="733"/>
        <v>16.309226932668306</v>
      </c>
      <c r="BE140" s="141">
        <f t="shared" si="734"/>
        <v>67.95511221945155</v>
      </c>
      <c r="BF140" s="141">
        <f t="shared" si="735"/>
        <v>21.745635910224408</v>
      </c>
      <c r="BG140" s="141">
        <f t="shared" si="736"/>
        <v>24.463840399002454</v>
      </c>
      <c r="BH140" s="141">
        <f t="shared" si="737"/>
        <v>0</v>
      </c>
      <c r="BI140" s="141">
        <f t="shared" si="738"/>
        <v>20.386533665835437</v>
      </c>
      <c r="BJ140" s="141">
        <f t="shared" si="739"/>
        <v>0</v>
      </c>
      <c r="BM140" s="26">
        <f t="shared" si="657"/>
        <v>10550.997506234467</v>
      </c>
      <c r="BN140" s="26">
        <f t="shared" si="658"/>
        <v>8440.7980049875259</v>
      </c>
      <c r="BO140" s="26">
        <f t="shared" si="659"/>
        <v>164595.56109725646</v>
      </c>
      <c r="BP140" s="26">
        <f t="shared" si="660"/>
        <v>4220.399002493763</v>
      </c>
      <c r="BQ140" s="26">
        <f t="shared" si="661"/>
        <v>27432.593516209454</v>
      </c>
      <c r="BR140" s="26">
        <f t="shared" si="662"/>
        <v>10550.99750623442</v>
      </c>
      <c r="BS140" s="26">
        <f t="shared" si="663"/>
        <v>12661.197007481273</v>
      </c>
      <c r="BT140" s="26">
        <f t="shared" si="664"/>
        <v>12661.19700748128</v>
      </c>
      <c r="BU140" s="26">
        <f t="shared" si="665"/>
        <v>3165.2992518703195</v>
      </c>
      <c r="BV140" s="26">
        <f t="shared" si="666"/>
        <v>74912.082294264532</v>
      </c>
      <c r="BW140" s="26">
        <f t="shared" si="667"/>
        <v>83352.88029925208</v>
      </c>
      <c r="BX140" s="26">
        <f t="shared" si="668"/>
        <v>18991.795511221913</v>
      </c>
      <c r="BY140" s="26">
        <f t="shared" si="669"/>
        <v>3165.2992518703195</v>
      </c>
      <c r="BZ140" s="26">
        <f t="shared" si="670"/>
        <v>176201.65835411439</v>
      </c>
      <c r="CA140" s="26">
        <f t="shared" si="671"/>
        <v>39038.690773067392</v>
      </c>
      <c r="CB140" s="26">
        <f t="shared" si="672"/>
        <v>21101.995012468935</v>
      </c>
      <c r="CC140" s="26">
        <f t="shared" si="673"/>
        <v>6330.5985037406399</v>
      </c>
      <c r="CD140" s="26">
        <f t="shared" si="674"/>
        <v>34818.291770573524</v>
      </c>
      <c r="CE140" s="26">
        <f t="shared" si="675"/>
        <v>16881.596009975052</v>
      </c>
      <c r="CF140" s="26">
        <f t="shared" si="676"/>
        <v>12661.197007481278</v>
      </c>
      <c r="CG140" s="26">
        <f t="shared" si="677"/>
        <v>52754.987531172206</v>
      </c>
      <c r="CH140" s="26">
        <f t="shared" si="678"/>
        <v>16881.596009975037</v>
      </c>
      <c r="CI140" s="26">
        <f t="shared" si="679"/>
        <v>18991.795511221913</v>
      </c>
      <c r="CJ140" s="26">
        <f t="shared" si="680"/>
        <v>0</v>
      </c>
      <c r="CK140" s="26">
        <f t="shared" si="681"/>
        <v>15826.496259351639</v>
      </c>
      <c r="CL140" s="26">
        <f t="shared" si="682"/>
        <v>0</v>
      </c>
      <c r="CM140" s="110">
        <f t="shared" si="683"/>
        <v>0.99999999999999956</v>
      </c>
      <c r="CN140" s="27">
        <f t="shared" si="684"/>
        <v>7500.0872817955487</v>
      </c>
      <c r="CO140" s="27">
        <f t="shared" si="685"/>
        <v>6000.0698254364061</v>
      </c>
      <c r="CP140" s="27">
        <f t="shared" si="686"/>
        <v>117001.36159600969</v>
      </c>
      <c r="CQ140" s="27">
        <f t="shared" si="687"/>
        <v>3000.034912718203</v>
      </c>
      <c r="CR140" s="27">
        <f t="shared" si="688"/>
        <v>19500.226932668313</v>
      </c>
      <c r="CS140" s="27">
        <f t="shared" si="689"/>
        <v>7500.087281795516</v>
      </c>
      <c r="CT140" s="27">
        <f t="shared" si="690"/>
        <v>9000.1047381545959</v>
      </c>
      <c r="CU140" s="27">
        <f t="shared" si="691"/>
        <v>9000.1047381546014</v>
      </c>
      <c r="CV140" s="27">
        <f t="shared" si="692"/>
        <v>2250.0261845386499</v>
      </c>
      <c r="CW140" s="27">
        <f t="shared" si="693"/>
        <v>53250.61970074827</v>
      </c>
      <c r="CX140" s="27">
        <f t="shared" si="694"/>
        <v>59250.689526184688</v>
      </c>
      <c r="CY140" s="27">
        <f t="shared" si="695"/>
        <v>13500.157107231897</v>
      </c>
      <c r="CZ140" s="27">
        <f t="shared" si="696"/>
        <v>2250.0261845386499</v>
      </c>
      <c r="DA140" s="27">
        <f t="shared" si="697"/>
        <v>125251.45760598482</v>
      </c>
      <c r="DB140" s="27">
        <f t="shared" si="698"/>
        <v>27750.322942643434</v>
      </c>
      <c r="DC140" s="27">
        <f t="shared" si="699"/>
        <v>15000.174563591097</v>
      </c>
      <c r="DD140" s="27">
        <f t="shared" si="700"/>
        <v>4500.0523690773007</v>
      </c>
      <c r="DE140" s="27">
        <f t="shared" si="701"/>
        <v>24750.288029925156</v>
      </c>
      <c r="DF140" s="27">
        <f t="shared" si="702"/>
        <v>12000.139650872812</v>
      </c>
      <c r="DG140" s="27">
        <f t="shared" si="703"/>
        <v>9000.1047381545995</v>
      </c>
      <c r="DH140" s="27">
        <f t="shared" si="704"/>
        <v>37500.436408977657</v>
      </c>
      <c r="DI140" s="27">
        <f t="shared" si="705"/>
        <v>12000.139650872801</v>
      </c>
      <c r="DJ140" s="27">
        <f t="shared" si="706"/>
        <v>13500.157107231897</v>
      </c>
      <c r="DK140" s="27">
        <f t="shared" si="707"/>
        <v>0</v>
      </c>
      <c r="DL140" s="27">
        <f t="shared" si="708"/>
        <v>11250.130922693279</v>
      </c>
      <c r="DM140" s="27">
        <f t="shared" si="709"/>
        <v>0</v>
      </c>
      <c r="DN140" s="110">
        <f t="shared" si="710"/>
        <v>0.99999999999999967</v>
      </c>
      <c r="DO140" s="28">
        <f t="shared" si="518"/>
        <v>3050.9102244389187</v>
      </c>
      <c r="DP140" s="28">
        <f t="shared" si="519"/>
        <v>2440.7281795511199</v>
      </c>
      <c r="DQ140" s="28">
        <f t="shared" si="520"/>
        <v>47594.199501246767</v>
      </c>
      <c r="DR140" s="28">
        <f t="shared" si="521"/>
        <v>1220.3640897755599</v>
      </c>
      <c r="DS140" s="28">
        <f t="shared" si="522"/>
        <v>7932.3665835411412</v>
      </c>
      <c r="DT140" s="28">
        <f t="shared" si="523"/>
        <v>3050.9102244389042</v>
      </c>
      <c r="DU140" s="28">
        <f t="shared" si="524"/>
        <v>3661.0922693266766</v>
      </c>
      <c r="DV140" s="28">
        <f t="shared" si="525"/>
        <v>3661.0922693266784</v>
      </c>
      <c r="DW140" s="28">
        <f t="shared" si="526"/>
        <v>915.27306733166961</v>
      </c>
      <c r="DX140" s="28">
        <f t="shared" si="527"/>
        <v>21661.462593516262</v>
      </c>
      <c r="DY140" s="28">
        <f t="shared" si="528"/>
        <v>24102.190773067392</v>
      </c>
      <c r="DZ140" s="28">
        <f t="shared" si="529"/>
        <v>5491.6384039900167</v>
      </c>
      <c r="EA140" s="28">
        <f t="shared" si="530"/>
        <v>915.27306733166961</v>
      </c>
      <c r="EB140" s="28">
        <f t="shared" si="531"/>
        <v>50950.200748129573</v>
      </c>
      <c r="EC140" s="28">
        <f t="shared" si="532"/>
        <v>11288.367830423958</v>
      </c>
      <c r="ED140" s="28">
        <f t="shared" si="533"/>
        <v>6101.8204488778374</v>
      </c>
      <c r="EE140" s="28">
        <f t="shared" si="534"/>
        <v>1830.5461346633392</v>
      </c>
      <c r="EF140" s="28">
        <f t="shared" si="535"/>
        <v>10068.003740648368</v>
      </c>
      <c r="EG140" s="28">
        <f t="shared" si="536"/>
        <v>4881.4563591022397</v>
      </c>
      <c r="EH140" s="28">
        <f t="shared" si="537"/>
        <v>3661.0922693266784</v>
      </c>
      <c r="EI140" s="28">
        <f t="shared" si="538"/>
        <v>15254.551122194549</v>
      </c>
      <c r="EJ140" s="28">
        <f t="shared" si="539"/>
        <v>4881.4563591022361</v>
      </c>
      <c r="EK140" s="28">
        <f t="shared" si="540"/>
        <v>5491.6384039900167</v>
      </c>
      <c r="EL140" s="28">
        <f t="shared" si="541"/>
        <v>0</v>
      </c>
      <c r="EM140" s="28">
        <f t="shared" si="542"/>
        <v>4576.3653366583603</v>
      </c>
      <c r="EN140" s="28">
        <f t="shared" si="543"/>
        <v>0</v>
      </c>
      <c r="EQ140" s="144">
        <v>2.999963763504488E-2</v>
      </c>
      <c r="ER140" s="144">
        <v>3.9999811555066905E-2</v>
      </c>
      <c r="ES140" s="144">
        <v>7.9999635740491251E-2</v>
      </c>
      <c r="ET140" s="144">
        <v>9.9999996210892755E-2</v>
      </c>
      <c r="EU140" s="144">
        <v>9.9999996210892755E-2</v>
      </c>
      <c r="EV140" s="144">
        <v>9.9999996210892755E-2</v>
      </c>
      <c r="EW140" s="144">
        <v>0.11000201416310183</v>
      </c>
      <c r="EX140" s="144">
        <v>9.9999996210892755E-2</v>
      </c>
      <c r="EY140" s="144">
        <v>8.9999822290870723E-2</v>
      </c>
      <c r="EZ140" s="144">
        <v>7.9999635740491251E-2</v>
      </c>
      <c r="FA140" s="144">
        <v>7.9999635740491251E-2</v>
      </c>
      <c r="FB140" s="144">
        <v>8.9999822290870723E-2</v>
      </c>
      <c r="FC140" s="145">
        <f t="shared" si="544"/>
        <v>0.99999999999999978</v>
      </c>
      <c r="FD140" s="146">
        <f t="shared" si="545"/>
        <v>0.14999908493060304</v>
      </c>
      <c r="FE140" s="146">
        <f t="shared" si="546"/>
        <v>0.29999998863267829</v>
      </c>
      <c r="FF140" s="146">
        <f t="shared" si="547"/>
        <v>0.3000018326648653</v>
      </c>
      <c r="FG140" s="146">
        <f t="shared" si="548"/>
        <v>0.24999909377185323</v>
      </c>
      <c r="FH140" s="145">
        <f t="shared" si="655"/>
        <v>0.99999999999999989</v>
      </c>
      <c r="FJ140" s="52">
        <f t="shared" si="549"/>
        <v>1582.6399710402447</v>
      </c>
      <c r="FK140" s="52">
        <f t="shared" si="550"/>
        <v>1266.1119768321887</v>
      </c>
      <c r="FL140" s="52">
        <f t="shared" si="551"/>
        <v>24689.183548227633</v>
      </c>
      <c r="FM140" s="52">
        <f t="shared" si="552"/>
        <v>633.05598841609435</v>
      </c>
      <c r="FN140" s="52">
        <f t="shared" si="553"/>
        <v>4114.8639247046121</v>
      </c>
      <c r="FO140" s="52">
        <f t="shared" si="554"/>
        <v>1582.6399710402377</v>
      </c>
      <c r="FP140" s="52">
        <f t="shared" si="555"/>
        <v>1899.1679652482806</v>
      </c>
      <c r="FQ140" s="52">
        <f t="shared" si="556"/>
        <v>1899.1679652482817</v>
      </c>
      <c r="FR140" s="52">
        <f t="shared" si="557"/>
        <v>474.79199131207031</v>
      </c>
      <c r="FS140" s="52">
        <f t="shared" si="558"/>
        <v>11236.743794385709</v>
      </c>
      <c r="FT140" s="52">
        <f t="shared" si="559"/>
        <v>12502.855771217903</v>
      </c>
      <c r="FU140" s="52">
        <f t="shared" si="560"/>
        <v>2848.7519478724216</v>
      </c>
      <c r="FV140" s="52">
        <f t="shared" si="561"/>
        <v>474.79199131207031</v>
      </c>
      <c r="FW140" s="52">
        <f t="shared" si="562"/>
        <v>26430.087516371907</v>
      </c>
      <c r="FX140" s="52">
        <f t="shared" si="563"/>
        <v>5855.7678928488849</v>
      </c>
      <c r="FY140" s="52">
        <f t="shared" si="564"/>
        <v>3165.2799420804895</v>
      </c>
      <c r="FZ140" s="52">
        <f t="shared" si="565"/>
        <v>949.58398262414084</v>
      </c>
      <c r="GA140" s="52">
        <f t="shared" si="566"/>
        <v>5222.7119044327746</v>
      </c>
      <c r="GB140" s="52">
        <f t="shared" si="567"/>
        <v>2532.2239536643774</v>
      </c>
      <c r="GC140" s="52">
        <f t="shared" si="568"/>
        <v>1899.1679652482812</v>
      </c>
      <c r="GD140" s="52">
        <f t="shared" si="569"/>
        <v>7913.1998552012046</v>
      </c>
      <c r="GE140" s="52">
        <f t="shared" si="570"/>
        <v>2532.2239536643751</v>
      </c>
      <c r="GF140" s="52">
        <f t="shared" si="571"/>
        <v>2848.7519478724216</v>
      </c>
      <c r="GG140" s="52">
        <f t="shared" si="572"/>
        <v>0</v>
      </c>
      <c r="GH140" s="52">
        <f t="shared" si="573"/>
        <v>2373.959956560358</v>
      </c>
      <c r="GI140" s="52">
        <f t="shared" si="574"/>
        <v>0</v>
      </c>
      <c r="GJ140" s="26"/>
      <c r="GL140" s="150">
        <f t="shared" si="575"/>
        <v>3165.2991319337571</v>
      </c>
      <c r="GM140" s="150">
        <f t="shared" si="576"/>
        <v>2532.2393055469915</v>
      </c>
      <c r="GN140" s="150">
        <f t="shared" si="577"/>
        <v>49378.666458166241</v>
      </c>
      <c r="GO140" s="150">
        <f t="shared" si="578"/>
        <v>1266.1196527734958</v>
      </c>
      <c r="GP140" s="150">
        <f t="shared" si="579"/>
        <v>8229.7777430277201</v>
      </c>
      <c r="GQ140" s="150">
        <f t="shared" si="580"/>
        <v>3165.299131933743</v>
      </c>
      <c r="GR140" s="150">
        <f t="shared" si="581"/>
        <v>3798.3589583204821</v>
      </c>
      <c r="GS140" s="150">
        <f t="shared" si="582"/>
        <v>3798.3589583204844</v>
      </c>
      <c r="GT140" s="150">
        <f t="shared" si="583"/>
        <v>949.58973958012098</v>
      </c>
      <c r="GU140" s="150">
        <f t="shared" si="584"/>
        <v>22473.623836729621</v>
      </c>
      <c r="GV140" s="150">
        <f t="shared" si="585"/>
        <v>25005.863142276619</v>
      </c>
      <c r="GW140" s="150">
        <f t="shared" si="586"/>
        <v>5697.5384374807245</v>
      </c>
      <c r="GX140" s="150">
        <f t="shared" si="587"/>
        <v>949.58973958012098</v>
      </c>
      <c r="GY140" s="150">
        <f t="shared" si="588"/>
        <v>52860.495503293379</v>
      </c>
      <c r="GZ140" s="150">
        <f t="shared" si="589"/>
        <v>11711.606788154861</v>
      </c>
      <c r="HA140" s="150">
        <f t="shared" si="590"/>
        <v>6330.5982638675141</v>
      </c>
      <c r="HB140" s="150">
        <f t="shared" si="591"/>
        <v>1899.1794791602422</v>
      </c>
      <c r="HC140" s="150">
        <f t="shared" si="592"/>
        <v>10445.487135381332</v>
      </c>
      <c r="HD140" s="150">
        <f t="shared" si="593"/>
        <v>5064.4786110939831</v>
      </c>
      <c r="HE140" s="150">
        <f t="shared" si="594"/>
        <v>3798.3589583204839</v>
      </c>
      <c r="HF140" s="150">
        <f t="shared" si="595"/>
        <v>15826.495659668746</v>
      </c>
      <c r="HG140" s="150">
        <f t="shared" si="596"/>
        <v>5064.4786110939785</v>
      </c>
      <c r="HH140" s="150">
        <f t="shared" si="597"/>
        <v>5697.5384374807245</v>
      </c>
      <c r="HI140" s="150">
        <f t="shared" si="598"/>
        <v>0</v>
      </c>
      <c r="HJ140" s="150">
        <f t="shared" si="599"/>
        <v>4747.9486979006169</v>
      </c>
      <c r="HK140" s="150">
        <f t="shared" si="600"/>
        <v>0</v>
      </c>
      <c r="HL140" s="26"/>
      <c r="HN140" s="147">
        <f t="shared" si="601"/>
        <v>3165.3185883127639</v>
      </c>
      <c r="HO140" s="147">
        <f t="shared" si="602"/>
        <v>2532.2548706501966</v>
      </c>
      <c r="HP140" s="147">
        <f t="shared" si="603"/>
        <v>49378.969977678746</v>
      </c>
      <c r="HQ140" s="147">
        <f t="shared" si="604"/>
        <v>1266.1274353250983</v>
      </c>
      <c r="HR140" s="147">
        <f t="shared" si="605"/>
        <v>8229.8283296131376</v>
      </c>
      <c r="HS140" s="147">
        <f t="shared" si="606"/>
        <v>3165.3185883127494</v>
      </c>
      <c r="HT140" s="147">
        <f t="shared" si="607"/>
        <v>3798.3823059752899</v>
      </c>
      <c r="HU140" s="147">
        <f t="shared" si="608"/>
        <v>3798.3823059752922</v>
      </c>
      <c r="HV140" s="147">
        <f t="shared" si="609"/>
        <v>949.59557649382293</v>
      </c>
      <c r="HW140" s="147">
        <f t="shared" si="610"/>
        <v>22473.761977020567</v>
      </c>
      <c r="HX140" s="147">
        <f t="shared" si="611"/>
        <v>25006.016847670769</v>
      </c>
      <c r="HY140" s="147">
        <f t="shared" si="612"/>
        <v>5697.5734589629365</v>
      </c>
      <c r="HZ140" s="147">
        <f t="shared" si="613"/>
        <v>949.59557649382293</v>
      </c>
      <c r="IA140" s="147">
        <f t="shared" si="614"/>
        <v>52860.820424822792</v>
      </c>
      <c r="IB140" s="147">
        <f t="shared" si="615"/>
        <v>11711.678776757184</v>
      </c>
      <c r="IC140" s="147">
        <f t="shared" si="616"/>
        <v>6330.6371766255279</v>
      </c>
      <c r="ID140" s="147">
        <f t="shared" si="617"/>
        <v>1899.1911529876461</v>
      </c>
      <c r="IE140" s="147">
        <f t="shared" si="618"/>
        <v>10445.551341432054</v>
      </c>
      <c r="IF140" s="147">
        <f t="shared" si="619"/>
        <v>5064.5097413003932</v>
      </c>
      <c r="IG140" s="147">
        <f t="shared" si="620"/>
        <v>3798.3823059752917</v>
      </c>
      <c r="IH140" s="147">
        <f t="shared" si="621"/>
        <v>15826.59294156378</v>
      </c>
      <c r="II140" s="147">
        <f t="shared" si="622"/>
        <v>5064.5097413003887</v>
      </c>
      <c r="IJ140" s="147">
        <f t="shared" si="623"/>
        <v>5697.5734589629365</v>
      </c>
      <c r="IK140" s="147">
        <f t="shared" si="624"/>
        <v>0</v>
      </c>
      <c r="IL140" s="147">
        <f t="shared" si="625"/>
        <v>4747.9778824691275</v>
      </c>
      <c r="IM140" s="147">
        <f t="shared" si="626"/>
        <v>0</v>
      </c>
      <c r="IN140" s="26"/>
      <c r="IP140" s="61">
        <f t="shared" si="627"/>
        <v>2637.7398149477003</v>
      </c>
      <c r="IQ140" s="61">
        <f t="shared" si="628"/>
        <v>2110.1918519581482</v>
      </c>
      <c r="IR140" s="61">
        <f t="shared" si="629"/>
        <v>41148.741113183816</v>
      </c>
      <c r="IS140" s="61">
        <f t="shared" si="630"/>
        <v>1055.0959259790741</v>
      </c>
      <c r="IT140" s="61">
        <f t="shared" si="631"/>
        <v>6858.1235188639803</v>
      </c>
      <c r="IU140" s="61">
        <f t="shared" si="632"/>
        <v>2637.7398149476885</v>
      </c>
      <c r="IV140" s="61">
        <f t="shared" si="633"/>
        <v>3165.2877779372179</v>
      </c>
      <c r="IW140" s="61">
        <f t="shared" si="634"/>
        <v>3165.2877779372197</v>
      </c>
      <c r="IX140" s="61">
        <f t="shared" si="635"/>
        <v>791.32194448430482</v>
      </c>
      <c r="IY140" s="61">
        <f t="shared" si="636"/>
        <v>18727.952686128625</v>
      </c>
      <c r="IZ140" s="61">
        <f t="shared" si="637"/>
        <v>20838.144538086777</v>
      </c>
      <c r="JA140" s="61">
        <f t="shared" si="638"/>
        <v>4747.931666905828</v>
      </c>
      <c r="JB140" s="61">
        <f t="shared" si="639"/>
        <v>791.32194448430482</v>
      </c>
      <c r="JC140" s="61">
        <f t="shared" si="640"/>
        <v>44050.254909626288</v>
      </c>
      <c r="JD140" s="61">
        <f t="shared" si="641"/>
        <v>9759.637315306456</v>
      </c>
      <c r="JE140" s="61">
        <f t="shared" si="642"/>
        <v>5275.4796298954006</v>
      </c>
      <c r="JF140" s="61">
        <f t="shared" si="643"/>
        <v>1582.6438889686099</v>
      </c>
      <c r="JG140" s="61">
        <f t="shared" si="644"/>
        <v>8704.5413893273562</v>
      </c>
      <c r="JH140" s="61">
        <f t="shared" si="645"/>
        <v>4220.3837039162963</v>
      </c>
      <c r="JI140" s="61">
        <f t="shared" si="646"/>
        <v>3165.2877779372193</v>
      </c>
      <c r="JJ140" s="61">
        <f t="shared" si="647"/>
        <v>13188.699074738468</v>
      </c>
      <c r="JK140" s="61">
        <f t="shared" si="648"/>
        <v>4220.3837039162927</v>
      </c>
      <c r="JL140" s="61">
        <f t="shared" si="649"/>
        <v>4747.931666905828</v>
      </c>
      <c r="JM140" s="61">
        <f t="shared" si="650"/>
        <v>0</v>
      </c>
      <c r="JN140" s="61">
        <f t="shared" si="651"/>
        <v>3956.6097224215346</v>
      </c>
      <c r="JO140" s="61">
        <f t="shared" si="652"/>
        <v>0</v>
      </c>
      <c r="JQ140" s="26">
        <f t="shared" si="711"/>
        <v>846189.99999999942</v>
      </c>
      <c r="JR140" s="156">
        <f t="shared" si="712"/>
        <v>0.99999999999999933</v>
      </c>
      <c r="JT140" s="157">
        <f t="shared" si="653"/>
        <v>10550.997506234464</v>
      </c>
      <c r="JU140" s="29">
        <f t="shared" si="654"/>
        <v>0.99999999999999967</v>
      </c>
    </row>
    <row r="141" spans="1:281" ht="18.75" x14ac:dyDescent="0.3">
      <c r="A141" t="s">
        <v>234</v>
      </c>
      <c r="B141" s="10" t="s">
        <v>216</v>
      </c>
      <c r="C141" t="s">
        <v>87</v>
      </c>
      <c r="D141" t="s">
        <v>29</v>
      </c>
      <c r="E141" t="s">
        <v>300</v>
      </c>
      <c r="F141" s="114">
        <v>560</v>
      </c>
      <c r="G141" s="17">
        <v>1632602</v>
      </c>
      <c r="H141" s="21">
        <v>870397</v>
      </c>
      <c r="I141" s="25">
        <f t="shared" si="713"/>
        <v>1.8756981009815061</v>
      </c>
      <c r="J141" s="13">
        <v>3.118503118503119E-2</v>
      </c>
      <c r="K141" s="13">
        <v>2.0790020790020817E-3</v>
      </c>
      <c r="L141" s="13">
        <v>2.0790020790020817E-3</v>
      </c>
      <c r="M141" s="13">
        <v>6.2370062370062226E-3</v>
      </c>
      <c r="N141" s="13">
        <v>0</v>
      </c>
      <c r="O141" s="13">
        <v>2.2869022869022898E-2</v>
      </c>
      <c r="P141" s="13">
        <v>8.3160083160083251E-3</v>
      </c>
      <c r="Q141" s="13">
        <v>2.2869022869022867E-2</v>
      </c>
      <c r="R141" s="13">
        <v>0</v>
      </c>
      <c r="S141" s="13">
        <v>2.7027027027027053E-2</v>
      </c>
      <c r="T141" s="13">
        <v>0.3617463617463616</v>
      </c>
      <c r="U141" s="13">
        <v>2.9106029106029125E-2</v>
      </c>
      <c r="V141" s="13">
        <v>2.0790020790020817E-3</v>
      </c>
      <c r="W141" s="13">
        <v>0.10187110187110189</v>
      </c>
      <c r="X141" s="13">
        <v>1.0395010395010389E-2</v>
      </c>
      <c r="Y141" s="13">
        <v>8.3160083160083217E-3</v>
      </c>
      <c r="Z141" s="13">
        <v>1.4553014553014557E-2</v>
      </c>
      <c r="AA141" s="13">
        <v>2.9106029106029139E-2</v>
      </c>
      <c r="AB141" s="13">
        <v>4.1580041580041626E-3</v>
      </c>
      <c r="AC141" s="13">
        <v>0</v>
      </c>
      <c r="AD141" s="13">
        <v>2.9106029106029125E-2</v>
      </c>
      <c r="AE141" s="13">
        <v>8.3160083160083303E-3</v>
      </c>
      <c r="AF141" s="13">
        <v>8.3160083160083269E-3</v>
      </c>
      <c r="AG141" s="9">
        <v>0</v>
      </c>
      <c r="AH141" s="13">
        <v>0.27027027027027012</v>
      </c>
      <c r="AJ141" s="8">
        <f t="shared" si="656"/>
        <v>1</v>
      </c>
      <c r="AK141" s="141">
        <f t="shared" si="714"/>
        <v>17.463617463617467</v>
      </c>
      <c r="AL141" s="141">
        <f t="shared" si="715"/>
        <v>1.1642411642411659</v>
      </c>
      <c r="AM141" s="141">
        <f t="shared" si="716"/>
        <v>1.1642411642411659</v>
      </c>
      <c r="AN141" s="141">
        <f t="shared" si="717"/>
        <v>3.4927234927234845</v>
      </c>
      <c r="AO141" s="141">
        <f t="shared" si="718"/>
        <v>0</v>
      </c>
      <c r="AP141" s="141">
        <f t="shared" si="719"/>
        <v>12.806652806652822</v>
      </c>
      <c r="AQ141" s="141">
        <f t="shared" si="720"/>
        <v>4.6569646569646617</v>
      </c>
      <c r="AR141" s="141">
        <f t="shared" si="721"/>
        <v>12.806652806652805</v>
      </c>
      <c r="AS141" s="141">
        <f t="shared" si="722"/>
        <v>0</v>
      </c>
      <c r="AT141" s="141">
        <f t="shared" si="723"/>
        <v>15.135135135135149</v>
      </c>
      <c r="AU141" s="141">
        <f t="shared" si="724"/>
        <v>202.5779625779625</v>
      </c>
      <c r="AV141" s="141">
        <f t="shared" si="725"/>
        <v>16.299376299376309</v>
      </c>
      <c r="AW141" s="141">
        <f t="shared" si="726"/>
        <v>1.1642411642411659</v>
      </c>
      <c r="AX141" s="141">
        <f t="shared" si="727"/>
        <v>57.047817047817055</v>
      </c>
      <c r="AY141" s="141">
        <f t="shared" si="728"/>
        <v>5.821205821205818</v>
      </c>
      <c r="AZ141" s="141">
        <f t="shared" si="729"/>
        <v>4.6569646569646599</v>
      </c>
      <c r="BA141" s="141">
        <f t="shared" si="730"/>
        <v>8.1496881496881528</v>
      </c>
      <c r="BB141" s="141">
        <f t="shared" si="731"/>
        <v>16.299376299376316</v>
      </c>
      <c r="BC141" s="141">
        <f t="shared" si="732"/>
        <v>2.3284823284823308</v>
      </c>
      <c r="BD141" s="141">
        <f t="shared" si="733"/>
        <v>0</v>
      </c>
      <c r="BE141" s="141">
        <f t="shared" si="734"/>
        <v>16.299376299376309</v>
      </c>
      <c r="BF141" s="141">
        <f t="shared" si="735"/>
        <v>4.6569646569646652</v>
      </c>
      <c r="BG141" s="141">
        <f t="shared" si="736"/>
        <v>4.6569646569646634</v>
      </c>
      <c r="BH141" s="141">
        <f t="shared" si="737"/>
        <v>0</v>
      </c>
      <c r="BI141" s="141">
        <f t="shared" si="738"/>
        <v>151.35135135135127</v>
      </c>
      <c r="BJ141" s="141">
        <f t="shared" si="739"/>
        <v>0</v>
      </c>
      <c r="BM141" s="26">
        <f t="shared" si="657"/>
        <v>50912.744282744294</v>
      </c>
      <c r="BN141" s="26">
        <f t="shared" si="658"/>
        <v>3394.1829521829568</v>
      </c>
      <c r="BO141" s="26">
        <f t="shared" si="659"/>
        <v>3394.1829521829568</v>
      </c>
      <c r="BP141" s="26">
        <f t="shared" si="660"/>
        <v>10182.548856548832</v>
      </c>
      <c r="BQ141" s="26">
        <f t="shared" si="661"/>
        <v>0</v>
      </c>
      <c r="BR141" s="26">
        <f t="shared" si="662"/>
        <v>37336.012474012525</v>
      </c>
      <c r="BS141" s="26">
        <f t="shared" si="663"/>
        <v>13576.731808731824</v>
      </c>
      <c r="BT141" s="26">
        <f t="shared" si="664"/>
        <v>37336.012474012474</v>
      </c>
      <c r="BU141" s="26">
        <f t="shared" si="665"/>
        <v>0</v>
      </c>
      <c r="BV141" s="26">
        <f t="shared" si="666"/>
        <v>44124.378378378424</v>
      </c>
      <c r="BW141" s="26">
        <f t="shared" si="667"/>
        <v>590587.83367983345</v>
      </c>
      <c r="BX141" s="26">
        <f t="shared" si="668"/>
        <v>47518.561330561359</v>
      </c>
      <c r="BY141" s="26">
        <f t="shared" si="669"/>
        <v>3394.1829521829568</v>
      </c>
      <c r="BZ141" s="26">
        <f t="shared" si="670"/>
        <v>166314.9646569647</v>
      </c>
      <c r="CA141" s="26">
        <f t="shared" si="671"/>
        <v>16970.914760914751</v>
      </c>
      <c r="CB141" s="26">
        <f t="shared" si="672"/>
        <v>13576.731808731818</v>
      </c>
      <c r="CC141" s="26">
        <f t="shared" si="673"/>
        <v>23759.280665280672</v>
      </c>
      <c r="CD141" s="26">
        <f t="shared" si="674"/>
        <v>47518.561330561381</v>
      </c>
      <c r="CE141" s="26">
        <f t="shared" si="675"/>
        <v>6788.3659043659118</v>
      </c>
      <c r="CF141" s="26">
        <f t="shared" si="676"/>
        <v>0</v>
      </c>
      <c r="CG141" s="26">
        <f t="shared" si="677"/>
        <v>47518.561330561359</v>
      </c>
      <c r="CH141" s="26">
        <f t="shared" si="678"/>
        <v>13576.731808731833</v>
      </c>
      <c r="CI141" s="26">
        <f t="shared" si="679"/>
        <v>13576.731808731827</v>
      </c>
      <c r="CJ141" s="26">
        <f t="shared" si="680"/>
        <v>0</v>
      </c>
      <c r="CK141" s="26">
        <f t="shared" si="681"/>
        <v>441243.78378378355</v>
      </c>
      <c r="CL141" s="26">
        <f t="shared" si="682"/>
        <v>0</v>
      </c>
      <c r="CM141" s="110">
        <f t="shared" si="683"/>
        <v>0.99999999999999967</v>
      </c>
      <c r="CN141" s="27">
        <f t="shared" si="684"/>
        <v>27143.357588357594</v>
      </c>
      <c r="CO141" s="27">
        <f t="shared" si="685"/>
        <v>1809.5571725571749</v>
      </c>
      <c r="CP141" s="27">
        <f t="shared" si="686"/>
        <v>1809.5571725571749</v>
      </c>
      <c r="CQ141" s="27">
        <f t="shared" si="687"/>
        <v>5428.6715176715052</v>
      </c>
      <c r="CR141" s="27">
        <f t="shared" si="688"/>
        <v>0</v>
      </c>
      <c r="CS141" s="27">
        <f t="shared" si="689"/>
        <v>19905.128898128922</v>
      </c>
      <c r="CT141" s="27">
        <f t="shared" si="690"/>
        <v>7238.2286902286978</v>
      </c>
      <c r="CU141" s="27">
        <f t="shared" si="691"/>
        <v>19905.128898128896</v>
      </c>
      <c r="CV141" s="27">
        <f t="shared" si="692"/>
        <v>0</v>
      </c>
      <c r="CW141" s="27">
        <f t="shared" si="693"/>
        <v>23524.243243243265</v>
      </c>
      <c r="CX141" s="27">
        <f t="shared" si="694"/>
        <v>314862.94802494789</v>
      </c>
      <c r="CY141" s="27">
        <f t="shared" si="695"/>
        <v>25333.800415800433</v>
      </c>
      <c r="CZ141" s="27">
        <f t="shared" si="696"/>
        <v>1809.5571725571749</v>
      </c>
      <c r="DA141" s="27">
        <f t="shared" si="697"/>
        <v>88668.301455301465</v>
      </c>
      <c r="DB141" s="27">
        <f t="shared" si="698"/>
        <v>9047.7858627858568</v>
      </c>
      <c r="DC141" s="27">
        <f t="shared" si="699"/>
        <v>7238.2286902286951</v>
      </c>
      <c r="DD141" s="27">
        <f t="shared" si="700"/>
        <v>12666.900207900211</v>
      </c>
      <c r="DE141" s="27">
        <f t="shared" si="701"/>
        <v>25333.800415800444</v>
      </c>
      <c r="DF141" s="27">
        <f t="shared" si="702"/>
        <v>3619.1143451143489</v>
      </c>
      <c r="DG141" s="27">
        <f t="shared" si="703"/>
        <v>0</v>
      </c>
      <c r="DH141" s="27">
        <f t="shared" si="704"/>
        <v>25333.800415800433</v>
      </c>
      <c r="DI141" s="27">
        <f t="shared" si="705"/>
        <v>7238.2286902287024</v>
      </c>
      <c r="DJ141" s="27">
        <f t="shared" si="706"/>
        <v>7238.2286902286996</v>
      </c>
      <c r="DK141" s="27">
        <f t="shared" si="707"/>
        <v>0</v>
      </c>
      <c r="DL141" s="27">
        <f t="shared" si="708"/>
        <v>235242.43243243231</v>
      </c>
      <c r="DM141" s="27">
        <f t="shared" si="709"/>
        <v>0</v>
      </c>
      <c r="DN141" s="110">
        <f t="shared" si="710"/>
        <v>0.99999999999999956</v>
      </c>
      <c r="DO141" s="28">
        <f t="shared" si="518"/>
        <v>23769.3866943867</v>
      </c>
      <c r="DP141" s="28">
        <f t="shared" si="519"/>
        <v>1584.6257796257819</v>
      </c>
      <c r="DQ141" s="28">
        <f t="shared" si="520"/>
        <v>1584.6257796257819</v>
      </c>
      <c r="DR141" s="28">
        <f t="shared" si="521"/>
        <v>4753.877338877327</v>
      </c>
      <c r="DS141" s="28">
        <f t="shared" si="522"/>
        <v>0</v>
      </c>
      <c r="DT141" s="28">
        <f t="shared" si="523"/>
        <v>17430.883575883603</v>
      </c>
      <c r="DU141" s="28">
        <f t="shared" si="524"/>
        <v>6338.5031185031257</v>
      </c>
      <c r="DV141" s="28">
        <f t="shared" si="525"/>
        <v>17430.883575883578</v>
      </c>
      <c r="DW141" s="28">
        <f t="shared" si="526"/>
        <v>0</v>
      </c>
      <c r="DX141" s="28">
        <f t="shared" si="527"/>
        <v>20600.135135135159</v>
      </c>
      <c r="DY141" s="28">
        <f t="shared" si="528"/>
        <v>275724.88565488555</v>
      </c>
      <c r="DZ141" s="28">
        <f t="shared" si="529"/>
        <v>22184.760914760926</v>
      </c>
      <c r="EA141" s="28">
        <f t="shared" si="530"/>
        <v>1584.6257796257819</v>
      </c>
      <c r="EB141" s="28">
        <f t="shared" si="531"/>
        <v>77646.663201663236</v>
      </c>
      <c r="EC141" s="28">
        <f t="shared" si="532"/>
        <v>7923.1288981288944</v>
      </c>
      <c r="ED141" s="28">
        <f t="shared" si="533"/>
        <v>6338.503118503123</v>
      </c>
      <c r="EE141" s="28">
        <f t="shared" si="534"/>
        <v>11092.380457380461</v>
      </c>
      <c r="EF141" s="28">
        <f t="shared" si="535"/>
        <v>22184.760914760936</v>
      </c>
      <c r="EG141" s="28">
        <f t="shared" si="536"/>
        <v>3169.2515592515629</v>
      </c>
      <c r="EH141" s="28">
        <f t="shared" si="537"/>
        <v>0</v>
      </c>
      <c r="EI141" s="28">
        <f t="shared" si="538"/>
        <v>22184.760914760926</v>
      </c>
      <c r="EJ141" s="28">
        <f t="shared" si="539"/>
        <v>6338.5031185031303</v>
      </c>
      <c r="EK141" s="28">
        <f t="shared" si="540"/>
        <v>6338.5031185031276</v>
      </c>
      <c r="EL141" s="28">
        <f t="shared" si="541"/>
        <v>0</v>
      </c>
      <c r="EM141" s="28">
        <f t="shared" si="542"/>
        <v>206001.35135135124</v>
      </c>
      <c r="EN141" s="28">
        <f t="shared" si="543"/>
        <v>0</v>
      </c>
      <c r="EQ141" s="144">
        <v>0.03</v>
      </c>
      <c r="ER141" s="144">
        <v>3.9999999999999994E-2</v>
      </c>
      <c r="ES141" s="144">
        <v>7.9999999999999988E-2</v>
      </c>
      <c r="ET141" s="144">
        <v>0.1</v>
      </c>
      <c r="EU141" s="144">
        <v>0.1</v>
      </c>
      <c r="EV141" s="144">
        <v>0.1</v>
      </c>
      <c r="EW141" s="144">
        <v>0.11</v>
      </c>
      <c r="EX141" s="144">
        <v>0.1</v>
      </c>
      <c r="EY141" s="144">
        <v>0.09</v>
      </c>
      <c r="EZ141" s="144">
        <v>7.9999999999999988E-2</v>
      </c>
      <c r="FA141" s="144">
        <v>7.9999999999999988E-2</v>
      </c>
      <c r="FB141" s="144">
        <v>0.09</v>
      </c>
      <c r="FC141" s="145">
        <f t="shared" si="544"/>
        <v>0.99999999999999978</v>
      </c>
      <c r="FD141" s="146">
        <f t="shared" si="545"/>
        <v>0.14999999999999997</v>
      </c>
      <c r="FE141" s="146">
        <f t="shared" si="546"/>
        <v>0.30000000000000004</v>
      </c>
      <c r="FF141" s="146">
        <f t="shared" si="547"/>
        <v>0.30000000000000004</v>
      </c>
      <c r="FG141" s="146">
        <f t="shared" si="548"/>
        <v>0.24999999999999997</v>
      </c>
      <c r="FH141" s="145">
        <f t="shared" si="655"/>
        <v>1</v>
      </c>
      <c r="FJ141" s="52">
        <f t="shared" si="549"/>
        <v>7636.9116424116428</v>
      </c>
      <c r="FK141" s="52">
        <f t="shared" si="550"/>
        <v>509.12744282744342</v>
      </c>
      <c r="FL141" s="52">
        <f t="shared" si="551"/>
        <v>509.12744282744342</v>
      </c>
      <c r="FM141" s="52">
        <f t="shared" si="552"/>
        <v>1527.3823284823245</v>
      </c>
      <c r="FN141" s="52">
        <f t="shared" si="553"/>
        <v>0</v>
      </c>
      <c r="FO141" s="52">
        <f t="shared" si="554"/>
        <v>5600.4018711018771</v>
      </c>
      <c r="FP141" s="52">
        <f t="shared" si="555"/>
        <v>2036.509771309773</v>
      </c>
      <c r="FQ141" s="52">
        <f t="shared" si="556"/>
        <v>5600.4018711018698</v>
      </c>
      <c r="FR141" s="52">
        <f t="shared" si="557"/>
        <v>0</v>
      </c>
      <c r="FS141" s="52">
        <f t="shared" si="558"/>
        <v>6618.6567567567618</v>
      </c>
      <c r="FT141" s="52">
        <f t="shared" si="559"/>
        <v>88588.175051974991</v>
      </c>
      <c r="FU141" s="52">
        <f t="shared" si="560"/>
        <v>7127.7841995842018</v>
      </c>
      <c r="FV141" s="52">
        <f t="shared" si="561"/>
        <v>509.12744282744342</v>
      </c>
      <c r="FW141" s="52">
        <f t="shared" si="562"/>
        <v>24947.244698544699</v>
      </c>
      <c r="FX141" s="52">
        <f t="shared" si="563"/>
        <v>2545.6372141372121</v>
      </c>
      <c r="FY141" s="52">
        <f t="shared" si="564"/>
        <v>2036.5097713097723</v>
      </c>
      <c r="FZ141" s="52">
        <f t="shared" si="565"/>
        <v>3563.8920997921</v>
      </c>
      <c r="GA141" s="52">
        <f t="shared" si="566"/>
        <v>7127.7841995842055</v>
      </c>
      <c r="GB141" s="52">
        <f t="shared" si="567"/>
        <v>1018.2548856548865</v>
      </c>
      <c r="GC141" s="52">
        <f t="shared" si="568"/>
        <v>0</v>
      </c>
      <c r="GD141" s="52">
        <f t="shared" si="569"/>
        <v>7127.7841995842018</v>
      </c>
      <c r="GE141" s="52">
        <f t="shared" si="570"/>
        <v>2036.5097713097744</v>
      </c>
      <c r="GF141" s="52">
        <f t="shared" si="571"/>
        <v>2036.5097713097737</v>
      </c>
      <c r="GG141" s="52">
        <f t="shared" si="572"/>
        <v>0</v>
      </c>
      <c r="GH141" s="52">
        <f t="shared" si="573"/>
        <v>66186.567567567516</v>
      </c>
      <c r="GI141" s="52">
        <f t="shared" si="574"/>
        <v>0</v>
      </c>
      <c r="GJ141" s="26"/>
      <c r="GL141" s="150">
        <f t="shared" si="575"/>
        <v>15273.823284823291</v>
      </c>
      <c r="GM141" s="150">
        <f t="shared" si="576"/>
        <v>1018.2548856548872</v>
      </c>
      <c r="GN141" s="150">
        <f t="shared" si="577"/>
        <v>1018.2548856548872</v>
      </c>
      <c r="GO141" s="150">
        <f t="shared" si="578"/>
        <v>3054.7646569646499</v>
      </c>
      <c r="GP141" s="150">
        <f t="shared" si="579"/>
        <v>0</v>
      </c>
      <c r="GQ141" s="150">
        <f t="shared" si="580"/>
        <v>11200.80374220376</v>
      </c>
      <c r="GR141" s="150">
        <f t="shared" si="581"/>
        <v>4073.0195426195478</v>
      </c>
      <c r="GS141" s="150">
        <f t="shared" si="582"/>
        <v>11200.803742203743</v>
      </c>
      <c r="GT141" s="150">
        <f t="shared" si="583"/>
        <v>0</v>
      </c>
      <c r="GU141" s="150">
        <f t="shared" si="584"/>
        <v>13237.313513513529</v>
      </c>
      <c r="GV141" s="150">
        <f t="shared" si="585"/>
        <v>177176.35010395007</v>
      </c>
      <c r="GW141" s="150">
        <f t="shared" si="586"/>
        <v>14255.568399168409</v>
      </c>
      <c r="GX141" s="150">
        <f t="shared" si="587"/>
        <v>1018.2548856548872</v>
      </c>
      <c r="GY141" s="150">
        <f t="shared" si="588"/>
        <v>49894.489397089419</v>
      </c>
      <c r="GZ141" s="150">
        <f t="shared" si="589"/>
        <v>5091.2744282744261</v>
      </c>
      <c r="HA141" s="150">
        <f t="shared" si="590"/>
        <v>4073.019542619546</v>
      </c>
      <c r="HB141" s="150">
        <f t="shared" si="591"/>
        <v>7127.7841995842027</v>
      </c>
      <c r="HC141" s="150">
        <f t="shared" si="592"/>
        <v>14255.568399168416</v>
      </c>
      <c r="HD141" s="150">
        <f t="shared" si="593"/>
        <v>2036.5097713097739</v>
      </c>
      <c r="HE141" s="150">
        <f t="shared" si="594"/>
        <v>0</v>
      </c>
      <c r="HF141" s="150">
        <f t="shared" si="595"/>
        <v>14255.568399168409</v>
      </c>
      <c r="HG141" s="150">
        <f t="shared" si="596"/>
        <v>4073.0195426195505</v>
      </c>
      <c r="HH141" s="150">
        <f t="shared" si="597"/>
        <v>4073.0195426195487</v>
      </c>
      <c r="HI141" s="150">
        <f t="shared" si="598"/>
        <v>0</v>
      </c>
      <c r="HJ141" s="150">
        <f t="shared" si="599"/>
        <v>132373.13513513509</v>
      </c>
      <c r="HK141" s="150">
        <f t="shared" si="600"/>
        <v>0</v>
      </c>
      <c r="HL141" s="26"/>
      <c r="HN141" s="147">
        <f t="shared" si="601"/>
        <v>15273.823284823291</v>
      </c>
      <c r="HO141" s="147">
        <f t="shared" si="602"/>
        <v>1018.2548856548872</v>
      </c>
      <c r="HP141" s="147">
        <f t="shared" si="603"/>
        <v>1018.2548856548872</v>
      </c>
      <c r="HQ141" s="147">
        <f t="shared" si="604"/>
        <v>3054.7646569646499</v>
      </c>
      <c r="HR141" s="147">
        <f t="shared" si="605"/>
        <v>0</v>
      </c>
      <c r="HS141" s="147">
        <f t="shared" si="606"/>
        <v>11200.80374220376</v>
      </c>
      <c r="HT141" s="147">
        <f t="shared" si="607"/>
        <v>4073.0195426195478</v>
      </c>
      <c r="HU141" s="147">
        <f t="shared" si="608"/>
        <v>11200.803742203743</v>
      </c>
      <c r="HV141" s="147">
        <f t="shared" si="609"/>
        <v>0</v>
      </c>
      <c r="HW141" s="147">
        <f t="shared" si="610"/>
        <v>13237.313513513529</v>
      </c>
      <c r="HX141" s="147">
        <f t="shared" si="611"/>
        <v>177176.35010395007</v>
      </c>
      <c r="HY141" s="147">
        <f t="shared" si="612"/>
        <v>14255.568399168409</v>
      </c>
      <c r="HZ141" s="147">
        <f t="shared" si="613"/>
        <v>1018.2548856548872</v>
      </c>
      <c r="IA141" s="147">
        <f t="shared" si="614"/>
        <v>49894.489397089419</v>
      </c>
      <c r="IB141" s="147">
        <f t="shared" si="615"/>
        <v>5091.2744282744261</v>
      </c>
      <c r="IC141" s="147">
        <f t="shared" si="616"/>
        <v>4073.019542619546</v>
      </c>
      <c r="ID141" s="147">
        <f t="shared" si="617"/>
        <v>7127.7841995842027</v>
      </c>
      <c r="IE141" s="147">
        <f t="shared" si="618"/>
        <v>14255.568399168416</v>
      </c>
      <c r="IF141" s="147">
        <f t="shared" si="619"/>
        <v>2036.5097713097739</v>
      </c>
      <c r="IG141" s="147">
        <f t="shared" si="620"/>
        <v>0</v>
      </c>
      <c r="IH141" s="147">
        <f t="shared" si="621"/>
        <v>14255.568399168409</v>
      </c>
      <c r="II141" s="147">
        <f t="shared" si="622"/>
        <v>4073.0195426195505</v>
      </c>
      <c r="IJ141" s="147">
        <f t="shared" si="623"/>
        <v>4073.0195426195487</v>
      </c>
      <c r="IK141" s="147">
        <f t="shared" si="624"/>
        <v>0</v>
      </c>
      <c r="IL141" s="147">
        <f t="shared" si="625"/>
        <v>132373.13513513509</v>
      </c>
      <c r="IM141" s="147">
        <f t="shared" si="626"/>
        <v>0</v>
      </c>
      <c r="IN141" s="26"/>
      <c r="IP141" s="61">
        <f t="shared" si="627"/>
        <v>12728.186070686072</v>
      </c>
      <c r="IQ141" s="61">
        <f t="shared" si="628"/>
        <v>848.54573804573909</v>
      </c>
      <c r="IR141" s="61">
        <f t="shared" si="629"/>
        <v>848.54573804573909</v>
      </c>
      <c r="IS141" s="61">
        <f t="shared" si="630"/>
        <v>2545.6372141372076</v>
      </c>
      <c r="IT141" s="61">
        <f t="shared" si="631"/>
        <v>0</v>
      </c>
      <c r="IU141" s="61">
        <f t="shared" si="632"/>
        <v>9334.0031185031294</v>
      </c>
      <c r="IV141" s="61">
        <f t="shared" si="633"/>
        <v>3394.1829521829554</v>
      </c>
      <c r="IW141" s="61">
        <f t="shared" si="634"/>
        <v>9334.0031185031166</v>
      </c>
      <c r="IX141" s="61">
        <f t="shared" si="635"/>
        <v>0</v>
      </c>
      <c r="IY141" s="61">
        <f t="shared" si="636"/>
        <v>11031.094594594604</v>
      </c>
      <c r="IZ141" s="61">
        <f t="shared" si="637"/>
        <v>147646.95841995833</v>
      </c>
      <c r="JA141" s="61">
        <f t="shared" si="638"/>
        <v>11879.640332640338</v>
      </c>
      <c r="JB141" s="61">
        <f t="shared" si="639"/>
        <v>848.54573804573909</v>
      </c>
      <c r="JC141" s="61">
        <f t="shared" si="640"/>
        <v>41578.741164241168</v>
      </c>
      <c r="JD141" s="61">
        <f t="shared" si="641"/>
        <v>4242.7286902286869</v>
      </c>
      <c r="JE141" s="61">
        <f t="shared" si="642"/>
        <v>3394.1829521829541</v>
      </c>
      <c r="JF141" s="61">
        <f t="shared" si="643"/>
        <v>5939.8201663201671</v>
      </c>
      <c r="JG141" s="61">
        <f t="shared" si="644"/>
        <v>11879.640332640343</v>
      </c>
      <c r="JH141" s="61">
        <f t="shared" si="645"/>
        <v>1697.0914760914777</v>
      </c>
      <c r="JI141" s="61">
        <f t="shared" si="646"/>
        <v>0</v>
      </c>
      <c r="JJ141" s="61">
        <f t="shared" si="647"/>
        <v>11879.640332640338</v>
      </c>
      <c r="JK141" s="61">
        <f t="shared" si="648"/>
        <v>3394.1829521829577</v>
      </c>
      <c r="JL141" s="61">
        <f t="shared" si="649"/>
        <v>3394.1829521829563</v>
      </c>
      <c r="JM141" s="61">
        <f t="shared" si="650"/>
        <v>0</v>
      </c>
      <c r="JN141" s="61">
        <f t="shared" si="651"/>
        <v>110310.94594594587</v>
      </c>
      <c r="JO141" s="61">
        <f t="shared" si="652"/>
        <v>0</v>
      </c>
      <c r="JQ141" s="26">
        <f t="shared" si="711"/>
        <v>1632602.0000000012</v>
      </c>
      <c r="JR141" s="156">
        <f t="shared" si="712"/>
        <v>1.0000000000000007</v>
      </c>
      <c r="JT141" s="157">
        <f t="shared" si="653"/>
        <v>50912.744282744294</v>
      </c>
      <c r="JU141" s="29">
        <f t="shared" si="654"/>
        <v>1</v>
      </c>
    </row>
    <row r="142" spans="1:281" ht="18.75" x14ac:dyDescent="0.3">
      <c r="A142" t="s">
        <v>234</v>
      </c>
      <c r="B142" s="10" t="s">
        <v>217</v>
      </c>
      <c r="C142" t="s">
        <v>87</v>
      </c>
      <c r="D142" t="s">
        <v>29</v>
      </c>
      <c r="E142" t="s">
        <v>301</v>
      </c>
      <c r="F142" s="114">
        <v>3877</v>
      </c>
      <c r="G142" s="17">
        <v>5060377</v>
      </c>
      <c r="H142" s="21">
        <v>2937332</v>
      </c>
      <c r="I142" s="25">
        <f t="shared" si="713"/>
        <v>1.7227800602723833</v>
      </c>
      <c r="J142" s="13">
        <v>1.0355443604813875E-2</v>
      </c>
      <c r="K142" s="13">
        <v>2.2390148334732702E-2</v>
      </c>
      <c r="L142" s="13">
        <v>5.0097956898964305E-2</v>
      </c>
      <c r="M142" s="13">
        <v>1.3993842709207939E-3</v>
      </c>
      <c r="N142" s="13">
        <v>4.5899804086201958E-2</v>
      </c>
      <c r="O142" s="13">
        <v>1.483347327176039E-2</v>
      </c>
      <c r="P142" s="13">
        <v>2.5748670584942616E-2</v>
      </c>
      <c r="Q142" s="13">
        <v>2.7987685418415849E-4</v>
      </c>
      <c r="R142" s="13">
        <v>2.4069409459837657E-2</v>
      </c>
      <c r="S142" s="13">
        <v>1.9591379792891109E-2</v>
      </c>
      <c r="T142" s="13">
        <v>0.15533165407220847</v>
      </c>
      <c r="U142" s="13">
        <v>3.2745591939546528E-2</v>
      </c>
      <c r="V142" s="13">
        <v>4.7579065211306925E-3</v>
      </c>
      <c r="W142" s="13">
        <v>0.1326616288832915</v>
      </c>
      <c r="X142" s="13">
        <v>6.4371676462356683E-2</v>
      </c>
      <c r="Y142" s="13">
        <v>8.1724041421774252E-2</v>
      </c>
      <c r="Z142" s="13">
        <v>6.0733277357962266E-2</v>
      </c>
      <c r="AA142" s="13">
        <v>6.4931430170724863E-2</v>
      </c>
      <c r="AB142" s="13">
        <v>1.3434089000839615E-2</v>
      </c>
      <c r="AC142" s="13">
        <v>2.2390148334732681E-2</v>
      </c>
      <c r="AD142" s="13">
        <v>4.2541281835992165E-2</v>
      </c>
      <c r="AE142" s="13">
        <v>2.0990764063811933E-2</v>
      </c>
      <c r="AF142" s="13">
        <v>1.2034704729918824E-2</v>
      </c>
      <c r="AG142" s="9">
        <v>0</v>
      </c>
      <c r="AH142" s="13">
        <v>7.6686258046459871E-2</v>
      </c>
      <c r="AJ142" s="8">
        <f t="shared" si="656"/>
        <v>0.99999999999999989</v>
      </c>
      <c r="AK142" s="141">
        <f t="shared" si="714"/>
        <v>40.148054855863393</v>
      </c>
      <c r="AL142" s="141">
        <f t="shared" si="715"/>
        <v>86.806605093758691</v>
      </c>
      <c r="AM142" s="141">
        <f t="shared" si="716"/>
        <v>194.2297788972846</v>
      </c>
      <c r="AN142" s="141">
        <f t="shared" si="717"/>
        <v>5.4254128183599182</v>
      </c>
      <c r="AO142" s="141">
        <f t="shared" si="718"/>
        <v>177.953540442205</v>
      </c>
      <c r="AP142" s="141">
        <f t="shared" si="719"/>
        <v>57.509375874615031</v>
      </c>
      <c r="AQ142" s="141">
        <f t="shared" si="720"/>
        <v>99.82759585782253</v>
      </c>
      <c r="AR142" s="141">
        <f t="shared" si="721"/>
        <v>1.0850825636719825</v>
      </c>
      <c r="AS142" s="141">
        <f t="shared" si="722"/>
        <v>93.317100475790596</v>
      </c>
      <c r="AT142" s="141">
        <f t="shared" si="723"/>
        <v>75.95577945703883</v>
      </c>
      <c r="AU142" s="141">
        <f t="shared" si="724"/>
        <v>602.22082283795226</v>
      </c>
      <c r="AV142" s="141">
        <f t="shared" si="725"/>
        <v>126.95465994962188</v>
      </c>
      <c r="AW142" s="141">
        <f t="shared" si="726"/>
        <v>18.446403582423695</v>
      </c>
      <c r="AX142" s="141">
        <f t="shared" si="727"/>
        <v>514.32913518052112</v>
      </c>
      <c r="AY142" s="141">
        <f t="shared" si="728"/>
        <v>249.56898964455686</v>
      </c>
      <c r="AZ142" s="141">
        <f t="shared" si="729"/>
        <v>316.84410859221879</v>
      </c>
      <c r="BA142" s="141">
        <f t="shared" si="730"/>
        <v>235.4629163168197</v>
      </c>
      <c r="BB142" s="141">
        <f t="shared" si="731"/>
        <v>251.7391547719003</v>
      </c>
      <c r="BC142" s="141">
        <f t="shared" si="732"/>
        <v>52.083963056255186</v>
      </c>
      <c r="BD142" s="141">
        <f t="shared" si="733"/>
        <v>86.806605093758606</v>
      </c>
      <c r="BE142" s="141">
        <f t="shared" si="734"/>
        <v>164.93254967814161</v>
      </c>
      <c r="BF142" s="141">
        <f t="shared" si="735"/>
        <v>81.38119227539886</v>
      </c>
      <c r="BG142" s="141">
        <f t="shared" si="736"/>
        <v>46.658550237895277</v>
      </c>
      <c r="BH142" s="141">
        <f t="shared" si="737"/>
        <v>0</v>
      </c>
      <c r="BI142" s="141">
        <f t="shared" si="738"/>
        <v>297.31262244612492</v>
      </c>
      <c r="BJ142" s="141">
        <f t="shared" si="739"/>
        <v>0</v>
      </c>
      <c r="BM142" s="26">
        <f t="shared" si="657"/>
        <v>52402.448642597221</v>
      </c>
      <c r="BN142" s="26">
        <f t="shared" si="658"/>
        <v>113302.59165966966</v>
      </c>
      <c r="BO142" s="26">
        <f t="shared" si="659"/>
        <v>253514.54883851029</v>
      </c>
      <c r="BP142" s="26">
        <f t="shared" si="660"/>
        <v>7081.4119787293539</v>
      </c>
      <c r="BQ142" s="26">
        <f t="shared" si="661"/>
        <v>232270.31290232242</v>
      </c>
      <c r="BR142" s="26">
        <f t="shared" si="662"/>
        <v>75062.966974531024</v>
      </c>
      <c r="BS142" s="26">
        <f t="shared" si="663"/>
        <v>130297.98040862016</v>
      </c>
      <c r="BT142" s="26">
        <f t="shared" si="664"/>
        <v>1416.2823957458695</v>
      </c>
      <c r="BU142" s="26">
        <f t="shared" si="665"/>
        <v>121800.28603414491</v>
      </c>
      <c r="BV142" s="26">
        <f t="shared" si="666"/>
        <v>99139.767702210927</v>
      </c>
      <c r="BW142" s="26">
        <f t="shared" si="667"/>
        <v>786036.7296389601</v>
      </c>
      <c r="BX142" s="26">
        <f t="shared" si="668"/>
        <v>165705.04030226663</v>
      </c>
      <c r="BY142" s="26">
        <f t="shared" si="669"/>
        <v>24076.800727679769</v>
      </c>
      <c r="BZ142" s="26">
        <f t="shared" si="670"/>
        <v>671317.85558354401</v>
      </c>
      <c r="CA142" s="26">
        <f t="shared" si="671"/>
        <v>325744.95102155115</v>
      </c>
      <c r="CB142" s="26">
        <f t="shared" si="672"/>
        <v>413554.45955779374</v>
      </c>
      <c r="CC142" s="26">
        <f t="shared" si="673"/>
        <v>307333.27987685299</v>
      </c>
      <c r="CD142" s="26">
        <f t="shared" si="674"/>
        <v>328577.51581304218</v>
      </c>
      <c r="CE142" s="26">
        <f t="shared" si="675"/>
        <v>67981.554995801765</v>
      </c>
      <c r="CF142" s="26">
        <f t="shared" si="676"/>
        <v>113302.59165966956</v>
      </c>
      <c r="CG142" s="26">
        <f t="shared" si="677"/>
        <v>215274.92415337253</v>
      </c>
      <c r="CH142" s="26">
        <f t="shared" si="678"/>
        <v>106221.17968094043</v>
      </c>
      <c r="CI142" s="26">
        <f t="shared" si="679"/>
        <v>60900.143017072427</v>
      </c>
      <c r="CJ142" s="26">
        <f t="shared" si="680"/>
        <v>0</v>
      </c>
      <c r="CK142" s="26">
        <f t="shared" si="681"/>
        <v>388061.37643437047</v>
      </c>
      <c r="CL142" s="26">
        <f t="shared" si="682"/>
        <v>0</v>
      </c>
      <c r="CM142" s="110">
        <f t="shared" si="683"/>
        <v>1</v>
      </c>
      <c r="CN142" s="27">
        <f t="shared" si="684"/>
        <v>30417.375874615151</v>
      </c>
      <c r="CO142" s="27">
        <f t="shared" si="685"/>
        <v>65767.299188357079</v>
      </c>
      <c r="CP142" s="27">
        <f t="shared" si="686"/>
        <v>147154.33193394862</v>
      </c>
      <c r="CQ142" s="27">
        <f t="shared" si="687"/>
        <v>4110.4561992723175</v>
      </c>
      <c r="CR142" s="27">
        <f t="shared" si="688"/>
        <v>134822.96333613177</v>
      </c>
      <c r="CS142" s="27">
        <f t="shared" si="689"/>
        <v>43570.835712286491</v>
      </c>
      <c r="CT142" s="27">
        <f t="shared" si="690"/>
        <v>75632.394066610665</v>
      </c>
      <c r="CU142" s="27">
        <f t="shared" si="691"/>
        <v>822.09123985446263</v>
      </c>
      <c r="CV142" s="27">
        <f t="shared" si="692"/>
        <v>70699.846627483872</v>
      </c>
      <c r="CW142" s="27">
        <f t="shared" si="693"/>
        <v>57546.38678981243</v>
      </c>
      <c r="CX142" s="27">
        <f t="shared" si="694"/>
        <v>456260.63811922824</v>
      </c>
      <c r="CY142" s="27">
        <f t="shared" si="695"/>
        <v>96184.675062972077</v>
      </c>
      <c r="CZ142" s="27">
        <f t="shared" si="696"/>
        <v>13975.551077525859</v>
      </c>
      <c r="DA142" s="27">
        <f t="shared" si="697"/>
        <v>389671.24769101641</v>
      </c>
      <c r="DB142" s="27">
        <f t="shared" si="698"/>
        <v>189080.98516652707</v>
      </c>
      <c r="DC142" s="27">
        <f t="shared" si="699"/>
        <v>240050.64203750301</v>
      </c>
      <c r="DD142" s="27">
        <f t="shared" si="700"/>
        <v>178393.79904841803</v>
      </c>
      <c r="DE142" s="27">
        <f t="shared" si="701"/>
        <v>190725.16764623561</v>
      </c>
      <c r="DF142" s="27">
        <f t="shared" si="702"/>
        <v>39460.379513014224</v>
      </c>
      <c r="DG142" s="27">
        <f t="shared" si="703"/>
        <v>65767.299188357021</v>
      </c>
      <c r="DH142" s="27">
        <f t="shared" si="704"/>
        <v>124957.86845787853</v>
      </c>
      <c r="DI142" s="27">
        <f t="shared" si="705"/>
        <v>61656.842989084835</v>
      </c>
      <c r="DJ142" s="27">
        <f t="shared" si="706"/>
        <v>35349.923313741914</v>
      </c>
      <c r="DK142" s="27">
        <f t="shared" si="707"/>
        <v>0</v>
      </c>
      <c r="DL142" s="27">
        <f t="shared" si="708"/>
        <v>225252.99972012406</v>
      </c>
      <c r="DM142" s="27">
        <f t="shared" si="709"/>
        <v>0</v>
      </c>
      <c r="DN142" s="110">
        <f t="shared" si="710"/>
        <v>0.99999999999999989</v>
      </c>
      <c r="DO142" s="28">
        <f t="shared" si="518"/>
        <v>21985.07276798207</v>
      </c>
      <c r="DP142" s="28">
        <f t="shared" si="519"/>
        <v>47535.292471312583</v>
      </c>
      <c r="DQ142" s="28">
        <f t="shared" si="520"/>
        <v>106360.21690456168</v>
      </c>
      <c r="DR142" s="28">
        <f t="shared" si="521"/>
        <v>2970.9557794570364</v>
      </c>
      <c r="DS142" s="28">
        <f t="shared" si="522"/>
        <v>97447.349566190649</v>
      </c>
      <c r="DT142" s="28">
        <f t="shared" si="523"/>
        <v>31492.131262244533</v>
      </c>
      <c r="DU142" s="28">
        <f t="shared" si="524"/>
        <v>54665.586342009497</v>
      </c>
      <c r="DV142" s="28">
        <f t="shared" si="525"/>
        <v>594.19115589140688</v>
      </c>
      <c r="DW142" s="28">
        <f t="shared" si="526"/>
        <v>51100.43940666104</v>
      </c>
      <c r="DX142" s="28">
        <f t="shared" si="527"/>
        <v>41593.380912398497</v>
      </c>
      <c r="DY142" s="28">
        <f t="shared" si="528"/>
        <v>329776.09151973185</v>
      </c>
      <c r="DZ142" s="28">
        <f t="shared" si="529"/>
        <v>69520.365239294551</v>
      </c>
      <c r="EA142" s="28">
        <f t="shared" si="530"/>
        <v>10101.24965015391</v>
      </c>
      <c r="EB142" s="28">
        <f t="shared" si="531"/>
        <v>281646.60789252759</v>
      </c>
      <c r="EC142" s="28">
        <f t="shared" si="532"/>
        <v>136663.96585502409</v>
      </c>
      <c r="ED142" s="28">
        <f t="shared" si="533"/>
        <v>173503.81752029073</v>
      </c>
      <c r="EE142" s="28">
        <f t="shared" si="534"/>
        <v>128939.48082843496</v>
      </c>
      <c r="EF142" s="28">
        <f t="shared" si="535"/>
        <v>137852.34816680657</v>
      </c>
      <c r="EG142" s="28">
        <f t="shared" si="536"/>
        <v>28521.175482787541</v>
      </c>
      <c r="EH142" s="28">
        <f t="shared" si="537"/>
        <v>47535.292471312539</v>
      </c>
      <c r="EI142" s="28">
        <f t="shared" si="538"/>
        <v>90317.055695493997</v>
      </c>
      <c r="EJ142" s="28">
        <f t="shared" si="539"/>
        <v>44564.336691855598</v>
      </c>
      <c r="EK142" s="28">
        <f t="shared" si="540"/>
        <v>25550.219703330513</v>
      </c>
      <c r="EL142" s="28">
        <f t="shared" si="541"/>
        <v>0</v>
      </c>
      <c r="EM142" s="28">
        <f t="shared" si="542"/>
        <v>162808.37671424641</v>
      </c>
      <c r="EN142" s="28">
        <f t="shared" si="543"/>
        <v>0</v>
      </c>
      <c r="EQ142" s="144">
        <v>2.9999922564295203E-2</v>
      </c>
      <c r="ER142" s="144">
        <v>3.9999895977028591E-2</v>
      </c>
      <c r="ES142" s="144">
        <v>8.0000052476704733E-2</v>
      </c>
      <c r="ET142" s="144">
        <v>9.9999999302171488E-2</v>
      </c>
      <c r="EU142" s="144">
        <v>9.9999999302171488E-2</v>
      </c>
      <c r="EV142" s="144">
        <v>9.9999999302171488E-2</v>
      </c>
      <c r="EW142" s="144">
        <v>0.10999997504099994</v>
      </c>
      <c r="EX142" s="144">
        <v>9.9999999302171488E-2</v>
      </c>
      <c r="EY142" s="144">
        <v>9.0000025889438104E-2</v>
      </c>
      <c r="EZ142" s="144">
        <v>8.0000052476704733E-2</v>
      </c>
      <c r="FA142" s="144">
        <v>8.0000052476704733E-2</v>
      </c>
      <c r="FB142" s="144">
        <v>9.0000025889438104E-2</v>
      </c>
      <c r="FC142" s="145">
        <f t="shared" si="544"/>
        <v>1</v>
      </c>
      <c r="FD142" s="146">
        <f t="shared" si="545"/>
        <v>0.14999987101802853</v>
      </c>
      <c r="FE142" s="146">
        <f t="shared" si="546"/>
        <v>0.29999999790651444</v>
      </c>
      <c r="FF142" s="146">
        <f t="shared" si="547"/>
        <v>0.30000000023260953</v>
      </c>
      <c r="FG142" s="146">
        <f t="shared" si="548"/>
        <v>0.25000013084284756</v>
      </c>
      <c r="FH142" s="145">
        <f t="shared" si="655"/>
        <v>1</v>
      </c>
      <c r="FJ142" s="52">
        <f t="shared" si="549"/>
        <v>7860.3605374184472</v>
      </c>
      <c r="FK142" s="52">
        <f t="shared" si="550"/>
        <v>16995.374134958805</v>
      </c>
      <c r="FL142" s="52">
        <f t="shared" si="551"/>
        <v>38027.14962697024</v>
      </c>
      <c r="FM142" s="52">
        <f t="shared" si="552"/>
        <v>1062.2108834349253</v>
      </c>
      <c r="FN142" s="52">
        <f t="shared" si="553"/>
        <v>34840.516976665487</v>
      </c>
      <c r="FO142" s="52">
        <f t="shared" si="554"/>
        <v>11259.435364410188</v>
      </c>
      <c r="FP142" s="52">
        <f t="shared" si="555"/>
        <v>19544.680255202631</v>
      </c>
      <c r="FQ142" s="52">
        <f t="shared" si="556"/>
        <v>212.44217668698485</v>
      </c>
      <c r="FR142" s="52">
        <f t="shared" si="557"/>
        <v>18270.027195080718</v>
      </c>
      <c r="FS142" s="52">
        <f t="shared" si="558"/>
        <v>14870.952368088951</v>
      </c>
      <c r="FT142" s="52">
        <f t="shared" si="559"/>
        <v>117905.40806127698</v>
      </c>
      <c r="FU142" s="52">
        <f t="shared" si="560"/>
        <v>24855.734672377213</v>
      </c>
      <c r="FV142" s="52">
        <f t="shared" si="561"/>
        <v>3611.5170036787408</v>
      </c>
      <c r="FW142" s="52">
        <f t="shared" si="562"/>
        <v>100697.5917496311</v>
      </c>
      <c r="FX142" s="52">
        <f t="shared" si="563"/>
        <v>48861.700638006696</v>
      </c>
      <c r="FY142" s="52">
        <f t="shared" si="564"/>
        <v>62033.115592599555</v>
      </c>
      <c r="FZ142" s="52">
        <f t="shared" si="565"/>
        <v>46099.952341075608</v>
      </c>
      <c r="GA142" s="52">
        <f t="shared" si="566"/>
        <v>49286.584991380558</v>
      </c>
      <c r="GB142" s="52">
        <f t="shared" si="567"/>
        <v>10197.224480975277</v>
      </c>
      <c r="GC142" s="52">
        <f t="shared" si="568"/>
        <v>16995.374134958791</v>
      </c>
      <c r="GD142" s="52">
        <f t="shared" si="569"/>
        <v>32291.210856421752</v>
      </c>
      <c r="GE142" s="52">
        <f t="shared" si="570"/>
        <v>15933.163251523898</v>
      </c>
      <c r="GF142" s="52">
        <f t="shared" si="571"/>
        <v>9135.0135975403555</v>
      </c>
      <c r="GG142" s="52">
        <f t="shared" si="572"/>
        <v>0</v>
      </c>
      <c r="GH142" s="52">
        <f t="shared" si="573"/>
        <v>58209.156412234188</v>
      </c>
      <c r="GI142" s="52">
        <f t="shared" si="574"/>
        <v>0</v>
      </c>
      <c r="GJ142" s="26"/>
      <c r="GL142" s="150">
        <f t="shared" si="575"/>
        <v>15720.734483075397</v>
      </c>
      <c r="GM142" s="150">
        <f t="shared" si="576"/>
        <v>33990.777260703559</v>
      </c>
      <c r="GN142" s="150">
        <f t="shared" si="577"/>
        <v>76054.364120824044</v>
      </c>
      <c r="GO142" s="150">
        <f t="shared" si="578"/>
        <v>2124.4235787939724</v>
      </c>
      <c r="GP142" s="150">
        <f t="shared" si="579"/>
        <v>69681.093384442182</v>
      </c>
      <c r="GQ142" s="150">
        <f t="shared" si="580"/>
        <v>22518.88993521607</v>
      </c>
      <c r="GR142" s="150">
        <f t="shared" si="581"/>
        <v>39089.393849809108</v>
      </c>
      <c r="GS142" s="150">
        <f t="shared" si="582"/>
        <v>424.88471575879413</v>
      </c>
      <c r="GT142" s="150">
        <f t="shared" si="583"/>
        <v>36540.08555525633</v>
      </c>
      <c r="GU142" s="150">
        <f t="shared" si="584"/>
        <v>29741.930103115606</v>
      </c>
      <c r="GV142" s="150">
        <f t="shared" si="585"/>
        <v>235811.01724613149</v>
      </c>
      <c r="GW142" s="150">
        <f t="shared" si="586"/>
        <v>49711.511743778879</v>
      </c>
      <c r="GX142" s="150">
        <f t="shared" si="587"/>
        <v>7223.0401678994958</v>
      </c>
      <c r="GY142" s="150">
        <f t="shared" si="588"/>
        <v>201395.35526966897</v>
      </c>
      <c r="GZ142" s="150">
        <f t="shared" si="589"/>
        <v>97723.484624523</v>
      </c>
      <c r="HA142" s="150">
        <f t="shared" si="590"/>
        <v>124066.33700156784</v>
      </c>
      <c r="HB142" s="150">
        <f t="shared" si="591"/>
        <v>92199.983319658117</v>
      </c>
      <c r="HC142" s="150">
        <f t="shared" si="592"/>
        <v>98573.254056040372</v>
      </c>
      <c r="HD142" s="150">
        <f t="shared" si="593"/>
        <v>20394.466356422126</v>
      </c>
      <c r="HE142" s="150">
        <f t="shared" si="594"/>
        <v>33990.777260703529</v>
      </c>
      <c r="HF142" s="150">
        <f t="shared" si="595"/>
        <v>64582.476795336814</v>
      </c>
      <c r="HG142" s="150">
        <f t="shared" si="596"/>
        <v>31866.353681909623</v>
      </c>
      <c r="HH142" s="150">
        <f t="shared" si="597"/>
        <v>18270.042777628158</v>
      </c>
      <c r="HI142" s="150">
        <f t="shared" si="598"/>
        <v>0</v>
      </c>
      <c r="HJ142" s="150">
        <f t="shared" si="599"/>
        <v>116418.41211791025</v>
      </c>
      <c r="HK142" s="150">
        <f t="shared" si="600"/>
        <v>0</v>
      </c>
      <c r="HL142" s="26"/>
      <c r="HN142" s="147">
        <f t="shared" si="601"/>
        <v>15720.734604968475</v>
      </c>
      <c r="HO142" s="147">
        <f t="shared" si="602"/>
        <v>33990.777524256162</v>
      </c>
      <c r="HP142" s="147">
        <f t="shared" si="603"/>
        <v>76054.36471052299</v>
      </c>
      <c r="HQ142" s="147">
        <f t="shared" si="604"/>
        <v>2124.4235952660101</v>
      </c>
      <c r="HR142" s="147">
        <f t="shared" si="605"/>
        <v>69681.093924725021</v>
      </c>
      <c r="HS142" s="147">
        <f t="shared" si="606"/>
        <v>22518.890109819669</v>
      </c>
      <c r="HT142" s="147">
        <f t="shared" si="607"/>
        <v>39089.394152894602</v>
      </c>
      <c r="HU142" s="147">
        <f t="shared" si="608"/>
        <v>424.88471905320165</v>
      </c>
      <c r="HV142" s="147">
        <f t="shared" si="609"/>
        <v>36540.085838575382</v>
      </c>
      <c r="HW142" s="147">
        <f t="shared" si="610"/>
        <v>29741.930333724133</v>
      </c>
      <c r="HX142" s="147">
        <f t="shared" si="611"/>
        <v>235811.01907452766</v>
      </c>
      <c r="HY142" s="147">
        <f t="shared" si="612"/>
        <v>49711.51212922456</v>
      </c>
      <c r="HZ142" s="147">
        <f t="shared" si="613"/>
        <v>7223.0402239044242</v>
      </c>
      <c r="IA142" s="147">
        <f t="shared" si="614"/>
        <v>201395.35683121815</v>
      </c>
      <c r="IB142" s="147">
        <f t="shared" si="615"/>
        <v>97723.485382236729</v>
      </c>
      <c r="IC142" s="147">
        <f t="shared" si="616"/>
        <v>124066.33796353484</v>
      </c>
      <c r="ID142" s="147">
        <f t="shared" si="617"/>
        <v>92199.984034544541</v>
      </c>
      <c r="IE142" s="147">
        <f t="shared" si="618"/>
        <v>98573.254820342918</v>
      </c>
      <c r="IF142" s="147">
        <f t="shared" si="619"/>
        <v>20394.466514553686</v>
      </c>
      <c r="IG142" s="147">
        <f t="shared" si="620"/>
        <v>33990.777524256133</v>
      </c>
      <c r="IH142" s="147">
        <f t="shared" si="621"/>
        <v>64582.477296086756</v>
      </c>
      <c r="II142" s="147">
        <f t="shared" si="622"/>
        <v>31866.353928990189</v>
      </c>
      <c r="IJ142" s="147">
        <f t="shared" si="623"/>
        <v>18270.042919287684</v>
      </c>
      <c r="IK142" s="147">
        <f t="shared" si="624"/>
        <v>0</v>
      </c>
      <c r="IL142" s="147">
        <f t="shared" si="625"/>
        <v>116418.41302057792</v>
      </c>
      <c r="IM142" s="147">
        <f t="shared" si="626"/>
        <v>0</v>
      </c>
      <c r="IN142" s="26"/>
      <c r="IP142" s="61">
        <f t="shared" si="627"/>
        <v>13100.619017134904</v>
      </c>
      <c r="IQ142" s="61">
        <f t="shared" si="628"/>
        <v>28325.662739751144</v>
      </c>
      <c r="IR142" s="61">
        <f t="shared" si="629"/>
        <v>63378.670380193042</v>
      </c>
      <c r="IS142" s="61">
        <f t="shared" si="630"/>
        <v>1770.3539212344465</v>
      </c>
      <c r="IT142" s="61">
        <f t="shared" si="631"/>
        <v>58067.60861648975</v>
      </c>
      <c r="IU142" s="61">
        <f t="shared" si="632"/>
        <v>18765.751565085102</v>
      </c>
      <c r="IV142" s="61">
        <f t="shared" si="633"/>
        <v>32574.512150713828</v>
      </c>
      <c r="IW142" s="61">
        <f t="shared" si="634"/>
        <v>354.07078424688899</v>
      </c>
      <c r="IX142" s="61">
        <f t="shared" si="635"/>
        <v>30450.087445232486</v>
      </c>
      <c r="IY142" s="61">
        <f t="shared" si="636"/>
        <v>24784.954897282245</v>
      </c>
      <c r="IZ142" s="61">
        <f t="shared" si="637"/>
        <v>196509.28525702402</v>
      </c>
      <c r="JA142" s="61">
        <f t="shared" si="638"/>
        <v>41426.281756885983</v>
      </c>
      <c r="JB142" s="61">
        <f t="shared" si="639"/>
        <v>6019.2033321971094</v>
      </c>
      <c r="JC142" s="61">
        <f t="shared" si="640"/>
        <v>167829.55173302584</v>
      </c>
      <c r="JD142" s="61">
        <f t="shared" si="641"/>
        <v>81436.280376784751</v>
      </c>
      <c r="JE142" s="61">
        <f t="shared" si="642"/>
        <v>103388.66900009154</v>
      </c>
      <c r="JF142" s="61">
        <f t="shared" si="643"/>
        <v>76833.360181574739</v>
      </c>
      <c r="JG142" s="61">
        <f t="shared" si="644"/>
        <v>82144.421945278358</v>
      </c>
      <c r="JH142" s="61">
        <f t="shared" si="645"/>
        <v>16995.39764385068</v>
      </c>
      <c r="JI142" s="61">
        <f t="shared" si="646"/>
        <v>28325.662739751118</v>
      </c>
      <c r="JJ142" s="61">
        <f t="shared" si="647"/>
        <v>53818.759205527218</v>
      </c>
      <c r="JK142" s="61">
        <f t="shared" si="648"/>
        <v>26555.308818516729</v>
      </c>
      <c r="JL142" s="61">
        <f t="shared" si="649"/>
        <v>15225.043722616236</v>
      </c>
      <c r="JM142" s="61">
        <f t="shared" si="650"/>
        <v>0</v>
      </c>
      <c r="JN142" s="61">
        <f t="shared" si="651"/>
        <v>97015.394883648143</v>
      </c>
      <c r="JO142" s="61">
        <f t="shared" si="652"/>
        <v>0</v>
      </c>
      <c r="JQ142" s="26">
        <f t="shared" si="711"/>
        <v>5060377.0000000019</v>
      </c>
      <c r="JR142" s="156">
        <f t="shared" si="712"/>
        <v>1.0000000000000004</v>
      </c>
      <c r="JT142" s="157">
        <f t="shared" si="653"/>
        <v>52402.448642597221</v>
      </c>
      <c r="JU142" s="29">
        <f t="shared" si="654"/>
        <v>1</v>
      </c>
    </row>
    <row r="143" spans="1:281" ht="18.75" x14ac:dyDescent="0.3">
      <c r="A143" t="s">
        <v>234</v>
      </c>
      <c r="B143" s="10" t="s">
        <v>218</v>
      </c>
      <c r="C143" t="s">
        <v>87</v>
      </c>
      <c r="D143" t="s">
        <v>29</v>
      </c>
      <c r="E143" t="s">
        <v>302</v>
      </c>
      <c r="F143" s="114">
        <v>1020</v>
      </c>
      <c r="G143" s="17">
        <v>1363393</v>
      </c>
      <c r="H143" s="21">
        <v>764255</v>
      </c>
      <c r="I143" s="25">
        <f t="shared" si="713"/>
        <v>1.783950383052777</v>
      </c>
      <c r="J143" s="13">
        <v>1.4434643143544517E-2</v>
      </c>
      <c r="K143" s="13">
        <v>8.0192461908580575E-3</v>
      </c>
      <c r="L143" s="13">
        <v>1.5236567762630326E-2</v>
      </c>
      <c r="M143" s="13">
        <v>3.6888532477947059E-2</v>
      </c>
      <c r="N143" s="13">
        <v>8.8211708099438513E-3</v>
      </c>
      <c r="O143" s="13">
        <v>2.325581395348832E-2</v>
      </c>
      <c r="P143" s="13">
        <v>4.8115477145148425E-3</v>
      </c>
      <c r="Q143" s="13">
        <v>0</v>
      </c>
      <c r="R143" s="13">
        <v>2.0850040096230912E-2</v>
      </c>
      <c r="S143" s="13">
        <v>7.6182838813151368E-2</v>
      </c>
      <c r="T143" s="13">
        <v>0.15557337610264643</v>
      </c>
      <c r="U143" s="13">
        <v>8.8211708099438582E-3</v>
      </c>
      <c r="V143" s="13">
        <v>1.4434643143544515E-2</v>
      </c>
      <c r="W143" s="13">
        <v>0.22213311948676814</v>
      </c>
      <c r="X143" s="13">
        <v>9.863672814755392E-2</v>
      </c>
      <c r="Y143" s="13">
        <v>3.5284683239775405E-2</v>
      </c>
      <c r="Z143" s="13">
        <v>1.8444266238973529E-2</v>
      </c>
      <c r="AA143" s="13">
        <v>6.4955894145950391E-2</v>
      </c>
      <c r="AB143" s="13">
        <v>1.1226944667201292E-2</v>
      </c>
      <c r="AC143" s="13">
        <v>5.6134723336006337E-3</v>
      </c>
      <c r="AD143" s="13">
        <v>3.6086607858861287E-2</v>
      </c>
      <c r="AE143" s="13">
        <v>1.5236567762630335E-2</v>
      </c>
      <c r="AF143" s="13">
        <v>2.0850040096230912E-2</v>
      </c>
      <c r="AG143" s="9">
        <v>0</v>
      </c>
      <c r="AH143" s="13">
        <v>8.4202085004010011E-2</v>
      </c>
      <c r="AJ143" s="8">
        <f t="shared" si="656"/>
        <v>1</v>
      </c>
      <c r="AK143" s="141">
        <f t="shared" si="714"/>
        <v>14.723336006415407</v>
      </c>
      <c r="AL143" s="141">
        <f t="shared" si="715"/>
        <v>8.1796311146752192</v>
      </c>
      <c r="AM143" s="141">
        <f t="shared" si="716"/>
        <v>15.541299117882932</v>
      </c>
      <c r="AN143" s="141">
        <f t="shared" si="717"/>
        <v>37.626303127505999</v>
      </c>
      <c r="AO143" s="141">
        <f t="shared" si="718"/>
        <v>8.9975942261427289</v>
      </c>
      <c r="AP143" s="141">
        <f t="shared" si="719"/>
        <v>23.720930232558086</v>
      </c>
      <c r="AQ143" s="141">
        <f t="shared" si="720"/>
        <v>4.9077786688051397</v>
      </c>
      <c r="AR143" s="141">
        <f t="shared" si="721"/>
        <v>0</v>
      </c>
      <c r="AS143" s="141">
        <f t="shared" si="722"/>
        <v>21.267040898155532</v>
      </c>
      <c r="AT143" s="141">
        <f t="shared" si="723"/>
        <v>77.706495589414402</v>
      </c>
      <c r="AU143" s="141">
        <f t="shared" si="724"/>
        <v>158.68484362469937</v>
      </c>
      <c r="AV143" s="141">
        <f t="shared" si="725"/>
        <v>8.997594226142736</v>
      </c>
      <c r="AW143" s="141">
        <f t="shared" si="726"/>
        <v>14.723336006415405</v>
      </c>
      <c r="AX143" s="141">
        <f t="shared" si="727"/>
        <v>226.5757818765035</v>
      </c>
      <c r="AY143" s="141">
        <f t="shared" si="728"/>
        <v>100.609462710505</v>
      </c>
      <c r="AZ143" s="141">
        <f t="shared" si="729"/>
        <v>35.990376904570915</v>
      </c>
      <c r="BA143" s="141">
        <f t="shared" si="730"/>
        <v>18.813151563752999</v>
      </c>
      <c r="BB143" s="141">
        <f t="shared" si="731"/>
        <v>66.255012028869402</v>
      </c>
      <c r="BC143" s="141">
        <f t="shared" si="732"/>
        <v>11.451483560545318</v>
      </c>
      <c r="BD143" s="141">
        <f t="shared" si="733"/>
        <v>5.7257417802726467</v>
      </c>
      <c r="BE143" s="141">
        <f t="shared" si="734"/>
        <v>36.808340016038514</v>
      </c>
      <c r="BF143" s="141">
        <f t="shared" si="735"/>
        <v>15.541299117882941</v>
      </c>
      <c r="BG143" s="141">
        <f t="shared" si="736"/>
        <v>21.267040898155532</v>
      </c>
      <c r="BH143" s="141">
        <f t="shared" si="737"/>
        <v>0</v>
      </c>
      <c r="BI143" s="141">
        <f t="shared" si="738"/>
        <v>85.886126704090216</v>
      </c>
      <c r="BJ143" s="141">
        <f t="shared" si="739"/>
        <v>0</v>
      </c>
      <c r="BM143" s="26">
        <f t="shared" si="657"/>
        <v>19680.091419406588</v>
      </c>
      <c r="BN143" s="26">
        <f t="shared" si="658"/>
        <v>10933.384121892539</v>
      </c>
      <c r="BO143" s="26">
        <f t="shared" si="659"/>
        <v>20773.429831595848</v>
      </c>
      <c r="BP143" s="26">
        <f t="shared" si="660"/>
        <v>50293.566960705677</v>
      </c>
      <c r="BQ143" s="26">
        <f t="shared" si="661"/>
        <v>12026.722534081777</v>
      </c>
      <c r="BR143" s="26">
        <f t="shared" si="662"/>
        <v>31706.813953488301</v>
      </c>
      <c r="BS143" s="26">
        <f t="shared" si="663"/>
        <v>6560.0304731355345</v>
      </c>
      <c r="BT143" s="26">
        <f t="shared" si="664"/>
        <v>0</v>
      </c>
      <c r="BU143" s="26">
        <f t="shared" si="665"/>
        <v>28426.798716920552</v>
      </c>
      <c r="BV143" s="26">
        <f t="shared" si="666"/>
        <v>103867.14915797889</v>
      </c>
      <c r="BW143" s="26">
        <f t="shared" si="667"/>
        <v>212107.65196471542</v>
      </c>
      <c r="BX143" s="26">
        <f t="shared" si="668"/>
        <v>12026.722534081786</v>
      </c>
      <c r="BY143" s="26">
        <f t="shared" si="669"/>
        <v>19680.091419406588</v>
      </c>
      <c r="BZ143" s="26">
        <f t="shared" si="670"/>
        <v>302854.74017642328</v>
      </c>
      <c r="CA143" s="26">
        <f t="shared" si="671"/>
        <v>134480.62469927798</v>
      </c>
      <c r="CB143" s="26">
        <f t="shared" si="672"/>
        <v>48106.890136327107</v>
      </c>
      <c r="CC143" s="26">
        <f t="shared" si="673"/>
        <v>25146.783480352839</v>
      </c>
      <c r="CD143" s="26">
        <f t="shared" si="674"/>
        <v>88560.411387329747</v>
      </c>
      <c r="CE143" s="26">
        <f t="shared" si="675"/>
        <v>15306.73777064957</v>
      </c>
      <c r="CF143" s="26">
        <f t="shared" si="676"/>
        <v>7653.3688853247686</v>
      </c>
      <c r="CG143" s="26">
        <f t="shared" si="677"/>
        <v>49200.228548516468</v>
      </c>
      <c r="CH143" s="26">
        <f t="shared" si="678"/>
        <v>20773.429831595862</v>
      </c>
      <c r="CI143" s="26">
        <f t="shared" si="679"/>
        <v>28426.798716920552</v>
      </c>
      <c r="CJ143" s="26">
        <f t="shared" si="680"/>
        <v>0</v>
      </c>
      <c r="CK143" s="26">
        <f t="shared" si="681"/>
        <v>114800.53327987222</v>
      </c>
      <c r="CL143" s="26">
        <f t="shared" si="682"/>
        <v>0</v>
      </c>
      <c r="CM143" s="110">
        <f t="shared" si="683"/>
        <v>1.0000000000000002</v>
      </c>
      <c r="CN143" s="27">
        <f t="shared" si="684"/>
        <v>11031.748195669616</v>
      </c>
      <c r="CO143" s="27">
        <f t="shared" si="685"/>
        <v>6128.7489975942244</v>
      </c>
      <c r="CP143" s="27">
        <f t="shared" si="686"/>
        <v>11644.62309542904</v>
      </c>
      <c r="CQ143" s="27">
        <f t="shared" si="687"/>
        <v>28192.245388933428</v>
      </c>
      <c r="CR143" s="27">
        <f t="shared" si="688"/>
        <v>6741.6238973536383</v>
      </c>
      <c r="CS143" s="27">
        <f t="shared" si="689"/>
        <v>17773.372093023216</v>
      </c>
      <c r="CT143" s="27">
        <f t="shared" si="690"/>
        <v>3677.2493985565411</v>
      </c>
      <c r="CU143" s="27">
        <f t="shared" si="691"/>
        <v>0</v>
      </c>
      <c r="CV143" s="27">
        <f t="shared" si="692"/>
        <v>15934.747393744956</v>
      </c>
      <c r="CW143" s="27">
        <f t="shared" si="693"/>
        <v>58223.115477145002</v>
      </c>
      <c r="CX143" s="27">
        <f t="shared" si="694"/>
        <v>118897.73055332805</v>
      </c>
      <c r="CY143" s="27">
        <f t="shared" si="695"/>
        <v>6741.6238973536438</v>
      </c>
      <c r="CZ143" s="27">
        <f t="shared" si="696"/>
        <v>11031.748195669614</v>
      </c>
      <c r="DA143" s="27">
        <f t="shared" si="697"/>
        <v>169766.34723335999</v>
      </c>
      <c r="DB143" s="27">
        <f t="shared" si="698"/>
        <v>75383.612670408824</v>
      </c>
      <c r="DC143" s="27">
        <f t="shared" si="699"/>
        <v>26966.495589414553</v>
      </c>
      <c r="DD143" s="27">
        <f t="shared" si="700"/>
        <v>14096.122694466714</v>
      </c>
      <c r="DE143" s="27">
        <f t="shared" si="701"/>
        <v>49642.866880513313</v>
      </c>
      <c r="DF143" s="27">
        <f t="shared" si="702"/>
        <v>8580.2485966319236</v>
      </c>
      <c r="DG143" s="27">
        <f t="shared" si="703"/>
        <v>4290.1242983159527</v>
      </c>
      <c r="DH143" s="27">
        <f t="shared" si="704"/>
        <v>27579.370489174034</v>
      </c>
      <c r="DI143" s="27">
        <f t="shared" si="705"/>
        <v>11644.623095429046</v>
      </c>
      <c r="DJ143" s="27">
        <f t="shared" si="706"/>
        <v>15934.747393744956</v>
      </c>
      <c r="DK143" s="27">
        <f t="shared" si="707"/>
        <v>0</v>
      </c>
      <c r="DL143" s="27">
        <f t="shared" si="708"/>
        <v>64351.864474739668</v>
      </c>
      <c r="DM143" s="27">
        <f t="shared" si="709"/>
        <v>0</v>
      </c>
      <c r="DN143" s="110">
        <f t="shared" si="710"/>
        <v>1</v>
      </c>
      <c r="DO143" s="28">
        <f t="shared" si="518"/>
        <v>8648.3432237369725</v>
      </c>
      <c r="DP143" s="28">
        <f t="shared" si="519"/>
        <v>4804.6351242983146</v>
      </c>
      <c r="DQ143" s="28">
        <f t="shared" si="520"/>
        <v>9128.8067361668072</v>
      </c>
      <c r="DR143" s="28">
        <f t="shared" si="521"/>
        <v>22101.321571772249</v>
      </c>
      <c r="DS143" s="28">
        <f t="shared" si="522"/>
        <v>5285.0986367281384</v>
      </c>
      <c r="DT143" s="28">
        <f t="shared" si="523"/>
        <v>13933.441860465085</v>
      </c>
      <c r="DU143" s="28">
        <f t="shared" si="524"/>
        <v>2882.7810745789934</v>
      </c>
      <c r="DV143" s="28">
        <f t="shared" si="525"/>
        <v>0</v>
      </c>
      <c r="DW143" s="28">
        <f t="shared" si="526"/>
        <v>12492.051323175596</v>
      </c>
      <c r="DX143" s="28">
        <f t="shared" si="527"/>
        <v>45644.033680833883</v>
      </c>
      <c r="DY143" s="28">
        <f t="shared" si="528"/>
        <v>93209.921411387375</v>
      </c>
      <c r="DZ143" s="28">
        <f t="shared" si="529"/>
        <v>5285.0986367281421</v>
      </c>
      <c r="EA143" s="28">
        <f t="shared" si="530"/>
        <v>8648.3432237369743</v>
      </c>
      <c r="EB143" s="28">
        <f t="shared" si="531"/>
        <v>133088.39294306329</v>
      </c>
      <c r="EC143" s="28">
        <f t="shared" si="532"/>
        <v>59097.012028869154</v>
      </c>
      <c r="ED143" s="28">
        <f t="shared" si="533"/>
        <v>21140.394546912554</v>
      </c>
      <c r="EE143" s="28">
        <f t="shared" si="534"/>
        <v>11050.660785886124</v>
      </c>
      <c r="EF143" s="28">
        <f t="shared" si="535"/>
        <v>38917.544506816434</v>
      </c>
      <c r="EG143" s="28">
        <f t="shared" si="536"/>
        <v>6726.4891740176463</v>
      </c>
      <c r="EH143" s="28">
        <f t="shared" si="537"/>
        <v>3363.2445870088159</v>
      </c>
      <c r="EI143" s="28">
        <f t="shared" si="538"/>
        <v>21620.858059342434</v>
      </c>
      <c r="EJ143" s="28">
        <f t="shared" si="539"/>
        <v>9128.8067361668163</v>
      </c>
      <c r="EK143" s="28">
        <f t="shared" si="540"/>
        <v>12492.051323175596</v>
      </c>
      <c r="EL143" s="28">
        <f t="shared" si="541"/>
        <v>0</v>
      </c>
      <c r="EM143" s="28">
        <f t="shared" si="542"/>
        <v>50448.668805132555</v>
      </c>
      <c r="EN143" s="28">
        <f t="shared" si="543"/>
        <v>0</v>
      </c>
      <c r="EQ143" s="144">
        <v>3.0000003084106611E-2</v>
      </c>
      <c r="ER143" s="144">
        <v>4.0000001088508215E-2</v>
      </c>
      <c r="ES143" s="144">
        <v>8.000000217701643E-2</v>
      </c>
      <c r="ET143" s="144">
        <v>9.9999998185819616E-2</v>
      </c>
      <c r="EU143" s="144">
        <v>9.9999998185819616E-2</v>
      </c>
      <c r="EV143" s="144">
        <v>9.9999998185819616E-2</v>
      </c>
      <c r="EW143" s="144">
        <v>0.10999999619022122</v>
      </c>
      <c r="EX143" s="144">
        <v>9.9999998185819616E-2</v>
      </c>
      <c r="EY143" s="144">
        <v>9.0000000181418016E-2</v>
      </c>
      <c r="EZ143" s="144">
        <v>8.000000217701643E-2</v>
      </c>
      <c r="FA143" s="144">
        <v>8.000000217701643E-2</v>
      </c>
      <c r="FB143" s="144">
        <v>9.0000000181418016E-2</v>
      </c>
      <c r="FC143" s="145">
        <f t="shared" si="544"/>
        <v>0.99999999999999978</v>
      </c>
      <c r="FD143" s="146">
        <f t="shared" si="545"/>
        <v>0.15000000634963126</v>
      </c>
      <c r="FE143" s="146">
        <f t="shared" si="546"/>
        <v>0.29999999455745885</v>
      </c>
      <c r="FF143" s="146">
        <f t="shared" si="547"/>
        <v>0.29999999455745885</v>
      </c>
      <c r="FG143" s="146">
        <f t="shared" si="548"/>
        <v>0.2500000045354509</v>
      </c>
      <c r="FH143" s="145">
        <f t="shared" si="655"/>
        <v>0.99999999999999989</v>
      </c>
      <c r="FJ143" s="52">
        <f t="shared" si="549"/>
        <v>2952.0138378723118</v>
      </c>
      <c r="FK143" s="52">
        <f t="shared" si="550"/>
        <v>1640.0076877068384</v>
      </c>
      <c r="FL143" s="52">
        <f t="shared" si="551"/>
        <v>3116.0146066429966</v>
      </c>
      <c r="FM143" s="52">
        <f t="shared" si="552"/>
        <v>7544.0353634514568</v>
      </c>
      <c r="FN143" s="52">
        <f t="shared" si="553"/>
        <v>1804.0084564775198</v>
      </c>
      <c r="FO143" s="52">
        <f t="shared" si="554"/>
        <v>4756.022294349822</v>
      </c>
      <c r="FP143" s="52">
        <f t="shared" si="555"/>
        <v>984.00461262410477</v>
      </c>
      <c r="FQ143" s="52">
        <f t="shared" si="556"/>
        <v>0</v>
      </c>
      <c r="FR143" s="52">
        <f t="shared" si="557"/>
        <v>4264.0199880377722</v>
      </c>
      <c r="FS143" s="52">
        <f t="shared" si="558"/>
        <v>15580.073033214931</v>
      </c>
      <c r="FT143" s="52">
        <f t="shared" si="559"/>
        <v>31816.149141512691</v>
      </c>
      <c r="FU143" s="52">
        <f t="shared" si="560"/>
        <v>1804.0084564775211</v>
      </c>
      <c r="FV143" s="52">
        <f t="shared" si="561"/>
        <v>2952.0138378723118</v>
      </c>
      <c r="FW143" s="52">
        <f t="shared" si="562"/>
        <v>45428.212949479414</v>
      </c>
      <c r="FX143" s="52">
        <f t="shared" si="563"/>
        <v>20172.094558794077</v>
      </c>
      <c r="FY143" s="52">
        <f t="shared" si="564"/>
        <v>7216.033825910079</v>
      </c>
      <c r="FZ143" s="52">
        <f t="shared" si="565"/>
        <v>3772.0176817257284</v>
      </c>
      <c r="GA143" s="52">
        <f t="shared" si="566"/>
        <v>13284.062270425418</v>
      </c>
      <c r="GB143" s="52">
        <f t="shared" si="567"/>
        <v>2296.0107627895763</v>
      </c>
      <c r="GC143" s="52">
        <f t="shared" si="568"/>
        <v>1148.0053813947857</v>
      </c>
      <c r="GD143" s="52">
        <f t="shared" si="569"/>
        <v>7380.0345946807793</v>
      </c>
      <c r="GE143" s="52">
        <f t="shared" si="570"/>
        <v>3116.0146066429988</v>
      </c>
      <c r="GF143" s="52">
        <f t="shared" si="571"/>
        <v>4264.0199880377722</v>
      </c>
      <c r="GG143" s="52">
        <f t="shared" si="572"/>
        <v>0</v>
      </c>
      <c r="GH143" s="52">
        <f t="shared" si="573"/>
        <v>17220.080720921887</v>
      </c>
      <c r="GI143" s="52">
        <f t="shared" si="574"/>
        <v>0</v>
      </c>
      <c r="GJ143" s="26"/>
      <c r="GL143" s="150">
        <f t="shared" si="575"/>
        <v>5904.0273187122693</v>
      </c>
      <c r="GM143" s="150">
        <f t="shared" si="576"/>
        <v>3280.0151770623688</v>
      </c>
      <c r="GN143" s="150">
        <f t="shared" si="577"/>
        <v>6232.028836418508</v>
      </c>
      <c r="GO143" s="150">
        <f t="shared" si="578"/>
        <v>15088.069814486895</v>
      </c>
      <c r="GP143" s="150">
        <f t="shared" si="579"/>
        <v>3608.0166947686007</v>
      </c>
      <c r="GQ143" s="150">
        <f t="shared" si="580"/>
        <v>9512.0440134808505</v>
      </c>
      <c r="GR143" s="150">
        <f t="shared" si="581"/>
        <v>1968.0091062374245</v>
      </c>
      <c r="GS143" s="150">
        <f t="shared" si="582"/>
        <v>0</v>
      </c>
      <c r="GT143" s="150">
        <f t="shared" si="583"/>
        <v>8528.0394603621444</v>
      </c>
      <c r="GU143" s="150">
        <f t="shared" si="584"/>
        <v>31160.144182092434</v>
      </c>
      <c r="GV143" s="150">
        <f t="shared" si="585"/>
        <v>63632.294435010001</v>
      </c>
      <c r="GW143" s="150">
        <f t="shared" si="586"/>
        <v>3608.0166947686034</v>
      </c>
      <c r="GX143" s="150">
        <f t="shared" si="587"/>
        <v>5904.0273187122693</v>
      </c>
      <c r="GY143" s="150">
        <f t="shared" si="588"/>
        <v>90856.420404627599</v>
      </c>
      <c r="GZ143" s="150">
        <f t="shared" si="589"/>
        <v>40344.186677867059</v>
      </c>
      <c r="HA143" s="150">
        <f t="shared" si="590"/>
        <v>14432.066779074403</v>
      </c>
      <c r="HB143" s="150">
        <f t="shared" si="591"/>
        <v>7544.0349072434474</v>
      </c>
      <c r="HC143" s="150">
        <f t="shared" si="592"/>
        <v>26568.122934205239</v>
      </c>
      <c r="HD143" s="150">
        <f t="shared" si="593"/>
        <v>4592.0212478873209</v>
      </c>
      <c r="HE143" s="150">
        <f t="shared" si="594"/>
        <v>2296.0106239436554</v>
      </c>
      <c r="HF143" s="150">
        <f t="shared" si="595"/>
        <v>14760.068296780672</v>
      </c>
      <c r="HG143" s="150">
        <f t="shared" si="596"/>
        <v>6232.0288364185117</v>
      </c>
      <c r="HH143" s="150">
        <f t="shared" si="597"/>
        <v>8528.0394603621444</v>
      </c>
      <c r="HI143" s="150">
        <f t="shared" si="598"/>
        <v>0</v>
      </c>
      <c r="HJ143" s="150">
        <f t="shared" si="599"/>
        <v>34440.159359155041</v>
      </c>
      <c r="HK143" s="150">
        <f t="shared" si="600"/>
        <v>0</v>
      </c>
      <c r="HL143" s="26"/>
      <c r="HN143" s="147">
        <f t="shared" si="601"/>
        <v>5904.0273187122693</v>
      </c>
      <c r="HO143" s="147">
        <f t="shared" si="602"/>
        <v>3280.0151770623688</v>
      </c>
      <c r="HP143" s="147">
        <f t="shared" si="603"/>
        <v>6232.028836418508</v>
      </c>
      <c r="HQ143" s="147">
        <f t="shared" si="604"/>
        <v>15088.069814486895</v>
      </c>
      <c r="HR143" s="147">
        <f t="shared" si="605"/>
        <v>3608.0166947686007</v>
      </c>
      <c r="HS143" s="147">
        <f t="shared" si="606"/>
        <v>9512.0440134808505</v>
      </c>
      <c r="HT143" s="147">
        <f t="shared" si="607"/>
        <v>1968.0091062374245</v>
      </c>
      <c r="HU143" s="147">
        <f t="shared" si="608"/>
        <v>0</v>
      </c>
      <c r="HV143" s="147">
        <f t="shared" si="609"/>
        <v>8528.0394603621444</v>
      </c>
      <c r="HW143" s="147">
        <f t="shared" si="610"/>
        <v>31160.144182092434</v>
      </c>
      <c r="HX143" s="147">
        <f t="shared" si="611"/>
        <v>63632.294435010001</v>
      </c>
      <c r="HY143" s="147">
        <f t="shared" si="612"/>
        <v>3608.0166947686034</v>
      </c>
      <c r="HZ143" s="147">
        <f t="shared" si="613"/>
        <v>5904.0273187122693</v>
      </c>
      <c r="IA143" s="147">
        <f t="shared" si="614"/>
        <v>90856.420404627599</v>
      </c>
      <c r="IB143" s="147">
        <f t="shared" si="615"/>
        <v>40344.186677867059</v>
      </c>
      <c r="IC143" s="147">
        <f t="shared" si="616"/>
        <v>14432.066779074403</v>
      </c>
      <c r="ID143" s="147">
        <f t="shared" si="617"/>
        <v>7544.0349072434474</v>
      </c>
      <c r="IE143" s="147">
        <f t="shared" si="618"/>
        <v>26568.122934205239</v>
      </c>
      <c r="IF143" s="147">
        <f t="shared" si="619"/>
        <v>4592.0212478873209</v>
      </c>
      <c r="IG143" s="147">
        <f t="shared" si="620"/>
        <v>2296.0106239436554</v>
      </c>
      <c r="IH143" s="147">
        <f t="shared" si="621"/>
        <v>14760.068296780672</v>
      </c>
      <c r="II143" s="147">
        <f t="shared" si="622"/>
        <v>6232.0288364185117</v>
      </c>
      <c r="IJ143" s="147">
        <f t="shared" si="623"/>
        <v>8528.0394603621444</v>
      </c>
      <c r="IK143" s="147">
        <f t="shared" si="624"/>
        <v>0</v>
      </c>
      <c r="IL143" s="147">
        <f t="shared" si="625"/>
        <v>34440.159359155041</v>
      </c>
      <c r="IM143" s="147">
        <f t="shared" si="626"/>
        <v>0</v>
      </c>
      <c r="IN143" s="26"/>
      <c r="IP143" s="61">
        <f t="shared" si="627"/>
        <v>4920.0229441097354</v>
      </c>
      <c r="IQ143" s="61">
        <f t="shared" si="628"/>
        <v>2733.3460800609619</v>
      </c>
      <c r="IR143" s="61">
        <f t="shared" si="629"/>
        <v>5193.3575521158327</v>
      </c>
      <c r="IS143" s="61">
        <f t="shared" si="630"/>
        <v>12573.391968280423</v>
      </c>
      <c r="IT143" s="61">
        <f t="shared" si="631"/>
        <v>3006.6806880670538</v>
      </c>
      <c r="IU143" s="61">
        <f t="shared" si="632"/>
        <v>7926.7036321767737</v>
      </c>
      <c r="IV143" s="61">
        <f t="shared" si="633"/>
        <v>1640.0076480365797</v>
      </c>
      <c r="IW143" s="61">
        <f t="shared" si="634"/>
        <v>0</v>
      </c>
      <c r="IX143" s="61">
        <f t="shared" si="635"/>
        <v>7106.6998081584879</v>
      </c>
      <c r="IY143" s="61">
        <f t="shared" si="636"/>
        <v>25966.787760579078</v>
      </c>
      <c r="IZ143" s="61">
        <f t="shared" si="637"/>
        <v>53026.913953182695</v>
      </c>
      <c r="JA143" s="61">
        <f t="shared" si="638"/>
        <v>3006.6806880670561</v>
      </c>
      <c r="JB143" s="61">
        <f t="shared" si="639"/>
        <v>4920.0229441097354</v>
      </c>
      <c r="JC143" s="61">
        <f t="shared" si="640"/>
        <v>75713.68641768863</v>
      </c>
      <c r="JD143" s="61">
        <f t="shared" si="641"/>
        <v>33620.156784749764</v>
      </c>
      <c r="JE143" s="61">
        <f t="shared" si="642"/>
        <v>12026.722752268215</v>
      </c>
      <c r="JF143" s="61">
        <f t="shared" si="643"/>
        <v>6286.6959841402113</v>
      </c>
      <c r="JG143" s="61">
        <f t="shared" si="644"/>
        <v>22140.103248493833</v>
      </c>
      <c r="JH143" s="61">
        <f t="shared" si="645"/>
        <v>3826.68451208535</v>
      </c>
      <c r="JI143" s="61">
        <f t="shared" si="646"/>
        <v>1913.3422560426709</v>
      </c>
      <c r="JJ143" s="61">
        <f t="shared" si="647"/>
        <v>12300.057360274339</v>
      </c>
      <c r="JK143" s="61">
        <f t="shared" si="648"/>
        <v>5193.3575521158364</v>
      </c>
      <c r="JL143" s="61">
        <f t="shared" si="649"/>
        <v>7106.6998081584879</v>
      </c>
      <c r="JM143" s="61">
        <f t="shared" si="650"/>
        <v>0</v>
      </c>
      <c r="JN143" s="61">
        <f t="shared" si="651"/>
        <v>28700.133840640239</v>
      </c>
      <c r="JO143" s="61">
        <f t="shared" si="652"/>
        <v>0</v>
      </c>
      <c r="JQ143" s="26">
        <f t="shared" si="711"/>
        <v>1363393</v>
      </c>
      <c r="JR143" s="156">
        <f t="shared" si="712"/>
        <v>1</v>
      </c>
      <c r="JT143" s="157">
        <f t="shared" si="653"/>
        <v>19680.091419406588</v>
      </c>
      <c r="JU143" s="29">
        <f t="shared" si="654"/>
        <v>1</v>
      </c>
    </row>
    <row r="144" spans="1:281" ht="18.75" x14ac:dyDescent="0.3">
      <c r="A144" t="s">
        <v>234</v>
      </c>
      <c r="B144" s="10" t="s">
        <v>93</v>
      </c>
      <c r="C144" t="s">
        <v>71</v>
      </c>
      <c r="D144" t="s">
        <v>119</v>
      </c>
      <c r="E144" t="s">
        <v>120</v>
      </c>
      <c r="F144" s="114"/>
      <c r="G144" s="17">
        <v>3321052</v>
      </c>
      <c r="H144" s="21">
        <v>2075657.5</v>
      </c>
      <c r="I144" s="25">
        <f t="shared" si="713"/>
        <v>1.6</v>
      </c>
      <c r="J144" s="13">
        <v>2.3040215495604012E-2</v>
      </c>
      <c r="K144" s="13">
        <v>2.4488646963246642E-2</v>
      </c>
      <c r="L144" s="13">
        <v>1.0702971026257672E-2</v>
      </c>
      <c r="M144" s="13">
        <v>7.1983900207567572E-3</v>
      </c>
      <c r="N144" s="13">
        <v>2.22070938591989E-2</v>
      </c>
      <c r="O144" s="13">
        <v>3.4548580569313841E-2</v>
      </c>
      <c r="P144" s="13">
        <v>2.6259089904538478E-2</v>
      </c>
      <c r="Q144" s="13">
        <v>1.0182022018864756E-2</v>
      </c>
      <c r="R144" s="13">
        <v>3.1516245864293434E-2</v>
      </c>
      <c r="S144" s="13">
        <v>1.6187003253035487E-2</v>
      </c>
      <c r="T144" s="13">
        <v>0.17114325485370277</v>
      </c>
      <c r="U144" s="13">
        <v>2.3874181600299086E-2</v>
      </c>
      <c r="V144" s="13">
        <v>1.456875939845468E-2</v>
      </c>
      <c r="W144" s="13">
        <v>8.3745361009555444E-2</v>
      </c>
      <c r="X144" s="13">
        <v>5.9072574089340281E-2</v>
      </c>
      <c r="Y144" s="13">
        <v>8.8721196882980372E-2</v>
      </c>
      <c r="Z144" s="13">
        <v>4.8433585718672479E-3</v>
      </c>
      <c r="AA144" s="13">
        <v>0.12697510221278452</v>
      </c>
      <c r="AB144" s="13">
        <v>2.8545527971774846E-2</v>
      </c>
      <c r="AC144" s="13">
        <v>3.3703168912770816E-2</v>
      </c>
      <c r="AD144" s="13">
        <v>3.94642456099887E-2</v>
      </c>
      <c r="AE144" s="13">
        <v>2.7967105490890758E-2</v>
      </c>
      <c r="AF144" s="13">
        <v>2.0760349451300526E-2</v>
      </c>
      <c r="AG144" s="9">
        <v>0</v>
      </c>
      <c r="AH144" s="13">
        <v>7.0285554969180208E-2</v>
      </c>
      <c r="AJ144" s="8">
        <f t="shared" si="656"/>
        <v>1.0000000000000004</v>
      </c>
      <c r="AK144" s="141">
        <f t="shared" si="714"/>
        <v>0</v>
      </c>
      <c r="AL144" s="141">
        <f t="shared" si="715"/>
        <v>0</v>
      </c>
      <c r="AM144" s="141">
        <f t="shared" si="716"/>
        <v>0</v>
      </c>
      <c r="AN144" s="141">
        <f t="shared" si="717"/>
        <v>0</v>
      </c>
      <c r="AO144" s="141">
        <f t="shared" si="718"/>
        <v>0</v>
      </c>
      <c r="AP144" s="141">
        <f t="shared" si="719"/>
        <v>0</v>
      </c>
      <c r="AQ144" s="141">
        <f t="shared" si="720"/>
        <v>0</v>
      </c>
      <c r="AR144" s="141">
        <f t="shared" si="721"/>
        <v>0</v>
      </c>
      <c r="AS144" s="141">
        <f t="shared" si="722"/>
        <v>0</v>
      </c>
      <c r="AT144" s="141">
        <f t="shared" si="723"/>
        <v>0</v>
      </c>
      <c r="AU144" s="141">
        <f t="shared" si="724"/>
        <v>0</v>
      </c>
      <c r="AV144" s="141">
        <f t="shared" si="725"/>
        <v>0</v>
      </c>
      <c r="AW144" s="141">
        <f t="shared" si="726"/>
        <v>0</v>
      </c>
      <c r="AX144" s="141">
        <f t="shared" si="727"/>
        <v>0</v>
      </c>
      <c r="AY144" s="141">
        <f t="shared" si="728"/>
        <v>0</v>
      </c>
      <c r="AZ144" s="141">
        <f t="shared" si="729"/>
        <v>0</v>
      </c>
      <c r="BA144" s="141">
        <f t="shared" si="730"/>
        <v>0</v>
      </c>
      <c r="BB144" s="141">
        <f t="shared" si="731"/>
        <v>0</v>
      </c>
      <c r="BC144" s="141">
        <f t="shared" si="732"/>
        <v>0</v>
      </c>
      <c r="BD144" s="141">
        <f t="shared" si="733"/>
        <v>0</v>
      </c>
      <c r="BE144" s="141">
        <f t="shared" si="734"/>
        <v>0</v>
      </c>
      <c r="BF144" s="141">
        <f t="shared" si="735"/>
        <v>0</v>
      </c>
      <c r="BG144" s="141">
        <f t="shared" si="736"/>
        <v>0</v>
      </c>
      <c r="BH144" s="141">
        <f t="shared" si="737"/>
        <v>0</v>
      </c>
      <c r="BI144" s="141">
        <f t="shared" si="738"/>
        <v>0</v>
      </c>
      <c r="BJ144" s="141">
        <f t="shared" si="739"/>
        <v>0</v>
      </c>
      <c r="BM144" s="26">
        <f t="shared" si="657"/>
        <v>76517.753752106699</v>
      </c>
      <c r="BN144" s="26">
        <f t="shared" si="658"/>
        <v>81328.069974584185</v>
      </c>
      <c r="BO144" s="26">
        <f t="shared" si="659"/>
        <v>35545.12333269509</v>
      </c>
      <c r="BP144" s="26">
        <f t="shared" si="660"/>
        <v>23906.22757521427</v>
      </c>
      <c r="BQ144" s="26">
        <f t="shared" si="661"/>
        <v>73750.91347528022</v>
      </c>
      <c r="BR144" s="26">
        <f t="shared" si="662"/>
        <v>114737.63259688087</v>
      </c>
      <c r="BS144" s="26">
        <f t="shared" si="663"/>
        <v>87207.803045647321</v>
      </c>
      <c r="BT144" s="26">
        <f t="shared" si="664"/>
        <v>33815.024589794833</v>
      </c>
      <c r="BU144" s="26">
        <f t="shared" si="665"/>
        <v>104667.09136010344</v>
      </c>
      <c r="BV144" s="26">
        <f t="shared" si="666"/>
        <v>53757.879527500008</v>
      </c>
      <c r="BW144" s="26">
        <f t="shared" si="667"/>
        <v>568375.64881839929</v>
      </c>
      <c r="BX144" s="26">
        <f t="shared" si="668"/>
        <v>79287.39855203648</v>
      </c>
      <c r="BY144" s="26">
        <f t="shared" si="669"/>
        <v>48383.60753775671</v>
      </c>
      <c r="BZ144" s="26">
        <f t="shared" si="670"/>
        <v>278122.69867150614</v>
      </c>
      <c r="CA144" s="26">
        <f t="shared" si="671"/>
        <v>196183.09032455171</v>
      </c>
      <c r="CB144" s="26">
        <f t="shared" si="672"/>
        <v>294647.70835061575</v>
      </c>
      <c r="CC144" s="26">
        <f t="shared" si="673"/>
        <v>16085.045671816868</v>
      </c>
      <c r="CD144" s="26">
        <f t="shared" si="674"/>
        <v>421690.91715397243</v>
      </c>
      <c r="CE144" s="26">
        <f t="shared" si="675"/>
        <v>94801.182761718796</v>
      </c>
      <c r="CF144" s="26">
        <f t="shared" si="676"/>
        <v>111929.97652409534</v>
      </c>
      <c r="CG144" s="26">
        <f t="shared" si="677"/>
        <v>131062.81181154419</v>
      </c>
      <c r="CH144" s="26">
        <f t="shared" si="678"/>
        <v>92880.211624733725</v>
      </c>
      <c r="CI144" s="26">
        <f t="shared" si="679"/>
        <v>68946.200065940517</v>
      </c>
      <c r="CJ144" s="26">
        <f t="shared" si="680"/>
        <v>0</v>
      </c>
      <c r="CK144" s="26">
        <f t="shared" si="681"/>
        <v>233421.98290150586</v>
      </c>
      <c r="CL144" s="26">
        <f t="shared" si="682"/>
        <v>0</v>
      </c>
      <c r="CM144" s="110">
        <f t="shared" si="683"/>
        <v>1.0000000000000002</v>
      </c>
      <c r="CN144" s="27">
        <f t="shared" si="684"/>
        <v>47823.596095066685</v>
      </c>
      <c r="CO144" s="27">
        <f t="shared" si="685"/>
        <v>50830.043734115119</v>
      </c>
      <c r="CP144" s="27">
        <f t="shared" si="686"/>
        <v>22215.702082934433</v>
      </c>
      <c r="CQ144" s="27">
        <f t="shared" si="687"/>
        <v>14941.39223450892</v>
      </c>
      <c r="CR144" s="27">
        <f t="shared" si="688"/>
        <v>46094.320922050138</v>
      </c>
      <c r="CS144" s="27">
        <f t="shared" si="689"/>
        <v>71711.020373050545</v>
      </c>
      <c r="CT144" s="27">
        <f t="shared" si="690"/>
        <v>54504.876903529577</v>
      </c>
      <c r="CU144" s="27">
        <f t="shared" si="691"/>
        <v>21134.390368621771</v>
      </c>
      <c r="CV144" s="27">
        <f t="shared" si="692"/>
        <v>65416.932100064645</v>
      </c>
      <c r="CW144" s="27">
        <f t="shared" si="693"/>
        <v>33598.674704687503</v>
      </c>
      <c r="CX144" s="27">
        <f t="shared" si="694"/>
        <v>355234.78051149956</v>
      </c>
      <c r="CY144" s="27">
        <f t="shared" si="695"/>
        <v>49554.624095022802</v>
      </c>
      <c r="CZ144" s="27">
        <f t="shared" si="696"/>
        <v>30239.754711097943</v>
      </c>
      <c r="DA144" s="27">
        <f t="shared" si="697"/>
        <v>173826.68666969132</v>
      </c>
      <c r="DB144" s="27">
        <f t="shared" si="698"/>
        <v>122614.43145284483</v>
      </c>
      <c r="DC144" s="27">
        <f t="shared" si="699"/>
        <v>184154.81771913482</v>
      </c>
      <c r="DD144" s="27">
        <f t="shared" si="700"/>
        <v>10053.153544885543</v>
      </c>
      <c r="DE144" s="27">
        <f t="shared" si="701"/>
        <v>263556.8232212328</v>
      </c>
      <c r="DF144" s="27">
        <f t="shared" si="702"/>
        <v>59250.739226074249</v>
      </c>
      <c r="DG144" s="27">
        <f t="shared" si="703"/>
        <v>69956.235327559596</v>
      </c>
      <c r="DH144" s="27">
        <f t="shared" si="704"/>
        <v>81914.257382215117</v>
      </c>
      <c r="DI144" s="27">
        <f t="shared" si="705"/>
        <v>58050.132265458582</v>
      </c>
      <c r="DJ144" s="27">
        <f t="shared" si="706"/>
        <v>43091.375041212821</v>
      </c>
      <c r="DK144" s="27">
        <f t="shared" si="707"/>
        <v>0</v>
      </c>
      <c r="DL144" s="27">
        <f t="shared" si="708"/>
        <v>145888.73931344115</v>
      </c>
      <c r="DM144" s="27">
        <f t="shared" si="709"/>
        <v>0</v>
      </c>
      <c r="DN144" s="110">
        <f t="shared" si="710"/>
        <v>1.0000000000000002</v>
      </c>
      <c r="DO144" s="28">
        <f t="shared" si="518"/>
        <v>28694.157657040014</v>
      </c>
      <c r="DP144" s="28">
        <f t="shared" si="519"/>
        <v>30498.026240469066</v>
      </c>
      <c r="DQ144" s="28">
        <f t="shared" si="520"/>
        <v>13329.421249760657</v>
      </c>
      <c r="DR144" s="28">
        <f t="shared" si="521"/>
        <v>8964.835340705351</v>
      </c>
      <c r="DS144" s="28">
        <f t="shared" si="522"/>
        <v>27656.592553230083</v>
      </c>
      <c r="DT144" s="28">
        <f t="shared" si="523"/>
        <v>43026.612223830321</v>
      </c>
      <c r="DU144" s="28">
        <f t="shared" si="524"/>
        <v>32702.926142117743</v>
      </c>
      <c r="DV144" s="28">
        <f t="shared" si="525"/>
        <v>12680.634221173063</v>
      </c>
      <c r="DW144" s="28">
        <f t="shared" si="526"/>
        <v>39250.159260038796</v>
      </c>
      <c r="DX144" s="28">
        <f t="shared" si="527"/>
        <v>20159.204822812506</v>
      </c>
      <c r="DY144" s="28">
        <f t="shared" si="528"/>
        <v>213140.86830689973</v>
      </c>
      <c r="DZ144" s="28">
        <f t="shared" si="529"/>
        <v>29732.774457013678</v>
      </c>
      <c r="EA144" s="28">
        <f t="shared" si="530"/>
        <v>18143.852826658767</v>
      </c>
      <c r="EB144" s="28">
        <f t="shared" si="531"/>
        <v>104296.01200181482</v>
      </c>
      <c r="EC144" s="28">
        <f t="shared" si="532"/>
        <v>73568.658871706881</v>
      </c>
      <c r="ED144" s="28">
        <f t="shared" si="533"/>
        <v>110492.89063148093</v>
      </c>
      <c r="EE144" s="28">
        <f t="shared" si="534"/>
        <v>6031.892126931325</v>
      </c>
      <c r="EF144" s="28">
        <f t="shared" si="535"/>
        <v>158134.09393273963</v>
      </c>
      <c r="EG144" s="28">
        <f t="shared" si="536"/>
        <v>35550.443535644547</v>
      </c>
      <c r="EH144" s="28">
        <f t="shared" si="537"/>
        <v>41973.741196535746</v>
      </c>
      <c r="EI144" s="28">
        <f t="shared" si="538"/>
        <v>49148.554429329073</v>
      </c>
      <c r="EJ144" s="28">
        <f t="shared" si="539"/>
        <v>34830.079359275143</v>
      </c>
      <c r="EK144" s="28">
        <f t="shared" si="540"/>
        <v>25854.825024727696</v>
      </c>
      <c r="EL144" s="28">
        <f t="shared" si="541"/>
        <v>0</v>
      </c>
      <c r="EM144" s="28">
        <f t="shared" si="542"/>
        <v>87533.24358806471</v>
      </c>
      <c r="EN144" s="28">
        <f t="shared" si="543"/>
        <v>0</v>
      </c>
      <c r="EQ144" s="144">
        <v>4.1299827518169761E-2</v>
      </c>
      <c r="ER144" s="144">
        <v>5.1299829488683051E-2</v>
      </c>
      <c r="ES144" s="144">
        <v>6.1299833624595554E-2</v>
      </c>
      <c r="ET144" s="144">
        <v>6.8700176834282659E-2</v>
      </c>
      <c r="EU144" s="144">
        <v>8.8700165617514717E-2</v>
      </c>
      <c r="EV144" s="144">
        <v>0.10870017388933972</v>
      </c>
      <c r="EW144" s="144">
        <v>0.12000000848836494</v>
      </c>
      <c r="EX144" s="144">
        <v>0.10000000021653992</v>
      </c>
      <c r="EY144" s="144">
        <v>0.10000000021653992</v>
      </c>
      <c r="EZ144" s="144">
        <v>7.999999194471491E-2</v>
      </c>
      <c r="FA144" s="144">
        <v>8.999999608062742E-2</v>
      </c>
      <c r="FB144" s="144">
        <v>8.999999608062742E-2</v>
      </c>
      <c r="FC144" s="145">
        <f t="shared" si="544"/>
        <v>1</v>
      </c>
      <c r="FD144" s="146">
        <f t="shared" si="545"/>
        <v>0.15389949063144837</v>
      </c>
      <c r="FE144" s="146">
        <f t="shared" si="546"/>
        <v>0.26610051634113707</v>
      </c>
      <c r="FF144" s="146">
        <f t="shared" si="547"/>
        <v>0.32000000892144476</v>
      </c>
      <c r="FG144" s="146">
        <f t="shared" si="548"/>
        <v>0.25999998410596975</v>
      </c>
      <c r="FH144" s="145">
        <f t="shared" si="655"/>
        <v>1</v>
      </c>
      <c r="FJ144" s="52">
        <f t="shared" si="549"/>
        <v>11776.043326711819</v>
      </c>
      <c r="FK144" s="52">
        <f t="shared" si="550"/>
        <v>12516.348543127297</v>
      </c>
      <c r="FL144" s="52">
        <f t="shared" si="551"/>
        <v>5470.3763753337844</v>
      </c>
      <c r="FM144" s="52">
        <f t="shared" si="552"/>
        <v>3679.1562467449612</v>
      </c>
      <c r="FN144" s="52">
        <f t="shared" si="553"/>
        <v>11350.228017449648</v>
      </c>
      <c r="FO144" s="52">
        <f t="shared" si="554"/>
        <v>17658.06321291823</v>
      </c>
      <c r="FP144" s="52">
        <f t="shared" si="555"/>
        <v>13421.236467812794</v>
      </c>
      <c r="FQ144" s="52">
        <f t="shared" si="556"/>
        <v>5204.1150600593264</v>
      </c>
      <c r="FR144" s="52">
        <f t="shared" si="557"/>
        <v>16108.212046195189</v>
      </c>
      <c r="FS144" s="52">
        <f t="shared" si="558"/>
        <v>8273.3102767090168</v>
      </c>
      <c r="FT144" s="52">
        <f t="shared" si="559"/>
        <v>87472.722840470626</v>
      </c>
      <c r="FU144" s="52">
        <f t="shared" si="560"/>
        <v>12202.290250651051</v>
      </c>
      <c r="FV144" s="52">
        <f t="shared" si="561"/>
        <v>7446.2125549726634</v>
      </c>
      <c r="FW144" s="52">
        <f t="shared" si="562"/>
        <v>42802.941658588592</v>
      </c>
      <c r="FX144" s="52">
        <f t="shared" si="563"/>
        <v>30192.477671451936</v>
      </c>
      <c r="FY144" s="52">
        <f t="shared" si="564"/>
        <v>45346.132230883319</v>
      </c>
      <c r="FZ144" s="52">
        <f t="shared" si="565"/>
        <v>2475.480335676199</v>
      </c>
      <c r="GA144" s="52">
        <f t="shared" si="566"/>
        <v>64898.017353904652</v>
      </c>
      <c r="GB144" s="52">
        <f t="shared" si="567"/>
        <v>14589.853738287366</v>
      </c>
      <c r="GC144" s="52">
        <f t="shared" si="568"/>
        <v>17225.966373448246</v>
      </c>
      <c r="GD144" s="52">
        <f t="shared" si="569"/>
        <v>20170.499978522024</v>
      </c>
      <c r="GE144" s="52">
        <f t="shared" si="570"/>
        <v>14294.21725878765</v>
      </c>
      <c r="GF144" s="52">
        <f t="shared" si="571"/>
        <v>10610.785071122178</v>
      </c>
      <c r="GG144" s="52">
        <f t="shared" si="572"/>
        <v>0</v>
      </c>
      <c r="GH144" s="52">
        <f t="shared" si="573"/>
        <v>35923.524270724403</v>
      </c>
      <c r="GI144" s="52">
        <f t="shared" si="574"/>
        <v>0</v>
      </c>
      <c r="GJ144" s="26"/>
      <c r="GL144" s="150">
        <f t="shared" si="575"/>
        <v>20361.413782699572</v>
      </c>
      <c r="GM144" s="150">
        <f t="shared" si="576"/>
        <v>21641.44141326498</v>
      </c>
      <c r="GN144" s="150">
        <f t="shared" si="577"/>
        <v>9458.5756722395618</v>
      </c>
      <c r="GO144" s="150">
        <f t="shared" si="578"/>
        <v>6361.459501533247</v>
      </c>
      <c r="GP144" s="150">
        <f t="shared" si="579"/>
        <v>19625.156156402591</v>
      </c>
      <c r="GQ144" s="150">
        <f t="shared" si="580"/>
        <v>30531.743277789679</v>
      </c>
      <c r="GR144" s="150">
        <f t="shared" si="581"/>
        <v>23206.041419422938</v>
      </c>
      <c r="GS144" s="150">
        <f t="shared" si="582"/>
        <v>8998.1955034326511</v>
      </c>
      <c r="GT144" s="150">
        <f t="shared" si="583"/>
        <v>27851.967054848494</v>
      </c>
      <c r="GU144" s="150">
        <f t="shared" si="584"/>
        <v>14304.999499672394</v>
      </c>
      <c r="GV144" s="150">
        <f t="shared" si="585"/>
        <v>151245.05362630484</v>
      </c>
      <c r="GW144" s="150">
        <f t="shared" si="586"/>
        <v>21098.41769404243</v>
      </c>
      <c r="GX144" s="150">
        <f t="shared" si="587"/>
        <v>12874.902948243993</v>
      </c>
      <c r="GY144" s="150">
        <f t="shared" si="588"/>
        <v>74008.593722678255</v>
      </c>
      <c r="GZ144" s="150">
        <f t="shared" si="589"/>
        <v>52204.421632763144</v>
      </c>
      <c r="HA144" s="150">
        <f t="shared" si="590"/>
        <v>78405.907330831615</v>
      </c>
      <c r="HB144" s="150">
        <f t="shared" si="591"/>
        <v>4280.238958641241</v>
      </c>
      <c r="HC144" s="150">
        <f t="shared" si="592"/>
        <v>112212.17079103972</v>
      </c>
      <c r="HD144" s="150">
        <f t="shared" si="593"/>
        <v>25226.643682643873</v>
      </c>
      <c r="HE144" s="150">
        <f t="shared" si="594"/>
        <v>29784.624547113122</v>
      </c>
      <c r="HF144" s="150">
        <f t="shared" si="595"/>
        <v>34875.881896173189</v>
      </c>
      <c r="HG144" s="150">
        <f t="shared" si="596"/>
        <v>24715.472271215727</v>
      </c>
      <c r="HH144" s="150">
        <f t="shared" si="597"/>
        <v>18346.619437306112</v>
      </c>
      <c r="HI144" s="150">
        <f t="shared" si="598"/>
        <v>0</v>
      </c>
      <c r="HJ144" s="150">
        <f t="shared" si="599"/>
        <v>62113.71017546278</v>
      </c>
      <c r="HK144" s="150">
        <f t="shared" si="600"/>
        <v>0</v>
      </c>
      <c r="HL144" s="26"/>
      <c r="HN144" s="147">
        <f t="shared" si="601"/>
        <v>24485.681883323057</v>
      </c>
      <c r="HO144" s="147">
        <f t="shared" si="602"/>
        <v>26024.983117430824</v>
      </c>
      <c r="HP144" s="147">
        <f t="shared" si="603"/>
        <v>11374.439783576283</v>
      </c>
      <c r="HQ144" s="147">
        <f t="shared" si="604"/>
        <v>7649.993037346655</v>
      </c>
      <c r="HR144" s="147">
        <f t="shared" si="605"/>
        <v>23600.292970054372</v>
      </c>
      <c r="HS144" s="147">
        <f t="shared" si="606"/>
        <v>36716.043454627325</v>
      </c>
      <c r="HT144" s="147">
        <f t="shared" si="607"/>
        <v>27906.497752626739</v>
      </c>
      <c r="HU144" s="147">
        <f t="shared" si="608"/>
        <v>10820.80817041322</v>
      </c>
      <c r="HV144" s="147">
        <f t="shared" si="609"/>
        <v>33493.470169014778</v>
      </c>
      <c r="HW144" s="147">
        <f t="shared" si="610"/>
        <v>17202.521928397957</v>
      </c>
      <c r="HX144" s="147">
        <f t="shared" si="611"/>
        <v>181880.21269261974</v>
      </c>
      <c r="HY144" s="147">
        <f t="shared" si="612"/>
        <v>25371.968244009819</v>
      </c>
      <c r="HZ144" s="147">
        <f t="shared" si="613"/>
        <v>15482.754843733828</v>
      </c>
      <c r="IA144" s="147">
        <f t="shared" si="614"/>
        <v>88999.266056138251</v>
      </c>
      <c r="IB144" s="147">
        <f t="shared" si="615"/>
        <v>62778.590654093146</v>
      </c>
      <c r="IC144" s="147">
        <f t="shared" si="616"/>
        <v>94287.269300880289</v>
      </c>
      <c r="ID144" s="147">
        <f t="shared" si="617"/>
        <v>5147.2147584832437</v>
      </c>
      <c r="IE144" s="147">
        <f t="shared" si="618"/>
        <v>134941.09725136339</v>
      </c>
      <c r="IF144" s="147">
        <f t="shared" si="619"/>
        <v>30336.379329513529</v>
      </c>
      <c r="IG144" s="147">
        <f t="shared" si="620"/>
        <v>35817.593486287609</v>
      </c>
      <c r="IH144" s="147">
        <f t="shared" si="621"/>
        <v>41940.100948963773</v>
      </c>
      <c r="II144" s="147">
        <f t="shared" si="622"/>
        <v>29721.668548540471</v>
      </c>
      <c r="IJ144" s="147">
        <f t="shared" si="623"/>
        <v>22062.784636200682</v>
      </c>
      <c r="IK144" s="147">
        <f t="shared" si="624"/>
        <v>0</v>
      </c>
      <c r="IL144" s="147">
        <f t="shared" si="625"/>
        <v>74695.036610943207</v>
      </c>
      <c r="IM144" s="147">
        <f t="shared" si="626"/>
        <v>0</v>
      </c>
      <c r="IN144" s="26"/>
      <c r="IP144" s="61">
        <f t="shared" si="627"/>
        <v>19894.614759372249</v>
      </c>
      <c r="IQ144" s="61">
        <f t="shared" si="628"/>
        <v>21145.296900761085</v>
      </c>
      <c r="IR144" s="61">
        <f t="shared" si="629"/>
        <v>9241.7315015454569</v>
      </c>
      <c r="IS144" s="61">
        <f t="shared" si="630"/>
        <v>6215.6187895894063</v>
      </c>
      <c r="IT144" s="61">
        <f t="shared" si="631"/>
        <v>19175.236331373606</v>
      </c>
      <c r="IU144" s="61">
        <f t="shared" si="632"/>
        <v>29831.782651545622</v>
      </c>
      <c r="IV144" s="61">
        <f t="shared" si="633"/>
        <v>22674.027405784844</v>
      </c>
      <c r="IW144" s="61">
        <f t="shared" si="634"/>
        <v>8791.9058558896322</v>
      </c>
      <c r="IX144" s="61">
        <f t="shared" si="635"/>
        <v>27213.442090044977</v>
      </c>
      <c r="IY144" s="61">
        <f t="shared" si="636"/>
        <v>13977.047822720639</v>
      </c>
      <c r="IZ144" s="61">
        <f t="shared" si="637"/>
        <v>147777.65965900407</v>
      </c>
      <c r="JA144" s="61">
        <f t="shared" si="638"/>
        <v>20614.722363333174</v>
      </c>
      <c r="JB144" s="61">
        <f t="shared" si="639"/>
        <v>12579.737190806223</v>
      </c>
      <c r="JC144" s="61">
        <f t="shared" si="640"/>
        <v>72311.897234101009</v>
      </c>
      <c r="JD144" s="61">
        <f t="shared" si="641"/>
        <v>51007.600366243474</v>
      </c>
      <c r="JE144" s="61">
        <f t="shared" si="642"/>
        <v>76608.399488020499</v>
      </c>
      <c r="JF144" s="61">
        <f t="shared" si="643"/>
        <v>4182.1116190161829</v>
      </c>
      <c r="JG144" s="61">
        <f t="shared" si="644"/>
        <v>109639.63175766464</v>
      </c>
      <c r="JH144" s="61">
        <f t="shared" si="645"/>
        <v>24648.30601127402</v>
      </c>
      <c r="JI144" s="61">
        <f t="shared" si="646"/>
        <v>29101.792117246358</v>
      </c>
      <c r="JJ144" s="61">
        <f t="shared" si="647"/>
        <v>34076.328987885194</v>
      </c>
      <c r="JK144" s="61">
        <f t="shared" si="648"/>
        <v>24148.853546189875</v>
      </c>
      <c r="JL144" s="61">
        <f t="shared" si="649"/>
        <v>17926.010921311547</v>
      </c>
      <c r="JM144" s="61">
        <f t="shared" si="650"/>
        <v>0</v>
      </c>
      <c r="JN144" s="61">
        <f t="shared" si="651"/>
        <v>60689.711844375466</v>
      </c>
      <c r="JO144" s="61">
        <f t="shared" si="652"/>
        <v>0</v>
      </c>
      <c r="JQ144" s="26">
        <f t="shared" si="711"/>
        <v>3321052</v>
      </c>
      <c r="JR144" s="156">
        <f t="shared" si="712"/>
        <v>1</v>
      </c>
      <c r="JT144" s="157">
        <f t="shared" si="653"/>
        <v>76517.753752106699</v>
      </c>
      <c r="JU144" s="29">
        <f t="shared" si="654"/>
        <v>1</v>
      </c>
    </row>
    <row r="145" spans="1:281" ht="18.75" x14ac:dyDescent="0.3">
      <c r="A145" t="s">
        <v>234</v>
      </c>
      <c r="B145" s="10" t="s">
        <v>5</v>
      </c>
      <c r="C145" t="s">
        <v>24</v>
      </c>
      <c r="D145" s="107" t="s">
        <v>25</v>
      </c>
      <c r="E145" t="s">
        <v>24</v>
      </c>
      <c r="F145" s="114"/>
      <c r="G145" s="108">
        <v>300007</v>
      </c>
      <c r="H145" s="21">
        <v>143542</v>
      </c>
      <c r="I145" s="25">
        <f t="shared" si="713"/>
        <v>2.090029399060902</v>
      </c>
      <c r="J145" s="105">
        <v>2.5000000000000067E-2</v>
      </c>
      <c r="K145" s="105">
        <v>7.8347578347578422E-3</v>
      </c>
      <c r="L145" s="105">
        <v>7.8347578347578422E-3</v>
      </c>
      <c r="M145" s="105">
        <v>4.9857549857549683E-3</v>
      </c>
      <c r="N145" s="105">
        <v>2.2079772079772055E-2</v>
      </c>
      <c r="O145" s="105">
        <v>2.1367521367521358E-2</v>
      </c>
      <c r="P145" s="105">
        <v>3.1339031339031376E-2</v>
      </c>
      <c r="Q145" s="105">
        <v>0</v>
      </c>
      <c r="R145" s="105">
        <v>1.4245014245014218E-2</v>
      </c>
      <c r="S145" s="105">
        <v>1.5669515669515684E-2</v>
      </c>
      <c r="T145" s="105">
        <v>0.21189000000000022</v>
      </c>
      <c r="U145" s="105">
        <v>3.2763532763532804E-2</v>
      </c>
      <c r="V145" s="105">
        <v>9.9715099715099401E-3</v>
      </c>
      <c r="W145" s="105">
        <v>9.9715099715099717E-2</v>
      </c>
      <c r="X145" s="105">
        <v>5.2706552706552688E-2</v>
      </c>
      <c r="Y145" s="105">
        <v>9.9002849002849114E-2</v>
      </c>
      <c r="Z145" s="105">
        <v>1.8518518518518507E-2</v>
      </c>
      <c r="AA145" s="105">
        <v>6.3390313390313327E-2</v>
      </c>
      <c r="AB145" s="105">
        <v>5.2706552706552778E-2</v>
      </c>
      <c r="AC145" s="105">
        <v>2.2079772079772096E-2</v>
      </c>
      <c r="AD145" s="105">
        <v>3.4188034188034115E-2</v>
      </c>
      <c r="AE145" s="105">
        <v>3.0626780626780675E-2</v>
      </c>
      <c r="AF145" s="105">
        <v>2.2079772079772058E-2</v>
      </c>
      <c r="AG145" s="105">
        <v>4.5868945870164469E-6</v>
      </c>
      <c r="AH145" s="105">
        <v>9.9999999999999853E-2</v>
      </c>
      <c r="AJ145" s="8">
        <f t="shared" si="656"/>
        <v>1.0000000000000002</v>
      </c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M145" s="26">
        <f t="shared" si="657"/>
        <v>7500.1750000000202</v>
      </c>
      <c r="BN145" s="26">
        <f t="shared" si="658"/>
        <v>2350.4821937321958</v>
      </c>
      <c r="BO145" s="26">
        <f t="shared" si="659"/>
        <v>2350.4821937321958</v>
      </c>
      <c r="BP145" s="26">
        <f t="shared" si="660"/>
        <v>1495.7613960113908</v>
      </c>
      <c r="BQ145" s="26">
        <f t="shared" si="661"/>
        <v>6624.0861823361747</v>
      </c>
      <c r="BR145" s="26">
        <f t="shared" si="662"/>
        <v>6410.4059829059797</v>
      </c>
      <c r="BS145" s="26">
        <f t="shared" si="663"/>
        <v>9401.9287749287851</v>
      </c>
      <c r="BT145" s="26">
        <f t="shared" si="664"/>
        <v>0</v>
      </c>
      <c r="BU145" s="26">
        <f t="shared" si="665"/>
        <v>4273.6039886039807</v>
      </c>
      <c r="BV145" s="26">
        <f t="shared" si="666"/>
        <v>4700.9643874643916</v>
      </c>
      <c r="BW145" s="26">
        <f t="shared" si="667"/>
        <v>63568.483230000063</v>
      </c>
      <c r="BX145" s="26">
        <f t="shared" si="668"/>
        <v>9829.289173789186</v>
      </c>
      <c r="BY145" s="26">
        <f t="shared" si="669"/>
        <v>2991.5227920227826</v>
      </c>
      <c r="BZ145" s="26">
        <f t="shared" si="670"/>
        <v>29915.227920227921</v>
      </c>
      <c r="CA145" s="26">
        <f t="shared" si="671"/>
        <v>15812.334757834753</v>
      </c>
      <c r="CB145" s="26">
        <f t="shared" si="672"/>
        <v>29701.547720797753</v>
      </c>
      <c r="CC145" s="26">
        <f t="shared" si="673"/>
        <v>5555.6851851851816</v>
      </c>
      <c r="CD145" s="26">
        <f t="shared" si="674"/>
        <v>19017.537749287731</v>
      </c>
      <c r="CE145" s="26">
        <f t="shared" si="675"/>
        <v>15812.33475783478</v>
      </c>
      <c r="CF145" s="26">
        <f t="shared" si="676"/>
        <v>6624.0861823361874</v>
      </c>
      <c r="CG145" s="26">
        <f t="shared" si="677"/>
        <v>10256.64957264955</v>
      </c>
      <c r="CH145" s="26">
        <f t="shared" si="678"/>
        <v>9188.2485754985901</v>
      </c>
      <c r="CI145" s="26">
        <f t="shared" si="679"/>
        <v>6624.0861823361756</v>
      </c>
      <c r="CJ145" s="26">
        <f t="shared" si="680"/>
        <v>1.3761004843670432</v>
      </c>
      <c r="CK145" s="26">
        <f t="shared" si="681"/>
        <v>30000.699999999957</v>
      </c>
      <c r="CL145" s="26">
        <f t="shared" si="682"/>
        <v>0</v>
      </c>
      <c r="CM145" s="110">
        <f t="shared" si="683"/>
        <v>1.0000000000000002</v>
      </c>
      <c r="CN145" s="27">
        <f t="shared" si="684"/>
        <v>3588.5500000000097</v>
      </c>
      <c r="CO145" s="27">
        <f t="shared" si="685"/>
        <v>1124.6168091168101</v>
      </c>
      <c r="CP145" s="27">
        <f t="shared" si="686"/>
        <v>1124.6168091168101</v>
      </c>
      <c r="CQ145" s="27">
        <f t="shared" si="687"/>
        <v>715.66524216523965</v>
      </c>
      <c r="CR145" s="27">
        <f t="shared" si="688"/>
        <v>3169.3746438746402</v>
      </c>
      <c r="CS145" s="27">
        <f t="shared" si="689"/>
        <v>3067.1367521367506</v>
      </c>
      <c r="CT145" s="27">
        <f t="shared" si="690"/>
        <v>4498.4672364672415</v>
      </c>
      <c r="CU145" s="27">
        <f t="shared" si="691"/>
        <v>0</v>
      </c>
      <c r="CV145" s="27">
        <f t="shared" si="692"/>
        <v>2044.7578347578308</v>
      </c>
      <c r="CW145" s="27">
        <f t="shared" si="693"/>
        <v>2249.2336182336203</v>
      </c>
      <c r="CX145" s="27">
        <f t="shared" si="694"/>
        <v>30415.114380000032</v>
      </c>
      <c r="CY145" s="27">
        <f t="shared" si="695"/>
        <v>4702.9430199430262</v>
      </c>
      <c r="CZ145" s="27">
        <f t="shared" si="696"/>
        <v>1431.3304843304797</v>
      </c>
      <c r="DA145" s="27">
        <f t="shared" si="697"/>
        <v>14313.304843304844</v>
      </c>
      <c r="DB145" s="27">
        <f t="shared" si="698"/>
        <v>7565.6039886039862</v>
      </c>
      <c r="DC145" s="27">
        <f t="shared" si="699"/>
        <v>14211.066951566967</v>
      </c>
      <c r="DD145" s="27">
        <f t="shared" si="700"/>
        <v>2658.1851851851834</v>
      </c>
      <c r="DE145" s="27">
        <f t="shared" si="701"/>
        <v>9099.1723646723549</v>
      </c>
      <c r="DF145" s="27">
        <f t="shared" si="702"/>
        <v>7565.6039886039989</v>
      </c>
      <c r="DG145" s="27">
        <f t="shared" si="703"/>
        <v>3169.3746438746462</v>
      </c>
      <c r="DH145" s="27">
        <f t="shared" si="704"/>
        <v>4907.4188034187928</v>
      </c>
      <c r="DI145" s="27">
        <f t="shared" si="705"/>
        <v>4396.2293447293514</v>
      </c>
      <c r="DJ145" s="27">
        <f t="shared" si="706"/>
        <v>3169.3746438746407</v>
      </c>
      <c r="DK145" s="27">
        <f t="shared" si="707"/>
        <v>0.65841202280951483</v>
      </c>
      <c r="DL145" s="27">
        <f t="shared" si="708"/>
        <v>14354.199999999979</v>
      </c>
      <c r="DM145" s="27">
        <f t="shared" si="709"/>
        <v>0</v>
      </c>
      <c r="DN145" s="110">
        <f t="shared" si="710"/>
        <v>1.0000000000000002</v>
      </c>
      <c r="DO145" s="28">
        <f t="shared" si="518"/>
        <v>3911.6250000000105</v>
      </c>
      <c r="DP145" s="28">
        <f t="shared" si="519"/>
        <v>1225.8653846153857</v>
      </c>
      <c r="DQ145" s="28">
        <f t="shared" si="520"/>
        <v>1225.8653846153857</v>
      </c>
      <c r="DR145" s="28">
        <f t="shared" si="521"/>
        <v>780.0961538461512</v>
      </c>
      <c r="DS145" s="28">
        <f t="shared" si="522"/>
        <v>3454.7115384615345</v>
      </c>
      <c r="DT145" s="28">
        <f t="shared" si="523"/>
        <v>3343.2692307692291</v>
      </c>
      <c r="DU145" s="28">
        <f t="shared" si="524"/>
        <v>4903.4615384615436</v>
      </c>
      <c r="DV145" s="28">
        <f t="shared" si="525"/>
        <v>0</v>
      </c>
      <c r="DW145" s="28">
        <f t="shared" si="526"/>
        <v>2228.8461538461497</v>
      </c>
      <c r="DX145" s="28">
        <f t="shared" si="527"/>
        <v>2451.7307692307713</v>
      </c>
      <c r="DY145" s="28">
        <f t="shared" si="528"/>
        <v>33153.368850000028</v>
      </c>
      <c r="DZ145" s="28">
        <f t="shared" si="529"/>
        <v>5126.3461538461597</v>
      </c>
      <c r="EA145" s="28">
        <f t="shared" si="530"/>
        <v>1560.1923076923028</v>
      </c>
      <c r="EB145" s="28">
        <f t="shared" si="531"/>
        <v>15601.923076923076</v>
      </c>
      <c r="EC145" s="28">
        <f t="shared" si="532"/>
        <v>8246.7307692307659</v>
      </c>
      <c r="ED145" s="28">
        <f t="shared" si="533"/>
        <v>15490.480769230786</v>
      </c>
      <c r="EE145" s="28">
        <f t="shared" si="534"/>
        <v>2897.4999999999982</v>
      </c>
      <c r="EF145" s="28">
        <f t="shared" si="535"/>
        <v>9918.3653846153757</v>
      </c>
      <c r="EG145" s="28">
        <f t="shared" si="536"/>
        <v>8246.7307692307804</v>
      </c>
      <c r="EH145" s="28">
        <f t="shared" si="537"/>
        <v>3454.7115384615413</v>
      </c>
      <c r="EI145" s="28">
        <f t="shared" si="538"/>
        <v>5349.2307692307577</v>
      </c>
      <c r="EJ145" s="28">
        <f t="shared" si="539"/>
        <v>4792.0192307692387</v>
      </c>
      <c r="EK145" s="28">
        <f t="shared" si="540"/>
        <v>3454.7115384615349</v>
      </c>
      <c r="EL145" s="28">
        <f t="shared" si="541"/>
        <v>0.71768846155752841</v>
      </c>
      <c r="EM145" s="28">
        <f t="shared" si="542"/>
        <v>15646.499999999978</v>
      </c>
      <c r="EN145" s="28">
        <f t="shared" si="543"/>
        <v>0</v>
      </c>
      <c r="EQ145" s="144">
        <v>4.2719616698070631E-2</v>
      </c>
      <c r="ER145" s="144">
        <v>6.2761119484950598E-2</v>
      </c>
      <c r="ES145" s="144">
        <v>7.2780454230376435E-2</v>
      </c>
      <c r="ET145" s="144">
        <v>7.8524186925181663E-2</v>
      </c>
      <c r="EU145" s="144">
        <v>7.8524186925181663E-2</v>
      </c>
      <c r="EV145" s="144">
        <v>7.8524186925181663E-2</v>
      </c>
      <c r="EW145" s="144">
        <v>8.8175772352330692E-2</v>
      </c>
      <c r="EX145" s="144">
        <v>9.0179645967994757E-2</v>
      </c>
      <c r="EY145" s="144">
        <v>0.10019898071342059</v>
      </c>
      <c r="EZ145" s="144">
        <v>9.7194586937938643E-2</v>
      </c>
      <c r="FA145" s="144">
        <v>0.10019898071342059</v>
      </c>
      <c r="FB145" s="144">
        <v>0.11021828212595201</v>
      </c>
      <c r="FC145" s="145">
        <f t="shared" si="544"/>
        <v>0.99999999999999978</v>
      </c>
      <c r="FD145" s="146">
        <f t="shared" si="545"/>
        <v>0.17826119041339766</v>
      </c>
      <c r="FE145" s="146">
        <f t="shared" si="546"/>
        <v>0.235572560775545</v>
      </c>
      <c r="FF145" s="146">
        <f t="shared" si="547"/>
        <v>0.27855439903374601</v>
      </c>
      <c r="FG145" s="146">
        <f t="shared" si="548"/>
        <v>0.30761184977731126</v>
      </c>
      <c r="FH145" s="145">
        <f t="shared" si="655"/>
        <v>1</v>
      </c>
      <c r="FJ145" s="52">
        <f t="shared" si="549"/>
        <v>1336.9901238088084</v>
      </c>
      <c r="FK145" s="52">
        <f t="shared" si="550"/>
        <v>418.99975390019563</v>
      </c>
      <c r="FL145" s="52">
        <f t="shared" si="551"/>
        <v>418.99975390019563</v>
      </c>
      <c r="FM145" s="52">
        <f t="shared" si="552"/>
        <v>266.63620702739604</v>
      </c>
      <c r="FN145" s="52">
        <f t="shared" si="553"/>
        <v>1180.8174882641852</v>
      </c>
      <c r="FO145" s="52">
        <f t="shared" si="554"/>
        <v>1142.7266015459866</v>
      </c>
      <c r="FP145" s="52">
        <f t="shared" si="555"/>
        <v>1675.9990156007827</v>
      </c>
      <c r="FQ145" s="52">
        <f t="shared" si="556"/>
        <v>0</v>
      </c>
      <c r="FR145" s="52">
        <f t="shared" si="557"/>
        <v>761.81773436398998</v>
      </c>
      <c r="FS145" s="52">
        <f t="shared" si="558"/>
        <v>837.99950780039126</v>
      </c>
      <c r="FT145" s="52">
        <f t="shared" si="559"/>
        <v>11331.793493353918</v>
      </c>
      <c r="FU145" s="52">
        <f t="shared" si="560"/>
        <v>1752.1807890371822</v>
      </c>
      <c r="FV145" s="52">
        <f t="shared" si="561"/>
        <v>533.27241405479231</v>
      </c>
      <c r="FW145" s="52">
        <f t="shared" si="562"/>
        <v>5332.7241405479399</v>
      </c>
      <c r="FX145" s="52">
        <f t="shared" si="563"/>
        <v>2818.725617146767</v>
      </c>
      <c r="FY145" s="52">
        <f t="shared" si="564"/>
        <v>5294.6332538297456</v>
      </c>
      <c r="FZ145" s="52">
        <f t="shared" si="565"/>
        <v>990.36305467318812</v>
      </c>
      <c r="GA145" s="52">
        <f t="shared" si="566"/>
        <v>3390.0889179197584</v>
      </c>
      <c r="GB145" s="52">
        <f t="shared" si="567"/>
        <v>2818.725617146772</v>
      </c>
      <c r="GC145" s="52">
        <f t="shared" si="568"/>
        <v>1180.8174882641874</v>
      </c>
      <c r="GD145" s="52">
        <f t="shared" si="569"/>
        <v>1828.3625624735753</v>
      </c>
      <c r="GE145" s="52">
        <f t="shared" si="570"/>
        <v>1637.9081288825839</v>
      </c>
      <c r="GF145" s="52">
        <f t="shared" si="571"/>
        <v>1180.8174882641854</v>
      </c>
      <c r="GG145" s="52">
        <f t="shared" si="572"/>
        <v>0.24530531047172224</v>
      </c>
      <c r="GH145" s="52">
        <f t="shared" si="573"/>
        <v>5347.960495235212</v>
      </c>
      <c r="GI145" s="52">
        <f t="shared" si="574"/>
        <v>0</v>
      </c>
      <c r="GJ145" s="26"/>
      <c r="GL145" s="150">
        <f t="shared" si="575"/>
        <v>1766.8354310147281</v>
      </c>
      <c r="GM145" s="150">
        <f t="shared" si="576"/>
        <v>553.70910943481408</v>
      </c>
      <c r="GN145" s="150">
        <f t="shared" si="577"/>
        <v>553.70910943481408</v>
      </c>
      <c r="GO145" s="150">
        <f t="shared" si="578"/>
        <v>352.36034236760742</v>
      </c>
      <c r="GP145" s="150">
        <f t="shared" si="579"/>
        <v>1560.4529447708364</v>
      </c>
      <c r="GQ145" s="150">
        <f t="shared" si="580"/>
        <v>1510.1157530040362</v>
      </c>
      <c r="GR145" s="150">
        <f t="shared" si="581"/>
        <v>2214.8364377392568</v>
      </c>
      <c r="GS145" s="150">
        <f t="shared" si="582"/>
        <v>0</v>
      </c>
      <c r="GT145" s="150">
        <f t="shared" si="583"/>
        <v>1006.7438353360228</v>
      </c>
      <c r="GU145" s="150">
        <f t="shared" si="584"/>
        <v>1107.4182188696282</v>
      </c>
      <c r="GV145" s="150">
        <f t="shared" si="585"/>
        <v>14974.990379108403</v>
      </c>
      <c r="GW145" s="150">
        <f t="shared" si="586"/>
        <v>2315.5108212728596</v>
      </c>
      <c r="GX145" s="150">
        <f t="shared" si="587"/>
        <v>704.72068473521506</v>
      </c>
      <c r="GY145" s="150">
        <f t="shared" si="588"/>
        <v>7047.2068473521722</v>
      </c>
      <c r="GZ145" s="150">
        <f t="shared" si="589"/>
        <v>3724.95219074329</v>
      </c>
      <c r="HA145" s="150">
        <f t="shared" si="590"/>
        <v>6996.8696555853785</v>
      </c>
      <c r="HB145" s="150">
        <f t="shared" si="591"/>
        <v>1308.7669859368311</v>
      </c>
      <c r="HC145" s="150">
        <f t="shared" si="592"/>
        <v>4480.0100672453054</v>
      </c>
      <c r="HD145" s="150">
        <f t="shared" si="593"/>
        <v>3724.9521907432963</v>
      </c>
      <c r="HE145" s="150">
        <f t="shared" si="594"/>
        <v>1560.4529447708394</v>
      </c>
      <c r="HF145" s="150">
        <f t="shared" si="595"/>
        <v>2416.1852048064538</v>
      </c>
      <c r="HG145" s="150">
        <f t="shared" si="596"/>
        <v>2164.4992459724563</v>
      </c>
      <c r="HH145" s="150">
        <f t="shared" si="597"/>
        <v>1560.4529447708367</v>
      </c>
      <c r="HI145" s="150">
        <f t="shared" si="598"/>
        <v>0.32417151498681224</v>
      </c>
      <c r="HJ145" s="150">
        <f t="shared" si="599"/>
        <v>7067.3417240588833</v>
      </c>
      <c r="HK145" s="150">
        <f t="shared" si="600"/>
        <v>0</v>
      </c>
      <c r="HL145" s="26"/>
      <c r="HN145" s="147">
        <f t="shared" si="601"/>
        <v>2089.2067397729315</v>
      </c>
      <c r="HO145" s="147">
        <f t="shared" si="602"/>
        <v>654.73715491459279</v>
      </c>
      <c r="HP145" s="147">
        <f t="shared" si="603"/>
        <v>654.73715491459279</v>
      </c>
      <c r="HQ145" s="147">
        <f t="shared" si="604"/>
        <v>416.65091676382997</v>
      </c>
      <c r="HR145" s="147">
        <f t="shared" si="605"/>
        <v>1845.1683456683941</v>
      </c>
      <c r="HS145" s="147">
        <f t="shared" si="606"/>
        <v>1785.6467861307051</v>
      </c>
      <c r="HT145" s="147">
        <f t="shared" si="607"/>
        <v>2618.9486196583716</v>
      </c>
      <c r="HU145" s="147">
        <f t="shared" si="608"/>
        <v>0</v>
      </c>
      <c r="HV145" s="147">
        <f t="shared" si="609"/>
        <v>1190.4311907538017</v>
      </c>
      <c r="HW145" s="147">
        <f t="shared" si="610"/>
        <v>1309.4743098291856</v>
      </c>
      <c r="HX145" s="147">
        <f t="shared" si="611"/>
        <v>17707.28064361943</v>
      </c>
      <c r="HY145" s="147">
        <f t="shared" si="612"/>
        <v>2737.9917387337528</v>
      </c>
      <c r="HZ145" s="147">
        <f t="shared" si="613"/>
        <v>833.30183352766016</v>
      </c>
      <c r="IA145" s="147">
        <f t="shared" si="614"/>
        <v>8333.0183352766289</v>
      </c>
      <c r="IB145" s="147">
        <f t="shared" si="615"/>
        <v>4404.5954057890731</v>
      </c>
      <c r="IC145" s="147">
        <f t="shared" si="616"/>
        <v>8273.4967757389459</v>
      </c>
      <c r="ID145" s="147">
        <f t="shared" si="617"/>
        <v>1547.5605479799442</v>
      </c>
      <c r="IE145" s="147">
        <f t="shared" si="618"/>
        <v>5297.4187988544227</v>
      </c>
      <c r="IF145" s="147">
        <f t="shared" si="619"/>
        <v>4404.5954057890813</v>
      </c>
      <c r="IG145" s="147">
        <f t="shared" si="620"/>
        <v>1845.1683456683977</v>
      </c>
      <c r="IH145" s="147">
        <f t="shared" si="621"/>
        <v>2857.0348578091234</v>
      </c>
      <c r="II145" s="147">
        <f t="shared" si="622"/>
        <v>2559.4270601206827</v>
      </c>
      <c r="IJ145" s="147">
        <f t="shared" si="623"/>
        <v>1845.1683456683943</v>
      </c>
      <c r="IK145" s="147">
        <f t="shared" si="624"/>
        <v>0.38331884343290851</v>
      </c>
      <c r="IL145" s="147">
        <f t="shared" si="625"/>
        <v>8356.8269590916916</v>
      </c>
      <c r="IM145" s="147">
        <f t="shared" si="626"/>
        <v>0</v>
      </c>
      <c r="IN145" s="26"/>
      <c r="IP145" s="61">
        <f t="shared" si="627"/>
        <v>2307.1427054035516</v>
      </c>
      <c r="IQ145" s="61">
        <f t="shared" si="628"/>
        <v>723.03617548259319</v>
      </c>
      <c r="IR145" s="61">
        <f t="shared" si="629"/>
        <v>723.03617548259319</v>
      </c>
      <c r="IS145" s="61">
        <f t="shared" si="630"/>
        <v>460.11392985255736</v>
      </c>
      <c r="IT145" s="61">
        <f t="shared" si="631"/>
        <v>2037.6474036327586</v>
      </c>
      <c r="IU145" s="61">
        <f t="shared" si="632"/>
        <v>1971.9168422252517</v>
      </c>
      <c r="IV145" s="61">
        <f t="shared" si="633"/>
        <v>2892.1447019303737</v>
      </c>
      <c r="IW145" s="61">
        <f t="shared" si="634"/>
        <v>0</v>
      </c>
      <c r="IX145" s="61">
        <f t="shared" si="635"/>
        <v>1314.611228150166</v>
      </c>
      <c r="IY145" s="61">
        <f t="shared" si="636"/>
        <v>1446.0723509651864</v>
      </c>
      <c r="IZ145" s="61">
        <f t="shared" si="637"/>
        <v>19554.418713918309</v>
      </c>
      <c r="JA145" s="61">
        <f t="shared" si="638"/>
        <v>3023.6058247453911</v>
      </c>
      <c r="JB145" s="61">
        <f t="shared" si="639"/>
        <v>920.22785970511495</v>
      </c>
      <c r="JC145" s="61">
        <f t="shared" si="640"/>
        <v>9202.2785970511795</v>
      </c>
      <c r="JD145" s="61">
        <f t="shared" si="641"/>
        <v>4864.061544155622</v>
      </c>
      <c r="JE145" s="61">
        <f t="shared" si="642"/>
        <v>9136.5480356436801</v>
      </c>
      <c r="JF145" s="61">
        <f t="shared" si="643"/>
        <v>1708.9945965952177</v>
      </c>
      <c r="JG145" s="61">
        <f t="shared" si="644"/>
        <v>5850.0199652682431</v>
      </c>
      <c r="JH145" s="61">
        <f t="shared" si="645"/>
        <v>4864.0615441556301</v>
      </c>
      <c r="JI145" s="61">
        <f t="shared" si="646"/>
        <v>2037.6474036327625</v>
      </c>
      <c r="JJ145" s="61">
        <f t="shared" si="647"/>
        <v>3155.0669475603972</v>
      </c>
      <c r="JK145" s="61">
        <f t="shared" si="648"/>
        <v>2826.4141405228665</v>
      </c>
      <c r="JL145" s="61">
        <f t="shared" si="649"/>
        <v>2037.6474036327588</v>
      </c>
      <c r="JM145" s="61">
        <f t="shared" si="650"/>
        <v>0.42330481547560017</v>
      </c>
      <c r="JN145" s="61">
        <f t="shared" si="651"/>
        <v>9228.5708216141684</v>
      </c>
      <c r="JO145" s="61">
        <f t="shared" si="652"/>
        <v>0</v>
      </c>
      <c r="JQ145" s="26">
        <f t="shared" si="711"/>
        <v>300007</v>
      </c>
      <c r="JR145" s="156">
        <f t="shared" si="712"/>
        <v>1</v>
      </c>
      <c r="JT145" s="157">
        <f t="shared" si="653"/>
        <v>7500.1750000000202</v>
      </c>
      <c r="JU145" s="29">
        <f t="shared" si="654"/>
        <v>1</v>
      </c>
    </row>
    <row r="146" spans="1:281" ht="18.75" x14ac:dyDescent="0.3">
      <c r="A146" t="s">
        <v>234</v>
      </c>
      <c r="B146" s="10" t="s">
        <v>219</v>
      </c>
      <c r="C146" t="s">
        <v>33</v>
      </c>
      <c r="D146" s="107" t="s">
        <v>25</v>
      </c>
      <c r="E146" t="s">
        <v>303</v>
      </c>
      <c r="F146" s="114"/>
      <c r="G146" s="108">
        <v>359974</v>
      </c>
      <c r="H146" s="21">
        <v>514248</v>
      </c>
      <c r="I146" s="25">
        <f t="shared" si="713"/>
        <v>0.70000077783481895</v>
      </c>
      <c r="J146" s="105">
        <v>0</v>
      </c>
      <c r="K146" s="105">
        <v>0</v>
      </c>
      <c r="L146" s="105">
        <v>0</v>
      </c>
      <c r="M146" s="105">
        <v>0</v>
      </c>
      <c r="N146" s="105">
        <v>0</v>
      </c>
      <c r="O146" s="105">
        <v>5.0000000000000093E-2</v>
      </c>
      <c r="P146" s="105">
        <v>0</v>
      </c>
      <c r="Q146" s="105">
        <v>0</v>
      </c>
      <c r="R146" s="105">
        <v>2.0000000000000004E-2</v>
      </c>
      <c r="S146" s="105">
        <v>0</v>
      </c>
      <c r="T146" s="105">
        <v>0.32000000000000006</v>
      </c>
      <c r="U146" s="105">
        <v>0</v>
      </c>
      <c r="V146" s="105">
        <v>0</v>
      </c>
      <c r="W146" s="105">
        <v>0.24999999999999958</v>
      </c>
      <c r="X146" s="105">
        <v>0.12000000000000005</v>
      </c>
      <c r="Y146" s="105">
        <v>5.0000000000000072E-2</v>
      </c>
      <c r="Z146" s="105">
        <v>0</v>
      </c>
      <c r="AA146" s="105">
        <v>0.13000000000000028</v>
      </c>
      <c r="AB146" s="105">
        <v>1.9999999999999997E-2</v>
      </c>
      <c r="AC146" s="105">
        <v>0</v>
      </c>
      <c r="AD146" s="105">
        <v>2.0000000000000004E-2</v>
      </c>
      <c r="AE146" s="105">
        <v>2.0000000000000021E-2</v>
      </c>
      <c r="AF146" s="105">
        <v>0</v>
      </c>
      <c r="AG146" s="105">
        <v>0</v>
      </c>
      <c r="AH146" s="105">
        <v>0</v>
      </c>
      <c r="AJ146" s="8">
        <f t="shared" si="656"/>
        <v>1.0000000000000002</v>
      </c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M146" s="26">
        <f t="shared" si="657"/>
        <v>0</v>
      </c>
      <c r="BN146" s="26">
        <f t="shared" si="658"/>
        <v>0</v>
      </c>
      <c r="BO146" s="26">
        <f t="shared" si="659"/>
        <v>0</v>
      </c>
      <c r="BP146" s="26">
        <f t="shared" si="660"/>
        <v>0</v>
      </c>
      <c r="BQ146" s="26">
        <f t="shared" si="661"/>
        <v>0</v>
      </c>
      <c r="BR146" s="26">
        <f t="shared" si="662"/>
        <v>17998.700000000033</v>
      </c>
      <c r="BS146" s="26">
        <f t="shared" si="663"/>
        <v>0</v>
      </c>
      <c r="BT146" s="26">
        <f t="shared" si="664"/>
        <v>0</v>
      </c>
      <c r="BU146" s="26">
        <f t="shared" si="665"/>
        <v>7199.4800000000014</v>
      </c>
      <c r="BV146" s="26">
        <f t="shared" si="666"/>
        <v>0</v>
      </c>
      <c r="BW146" s="26">
        <f t="shared" si="667"/>
        <v>115191.68000000002</v>
      </c>
      <c r="BX146" s="26">
        <f t="shared" si="668"/>
        <v>0</v>
      </c>
      <c r="BY146" s="26">
        <f t="shared" si="669"/>
        <v>0</v>
      </c>
      <c r="BZ146" s="26">
        <f t="shared" si="670"/>
        <v>89993.499999999854</v>
      </c>
      <c r="CA146" s="26">
        <f t="shared" si="671"/>
        <v>43196.880000000019</v>
      </c>
      <c r="CB146" s="26">
        <f t="shared" si="672"/>
        <v>17998.700000000026</v>
      </c>
      <c r="CC146" s="26">
        <f t="shared" si="673"/>
        <v>0</v>
      </c>
      <c r="CD146" s="26">
        <f t="shared" si="674"/>
        <v>46796.620000000104</v>
      </c>
      <c r="CE146" s="26">
        <f t="shared" si="675"/>
        <v>7199.4799999999987</v>
      </c>
      <c r="CF146" s="26">
        <f t="shared" si="676"/>
        <v>0</v>
      </c>
      <c r="CG146" s="26">
        <f t="shared" si="677"/>
        <v>7199.4800000000014</v>
      </c>
      <c r="CH146" s="26">
        <f t="shared" si="678"/>
        <v>7199.4800000000077</v>
      </c>
      <c r="CI146" s="26">
        <f t="shared" si="679"/>
        <v>0</v>
      </c>
      <c r="CJ146" s="26">
        <f t="shared" si="680"/>
        <v>0</v>
      </c>
      <c r="CK146" s="26">
        <f t="shared" si="681"/>
        <v>0</v>
      </c>
      <c r="CL146" s="26">
        <f t="shared" si="682"/>
        <v>0</v>
      </c>
      <c r="CM146" s="110">
        <f t="shared" si="683"/>
        <v>1</v>
      </c>
      <c r="CN146" s="27">
        <f t="shared" si="684"/>
        <v>0</v>
      </c>
      <c r="CO146" s="27">
        <f t="shared" si="685"/>
        <v>0</v>
      </c>
      <c r="CP146" s="27">
        <f t="shared" si="686"/>
        <v>0</v>
      </c>
      <c r="CQ146" s="27">
        <f t="shared" si="687"/>
        <v>0</v>
      </c>
      <c r="CR146" s="27">
        <f t="shared" si="688"/>
        <v>0</v>
      </c>
      <c r="CS146" s="27">
        <f t="shared" si="689"/>
        <v>25712.400000000049</v>
      </c>
      <c r="CT146" s="27">
        <f t="shared" si="690"/>
        <v>0</v>
      </c>
      <c r="CU146" s="27">
        <f t="shared" si="691"/>
        <v>0</v>
      </c>
      <c r="CV146" s="27">
        <f t="shared" si="692"/>
        <v>10284.960000000003</v>
      </c>
      <c r="CW146" s="27">
        <f t="shared" si="693"/>
        <v>0</v>
      </c>
      <c r="CX146" s="27">
        <f t="shared" si="694"/>
        <v>164559.36000000004</v>
      </c>
      <c r="CY146" s="27">
        <f t="shared" si="695"/>
        <v>0</v>
      </c>
      <c r="CZ146" s="27">
        <f t="shared" si="696"/>
        <v>0</v>
      </c>
      <c r="DA146" s="27">
        <f t="shared" si="697"/>
        <v>128561.99999999978</v>
      </c>
      <c r="DB146" s="27">
        <f t="shared" si="698"/>
        <v>61709.760000000024</v>
      </c>
      <c r="DC146" s="27">
        <f t="shared" si="699"/>
        <v>25712.400000000038</v>
      </c>
      <c r="DD146" s="27">
        <f t="shared" si="700"/>
        <v>0</v>
      </c>
      <c r="DE146" s="27">
        <f t="shared" si="701"/>
        <v>66852.240000000151</v>
      </c>
      <c r="DF146" s="27">
        <f t="shared" si="702"/>
        <v>10284.959999999999</v>
      </c>
      <c r="DG146" s="27">
        <f t="shared" si="703"/>
        <v>0</v>
      </c>
      <c r="DH146" s="27">
        <f t="shared" si="704"/>
        <v>10284.960000000003</v>
      </c>
      <c r="DI146" s="27">
        <f t="shared" si="705"/>
        <v>10284.96000000001</v>
      </c>
      <c r="DJ146" s="27">
        <f t="shared" si="706"/>
        <v>0</v>
      </c>
      <c r="DK146" s="27">
        <f t="shared" si="707"/>
        <v>0</v>
      </c>
      <c r="DL146" s="27">
        <f t="shared" si="708"/>
        <v>0</v>
      </c>
      <c r="DM146" s="27">
        <f t="shared" si="709"/>
        <v>0</v>
      </c>
      <c r="DN146" s="110">
        <f t="shared" si="710"/>
        <v>1.0000000000000002</v>
      </c>
      <c r="DO146" s="28">
        <f t="shared" si="518"/>
        <v>0</v>
      </c>
      <c r="DP146" s="28">
        <f t="shared" si="519"/>
        <v>0</v>
      </c>
      <c r="DQ146" s="28">
        <f t="shared" si="520"/>
        <v>0</v>
      </c>
      <c r="DR146" s="28">
        <f t="shared" si="521"/>
        <v>0</v>
      </c>
      <c r="DS146" s="28">
        <f t="shared" si="522"/>
        <v>0</v>
      </c>
      <c r="DT146" s="28">
        <f t="shared" si="523"/>
        <v>-7713.7000000000153</v>
      </c>
      <c r="DU146" s="28">
        <f t="shared" si="524"/>
        <v>0</v>
      </c>
      <c r="DV146" s="28">
        <f t="shared" si="525"/>
        <v>0</v>
      </c>
      <c r="DW146" s="28">
        <f t="shared" si="526"/>
        <v>-3085.4800000000014</v>
      </c>
      <c r="DX146" s="28">
        <f t="shared" si="527"/>
        <v>0</v>
      </c>
      <c r="DY146" s="28">
        <f t="shared" si="528"/>
        <v>-49367.680000000022</v>
      </c>
      <c r="DZ146" s="28">
        <f t="shared" si="529"/>
        <v>0</v>
      </c>
      <c r="EA146" s="28">
        <f t="shared" si="530"/>
        <v>0</v>
      </c>
      <c r="EB146" s="28">
        <f t="shared" si="531"/>
        <v>-38568.499999999927</v>
      </c>
      <c r="EC146" s="28">
        <f t="shared" si="532"/>
        <v>-18512.880000000005</v>
      </c>
      <c r="ED146" s="28">
        <f t="shared" si="533"/>
        <v>-7713.7000000000116</v>
      </c>
      <c r="EE146" s="28">
        <f t="shared" si="534"/>
        <v>0</v>
      </c>
      <c r="EF146" s="28">
        <f t="shared" si="535"/>
        <v>-20055.620000000046</v>
      </c>
      <c r="EG146" s="28">
        <f t="shared" si="536"/>
        <v>-3085.4800000000005</v>
      </c>
      <c r="EH146" s="28">
        <f t="shared" si="537"/>
        <v>0</v>
      </c>
      <c r="EI146" s="28">
        <f t="shared" si="538"/>
        <v>-3085.4800000000014</v>
      </c>
      <c r="EJ146" s="28">
        <f t="shared" si="539"/>
        <v>-3085.4800000000023</v>
      </c>
      <c r="EK146" s="28">
        <f t="shared" si="540"/>
        <v>0</v>
      </c>
      <c r="EL146" s="28">
        <f t="shared" si="541"/>
        <v>0</v>
      </c>
      <c r="EM146" s="28">
        <f t="shared" si="542"/>
        <v>0</v>
      </c>
      <c r="EN146" s="28">
        <f t="shared" si="543"/>
        <v>0</v>
      </c>
      <c r="EQ146" s="144">
        <v>4.2722186300642659E-2</v>
      </c>
      <c r="ER146" s="144">
        <v>6.2754553413735523E-2</v>
      </c>
      <c r="ES146" s="144">
        <v>7.2788725182016442E-2</v>
      </c>
      <c r="ET146" s="144">
        <v>7.8514999286251996E-2</v>
      </c>
      <c r="EU146" s="144">
        <v>7.8514999286251996E-2</v>
      </c>
      <c r="EV146" s="144">
        <v>7.8514999286251996E-2</v>
      </c>
      <c r="EW146" s="144">
        <v>8.816760157213914E-2</v>
      </c>
      <c r="EX146" s="144">
        <v>9.0181614541875954E-2</v>
      </c>
      <c r="EY146" s="144">
        <v>0.10019781198893336</v>
      </c>
      <c r="EZ146" s="144">
        <v>9.7194739074529704E-2</v>
      </c>
      <c r="FA146" s="144">
        <v>0.10019781198893336</v>
      </c>
      <c r="FB146" s="144">
        <v>0.11024995807843782</v>
      </c>
      <c r="FC146" s="145">
        <f t="shared" si="544"/>
        <v>1</v>
      </c>
      <c r="FD146" s="146">
        <f t="shared" si="545"/>
        <v>0.17826546489639461</v>
      </c>
      <c r="FE146" s="146">
        <f t="shared" si="546"/>
        <v>0.23554499785875599</v>
      </c>
      <c r="FF146" s="146">
        <f t="shared" si="547"/>
        <v>0.27854702810294846</v>
      </c>
      <c r="FG146" s="146">
        <f t="shared" si="548"/>
        <v>0.30764250914190089</v>
      </c>
      <c r="FH146" s="145">
        <f t="shared" si="655"/>
        <v>1</v>
      </c>
      <c r="FJ146" s="52">
        <f t="shared" si="549"/>
        <v>0</v>
      </c>
      <c r="FK146" s="52">
        <f t="shared" si="550"/>
        <v>0</v>
      </c>
      <c r="FL146" s="52">
        <f t="shared" si="551"/>
        <v>0</v>
      </c>
      <c r="FM146" s="52">
        <f t="shared" si="552"/>
        <v>0</v>
      </c>
      <c r="FN146" s="52">
        <f t="shared" si="553"/>
        <v>0</v>
      </c>
      <c r="FO146" s="52">
        <f t="shared" si="554"/>
        <v>3208.5466230307438</v>
      </c>
      <c r="FP146" s="52">
        <f t="shared" si="555"/>
        <v>0</v>
      </c>
      <c r="FQ146" s="52">
        <f t="shared" si="556"/>
        <v>0</v>
      </c>
      <c r="FR146" s="52">
        <f t="shared" si="557"/>
        <v>1283.4186492122953</v>
      </c>
      <c r="FS146" s="52">
        <f t="shared" si="558"/>
        <v>0</v>
      </c>
      <c r="FT146" s="52">
        <f t="shared" si="559"/>
        <v>20534.698387396726</v>
      </c>
      <c r="FU146" s="52">
        <f t="shared" si="560"/>
        <v>0</v>
      </c>
      <c r="FV146" s="52">
        <f t="shared" si="561"/>
        <v>0</v>
      </c>
      <c r="FW146" s="52">
        <f t="shared" si="562"/>
        <v>16042.733115153662</v>
      </c>
      <c r="FX146" s="52">
        <f t="shared" si="563"/>
        <v>7700.5118952737739</v>
      </c>
      <c r="FY146" s="52">
        <f t="shared" si="564"/>
        <v>3208.5466230307425</v>
      </c>
      <c r="FZ146" s="52">
        <f t="shared" si="565"/>
        <v>0</v>
      </c>
      <c r="GA146" s="52">
        <f t="shared" si="566"/>
        <v>8342.2212198799371</v>
      </c>
      <c r="GB146" s="52">
        <f t="shared" si="567"/>
        <v>1283.4186492122949</v>
      </c>
      <c r="GC146" s="52">
        <f t="shared" si="568"/>
        <v>0</v>
      </c>
      <c r="GD146" s="52">
        <f t="shared" si="569"/>
        <v>1283.4186492122953</v>
      </c>
      <c r="GE146" s="52">
        <f t="shared" si="570"/>
        <v>1283.4186492122965</v>
      </c>
      <c r="GF146" s="52">
        <f t="shared" si="571"/>
        <v>0</v>
      </c>
      <c r="GG146" s="52">
        <f t="shared" si="572"/>
        <v>0</v>
      </c>
      <c r="GH146" s="52">
        <f t="shared" si="573"/>
        <v>0</v>
      </c>
      <c r="GI146" s="52">
        <f t="shared" si="574"/>
        <v>0</v>
      </c>
      <c r="GJ146" s="26"/>
      <c r="GL146" s="150">
        <f t="shared" si="575"/>
        <v>0</v>
      </c>
      <c r="GM146" s="150">
        <f t="shared" si="576"/>
        <v>0</v>
      </c>
      <c r="GN146" s="150">
        <f t="shared" si="577"/>
        <v>0</v>
      </c>
      <c r="GO146" s="150">
        <f t="shared" si="578"/>
        <v>0</v>
      </c>
      <c r="GP146" s="150">
        <f t="shared" si="579"/>
        <v>0</v>
      </c>
      <c r="GQ146" s="150">
        <f t="shared" si="580"/>
        <v>4239.5037529603997</v>
      </c>
      <c r="GR146" s="150">
        <f t="shared" si="581"/>
        <v>0</v>
      </c>
      <c r="GS146" s="150">
        <f t="shared" si="582"/>
        <v>0</v>
      </c>
      <c r="GT146" s="150">
        <f t="shared" si="583"/>
        <v>1695.8015011841569</v>
      </c>
      <c r="GU146" s="150">
        <f t="shared" si="584"/>
        <v>0</v>
      </c>
      <c r="GV146" s="150">
        <f t="shared" si="585"/>
        <v>27132.82401894651</v>
      </c>
      <c r="GW146" s="150">
        <f t="shared" si="586"/>
        <v>0</v>
      </c>
      <c r="GX146" s="150">
        <f t="shared" si="587"/>
        <v>0</v>
      </c>
      <c r="GY146" s="150">
        <f t="shared" si="588"/>
        <v>21197.518764801924</v>
      </c>
      <c r="GZ146" s="150">
        <f t="shared" si="589"/>
        <v>10174.809007104945</v>
      </c>
      <c r="HA146" s="150">
        <f t="shared" si="590"/>
        <v>4239.5037529603978</v>
      </c>
      <c r="HB146" s="150">
        <f t="shared" si="591"/>
        <v>0</v>
      </c>
      <c r="HC146" s="150">
        <f t="shared" si="592"/>
        <v>11022.709757697043</v>
      </c>
      <c r="HD146" s="150">
        <f t="shared" si="593"/>
        <v>1695.8015011841562</v>
      </c>
      <c r="HE146" s="150">
        <f t="shared" si="594"/>
        <v>0</v>
      </c>
      <c r="HF146" s="150">
        <f t="shared" si="595"/>
        <v>1695.8015011841569</v>
      </c>
      <c r="HG146" s="150">
        <f t="shared" si="596"/>
        <v>1695.8015011841585</v>
      </c>
      <c r="HH146" s="150">
        <f t="shared" si="597"/>
        <v>0</v>
      </c>
      <c r="HI146" s="150">
        <f t="shared" si="598"/>
        <v>0</v>
      </c>
      <c r="HJ146" s="150">
        <f t="shared" si="599"/>
        <v>0</v>
      </c>
      <c r="HK146" s="150">
        <f t="shared" si="600"/>
        <v>0</v>
      </c>
      <c r="HL146" s="26"/>
      <c r="HN146" s="147">
        <f t="shared" si="601"/>
        <v>0</v>
      </c>
      <c r="HO146" s="147">
        <f t="shared" si="602"/>
        <v>0</v>
      </c>
      <c r="HP146" s="147">
        <f t="shared" si="603"/>
        <v>0</v>
      </c>
      <c r="HQ146" s="147">
        <f t="shared" si="604"/>
        <v>0</v>
      </c>
      <c r="HR146" s="147">
        <f t="shared" si="605"/>
        <v>0</v>
      </c>
      <c r="HS146" s="147">
        <f t="shared" si="606"/>
        <v>5013.4843947165473</v>
      </c>
      <c r="HT146" s="147">
        <f t="shared" si="607"/>
        <v>0</v>
      </c>
      <c r="HU146" s="147">
        <f t="shared" si="608"/>
        <v>0</v>
      </c>
      <c r="HV146" s="147">
        <f t="shared" si="609"/>
        <v>2005.3937578866157</v>
      </c>
      <c r="HW146" s="147">
        <f t="shared" si="610"/>
        <v>0</v>
      </c>
      <c r="HX146" s="147">
        <f t="shared" si="611"/>
        <v>32086.300126185852</v>
      </c>
      <c r="HY146" s="147">
        <f t="shared" si="612"/>
        <v>0</v>
      </c>
      <c r="HZ146" s="147">
        <f t="shared" si="613"/>
        <v>0</v>
      </c>
      <c r="IA146" s="147">
        <f t="shared" si="614"/>
        <v>25067.421973582652</v>
      </c>
      <c r="IB146" s="147">
        <f t="shared" si="615"/>
        <v>12032.362547319697</v>
      </c>
      <c r="IC146" s="147">
        <f t="shared" si="616"/>
        <v>5013.4843947165455</v>
      </c>
      <c r="ID146" s="147">
        <f t="shared" si="617"/>
        <v>0</v>
      </c>
      <c r="IE146" s="147">
        <f t="shared" si="618"/>
        <v>13035.059426263029</v>
      </c>
      <c r="IF146" s="147">
        <f t="shared" si="619"/>
        <v>2005.393757886615</v>
      </c>
      <c r="IG146" s="147">
        <f t="shared" si="620"/>
        <v>0</v>
      </c>
      <c r="IH146" s="147">
        <f t="shared" si="621"/>
        <v>2005.3937578866157</v>
      </c>
      <c r="II146" s="147">
        <f t="shared" si="622"/>
        <v>2005.3937578866175</v>
      </c>
      <c r="IJ146" s="147">
        <f t="shared" si="623"/>
        <v>0</v>
      </c>
      <c r="IK146" s="147">
        <f t="shared" si="624"/>
        <v>0</v>
      </c>
      <c r="IL146" s="147">
        <f t="shared" si="625"/>
        <v>0</v>
      </c>
      <c r="IM146" s="147">
        <f t="shared" si="626"/>
        <v>0</v>
      </c>
      <c r="IN146" s="26"/>
      <c r="IP146" s="61">
        <f t="shared" si="627"/>
        <v>0</v>
      </c>
      <c r="IQ146" s="61">
        <f t="shared" si="628"/>
        <v>0</v>
      </c>
      <c r="IR146" s="61">
        <f t="shared" si="629"/>
        <v>0</v>
      </c>
      <c r="IS146" s="61">
        <f t="shared" si="630"/>
        <v>0</v>
      </c>
      <c r="IT146" s="61">
        <f t="shared" si="631"/>
        <v>0</v>
      </c>
      <c r="IU146" s="61">
        <f t="shared" si="632"/>
        <v>5537.1652292923418</v>
      </c>
      <c r="IV146" s="61">
        <f t="shared" si="633"/>
        <v>0</v>
      </c>
      <c r="IW146" s="61">
        <f t="shared" si="634"/>
        <v>0</v>
      </c>
      <c r="IX146" s="61">
        <f t="shared" si="635"/>
        <v>2214.8660917169332</v>
      </c>
      <c r="IY146" s="61">
        <f t="shared" si="636"/>
        <v>0</v>
      </c>
      <c r="IZ146" s="61">
        <f t="shared" si="637"/>
        <v>35437.857467470931</v>
      </c>
      <c r="JA146" s="61">
        <f t="shared" si="638"/>
        <v>0</v>
      </c>
      <c r="JB146" s="61">
        <f t="shared" si="639"/>
        <v>0</v>
      </c>
      <c r="JC146" s="61">
        <f t="shared" si="640"/>
        <v>27685.826146461612</v>
      </c>
      <c r="JD146" s="61">
        <f t="shared" si="641"/>
        <v>13289.196550301602</v>
      </c>
      <c r="JE146" s="61">
        <f t="shared" si="642"/>
        <v>5537.16522929234</v>
      </c>
      <c r="JF146" s="61">
        <f t="shared" si="643"/>
        <v>0</v>
      </c>
      <c r="JG146" s="61">
        <f t="shared" si="644"/>
        <v>14396.629596160094</v>
      </c>
      <c r="JH146" s="61">
        <f t="shared" si="645"/>
        <v>2214.8660917169323</v>
      </c>
      <c r="JI146" s="61">
        <f t="shared" si="646"/>
        <v>0</v>
      </c>
      <c r="JJ146" s="61">
        <f t="shared" si="647"/>
        <v>2214.8660917169332</v>
      </c>
      <c r="JK146" s="61">
        <f t="shared" si="648"/>
        <v>2214.866091716935</v>
      </c>
      <c r="JL146" s="61">
        <f t="shared" si="649"/>
        <v>0</v>
      </c>
      <c r="JM146" s="61">
        <f t="shared" si="650"/>
        <v>0</v>
      </c>
      <c r="JN146" s="61">
        <f t="shared" si="651"/>
        <v>0</v>
      </c>
      <c r="JO146" s="61">
        <f t="shared" si="652"/>
        <v>0</v>
      </c>
      <c r="JQ146" s="26">
        <f t="shared" si="711"/>
        <v>359974</v>
      </c>
      <c r="JR146" s="156">
        <f t="shared" si="712"/>
        <v>1</v>
      </c>
      <c r="JT146" s="157">
        <f t="shared" si="653"/>
        <v>0</v>
      </c>
      <c r="JU146" s="29">
        <f t="shared" si="654"/>
        <v>0</v>
      </c>
    </row>
    <row r="147" spans="1:281" ht="18.75" x14ac:dyDescent="0.3">
      <c r="A147" t="s">
        <v>234</v>
      </c>
      <c r="B147" s="10" t="s">
        <v>110</v>
      </c>
      <c r="C147" t="s">
        <v>33</v>
      </c>
      <c r="D147" s="107" t="s">
        <v>25</v>
      </c>
      <c r="E147" t="s">
        <v>135</v>
      </c>
      <c r="F147" s="114"/>
      <c r="G147" s="108">
        <v>3753785</v>
      </c>
      <c r="H147" s="21">
        <v>2553595</v>
      </c>
      <c r="I147" s="25">
        <f t="shared" si="713"/>
        <v>1.470000137061672</v>
      </c>
      <c r="J147" s="105">
        <v>2.4999999999999977E-2</v>
      </c>
      <c r="K147" s="105">
        <v>7.8347578347578422E-3</v>
      </c>
      <c r="L147" s="105">
        <v>7.834757834757837E-3</v>
      </c>
      <c r="M147" s="105">
        <v>4.9857549857549883E-3</v>
      </c>
      <c r="N147" s="105">
        <v>2.2079772079772124E-2</v>
      </c>
      <c r="O147" s="105">
        <v>2.1367521367521427E-2</v>
      </c>
      <c r="P147" s="105">
        <v>3.1339031339031369E-2</v>
      </c>
      <c r="Q147" s="105">
        <v>0</v>
      </c>
      <c r="R147" s="105">
        <v>1.4245014245014254E-2</v>
      </c>
      <c r="S147" s="105">
        <v>1.5669515669515684E-2</v>
      </c>
      <c r="T147" s="105">
        <v>0.21188999999999997</v>
      </c>
      <c r="U147" s="105">
        <v>3.2763532763532763E-2</v>
      </c>
      <c r="V147" s="105">
        <v>9.9715099715099748E-3</v>
      </c>
      <c r="W147" s="105">
        <v>9.9715099715099842E-2</v>
      </c>
      <c r="X147" s="105">
        <v>5.2706552706552501E-2</v>
      </c>
      <c r="Y147" s="105">
        <v>9.9002849002849003E-2</v>
      </c>
      <c r="Z147" s="105">
        <v>1.8518518518518538E-2</v>
      </c>
      <c r="AA147" s="105">
        <v>6.3390313390313272E-2</v>
      </c>
      <c r="AB147" s="105">
        <v>5.2706552706552501E-2</v>
      </c>
      <c r="AC147" s="105">
        <v>2.207977207977211E-2</v>
      </c>
      <c r="AD147" s="105">
        <v>3.4188034188034198E-2</v>
      </c>
      <c r="AE147" s="105">
        <v>3.0626780626780585E-2</v>
      </c>
      <c r="AF147" s="105">
        <v>2.2079772079772117E-2</v>
      </c>
      <c r="AG147" s="105">
        <v>4.5868945870164426E-6</v>
      </c>
      <c r="AH147" s="105">
        <v>9.9999999999999992E-2</v>
      </c>
      <c r="AJ147" s="8">
        <f t="shared" ref="AJ147:AJ178" si="740">SUM(J147:AI147)</f>
        <v>0.99999999999999978</v>
      </c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M147" s="26">
        <f t="shared" si="657"/>
        <v>93844.624999999913</v>
      </c>
      <c r="BN147" s="26">
        <f t="shared" si="658"/>
        <v>29409.996438746468</v>
      </c>
      <c r="BO147" s="26">
        <f t="shared" si="659"/>
        <v>29409.996438746446</v>
      </c>
      <c r="BP147" s="26">
        <f t="shared" si="660"/>
        <v>18715.452279202287</v>
      </c>
      <c r="BQ147" s="26">
        <f t="shared" si="661"/>
        <v>82882.717236467404</v>
      </c>
      <c r="BR147" s="26">
        <f t="shared" si="662"/>
        <v>80209.081196581421</v>
      </c>
      <c r="BS147" s="26">
        <f t="shared" si="663"/>
        <v>117639.98575498587</v>
      </c>
      <c r="BT147" s="26">
        <f t="shared" si="664"/>
        <v>0</v>
      </c>
      <c r="BU147" s="26">
        <f t="shared" si="665"/>
        <v>53472.720797720831</v>
      </c>
      <c r="BV147" s="26">
        <f t="shared" si="666"/>
        <v>58819.992877492936</v>
      </c>
      <c r="BW147" s="26">
        <f t="shared" si="667"/>
        <v>795389.50364999985</v>
      </c>
      <c r="BX147" s="26">
        <f t="shared" si="668"/>
        <v>122987.25783475784</v>
      </c>
      <c r="BY147" s="26">
        <f t="shared" si="669"/>
        <v>37430.904558404574</v>
      </c>
      <c r="BZ147" s="26">
        <f t="shared" si="670"/>
        <v>374309.04558404605</v>
      </c>
      <c r="CA147" s="26">
        <f t="shared" si="671"/>
        <v>197849.06695156617</v>
      </c>
      <c r="CB147" s="26">
        <f t="shared" si="672"/>
        <v>371635.40954415954</v>
      </c>
      <c r="CC147" s="26">
        <f t="shared" si="673"/>
        <v>69514.537037037109</v>
      </c>
      <c r="CD147" s="26">
        <f t="shared" si="674"/>
        <v>237953.60754985712</v>
      </c>
      <c r="CE147" s="26">
        <f t="shared" si="675"/>
        <v>197849.06695156617</v>
      </c>
      <c r="CF147" s="26">
        <f t="shared" si="676"/>
        <v>82882.717236467346</v>
      </c>
      <c r="CG147" s="26">
        <f t="shared" si="677"/>
        <v>128334.52991452995</v>
      </c>
      <c r="CH147" s="26">
        <f t="shared" si="678"/>
        <v>114966.34971509955</v>
      </c>
      <c r="CI147" s="26">
        <f t="shared" si="679"/>
        <v>82882.717236467375</v>
      </c>
      <c r="CJ147" s="26">
        <f t="shared" si="680"/>
        <v>17.218216097323516</v>
      </c>
      <c r="CK147" s="26">
        <f t="shared" si="681"/>
        <v>375378.49999999994</v>
      </c>
      <c r="CL147" s="26">
        <f t="shared" si="682"/>
        <v>0</v>
      </c>
      <c r="CM147" s="110">
        <f t="shared" si="683"/>
        <v>1.0000000000000002</v>
      </c>
      <c r="CN147" s="27">
        <f t="shared" si="684"/>
        <v>63839.874999999942</v>
      </c>
      <c r="CO147" s="27">
        <f t="shared" si="685"/>
        <v>20006.798433048451</v>
      </c>
      <c r="CP147" s="27">
        <f t="shared" si="686"/>
        <v>20006.79843304844</v>
      </c>
      <c r="CQ147" s="27">
        <f t="shared" si="687"/>
        <v>12731.599002849009</v>
      </c>
      <c r="CR147" s="27">
        <f t="shared" si="688"/>
        <v>56382.7955840457</v>
      </c>
      <c r="CS147" s="27">
        <f t="shared" si="689"/>
        <v>54563.995726495879</v>
      </c>
      <c r="CT147" s="27">
        <f t="shared" si="690"/>
        <v>80027.193732193802</v>
      </c>
      <c r="CU147" s="27">
        <f t="shared" si="691"/>
        <v>0</v>
      </c>
      <c r="CV147" s="27">
        <f t="shared" si="692"/>
        <v>36375.997150997173</v>
      </c>
      <c r="CW147" s="27">
        <f t="shared" si="693"/>
        <v>40013.596866096901</v>
      </c>
      <c r="CX147" s="27">
        <f t="shared" si="694"/>
        <v>541081.24454999994</v>
      </c>
      <c r="CY147" s="27">
        <f t="shared" si="695"/>
        <v>83664.793447293443</v>
      </c>
      <c r="CZ147" s="27">
        <f t="shared" si="696"/>
        <v>25463.198005698014</v>
      </c>
      <c r="DA147" s="27">
        <f t="shared" si="697"/>
        <v>254631.98005698039</v>
      </c>
      <c r="DB147" s="27">
        <f t="shared" si="698"/>
        <v>134591.18945868892</v>
      </c>
      <c r="DC147" s="27">
        <f t="shared" si="699"/>
        <v>252813.18019943021</v>
      </c>
      <c r="DD147" s="27">
        <f t="shared" si="700"/>
        <v>47288.79629629635</v>
      </c>
      <c r="DE147" s="27">
        <f t="shared" si="701"/>
        <v>161873.18732193703</v>
      </c>
      <c r="DF147" s="27">
        <f t="shared" si="702"/>
        <v>134591.18945868892</v>
      </c>
      <c r="DG147" s="27">
        <f t="shared" si="703"/>
        <v>56382.795584045663</v>
      </c>
      <c r="DH147" s="27">
        <f t="shared" si="704"/>
        <v>87302.393162393186</v>
      </c>
      <c r="DI147" s="27">
        <f t="shared" si="705"/>
        <v>78208.393874643763</v>
      </c>
      <c r="DJ147" s="27">
        <f t="shared" si="706"/>
        <v>56382.795584045678</v>
      </c>
      <c r="DK147" s="27">
        <f t="shared" si="707"/>
        <v>11.713071082932252</v>
      </c>
      <c r="DL147" s="27">
        <f t="shared" si="708"/>
        <v>255359.49999999997</v>
      </c>
      <c r="DM147" s="27">
        <f t="shared" si="709"/>
        <v>0</v>
      </c>
      <c r="DN147" s="110">
        <f t="shared" si="710"/>
        <v>0.99999999999999978</v>
      </c>
      <c r="DO147" s="28">
        <f t="shared" si="518"/>
        <v>30004.749999999971</v>
      </c>
      <c r="DP147" s="28">
        <f t="shared" si="519"/>
        <v>9403.1980056980174</v>
      </c>
      <c r="DQ147" s="28">
        <f t="shared" si="520"/>
        <v>9403.1980056980065</v>
      </c>
      <c r="DR147" s="28">
        <f t="shared" si="521"/>
        <v>5983.8532763532785</v>
      </c>
      <c r="DS147" s="28">
        <f t="shared" si="522"/>
        <v>26499.921652421704</v>
      </c>
      <c r="DT147" s="28">
        <f t="shared" si="523"/>
        <v>25645.085470085542</v>
      </c>
      <c r="DU147" s="28">
        <f t="shared" si="524"/>
        <v>37612.792022792069</v>
      </c>
      <c r="DV147" s="28">
        <f t="shared" si="525"/>
        <v>0</v>
      </c>
      <c r="DW147" s="28">
        <f t="shared" si="526"/>
        <v>17096.723646723658</v>
      </c>
      <c r="DX147" s="28">
        <f t="shared" si="527"/>
        <v>18806.396011396035</v>
      </c>
      <c r="DY147" s="28">
        <f t="shared" si="528"/>
        <v>254308.25909999991</v>
      </c>
      <c r="DZ147" s="28">
        <f t="shared" si="529"/>
        <v>39322.464387464395</v>
      </c>
      <c r="EA147" s="28">
        <f t="shared" si="530"/>
        <v>11967.706552706561</v>
      </c>
      <c r="EB147" s="28">
        <f t="shared" si="531"/>
        <v>119677.06552706566</v>
      </c>
      <c r="EC147" s="28">
        <f t="shared" si="532"/>
        <v>63257.877492877247</v>
      </c>
      <c r="ED147" s="28">
        <f t="shared" si="533"/>
        <v>118822.22934472933</v>
      </c>
      <c r="EE147" s="28">
        <f t="shared" si="534"/>
        <v>22225.740740740759</v>
      </c>
      <c r="EF147" s="28">
        <f t="shared" si="535"/>
        <v>76080.420227920084</v>
      </c>
      <c r="EG147" s="28">
        <f t="shared" si="536"/>
        <v>63257.877492877247</v>
      </c>
      <c r="EH147" s="28">
        <f t="shared" si="537"/>
        <v>26499.921652421683</v>
      </c>
      <c r="EI147" s="28">
        <f t="shared" si="538"/>
        <v>41032.136752136765</v>
      </c>
      <c r="EJ147" s="28">
        <f t="shared" si="539"/>
        <v>36757.95584045579</v>
      </c>
      <c r="EK147" s="28">
        <f t="shared" si="540"/>
        <v>26499.921652421697</v>
      </c>
      <c r="EL147" s="28">
        <f t="shared" si="541"/>
        <v>5.5051450143912639</v>
      </c>
      <c r="EM147" s="28">
        <f t="shared" si="542"/>
        <v>120018.99999999997</v>
      </c>
      <c r="EN147" s="28">
        <f t="shared" si="543"/>
        <v>0</v>
      </c>
      <c r="EQ147" s="144">
        <v>4.2719838396118537E-2</v>
      </c>
      <c r="ER147" s="144">
        <v>6.2759038709721035E-2</v>
      </c>
      <c r="ES147" s="144">
        <v>7.2780598882202424E-2</v>
      </c>
      <c r="ET147" s="144">
        <v>7.8522811545080992E-2</v>
      </c>
      <c r="EU147" s="144">
        <v>7.8522811545080992E-2</v>
      </c>
      <c r="EV147" s="144">
        <v>7.8522811545080992E-2</v>
      </c>
      <c r="EW147" s="144">
        <v>8.8177185417483331E-2</v>
      </c>
      <c r="EX147" s="144">
        <v>9.0180321442571529E-2</v>
      </c>
      <c r="EY147" s="144">
        <v>0.10019992159937277</v>
      </c>
      <c r="EZ147" s="144">
        <v>9.7195217561740502E-2</v>
      </c>
      <c r="FA147" s="144">
        <v>0.10019992159937277</v>
      </c>
      <c r="FB147" s="144">
        <v>0.11021952175617403</v>
      </c>
      <c r="FC147" s="145">
        <f t="shared" si="544"/>
        <v>0.99999999999999989</v>
      </c>
      <c r="FD147" s="146">
        <f t="shared" si="545"/>
        <v>0.17825947598804198</v>
      </c>
      <c r="FE147" s="146">
        <f t="shared" si="546"/>
        <v>0.23556843463524296</v>
      </c>
      <c r="FF147" s="146">
        <f t="shared" si="547"/>
        <v>0.27855742845942766</v>
      </c>
      <c r="FG147" s="146">
        <f t="shared" si="548"/>
        <v>0.30761466091728729</v>
      </c>
      <c r="FH147" s="145">
        <f t="shared" si="655"/>
        <v>0.99999999999999989</v>
      </c>
      <c r="FJ147" s="52">
        <f t="shared" si="549"/>
        <v>16728.69367679429</v>
      </c>
      <c r="FK147" s="52">
        <f t="shared" si="550"/>
        <v>5242.610553981126</v>
      </c>
      <c r="FL147" s="52">
        <f t="shared" si="551"/>
        <v>5242.6105539811224</v>
      </c>
      <c r="FM147" s="52">
        <f t="shared" si="552"/>
        <v>3336.2067161698055</v>
      </c>
      <c r="FN147" s="52">
        <f t="shared" si="553"/>
        <v>14774.629743037734</v>
      </c>
      <c r="FO147" s="52">
        <f t="shared" si="554"/>
        <v>14298.028783584916</v>
      </c>
      <c r="FP147" s="52">
        <f t="shared" si="555"/>
        <v>20970.442215924504</v>
      </c>
      <c r="FQ147" s="52">
        <f t="shared" si="556"/>
        <v>0</v>
      </c>
      <c r="FR147" s="52">
        <f t="shared" si="557"/>
        <v>9532.0191890565893</v>
      </c>
      <c r="FS147" s="52">
        <f t="shared" si="558"/>
        <v>10485.221107962252</v>
      </c>
      <c r="FT147" s="52">
        <f t="shared" si="559"/>
        <v>141785.71612703777</v>
      </c>
      <c r="FU147" s="52">
        <f t="shared" si="560"/>
        <v>21923.644134830141</v>
      </c>
      <c r="FV147" s="52">
        <f t="shared" si="561"/>
        <v>6672.4134323396111</v>
      </c>
      <c r="FW147" s="52">
        <f t="shared" si="562"/>
        <v>66724.134323396167</v>
      </c>
      <c r="FX147" s="52">
        <f t="shared" si="563"/>
        <v>35268.47099950922</v>
      </c>
      <c r="FY147" s="52">
        <f t="shared" si="564"/>
        <v>66247.53336394325</v>
      </c>
      <c r="FZ147" s="52">
        <f t="shared" si="565"/>
        <v>12391.624945773572</v>
      </c>
      <c r="GA147" s="52">
        <f t="shared" si="566"/>
        <v>42417.485391301721</v>
      </c>
      <c r="GB147" s="52">
        <f t="shared" si="567"/>
        <v>35268.47099950922</v>
      </c>
      <c r="GC147" s="52">
        <f t="shared" si="568"/>
        <v>14774.629743037724</v>
      </c>
      <c r="GD147" s="52">
        <f t="shared" si="569"/>
        <v>22876.846053735808</v>
      </c>
      <c r="GE147" s="52">
        <f t="shared" si="570"/>
        <v>20493.841256471627</v>
      </c>
      <c r="GF147" s="52">
        <f t="shared" si="571"/>
        <v>14774.629743037729</v>
      </c>
      <c r="GG147" s="52">
        <f t="shared" si="572"/>
        <v>3.0693101789577595</v>
      </c>
      <c r="GH147" s="52">
        <f t="shared" si="573"/>
        <v>66914.774707177203</v>
      </c>
      <c r="GI147" s="52">
        <f t="shared" si="574"/>
        <v>0</v>
      </c>
      <c r="GJ147" s="26"/>
      <c r="GL147" s="150">
        <f t="shared" si="575"/>
        <v>22106.831410181367</v>
      </c>
      <c r="GM147" s="150">
        <f t="shared" si="576"/>
        <v>6928.0668237035752</v>
      </c>
      <c r="GN147" s="150">
        <f t="shared" si="577"/>
        <v>6928.0668237035707</v>
      </c>
      <c r="GO147" s="150">
        <f t="shared" si="578"/>
        <v>4408.7697969022729</v>
      </c>
      <c r="GP147" s="150">
        <f t="shared" si="579"/>
        <v>19524.551957710097</v>
      </c>
      <c r="GQ147" s="150">
        <f t="shared" si="580"/>
        <v>18894.727701009786</v>
      </c>
      <c r="GR147" s="150">
        <f t="shared" si="581"/>
        <v>27712.267294814301</v>
      </c>
      <c r="GS147" s="150">
        <f t="shared" si="582"/>
        <v>0</v>
      </c>
      <c r="GT147" s="150">
        <f t="shared" si="583"/>
        <v>12596.485134006496</v>
      </c>
      <c r="GU147" s="150">
        <f t="shared" si="584"/>
        <v>13856.13364740715</v>
      </c>
      <c r="GV147" s="150">
        <f t="shared" si="585"/>
        <v>187368.66030013334</v>
      </c>
      <c r="GW147" s="150">
        <f t="shared" si="586"/>
        <v>28971.915808214926</v>
      </c>
      <c r="GX147" s="150">
        <f t="shared" si="587"/>
        <v>8817.5395938045458</v>
      </c>
      <c r="GY147" s="150">
        <f t="shared" si="588"/>
        <v>88175.395938045534</v>
      </c>
      <c r="GZ147" s="150">
        <f t="shared" si="589"/>
        <v>46606.994995823821</v>
      </c>
      <c r="HA147" s="150">
        <f t="shared" si="590"/>
        <v>87545.5716813451</v>
      </c>
      <c r="HB147" s="150">
        <f t="shared" si="591"/>
        <v>16375.430674208452</v>
      </c>
      <c r="HC147" s="150">
        <f t="shared" si="592"/>
        <v>56054.358846328774</v>
      </c>
      <c r="HD147" s="150">
        <f t="shared" si="593"/>
        <v>46606.994995823821</v>
      </c>
      <c r="HE147" s="150">
        <f t="shared" si="594"/>
        <v>19524.551957710082</v>
      </c>
      <c r="HF147" s="150">
        <f t="shared" si="595"/>
        <v>30231.56432161558</v>
      </c>
      <c r="HG147" s="150">
        <f t="shared" si="596"/>
        <v>27082.443038113914</v>
      </c>
      <c r="HH147" s="150">
        <f t="shared" si="597"/>
        <v>19524.551957710089</v>
      </c>
      <c r="HI147" s="150">
        <f t="shared" si="598"/>
        <v>4.0560682132578432</v>
      </c>
      <c r="HJ147" s="150">
        <f t="shared" si="599"/>
        <v>88427.325640725539</v>
      </c>
      <c r="HK147" s="150">
        <f t="shared" si="600"/>
        <v>0</v>
      </c>
      <c r="HL147" s="26"/>
      <c r="HN147" s="147">
        <f t="shared" si="601"/>
        <v>26141.117414739292</v>
      </c>
      <c r="HO147" s="147">
        <f t="shared" si="602"/>
        <v>8192.372978978141</v>
      </c>
      <c r="HP147" s="147">
        <f t="shared" si="603"/>
        <v>8192.3729789781355</v>
      </c>
      <c r="HQ147" s="147">
        <f t="shared" si="604"/>
        <v>5213.3282593497233</v>
      </c>
      <c r="HR147" s="147">
        <f t="shared" si="605"/>
        <v>23087.596577120239</v>
      </c>
      <c r="HS147" s="147">
        <f t="shared" si="606"/>
        <v>22342.835397213152</v>
      </c>
      <c r="HT147" s="147">
        <f t="shared" si="607"/>
        <v>32769.491915912564</v>
      </c>
      <c r="HU147" s="147">
        <f t="shared" si="608"/>
        <v>0</v>
      </c>
      <c r="HV147" s="147">
        <f t="shared" si="609"/>
        <v>14895.223598142069</v>
      </c>
      <c r="HW147" s="147">
        <f t="shared" si="610"/>
        <v>16384.745957956282</v>
      </c>
      <c r="HX147" s="147">
        <f t="shared" si="611"/>
        <v>221561.6547603645</v>
      </c>
      <c r="HY147" s="147">
        <f t="shared" si="612"/>
        <v>34259.014275726739</v>
      </c>
      <c r="HZ147" s="147">
        <f t="shared" si="613"/>
        <v>10426.656518699447</v>
      </c>
      <c r="IA147" s="147">
        <f t="shared" si="614"/>
        <v>104266.56518699456</v>
      </c>
      <c r="IB147" s="147">
        <f t="shared" si="615"/>
        <v>55112.32731312541</v>
      </c>
      <c r="IC147" s="147">
        <f t="shared" si="616"/>
        <v>103521.80400708732</v>
      </c>
      <c r="ID147" s="147">
        <f t="shared" si="617"/>
        <v>19363.7906775847</v>
      </c>
      <c r="IE147" s="147">
        <f t="shared" si="618"/>
        <v>66283.745011732055</v>
      </c>
      <c r="IF147" s="147">
        <f t="shared" si="619"/>
        <v>55112.32731312541</v>
      </c>
      <c r="IG147" s="147">
        <f t="shared" si="620"/>
        <v>23087.596577120225</v>
      </c>
      <c r="IH147" s="147">
        <f t="shared" si="621"/>
        <v>35748.536635540957</v>
      </c>
      <c r="II147" s="147">
        <f t="shared" si="622"/>
        <v>32024.730736005386</v>
      </c>
      <c r="IJ147" s="147">
        <f t="shared" si="623"/>
        <v>23087.596577120232</v>
      </c>
      <c r="IK147" s="147">
        <f t="shared" si="624"/>
        <v>4.796261998729161</v>
      </c>
      <c r="IL147" s="147">
        <f t="shared" si="625"/>
        <v>104564.46965895726</v>
      </c>
      <c r="IM147" s="147">
        <f t="shared" si="626"/>
        <v>0</v>
      </c>
      <c r="IN147" s="26"/>
      <c r="IP147" s="61">
        <f t="shared" si="627"/>
        <v>28867.982498284953</v>
      </c>
      <c r="IQ147" s="61">
        <f t="shared" si="628"/>
        <v>9046.9460820836211</v>
      </c>
      <c r="IR147" s="61">
        <f t="shared" si="629"/>
        <v>9046.9460820836139</v>
      </c>
      <c r="IS147" s="61">
        <f t="shared" si="630"/>
        <v>5757.1475067804831</v>
      </c>
      <c r="IT147" s="61">
        <f t="shared" si="631"/>
        <v>25495.938958599323</v>
      </c>
      <c r="IU147" s="61">
        <f t="shared" si="632"/>
        <v>24673.489314773557</v>
      </c>
      <c r="IV147" s="61">
        <f t="shared" si="633"/>
        <v>36187.784328334485</v>
      </c>
      <c r="IW147" s="61">
        <f t="shared" si="634"/>
        <v>0</v>
      </c>
      <c r="IX147" s="61">
        <f t="shared" si="635"/>
        <v>16448.992876515669</v>
      </c>
      <c r="IY147" s="61">
        <f t="shared" si="636"/>
        <v>18093.892164167242</v>
      </c>
      <c r="IZ147" s="61">
        <f t="shared" si="637"/>
        <v>244673.47246246415</v>
      </c>
      <c r="JA147" s="61">
        <f t="shared" si="638"/>
        <v>37832.683615986018</v>
      </c>
      <c r="JB147" s="61">
        <f t="shared" si="639"/>
        <v>11514.295013560966</v>
      </c>
      <c r="JC147" s="61">
        <f t="shared" si="640"/>
        <v>115142.95013560976</v>
      </c>
      <c r="JD147" s="61">
        <f t="shared" si="641"/>
        <v>60861.273643107699</v>
      </c>
      <c r="JE147" s="61">
        <f t="shared" si="642"/>
        <v>114320.50049178382</v>
      </c>
      <c r="JF147" s="61">
        <f t="shared" si="643"/>
        <v>21383.690739470378</v>
      </c>
      <c r="JG147" s="61">
        <f t="shared" si="644"/>
        <v>73198.018300494543</v>
      </c>
      <c r="JH147" s="61">
        <f t="shared" si="645"/>
        <v>60861.273643107699</v>
      </c>
      <c r="JI147" s="61">
        <f t="shared" si="646"/>
        <v>25495.938958599305</v>
      </c>
      <c r="JJ147" s="61">
        <f t="shared" si="647"/>
        <v>39477.582903637594</v>
      </c>
      <c r="JK147" s="61">
        <f t="shared" si="648"/>
        <v>35365.33468450862</v>
      </c>
      <c r="JL147" s="61">
        <f t="shared" si="649"/>
        <v>25495.938958599312</v>
      </c>
      <c r="JM147" s="61">
        <f t="shared" si="650"/>
        <v>5.2965757063787509</v>
      </c>
      <c r="JN147" s="61">
        <f t="shared" si="651"/>
        <v>115471.92999313991</v>
      </c>
      <c r="JO147" s="61">
        <f t="shared" si="652"/>
        <v>0</v>
      </c>
      <c r="JQ147" s="26">
        <f t="shared" si="711"/>
        <v>3753784.9999999981</v>
      </c>
      <c r="JR147" s="156">
        <f t="shared" si="712"/>
        <v>0.99999999999999956</v>
      </c>
      <c r="JT147" s="157">
        <f t="shared" si="653"/>
        <v>93844.624999999913</v>
      </c>
      <c r="JU147" s="29">
        <f t="shared" si="654"/>
        <v>1</v>
      </c>
    </row>
    <row r="148" spans="1:281" ht="18.75" x14ac:dyDescent="0.3">
      <c r="A148" t="s">
        <v>234</v>
      </c>
      <c r="B148" s="10" t="s">
        <v>9</v>
      </c>
      <c r="C148" t="s">
        <v>33</v>
      </c>
      <c r="D148" s="107" t="s">
        <v>25</v>
      </c>
      <c r="E148" t="s">
        <v>34</v>
      </c>
      <c r="F148" s="114"/>
      <c r="G148" s="108">
        <v>13000093</v>
      </c>
      <c r="H148" s="21">
        <v>5936116</v>
      </c>
      <c r="I148" s="25">
        <f t="shared" si="713"/>
        <v>2.1899998248012675</v>
      </c>
      <c r="J148" s="105">
        <v>6.6666665228572505E-3</v>
      </c>
      <c r="K148" s="105">
        <v>6.6666665228572505E-3</v>
      </c>
      <c r="L148" s="105">
        <v>7.7777776100000865E-3</v>
      </c>
      <c r="M148" s="105">
        <v>1.111111087142871E-3</v>
      </c>
      <c r="N148" s="105">
        <v>1.1111110871428727E-3</v>
      </c>
      <c r="O148" s="105">
        <v>1.3333333045714501E-2</v>
      </c>
      <c r="P148" s="105">
        <v>2.8632461420845363E-2</v>
      </c>
      <c r="Q148" s="105">
        <v>5.5555554357143554E-3</v>
      </c>
      <c r="R148" s="105">
        <v>2.2222221742857406E-3</v>
      </c>
      <c r="S148" s="105">
        <v>5.555555435714371E-3</v>
      </c>
      <c r="T148" s="105">
        <v>0.53555554400286309</v>
      </c>
      <c r="U148" s="105">
        <v>9.9999997842858523E-3</v>
      </c>
      <c r="V148" s="105">
        <v>0</v>
      </c>
      <c r="W148" s="105">
        <v>8.9999998058572686E-2</v>
      </c>
      <c r="X148" s="105">
        <v>2.2051402284797707E-2</v>
      </c>
      <c r="Y148" s="105">
        <v>1.9316156355774248E-2</v>
      </c>
      <c r="Z148" s="105">
        <v>8.8888886971429763E-3</v>
      </c>
      <c r="AA148" s="105">
        <v>4.2222221311429151E-2</v>
      </c>
      <c r="AB148" s="105">
        <v>1.1111110871428736E-3</v>
      </c>
      <c r="AC148" s="105">
        <v>2.2222221742857454E-3</v>
      </c>
      <c r="AD148" s="105">
        <v>6.6666665228572349E-3</v>
      </c>
      <c r="AE148" s="105">
        <v>9.9999997842858471E-3</v>
      </c>
      <c r="AF148" s="105">
        <v>7.7777776100000822E-3</v>
      </c>
      <c r="AG148" s="105">
        <v>0</v>
      </c>
      <c r="AH148" s="105">
        <v>0.16555555198428781</v>
      </c>
      <c r="AJ148" s="8">
        <f t="shared" si="740"/>
        <v>1</v>
      </c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M148" s="26">
        <f t="shared" ref="BM148:BM179" si="741">$G148*J148</f>
        <v>86667.28479713088</v>
      </c>
      <c r="BN148" s="26">
        <f t="shared" ref="BN148:BN179" si="742">$G148*K148</f>
        <v>86667.28479713088</v>
      </c>
      <c r="BO148" s="26">
        <f t="shared" ref="BO148:BO179" si="743">$G148*L148</f>
        <v>101111.83226331885</v>
      </c>
      <c r="BP148" s="26">
        <f t="shared" ref="BP148:BP179" si="744">$G148*M148</f>
        <v>14444.547466188427</v>
      </c>
      <c r="BQ148" s="26">
        <f t="shared" ref="BQ148:BQ179" si="745">$G148*N148</f>
        <v>14444.547466188449</v>
      </c>
      <c r="BR148" s="26">
        <f t="shared" ref="BR148:BR179" si="746">$G148*O148</f>
        <v>173334.56959426176</v>
      </c>
      <c r="BS148" s="26">
        <f t="shared" ref="BS148:BS179" si="747">$G148*P148</f>
        <v>372224.66128990188</v>
      </c>
      <c r="BT148" s="26">
        <f t="shared" ref="BT148:BT179" si="748">$G148*Q148</f>
        <v>72222.737330942138</v>
      </c>
      <c r="BU148" s="26">
        <f t="shared" ref="BU148:BU179" si="749">$G148*R148</f>
        <v>28889.094932376836</v>
      </c>
      <c r="BV148" s="26">
        <f t="shared" ref="BV148:BV179" si="750">$G148*S148</f>
        <v>72222.737330942342</v>
      </c>
      <c r="BW148" s="26">
        <f t="shared" ref="BW148:BW179" si="751">$G148*T148</f>
        <v>6962271.8787028128</v>
      </c>
      <c r="BX148" s="26">
        <f t="shared" ref="BX148:BX179" si="752">$G148*U148</f>
        <v>130000.92719569601</v>
      </c>
      <c r="BY148" s="26">
        <f t="shared" ref="BY148:BY179" si="753">$G148*V148</f>
        <v>0</v>
      </c>
      <c r="BZ148" s="26">
        <f t="shared" ref="BZ148:BZ179" si="754">$G148*W148</f>
        <v>1170008.3447612643</v>
      </c>
      <c r="CA148" s="26">
        <f t="shared" ref="CA148:CA179" si="755">$G148*X148</f>
        <v>286670.28048278269</v>
      </c>
      <c r="CB148" s="26">
        <f t="shared" ref="CB148:CB179" si="756">$G148*Y148</f>
        <v>251111.82902760632</v>
      </c>
      <c r="CC148" s="26">
        <f t="shared" ref="CC148:CC179" si="757">$G148*Z148</f>
        <v>115556.37972950752</v>
      </c>
      <c r="CD148" s="26">
        <f t="shared" ref="CD148:CD179" si="758">$G148*AA148</f>
        <v>548892.80371516093</v>
      </c>
      <c r="CE148" s="26">
        <f t="shared" ref="CE148:CE179" si="759">$G148*AB148</f>
        <v>14444.54746618846</v>
      </c>
      <c r="CF148" s="26">
        <f t="shared" ref="CF148:CF179" si="760">$G148*AC148</f>
        <v>28889.094932376898</v>
      </c>
      <c r="CG148" s="26">
        <f t="shared" ref="CG148:CG179" si="761">$G148*AD148</f>
        <v>86667.284797130676</v>
      </c>
      <c r="CH148" s="26">
        <f t="shared" ref="CH148:CH179" si="762">$G148*AE148</f>
        <v>130000.92719569596</v>
      </c>
      <c r="CI148" s="26">
        <f t="shared" ref="CI148:CI179" si="763">$G148*AF148</f>
        <v>101111.83226331879</v>
      </c>
      <c r="CJ148" s="26">
        <f t="shared" ref="CJ148:CJ179" si="764">$G148*AG148</f>
        <v>0</v>
      </c>
      <c r="CK148" s="26">
        <f t="shared" ref="CK148:CK179" si="765">$G148*AH148</f>
        <v>2152237.5724620763</v>
      </c>
      <c r="CL148" s="26">
        <f t="shared" ref="CL148:CL179" si="766">$G148*AI148</f>
        <v>0</v>
      </c>
      <c r="CM148" s="110">
        <f t="shared" ref="CM148:CM179" si="767">SUM(BM148:CL148)/G148</f>
        <v>0.99999999999999989</v>
      </c>
      <c r="CN148" s="27">
        <f t="shared" si="684"/>
        <v>39574.105812997288</v>
      </c>
      <c r="CO148" s="27">
        <f t="shared" si="685"/>
        <v>39574.105812997288</v>
      </c>
      <c r="CP148" s="27">
        <f t="shared" si="686"/>
        <v>46169.790115163276</v>
      </c>
      <c r="CQ148" s="27">
        <f t="shared" si="687"/>
        <v>6595.6843021661907</v>
      </c>
      <c r="CR148" s="27">
        <f t="shared" si="688"/>
        <v>6595.6843021662007</v>
      </c>
      <c r="CS148" s="27">
        <f t="shared" si="689"/>
        <v>79148.211625994576</v>
      </c>
      <c r="CT148" s="27">
        <f t="shared" si="690"/>
        <v>169965.61235966289</v>
      </c>
      <c r="CU148" s="27">
        <f t="shared" si="691"/>
        <v>32978.421510830958</v>
      </c>
      <c r="CV148" s="27">
        <f t="shared" si="692"/>
        <v>13191.368604332374</v>
      </c>
      <c r="CW148" s="27">
        <f t="shared" si="693"/>
        <v>32978.421510831053</v>
      </c>
      <c r="CX148" s="27">
        <f t="shared" si="694"/>
        <v>3179119.8336440995</v>
      </c>
      <c r="CY148" s="27">
        <f t="shared" si="695"/>
        <v>59361.158719495797</v>
      </c>
      <c r="CZ148" s="27">
        <f t="shared" si="696"/>
        <v>0</v>
      </c>
      <c r="DA148" s="27">
        <f t="shared" si="697"/>
        <v>534250.42847546225</v>
      </c>
      <c r="DB148" s="27">
        <f t="shared" si="698"/>
        <v>130899.68192522423</v>
      </c>
      <c r="DC148" s="27">
        <f t="shared" si="699"/>
        <v>114662.94480201321</v>
      </c>
      <c r="DD148" s="27">
        <f t="shared" si="700"/>
        <v>52765.474417329577</v>
      </c>
      <c r="DE148" s="27">
        <f t="shared" si="701"/>
        <v>250636.00348231557</v>
      </c>
      <c r="DF148" s="27">
        <f t="shared" si="702"/>
        <v>6595.6843021662062</v>
      </c>
      <c r="DG148" s="27">
        <f t="shared" si="703"/>
        <v>13191.368604332401</v>
      </c>
      <c r="DH148" s="27">
        <f t="shared" si="704"/>
        <v>39574.105812997201</v>
      </c>
      <c r="DI148" s="27">
        <f t="shared" si="705"/>
        <v>59361.158719495768</v>
      </c>
      <c r="DJ148" s="27">
        <f t="shared" si="706"/>
        <v>46169.790115163247</v>
      </c>
      <c r="DK148" s="27">
        <f t="shared" si="707"/>
        <v>0</v>
      </c>
      <c r="DL148" s="27">
        <f t="shared" si="708"/>
        <v>982756.96102276258</v>
      </c>
      <c r="DM148" s="27">
        <f t="shared" si="709"/>
        <v>0</v>
      </c>
      <c r="DN148" s="110">
        <f t="shared" ref="DN148:DN179" si="768">SUM(CN148:DM148)/H148</f>
        <v>1</v>
      </c>
      <c r="DO148" s="28">
        <f t="shared" si="518"/>
        <v>47093.178984133592</v>
      </c>
      <c r="DP148" s="28">
        <f t="shared" si="519"/>
        <v>47093.178984133592</v>
      </c>
      <c r="DQ148" s="28">
        <f t="shared" si="520"/>
        <v>54942.042148155575</v>
      </c>
      <c r="DR148" s="28">
        <f t="shared" si="521"/>
        <v>7848.8631640222366</v>
      </c>
      <c r="DS148" s="28">
        <f t="shared" si="522"/>
        <v>7848.8631640222484</v>
      </c>
      <c r="DT148" s="28">
        <f t="shared" si="523"/>
        <v>94186.357968267184</v>
      </c>
      <c r="DU148" s="28">
        <f t="shared" si="524"/>
        <v>202259.04893023899</v>
      </c>
      <c r="DV148" s="28">
        <f t="shared" si="525"/>
        <v>39244.31582011118</v>
      </c>
      <c r="DW148" s="28">
        <f t="shared" si="526"/>
        <v>15697.726328044462</v>
      </c>
      <c r="DX148" s="28">
        <f t="shared" si="527"/>
        <v>39244.315820111289</v>
      </c>
      <c r="DY148" s="28">
        <f t="shared" si="528"/>
        <v>3783152.0450587133</v>
      </c>
      <c r="DZ148" s="28">
        <f t="shared" si="529"/>
        <v>70639.768476200217</v>
      </c>
      <c r="EA148" s="28">
        <f t="shared" si="530"/>
        <v>0</v>
      </c>
      <c r="EB148" s="28">
        <f t="shared" si="531"/>
        <v>635757.91628580203</v>
      </c>
      <c r="EC148" s="28">
        <f t="shared" si="532"/>
        <v>155770.59855755846</v>
      </c>
      <c r="ED148" s="28">
        <f t="shared" si="533"/>
        <v>136448.88422559312</v>
      </c>
      <c r="EE148" s="28">
        <f t="shared" si="534"/>
        <v>62790.905312177943</v>
      </c>
      <c r="EF148" s="28">
        <f t="shared" si="535"/>
        <v>298256.80023284536</v>
      </c>
      <c r="EG148" s="28">
        <f t="shared" si="536"/>
        <v>7848.8631640222538</v>
      </c>
      <c r="EH148" s="28">
        <f t="shared" si="537"/>
        <v>15697.726328044497</v>
      </c>
      <c r="EI148" s="28">
        <f t="shared" si="538"/>
        <v>47093.178984133476</v>
      </c>
      <c r="EJ148" s="28">
        <f t="shared" si="539"/>
        <v>70639.768476200188</v>
      </c>
      <c r="EK148" s="28">
        <f t="shared" si="540"/>
        <v>54942.042148155546</v>
      </c>
      <c r="EL148" s="28">
        <f t="shared" si="541"/>
        <v>0</v>
      </c>
      <c r="EM148" s="28">
        <f t="shared" si="542"/>
        <v>1169480.6114393137</v>
      </c>
      <c r="EN148" s="28">
        <f t="shared" si="543"/>
        <v>0</v>
      </c>
      <c r="EQ148" s="144">
        <v>4.2719516637960211E-2</v>
      </c>
      <c r="ER148" s="144">
        <v>6.2760274536966115E-2</v>
      </c>
      <c r="ES148" s="144">
        <v>7.2779915029826558E-2</v>
      </c>
      <c r="ET148" s="144">
        <v>7.8523302599071323E-2</v>
      </c>
      <c r="EU148" s="144">
        <v>7.8523302599071323E-2</v>
      </c>
      <c r="EV148" s="144">
        <v>7.8523302599071323E-2</v>
      </c>
      <c r="EW148" s="144">
        <v>8.817579077912252E-2</v>
      </c>
      <c r="EX148" s="144">
        <v>9.0179718262314093E-2</v>
      </c>
      <c r="EY148" s="144">
        <v>0.10020083566845953</v>
      </c>
      <c r="EZ148" s="144">
        <v>9.7194205602416858E-2</v>
      </c>
      <c r="FA148" s="144">
        <v>0.10020083566845953</v>
      </c>
      <c r="FB148" s="144">
        <v>0.11021900001726066</v>
      </c>
      <c r="FC148" s="145">
        <f t="shared" si="544"/>
        <v>1</v>
      </c>
      <c r="FD148" s="146">
        <f t="shared" si="545"/>
        <v>0.1782597062047529</v>
      </c>
      <c r="FE148" s="146">
        <f t="shared" si="546"/>
        <v>0.23556990779721398</v>
      </c>
      <c r="FF148" s="146">
        <f t="shared" si="547"/>
        <v>0.2785563447098961</v>
      </c>
      <c r="FG148" s="146">
        <f t="shared" si="548"/>
        <v>0.30761404128813702</v>
      </c>
      <c r="FH148" s="145">
        <f t="shared" si="655"/>
        <v>1</v>
      </c>
      <c r="FJ148" s="52">
        <f t="shared" si="549"/>
        <v>15449.284725500198</v>
      </c>
      <c r="FK148" s="52">
        <f t="shared" si="550"/>
        <v>15449.284725500198</v>
      </c>
      <c r="FL148" s="52">
        <f t="shared" si="551"/>
        <v>18024.165513083473</v>
      </c>
      <c r="FM148" s="52">
        <f t="shared" si="552"/>
        <v>2574.8807875833568</v>
      </c>
      <c r="FN148" s="52">
        <f t="shared" si="553"/>
        <v>2574.8807875833609</v>
      </c>
      <c r="FO148" s="52">
        <f t="shared" si="554"/>
        <v>30898.569451000396</v>
      </c>
      <c r="FP148" s="52">
        <f t="shared" si="555"/>
        <v>66352.658763701562</v>
      </c>
      <c r="FQ148" s="52">
        <f t="shared" si="556"/>
        <v>12874.403937916784</v>
      </c>
      <c r="FR148" s="52">
        <f t="shared" si="557"/>
        <v>5149.7615751667108</v>
      </c>
      <c r="FS148" s="52">
        <f t="shared" si="558"/>
        <v>12874.403937916821</v>
      </c>
      <c r="FT148" s="52">
        <f t="shared" si="559"/>
        <v>1241092.5396151764</v>
      </c>
      <c r="FU148" s="52">
        <f t="shared" si="560"/>
        <v>23173.927088250242</v>
      </c>
      <c r="FV148" s="52">
        <f t="shared" si="561"/>
        <v>0</v>
      </c>
      <c r="FW148" s="52">
        <f t="shared" si="562"/>
        <v>208565.3437942522</v>
      </c>
      <c r="FX148" s="52">
        <f t="shared" si="563"/>
        <v>51101.759976494948</v>
      </c>
      <c r="FY148" s="52">
        <f t="shared" si="564"/>
        <v>44763.120866999241</v>
      </c>
      <c r="FZ148" s="52">
        <f t="shared" si="565"/>
        <v>20599.046300666872</v>
      </c>
      <c r="GA148" s="52">
        <f t="shared" si="566"/>
        <v>97845.469928167688</v>
      </c>
      <c r="GB148" s="52">
        <f t="shared" si="567"/>
        <v>2574.8807875833627</v>
      </c>
      <c r="GC148" s="52">
        <f t="shared" si="568"/>
        <v>5149.7615751667217</v>
      </c>
      <c r="GD148" s="52">
        <f t="shared" si="569"/>
        <v>15449.284725500162</v>
      </c>
      <c r="GE148" s="52">
        <f t="shared" si="570"/>
        <v>23173.927088250231</v>
      </c>
      <c r="GF148" s="52">
        <f t="shared" si="571"/>
        <v>18024.165513083462</v>
      </c>
      <c r="GG148" s="52">
        <f t="shared" si="572"/>
        <v>0</v>
      </c>
      <c r="GH148" s="52">
        <f t="shared" si="573"/>
        <v>383657.23734992032</v>
      </c>
      <c r="GI148" s="52">
        <f t="shared" si="574"/>
        <v>0</v>
      </c>
      <c r="GJ148" s="26"/>
      <c r="GL148" s="150">
        <f t="shared" si="575"/>
        <v>20416.204288695008</v>
      </c>
      <c r="GM148" s="150">
        <f t="shared" si="576"/>
        <v>20416.204288695008</v>
      </c>
      <c r="GN148" s="150">
        <f t="shared" si="577"/>
        <v>23818.905003477386</v>
      </c>
      <c r="GO148" s="150">
        <f t="shared" si="578"/>
        <v>3402.7007147824888</v>
      </c>
      <c r="GP148" s="150">
        <f t="shared" si="579"/>
        <v>3402.7007147824938</v>
      </c>
      <c r="GQ148" s="150">
        <f t="shared" si="580"/>
        <v>40832.408577390015</v>
      </c>
      <c r="GR148" s="150">
        <f t="shared" si="581"/>
        <v>87684.929139911386</v>
      </c>
      <c r="GS148" s="150">
        <f t="shared" si="582"/>
        <v>17013.503573912443</v>
      </c>
      <c r="GT148" s="150">
        <f t="shared" si="583"/>
        <v>6805.4014295649731</v>
      </c>
      <c r="GU148" s="150">
        <f t="shared" si="584"/>
        <v>17013.503573912491</v>
      </c>
      <c r="GV148" s="150">
        <f t="shared" si="585"/>
        <v>1640101.7445251574</v>
      </c>
      <c r="GW148" s="150">
        <f t="shared" si="586"/>
        <v>30624.306433042439</v>
      </c>
      <c r="GX148" s="150">
        <f t="shared" si="587"/>
        <v>0</v>
      </c>
      <c r="GY148" s="150">
        <f t="shared" si="588"/>
        <v>275618.75789738196</v>
      </c>
      <c r="GZ148" s="150">
        <f t="shared" si="589"/>
        <v>67530.891541530596</v>
      </c>
      <c r="HA148" s="150">
        <f t="shared" si="590"/>
        <v>59154.390410822984</v>
      </c>
      <c r="HB148" s="150">
        <f t="shared" si="591"/>
        <v>27221.605718259932</v>
      </c>
      <c r="HC148" s="150">
        <f t="shared" si="592"/>
        <v>129302.62716173474</v>
      </c>
      <c r="HD148" s="150">
        <f t="shared" si="593"/>
        <v>3402.7007147824966</v>
      </c>
      <c r="HE148" s="150">
        <f t="shared" si="594"/>
        <v>6805.4014295649877</v>
      </c>
      <c r="HF148" s="150">
        <f t="shared" si="595"/>
        <v>20416.20428869496</v>
      </c>
      <c r="HG148" s="150">
        <f t="shared" si="596"/>
        <v>30624.306433042424</v>
      </c>
      <c r="HH148" s="150">
        <f t="shared" si="597"/>
        <v>23818.905003477375</v>
      </c>
      <c r="HI148" s="150">
        <f t="shared" si="598"/>
        <v>0</v>
      </c>
      <c r="HJ148" s="150">
        <f t="shared" si="599"/>
        <v>507002.40650259098</v>
      </c>
      <c r="HK148" s="150">
        <f t="shared" si="600"/>
        <v>0</v>
      </c>
      <c r="HL148" s="26"/>
      <c r="HN148" s="147">
        <f t="shared" si="601"/>
        <v>24141.722059020329</v>
      </c>
      <c r="HO148" s="147">
        <f t="shared" si="602"/>
        <v>24141.722059020329</v>
      </c>
      <c r="HP148" s="147">
        <f t="shared" si="603"/>
        <v>28165.342402190239</v>
      </c>
      <c r="HQ148" s="147">
        <f t="shared" si="604"/>
        <v>4023.6203431700396</v>
      </c>
      <c r="HR148" s="147">
        <f t="shared" si="605"/>
        <v>4023.620343170046</v>
      </c>
      <c r="HS148" s="147">
        <f t="shared" si="606"/>
        <v>48283.444118040657</v>
      </c>
      <c r="HT148" s="147">
        <f t="shared" si="607"/>
        <v>103685.54105979422</v>
      </c>
      <c r="HU148" s="147">
        <f t="shared" si="608"/>
        <v>20118.1017158502</v>
      </c>
      <c r="HV148" s="147">
        <f t="shared" si="609"/>
        <v>8047.2406863400747</v>
      </c>
      <c r="HW148" s="147">
        <f t="shared" si="610"/>
        <v>20118.101715850255</v>
      </c>
      <c r="HX148" s="147">
        <f t="shared" si="611"/>
        <v>1939385.0054079567</v>
      </c>
      <c r="HY148" s="147">
        <f t="shared" si="612"/>
        <v>36212.583088530402</v>
      </c>
      <c r="HZ148" s="147">
        <f t="shared" si="613"/>
        <v>0</v>
      </c>
      <c r="IA148" s="147">
        <f t="shared" si="614"/>
        <v>325913.24779677368</v>
      </c>
      <c r="IB148" s="147">
        <f t="shared" si="615"/>
        <v>79853.825468244613</v>
      </c>
      <c r="IC148" s="147">
        <f t="shared" si="616"/>
        <v>69948.793207346404</v>
      </c>
      <c r="ID148" s="147">
        <f t="shared" si="617"/>
        <v>32188.962745360346</v>
      </c>
      <c r="IE148" s="147">
        <f t="shared" si="618"/>
        <v>152897.57304046169</v>
      </c>
      <c r="IF148" s="147">
        <f t="shared" si="619"/>
        <v>4023.6203431700487</v>
      </c>
      <c r="IG148" s="147">
        <f t="shared" si="620"/>
        <v>8047.240686340092</v>
      </c>
      <c r="IH148" s="147">
        <f t="shared" si="621"/>
        <v>24141.722059020271</v>
      </c>
      <c r="II148" s="147">
        <f t="shared" si="622"/>
        <v>36212.583088530388</v>
      </c>
      <c r="IJ148" s="147">
        <f t="shared" si="623"/>
        <v>28165.342402190225</v>
      </c>
      <c r="IK148" s="147">
        <f t="shared" si="624"/>
        <v>0</v>
      </c>
      <c r="IL148" s="147">
        <f t="shared" si="625"/>
        <v>599519.43113233615</v>
      </c>
      <c r="IM148" s="147">
        <f t="shared" si="626"/>
        <v>0</v>
      </c>
      <c r="IN148" s="26"/>
      <c r="IP148" s="61">
        <f t="shared" si="627"/>
        <v>26660.07372391535</v>
      </c>
      <c r="IQ148" s="61">
        <f t="shared" si="628"/>
        <v>26660.07372391535</v>
      </c>
      <c r="IR148" s="61">
        <f t="shared" si="629"/>
        <v>31103.419344567748</v>
      </c>
      <c r="IS148" s="61">
        <f t="shared" si="630"/>
        <v>4443.3456206525416</v>
      </c>
      <c r="IT148" s="61">
        <f t="shared" si="631"/>
        <v>4443.3456206525489</v>
      </c>
      <c r="IU148" s="61">
        <f t="shared" si="632"/>
        <v>53320.147447830699</v>
      </c>
      <c r="IV148" s="61">
        <f t="shared" si="633"/>
        <v>114501.53232649469</v>
      </c>
      <c r="IW148" s="61">
        <f t="shared" si="634"/>
        <v>22216.728103262711</v>
      </c>
      <c r="IX148" s="61">
        <f t="shared" si="635"/>
        <v>8886.6912413050777</v>
      </c>
      <c r="IY148" s="61">
        <f t="shared" si="636"/>
        <v>22216.728103262772</v>
      </c>
      <c r="IZ148" s="61">
        <f t="shared" si="637"/>
        <v>2141692.5891545224</v>
      </c>
      <c r="JA148" s="61">
        <f t="shared" si="638"/>
        <v>39990.110585872928</v>
      </c>
      <c r="JB148" s="61">
        <f t="shared" si="639"/>
        <v>0</v>
      </c>
      <c r="JC148" s="61">
        <f t="shared" si="640"/>
        <v>359910.99527285638</v>
      </c>
      <c r="JD148" s="61">
        <f t="shared" si="641"/>
        <v>88183.803496512541</v>
      </c>
      <c r="JE148" s="61">
        <f t="shared" si="642"/>
        <v>77245.524542437692</v>
      </c>
      <c r="JF148" s="61">
        <f t="shared" si="643"/>
        <v>35546.764965220369</v>
      </c>
      <c r="JG148" s="61">
        <f t="shared" si="644"/>
        <v>168847.1335847968</v>
      </c>
      <c r="JH148" s="61">
        <f t="shared" si="645"/>
        <v>4443.3456206525516</v>
      </c>
      <c r="JI148" s="61">
        <f t="shared" si="646"/>
        <v>8886.6912413050977</v>
      </c>
      <c r="JJ148" s="61">
        <f t="shared" si="647"/>
        <v>26660.073723915284</v>
      </c>
      <c r="JK148" s="61">
        <f t="shared" si="648"/>
        <v>39990.110585872913</v>
      </c>
      <c r="JL148" s="61">
        <f t="shared" si="649"/>
        <v>31103.41934456773</v>
      </c>
      <c r="JM148" s="61">
        <f t="shared" si="650"/>
        <v>0</v>
      </c>
      <c r="JN148" s="61">
        <f t="shared" si="651"/>
        <v>662058.49747722899</v>
      </c>
      <c r="JO148" s="61">
        <f t="shared" si="652"/>
        <v>0</v>
      </c>
      <c r="JQ148" s="26">
        <f t="shared" ref="JQ148:JQ179" si="769">SUM(IP148:JO148,HN148:IM148,GL148:HK148,FJ148:GI148)</f>
        <v>13000093.000000002</v>
      </c>
      <c r="JR148" s="156">
        <f t="shared" ref="JR148:JR179" si="770">JQ148/G148</f>
        <v>1.0000000000000002</v>
      </c>
      <c r="JT148" s="157">
        <f t="shared" si="653"/>
        <v>86667.28479713088</v>
      </c>
      <c r="JU148" s="29">
        <f t="shared" si="654"/>
        <v>1</v>
      </c>
    </row>
    <row r="149" spans="1:281" ht="18.75" x14ac:dyDescent="0.3">
      <c r="A149" t="s">
        <v>234</v>
      </c>
      <c r="B149" s="10" t="s">
        <v>220</v>
      </c>
      <c r="C149" t="s">
        <v>33</v>
      </c>
      <c r="D149" s="107" t="s">
        <v>25</v>
      </c>
      <c r="E149" t="s">
        <v>304</v>
      </c>
      <c r="F149" s="114"/>
      <c r="G149" s="108">
        <v>131595</v>
      </c>
      <c r="H149" s="21">
        <v>131595</v>
      </c>
      <c r="I149" s="25">
        <f t="shared" si="713"/>
        <v>1</v>
      </c>
      <c r="J149" s="105">
        <v>6.6666666666666723E-3</v>
      </c>
      <c r="K149" s="105">
        <v>6.6666666666666723E-3</v>
      </c>
      <c r="L149" s="105">
        <v>7.7777777777777671E-3</v>
      </c>
      <c r="M149" s="105">
        <v>1.1111111111111096E-3</v>
      </c>
      <c r="N149" s="105">
        <v>1.1111111111111096E-3</v>
      </c>
      <c r="O149" s="105">
        <v>1.3333333333333345E-2</v>
      </c>
      <c r="P149" s="105">
        <v>5.555555555555533E-2</v>
      </c>
      <c r="Q149" s="105">
        <v>5.5555555555555601E-3</v>
      </c>
      <c r="R149" s="105">
        <v>2.2222222222222192E-3</v>
      </c>
      <c r="S149" s="105">
        <v>5.5555555555555419E-3</v>
      </c>
      <c r="T149" s="105">
        <v>0.53555555555555634</v>
      </c>
      <c r="U149" s="105">
        <v>9.9999999999999777E-3</v>
      </c>
      <c r="V149" s="105">
        <v>0</v>
      </c>
      <c r="W149" s="105">
        <v>9.0000000000000038E-2</v>
      </c>
      <c r="X149" s="105">
        <v>6.6666666666666723E-3</v>
      </c>
      <c r="Y149" s="105">
        <v>7.7777777777777689E-3</v>
      </c>
      <c r="Z149" s="105">
        <v>8.8888888888888715E-3</v>
      </c>
      <c r="AA149" s="105">
        <v>4.2222222222222078E-2</v>
      </c>
      <c r="AB149" s="105">
        <v>1.1111111111111094E-3</v>
      </c>
      <c r="AC149" s="105">
        <v>2.2222222222222192E-3</v>
      </c>
      <c r="AD149" s="105">
        <v>6.6666666666666471E-3</v>
      </c>
      <c r="AE149" s="105">
        <v>1.0000000000000004E-2</v>
      </c>
      <c r="AF149" s="105">
        <v>7.7777777777777758E-3</v>
      </c>
      <c r="AG149" s="105">
        <v>0</v>
      </c>
      <c r="AH149" s="105">
        <v>0.16555555555555526</v>
      </c>
      <c r="AJ149" s="8">
        <f t="shared" si="740"/>
        <v>1</v>
      </c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M149" s="26">
        <f t="shared" si="741"/>
        <v>877.30000000000075</v>
      </c>
      <c r="BN149" s="26">
        <f t="shared" si="742"/>
        <v>877.30000000000075</v>
      </c>
      <c r="BO149" s="26">
        <f t="shared" si="743"/>
        <v>1023.5166666666653</v>
      </c>
      <c r="BP149" s="26">
        <f t="shared" si="744"/>
        <v>146.21666666666647</v>
      </c>
      <c r="BQ149" s="26">
        <f t="shared" si="745"/>
        <v>146.21666666666647</v>
      </c>
      <c r="BR149" s="26">
        <f t="shared" si="746"/>
        <v>1754.6000000000015</v>
      </c>
      <c r="BS149" s="26">
        <f t="shared" si="747"/>
        <v>7310.8333333333039</v>
      </c>
      <c r="BT149" s="26">
        <f t="shared" si="748"/>
        <v>731.08333333333394</v>
      </c>
      <c r="BU149" s="26">
        <f t="shared" si="749"/>
        <v>292.43333333333294</v>
      </c>
      <c r="BV149" s="26">
        <f t="shared" si="750"/>
        <v>731.08333333333155</v>
      </c>
      <c r="BW149" s="26">
        <f t="shared" si="751"/>
        <v>70476.433333333436</v>
      </c>
      <c r="BX149" s="26">
        <f t="shared" si="752"/>
        <v>1315.9499999999971</v>
      </c>
      <c r="BY149" s="26">
        <f t="shared" si="753"/>
        <v>0</v>
      </c>
      <c r="BZ149" s="26">
        <f t="shared" si="754"/>
        <v>11843.550000000005</v>
      </c>
      <c r="CA149" s="26">
        <f t="shared" si="755"/>
        <v>877.30000000000075</v>
      </c>
      <c r="CB149" s="26">
        <f t="shared" si="756"/>
        <v>1023.5166666666655</v>
      </c>
      <c r="CC149" s="26">
        <f t="shared" si="757"/>
        <v>1169.7333333333311</v>
      </c>
      <c r="CD149" s="26">
        <f t="shared" si="758"/>
        <v>5556.2333333333145</v>
      </c>
      <c r="CE149" s="26">
        <f t="shared" si="759"/>
        <v>146.21666666666644</v>
      </c>
      <c r="CF149" s="26">
        <f t="shared" si="760"/>
        <v>292.43333333333294</v>
      </c>
      <c r="CG149" s="26">
        <f t="shared" si="761"/>
        <v>877.29999999999745</v>
      </c>
      <c r="CH149" s="26">
        <f t="shared" si="762"/>
        <v>1315.9500000000005</v>
      </c>
      <c r="CI149" s="26">
        <f t="shared" si="763"/>
        <v>1023.5166666666664</v>
      </c>
      <c r="CJ149" s="26">
        <f t="shared" si="764"/>
        <v>0</v>
      </c>
      <c r="CK149" s="26">
        <f t="shared" si="765"/>
        <v>21786.283333333296</v>
      </c>
      <c r="CL149" s="26">
        <f t="shared" si="766"/>
        <v>0</v>
      </c>
      <c r="CM149" s="110">
        <f t="shared" si="767"/>
        <v>1</v>
      </c>
      <c r="CN149" s="27">
        <f t="shared" si="684"/>
        <v>877.30000000000075</v>
      </c>
      <c r="CO149" s="27">
        <f t="shared" si="685"/>
        <v>877.30000000000075</v>
      </c>
      <c r="CP149" s="27">
        <f t="shared" si="686"/>
        <v>1023.5166666666653</v>
      </c>
      <c r="CQ149" s="27">
        <f t="shared" si="687"/>
        <v>146.21666666666647</v>
      </c>
      <c r="CR149" s="27">
        <f t="shared" si="688"/>
        <v>146.21666666666647</v>
      </c>
      <c r="CS149" s="27">
        <f t="shared" si="689"/>
        <v>1754.6000000000015</v>
      </c>
      <c r="CT149" s="27">
        <f t="shared" si="690"/>
        <v>7310.8333333333039</v>
      </c>
      <c r="CU149" s="27">
        <f t="shared" si="691"/>
        <v>731.08333333333394</v>
      </c>
      <c r="CV149" s="27">
        <f t="shared" si="692"/>
        <v>292.43333333333294</v>
      </c>
      <c r="CW149" s="27">
        <f t="shared" si="693"/>
        <v>731.08333333333155</v>
      </c>
      <c r="CX149" s="27">
        <f t="shared" si="694"/>
        <v>70476.433333333436</v>
      </c>
      <c r="CY149" s="27">
        <f t="shared" si="695"/>
        <v>1315.9499999999971</v>
      </c>
      <c r="CZ149" s="27">
        <f t="shared" si="696"/>
        <v>0</v>
      </c>
      <c r="DA149" s="27">
        <f t="shared" si="697"/>
        <v>11843.550000000005</v>
      </c>
      <c r="DB149" s="27">
        <f t="shared" si="698"/>
        <v>877.30000000000075</v>
      </c>
      <c r="DC149" s="27">
        <f t="shared" si="699"/>
        <v>1023.5166666666655</v>
      </c>
      <c r="DD149" s="27">
        <f t="shared" si="700"/>
        <v>1169.7333333333311</v>
      </c>
      <c r="DE149" s="27">
        <f t="shared" si="701"/>
        <v>5556.2333333333145</v>
      </c>
      <c r="DF149" s="27">
        <f t="shared" si="702"/>
        <v>146.21666666666644</v>
      </c>
      <c r="DG149" s="27">
        <f t="shared" si="703"/>
        <v>292.43333333333294</v>
      </c>
      <c r="DH149" s="27">
        <f t="shared" si="704"/>
        <v>877.29999999999745</v>
      </c>
      <c r="DI149" s="27">
        <f t="shared" si="705"/>
        <v>1315.9500000000005</v>
      </c>
      <c r="DJ149" s="27">
        <f t="shared" si="706"/>
        <v>1023.5166666666664</v>
      </c>
      <c r="DK149" s="27">
        <f t="shared" si="707"/>
        <v>0</v>
      </c>
      <c r="DL149" s="27">
        <f t="shared" si="708"/>
        <v>21786.283333333296</v>
      </c>
      <c r="DM149" s="27">
        <f t="shared" si="709"/>
        <v>0</v>
      </c>
      <c r="DN149" s="110">
        <f t="shared" si="768"/>
        <v>1</v>
      </c>
      <c r="DO149" s="28">
        <f t="shared" ref="DO149:DO191" si="771">BM149-CN149</f>
        <v>0</v>
      </c>
      <c r="DP149" s="28">
        <f t="shared" ref="DP149:DP191" si="772">BN149-CO149</f>
        <v>0</v>
      </c>
      <c r="DQ149" s="28">
        <f t="shared" ref="DQ149:DQ191" si="773">BO149-CP149</f>
        <v>0</v>
      </c>
      <c r="DR149" s="28">
        <f t="shared" ref="DR149:DR191" si="774">BP149-CQ149</f>
        <v>0</v>
      </c>
      <c r="DS149" s="28">
        <f t="shared" ref="DS149:DS191" si="775">BQ149-CR149</f>
        <v>0</v>
      </c>
      <c r="DT149" s="28">
        <f t="shared" ref="DT149:DT191" si="776">BR149-CS149</f>
        <v>0</v>
      </c>
      <c r="DU149" s="28">
        <f t="shared" ref="DU149:DU191" si="777">BS149-CT149</f>
        <v>0</v>
      </c>
      <c r="DV149" s="28">
        <f t="shared" ref="DV149:DV191" si="778">BT149-CU149</f>
        <v>0</v>
      </c>
      <c r="DW149" s="28">
        <f t="shared" ref="DW149:DW191" si="779">BU149-CV149</f>
        <v>0</v>
      </c>
      <c r="DX149" s="28">
        <f t="shared" ref="DX149:DX191" si="780">BV149-CW149</f>
        <v>0</v>
      </c>
      <c r="DY149" s="28">
        <f t="shared" ref="DY149:DY191" si="781">BW149-CX149</f>
        <v>0</v>
      </c>
      <c r="DZ149" s="28">
        <f t="shared" ref="DZ149:DZ191" si="782">BX149-CY149</f>
        <v>0</v>
      </c>
      <c r="EA149" s="28">
        <f t="shared" ref="EA149:EA191" si="783">BY149-CZ149</f>
        <v>0</v>
      </c>
      <c r="EB149" s="28">
        <f t="shared" ref="EB149:EB191" si="784">BZ149-DA149</f>
        <v>0</v>
      </c>
      <c r="EC149" s="28">
        <f t="shared" ref="EC149:EC191" si="785">CA149-DB149</f>
        <v>0</v>
      </c>
      <c r="ED149" s="28">
        <f t="shared" ref="ED149:ED191" si="786">CB149-DC149</f>
        <v>0</v>
      </c>
      <c r="EE149" s="28">
        <f t="shared" ref="EE149:EE191" si="787">CC149-DD149</f>
        <v>0</v>
      </c>
      <c r="EF149" s="28">
        <f t="shared" ref="EF149:EF191" si="788">CD149-DE149</f>
        <v>0</v>
      </c>
      <c r="EG149" s="28">
        <f t="shared" ref="EG149:EG191" si="789">CE149-DF149</f>
        <v>0</v>
      </c>
      <c r="EH149" s="28">
        <f t="shared" ref="EH149:EH191" si="790">CF149-DG149</f>
        <v>0</v>
      </c>
      <c r="EI149" s="28">
        <f t="shared" ref="EI149:EI191" si="791">CG149-DH149</f>
        <v>0</v>
      </c>
      <c r="EJ149" s="28">
        <f t="shared" ref="EJ149:EJ191" si="792">CH149-DI149</f>
        <v>0</v>
      </c>
      <c r="EK149" s="28">
        <f t="shared" ref="EK149:EK191" si="793">CI149-DJ149</f>
        <v>0</v>
      </c>
      <c r="EL149" s="28">
        <f t="shared" ref="EL149:EL191" si="794">CJ149-DK149</f>
        <v>0</v>
      </c>
      <c r="EM149" s="28">
        <f t="shared" ref="EM149:EM191" si="795">CK149-DL149</f>
        <v>0</v>
      </c>
      <c r="EN149" s="28">
        <f t="shared" ref="EN149:EN191" si="796">CL149-DM149</f>
        <v>0</v>
      </c>
      <c r="EQ149" s="144">
        <v>4.2687412322698057E-2</v>
      </c>
      <c r="ER149" s="144">
        <v>6.275138840708662E-2</v>
      </c>
      <c r="ES149" s="144">
        <v>7.2743405644686052E-2</v>
      </c>
      <c r="ET149" s="144">
        <v>7.8495632305161211E-2</v>
      </c>
      <c r="EU149" s="144">
        <v>7.8495632305161211E-2</v>
      </c>
      <c r="EV149" s="144">
        <v>7.8495632305161211E-2</v>
      </c>
      <c r="EW149" s="144">
        <v>8.8169439736223085E-2</v>
      </c>
      <c r="EX149" s="144">
        <v>9.0167903975841221E-2</v>
      </c>
      <c r="EY149" s="144">
        <v>0.1002397868325075</v>
      </c>
      <c r="EZ149" s="144">
        <v>9.7202233653669687E-2</v>
      </c>
      <c r="FA149" s="144">
        <v>0.1002397868325075</v>
      </c>
      <c r="FB149" s="144">
        <v>0.11031174567929659</v>
      </c>
      <c r="FC149" s="145">
        <f t="shared" ref="FC149:FC191" si="797">SUM(EQ149:FB149)</f>
        <v>0.99999999999999978</v>
      </c>
      <c r="FD149" s="146">
        <f t="shared" ref="FD149:FD171" si="798">SUM(EQ149:ES149)</f>
        <v>0.17818220637447074</v>
      </c>
      <c r="FE149" s="146">
        <f t="shared" ref="FE149:FE171" si="799">SUM(ET149:EV149)</f>
        <v>0.23548689691548363</v>
      </c>
      <c r="FF149" s="146">
        <f t="shared" ref="FF149:FF171" si="800">SUM(EW149:EY149)</f>
        <v>0.27857713054457178</v>
      </c>
      <c r="FG149" s="146">
        <f t="shared" ref="FG149:FG171" si="801">SUM(EZ149:FB149)</f>
        <v>0.30775376616547379</v>
      </c>
      <c r="FH149" s="145">
        <f t="shared" si="655"/>
        <v>0.99999999999999989</v>
      </c>
      <c r="FJ149" s="52">
        <f t="shared" ref="FJ149:FJ191" si="802">BM149*$FD149</f>
        <v>156.31924965232332</v>
      </c>
      <c r="FK149" s="52">
        <f t="shared" ref="FK149:FK191" si="803">BN149*$FD149</f>
        <v>156.31924965232332</v>
      </c>
      <c r="FL149" s="52">
        <f t="shared" ref="FL149:FL191" si="804">BO149*$FD149</f>
        <v>182.37245792771014</v>
      </c>
      <c r="FM149" s="52">
        <f t="shared" ref="FM149:FM191" si="805">BP149*$FD149</f>
        <v>26.053208275387163</v>
      </c>
      <c r="FN149" s="52">
        <f t="shared" ref="FN149:FN191" si="806">BQ149*$FD149</f>
        <v>26.053208275387163</v>
      </c>
      <c r="FO149" s="52">
        <f t="shared" ref="FO149:FO191" si="807">BR149*$FD149</f>
        <v>312.63849930464664</v>
      </c>
      <c r="FP149" s="52">
        <f t="shared" ref="FP149:FP191" si="808">BS149*$FD149</f>
        <v>1302.6604137693546</v>
      </c>
      <c r="FQ149" s="52">
        <f t="shared" ref="FQ149:FQ191" si="809">BT149*$FD149</f>
        <v>130.2660413769361</v>
      </c>
      <c r="FR149" s="52">
        <f t="shared" ref="FR149:FR191" si="810">BU149*$FD149</f>
        <v>52.106416550774327</v>
      </c>
      <c r="FS149" s="52">
        <f t="shared" ref="FS149:FS191" si="811">BV149*$FD149</f>
        <v>130.26604137693568</v>
      </c>
      <c r="FT149" s="52">
        <f t="shared" ref="FT149:FT191" si="812">BW149*$FD149</f>
        <v>12557.646388736648</v>
      </c>
      <c r="FU149" s="52">
        <f t="shared" ref="FU149:FU191" si="813">BX149*$FD149</f>
        <v>234.47887447848424</v>
      </c>
      <c r="FV149" s="52">
        <f t="shared" ref="FV149:FV191" si="814">BY149*$FD149</f>
        <v>0</v>
      </c>
      <c r="FW149" s="52">
        <f t="shared" ref="FW149:FW191" si="815">BZ149*$FD149</f>
        <v>2110.3098703063638</v>
      </c>
      <c r="FX149" s="52">
        <f t="shared" ref="FX149:FX191" si="816">CA149*$FD149</f>
        <v>156.31924965232332</v>
      </c>
      <c r="FY149" s="52">
        <f t="shared" ref="FY149:FY191" si="817">CB149*$FD149</f>
        <v>182.37245792771017</v>
      </c>
      <c r="FZ149" s="52">
        <f t="shared" ref="FZ149:FZ191" si="818">CC149*$FD149</f>
        <v>208.42566620309717</v>
      </c>
      <c r="GA149" s="52">
        <f t="shared" ref="GA149:GA191" si="819">CD149*$FD149</f>
        <v>990.02191446471011</v>
      </c>
      <c r="GB149" s="52">
        <f t="shared" ref="GB149:GB191" si="820">CE149*$FD149</f>
        <v>26.053208275387156</v>
      </c>
      <c r="GC149" s="52">
        <f t="shared" ref="GC149:GC191" si="821">CF149*$FD149</f>
        <v>52.106416550774327</v>
      </c>
      <c r="GD149" s="52">
        <f t="shared" ref="GD149:GD191" si="822">CG149*$FD149</f>
        <v>156.31924965232272</v>
      </c>
      <c r="GE149" s="52">
        <f t="shared" ref="GE149:GE191" si="823">CH149*$FD149</f>
        <v>234.47887447848487</v>
      </c>
      <c r="GF149" s="52">
        <f t="shared" ref="GF149:GF191" si="824">CI149*$FD149</f>
        <v>182.37245792771034</v>
      </c>
      <c r="GG149" s="52">
        <f t="shared" ref="GG149:GG191" si="825">CJ149*$FD149</f>
        <v>0</v>
      </c>
      <c r="GH149" s="52">
        <f t="shared" ref="GH149:GH191" si="826">CK149*$FD149</f>
        <v>3881.9280330326856</v>
      </c>
      <c r="GI149" s="52">
        <f t="shared" ref="GI149:GI191" si="827">CL149*$FD149</f>
        <v>0</v>
      </c>
      <c r="GJ149" s="26"/>
      <c r="GL149" s="150">
        <f t="shared" ref="GL149:GL191" si="828">BM149*$FE149</f>
        <v>206.59265466395397</v>
      </c>
      <c r="GM149" s="150">
        <f t="shared" ref="GM149:GM191" si="829">BN149*$FE149</f>
        <v>206.59265466395397</v>
      </c>
      <c r="GN149" s="150">
        <f t="shared" ref="GN149:GN191" si="830">BO149*$FE149</f>
        <v>241.02476377461244</v>
      </c>
      <c r="GO149" s="150">
        <f t="shared" ref="GO149:GO191" si="831">BP149*$FE149</f>
        <v>34.432109110658921</v>
      </c>
      <c r="GP149" s="150">
        <f t="shared" ref="GP149:GP191" si="832">BQ149*$FE149</f>
        <v>34.432109110658921</v>
      </c>
      <c r="GQ149" s="150">
        <f t="shared" ref="GQ149:GQ191" si="833">BR149*$FE149</f>
        <v>413.18530932790793</v>
      </c>
      <c r="GR149" s="150">
        <f t="shared" ref="GR149:GR191" si="834">BS149*$FE149</f>
        <v>1721.6054555329413</v>
      </c>
      <c r="GS149" s="150">
        <f t="shared" ref="GS149:GS191" si="835">BT149*$FE149</f>
        <v>172.16054555329498</v>
      </c>
      <c r="GT149" s="150">
        <f t="shared" ref="GT149:GT191" si="836">BU149*$FE149</f>
        <v>68.864218221317842</v>
      </c>
      <c r="GU149" s="150">
        <f t="shared" ref="GU149:GU191" si="837">BV149*$FE149</f>
        <v>172.16054555329441</v>
      </c>
      <c r="GV149" s="150">
        <f t="shared" ref="GV149:GV191" si="838">BW149*$FE149</f>
        <v>16596.276591337646</v>
      </c>
      <c r="GW149" s="150">
        <f t="shared" ref="GW149:GW191" si="839">BX149*$FE149</f>
        <v>309.88898199593001</v>
      </c>
      <c r="GX149" s="150">
        <f t="shared" ref="GX149:GX191" si="840">BY149*$FE149</f>
        <v>0</v>
      </c>
      <c r="GY149" s="150">
        <f t="shared" ref="GY149:GY191" si="841">BZ149*$FE149</f>
        <v>2789.0008379633773</v>
      </c>
      <c r="GZ149" s="150">
        <f t="shared" ref="GZ149:GZ191" si="842">CA149*$FE149</f>
        <v>206.59265466395397</v>
      </c>
      <c r="HA149" s="150">
        <f t="shared" ref="HA149:HA191" si="843">CB149*$FE149</f>
        <v>241.0247637746125</v>
      </c>
      <c r="HB149" s="150">
        <f t="shared" ref="HB149:HB191" si="844">CC149*$FE149</f>
        <v>275.4568728852712</v>
      </c>
      <c r="HC149" s="150">
        <f t="shared" ref="HC149:HC191" si="845">CD149*$FE149</f>
        <v>1308.4201462050362</v>
      </c>
      <c r="HD149" s="150">
        <f t="shared" ref="HD149:HD191" si="846">CE149*$FE149</f>
        <v>34.432109110658914</v>
      </c>
      <c r="HE149" s="150">
        <f t="shared" ref="HE149:HE191" si="847">CF149*$FE149</f>
        <v>68.864218221317842</v>
      </c>
      <c r="HF149" s="150">
        <f t="shared" ref="HF149:HF191" si="848">CG149*$FE149</f>
        <v>206.5926546639532</v>
      </c>
      <c r="HG149" s="150">
        <f t="shared" ref="HG149:HG191" si="849">CH149*$FE149</f>
        <v>309.88898199593081</v>
      </c>
      <c r="HH149" s="150">
        <f t="shared" ref="HH149:HH191" si="850">CI149*$FE149</f>
        <v>241.02476377461269</v>
      </c>
      <c r="HI149" s="150">
        <f t="shared" ref="HI149:HI191" si="851">CJ149*$FE149</f>
        <v>0</v>
      </c>
      <c r="HJ149" s="150">
        <f t="shared" ref="HJ149:HJ191" si="852">CK149*$FE149</f>
        <v>5130.3842574881774</v>
      </c>
      <c r="HK149" s="150">
        <f t="shared" ref="HK149:HK191" si="853">CL149*$FE149</f>
        <v>0</v>
      </c>
      <c r="HL149" s="26"/>
      <c r="HN149" s="147">
        <f t="shared" ref="HN149:HN191" si="854">BM149*$FF149</f>
        <v>244.39571662675303</v>
      </c>
      <c r="HO149" s="147">
        <f t="shared" ref="HO149:HO191" si="855">BN149*$FF149</f>
        <v>244.39571662675303</v>
      </c>
      <c r="HP149" s="147">
        <f t="shared" ref="HP149:HP191" si="856">BO149*$FF149</f>
        <v>285.12833606454456</v>
      </c>
      <c r="HQ149" s="147">
        <f t="shared" ref="HQ149:HQ191" si="857">BP149*$FF149</f>
        <v>40.732619437792081</v>
      </c>
      <c r="HR149" s="147">
        <f t="shared" ref="HR149:HR191" si="858">BQ149*$FF149</f>
        <v>40.732619437792081</v>
      </c>
      <c r="HS149" s="147">
        <f t="shared" ref="HS149:HS191" si="859">BR149*$FF149</f>
        <v>488.79143325350606</v>
      </c>
      <c r="HT149" s="147">
        <f t="shared" ref="HT149:HT191" si="860">BS149*$FF149</f>
        <v>2036.6309718895986</v>
      </c>
      <c r="HU149" s="147">
        <f t="shared" ref="HU149:HU191" si="861">BT149*$FF149</f>
        <v>203.66309718896085</v>
      </c>
      <c r="HV149" s="147">
        <f t="shared" ref="HV149:HV191" si="862">BU149*$FF149</f>
        <v>81.465238875584163</v>
      </c>
      <c r="HW149" s="147">
        <f t="shared" ref="HW149:HW191" si="863">BV149*$FF149</f>
        <v>203.66309718896019</v>
      </c>
      <c r="HX149" s="147">
        <f t="shared" ref="HX149:HX191" si="864">BW149*$FF149</f>
        <v>19633.122569015839</v>
      </c>
      <c r="HY149" s="147">
        <f t="shared" ref="HY149:HY191" si="865">BX149*$FF149</f>
        <v>366.59357494012841</v>
      </c>
      <c r="HZ149" s="147">
        <f t="shared" ref="HZ149:HZ191" si="866">BY149*$FF149</f>
        <v>0</v>
      </c>
      <c r="IA149" s="147">
        <f t="shared" ref="IA149:IA191" si="867">BZ149*$FF149</f>
        <v>3299.3421744611646</v>
      </c>
      <c r="IB149" s="147">
        <f t="shared" ref="IB149:IB191" si="868">CA149*$FF149</f>
        <v>244.39571662675303</v>
      </c>
      <c r="IC149" s="147">
        <f t="shared" ref="IC149:IC191" si="869">CB149*$FF149</f>
        <v>285.12833606454467</v>
      </c>
      <c r="ID149" s="147">
        <f t="shared" ref="ID149:ID191" si="870">CC149*$FF149</f>
        <v>325.86095550233648</v>
      </c>
      <c r="IE149" s="147">
        <f t="shared" ref="IE149:IE191" si="871">CD149*$FF149</f>
        <v>1547.839538636096</v>
      </c>
      <c r="IF149" s="147">
        <f t="shared" ref="IF149:IF191" si="872">CE149*$FF149</f>
        <v>40.732619437792074</v>
      </c>
      <c r="IG149" s="147">
        <f t="shared" ref="IG149:IG191" si="873">CF149*$FF149</f>
        <v>81.465238875584163</v>
      </c>
      <c r="IH149" s="147">
        <f t="shared" ref="IH149:IH191" si="874">CG149*$FF149</f>
        <v>244.39571662675212</v>
      </c>
      <c r="II149" s="147">
        <f t="shared" ref="II149:II191" si="875">CH149*$FF149</f>
        <v>366.59357494012937</v>
      </c>
      <c r="IJ149" s="147">
        <f t="shared" ref="IJ149:IJ191" si="876">CI149*$FF149</f>
        <v>285.1283360645449</v>
      </c>
      <c r="IK149" s="147">
        <f t="shared" ref="IK149:IK191" si="877">CJ149*$FF149</f>
        <v>0</v>
      </c>
      <c r="IL149" s="147">
        <f t="shared" ref="IL149:IL191" si="878">CK149*$FF149</f>
        <v>6069.160296231018</v>
      </c>
      <c r="IM149" s="147">
        <f t="shared" ref="IM149:IM191" si="879">CL149*$FF149</f>
        <v>0</v>
      </c>
      <c r="IN149" s="26"/>
      <c r="IP149" s="61">
        <f t="shared" ref="IP149:IP191" si="880">BM149*$FG149</f>
        <v>269.99237905697038</v>
      </c>
      <c r="IQ149" s="61">
        <f t="shared" ref="IQ149:IQ191" si="881">BN149*$FG149</f>
        <v>269.99237905697038</v>
      </c>
      <c r="IR149" s="61">
        <f t="shared" ref="IR149:IR191" si="882">BO149*$FG149</f>
        <v>314.99110889979806</v>
      </c>
      <c r="IS149" s="61">
        <f t="shared" ref="IS149:IS191" si="883">BP149*$FG149</f>
        <v>44.998729842828297</v>
      </c>
      <c r="IT149" s="61">
        <f t="shared" ref="IT149:IT191" si="884">BQ149*$FG149</f>
        <v>44.998729842828297</v>
      </c>
      <c r="IU149" s="61">
        <f t="shared" ref="IU149:IU191" si="885">BR149*$FG149</f>
        <v>539.98475811394076</v>
      </c>
      <c r="IV149" s="61">
        <f t="shared" ref="IV149:IV191" si="886">BS149*$FG149</f>
        <v>2249.936492141409</v>
      </c>
      <c r="IW149" s="61">
        <f t="shared" ref="IW149:IW191" si="887">BT149*$FG149</f>
        <v>224.99364921414198</v>
      </c>
      <c r="IX149" s="61">
        <f t="shared" ref="IX149:IX191" si="888">BU149*$FG149</f>
        <v>89.997459685656594</v>
      </c>
      <c r="IY149" s="61">
        <f t="shared" ref="IY149:IY191" si="889">BV149*$FG149</f>
        <v>224.99364921414124</v>
      </c>
      <c r="IZ149" s="61">
        <f t="shared" ref="IZ149:IZ191" si="890">BW149*$FG149</f>
        <v>21689.387784243299</v>
      </c>
      <c r="JA149" s="61">
        <f t="shared" ref="JA149:JA191" si="891">BX149*$FG149</f>
        <v>404.98856858545435</v>
      </c>
      <c r="JB149" s="61">
        <f t="shared" ref="JB149:JB191" si="892">BY149*$FG149</f>
        <v>0</v>
      </c>
      <c r="JC149" s="61">
        <f t="shared" ref="JC149:JC191" si="893">BZ149*$FG149</f>
        <v>3644.8971172690985</v>
      </c>
      <c r="JD149" s="61">
        <f t="shared" ref="JD149:JD191" si="894">CA149*$FG149</f>
        <v>269.99237905697038</v>
      </c>
      <c r="JE149" s="61">
        <f t="shared" ref="JE149:JE191" si="895">CB149*$FG149</f>
        <v>314.99110889979818</v>
      </c>
      <c r="JF149" s="61">
        <f t="shared" ref="JF149:JF191" si="896">CC149*$FG149</f>
        <v>359.98983874262615</v>
      </c>
      <c r="JG149" s="61">
        <f t="shared" ref="JG149:JG191" si="897">CD149*$FG149</f>
        <v>1709.9517340274717</v>
      </c>
      <c r="JH149" s="61">
        <f t="shared" ref="JH149:JH191" si="898">CE149*$FG149</f>
        <v>44.99872984282829</v>
      </c>
      <c r="JI149" s="61">
        <f t="shared" ref="JI149:JI191" si="899">CF149*$FG149</f>
        <v>89.997459685656594</v>
      </c>
      <c r="JJ149" s="61">
        <f t="shared" ref="JJ149:JJ191" si="900">CG149*$FG149</f>
        <v>269.99237905696936</v>
      </c>
      <c r="JK149" s="61">
        <f t="shared" ref="JK149:JK191" si="901">CH149*$FG149</f>
        <v>404.98856858545537</v>
      </c>
      <c r="JL149" s="61">
        <f t="shared" ref="JL149:JL191" si="902">CI149*$FG149</f>
        <v>314.99110889979846</v>
      </c>
      <c r="JM149" s="61">
        <f t="shared" ref="JM149:JM191" si="903">CJ149*$FG149</f>
        <v>0</v>
      </c>
      <c r="JN149" s="61">
        <f t="shared" ref="JN149:JN191" si="904">CK149*$FG149</f>
        <v>6704.8107465814137</v>
      </c>
      <c r="JO149" s="61">
        <f t="shared" ref="JO149:JO191" si="905">CL149*$FG149</f>
        <v>0</v>
      </c>
      <c r="JQ149" s="26">
        <f t="shared" si="769"/>
        <v>131595</v>
      </c>
      <c r="JR149" s="156">
        <f t="shared" si="770"/>
        <v>1</v>
      </c>
      <c r="JT149" s="157">
        <f t="shared" ref="JT149:JT191" si="906">IP149+HN149+GL149+FJ149</f>
        <v>877.30000000000064</v>
      </c>
      <c r="JU149" s="29">
        <f t="shared" ref="JU149:JU191" si="907">IFERROR(JT149/BM149,0)</f>
        <v>0.99999999999999989</v>
      </c>
    </row>
    <row r="150" spans="1:281" ht="18.75" x14ac:dyDescent="0.3">
      <c r="A150" t="s">
        <v>234</v>
      </c>
      <c r="B150" s="10" t="s">
        <v>10</v>
      </c>
      <c r="C150" t="s">
        <v>33</v>
      </c>
      <c r="D150" s="107" t="s">
        <v>25</v>
      </c>
      <c r="E150" t="s">
        <v>35</v>
      </c>
      <c r="F150" s="114"/>
      <c r="G150" s="108">
        <v>10099953</v>
      </c>
      <c r="H150" s="21">
        <v>5611085</v>
      </c>
      <c r="I150" s="25">
        <f t="shared" si="713"/>
        <v>1.8</v>
      </c>
      <c r="J150" s="105">
        <v>2.5000084758122088E-2</v>
      </c>
      <c r="K150" s="105">
        <v>7.8347843971322603E-3</v>
      </c>
      <c r="L150" s="105">
        <v>7.8347843971322551E-3</v>
      </c>
      <c r="M150" s="105">
        <v>4.9857718890841821E-3</v>
      </c>
      <c r="N150" s="105">
        <v>2.2079846937372808E-2</v>
      </c>
      <c r="O150" s="105">
        <v>2.136759381036079E-2</v>
      </c>
      <c r="P150" s="105">
        <v>3.133913758852902E-2</v>
      </c>
      <c r="Q150" s="105">
        <v>1.7106788452410236E-2</v>
      </c>
      <c r="R150" s="105">
        <v>1.4245062540240539E-2</v>
      </c>
      <c r="S150" s="105">
        <v>1.4548855740961007E-2</v>
      </c>
      <c r="T150" s="105">
        <v>0.13280021250882146</v>
      </c>
      <c r="U150" s="105">
        <v>3.2763643842553217E-2</v>
      </c>
      <c r="V150" s="105">
        <v>9.9715437781683573E-3</v>
      </c>
      <c r="W150" s="105">
        <v>9.9715437781683625E-2</v>
      </c>
      <c r="X150" s="105">
        <v>5.2706731398890053E-2</v>
      </c>
      <c r="Y150" s="105">
        <v>9.9003184654671672E-2</v>
      </c>
      <c r="Z150" s="105">
        <v>1.8518581302312674E-2</v>
      </c>
      <c r="AA150" s="105">
        <v>6.3390528304070076E-2</v>
      </c>
      <c r="AB150" s="105">
        <v>5.2706731398890053E-2</v>
      </c>
      <c r="AC150" s="105">
        <v>2.2079846937372759E-2</v>
      </c>
      <c r="AD150" s="105">
        <v>3.4188150096577254E-2</v>
      </c>
      <c r="AE150" s="105">
        <v>3.0626884461517137E-2</v>
      </c>
      <c r="AF150" s="105">
        <v>2.2079846937372759E-2</v>
      </c>
      <c r="AG150" s="105">
        <v>0</v>
      </c>
      <c r="AH150" s="105">
        <v>0.16310596608575381</v>
      </c>
      <c r="AJ150" s="8">
        <f t="shared" si="740"/>
        <v>1</v>
      </c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M150" s="26">
        <f t="shared" si="741"/>
        <v>252499.68105304945</v>
      </c>
      <c r="BN150" s="26">
        <f t="shared" si="742"/>
        <v>79130.954176169165</v>
      </c>
      <c r="BO150" s="26">
        <f t="shared" si="743"/>
        <v>79130.954176169107</v>
      </c>
      <c r="BP150" s="26">
        <f t="shared" si="744"/>
        <v>50356.061748471453</v>
      </c>
      <c r="BQ150" s="26">
        <f t="shared" si="745"/>
        <v>223005.41631465929</v>
      </c>
      <c r="BR150" s="26">
        <f t="shared" si="746"/>
        <v>215811.69320773488</v>
      </c>
      <c r="BS150" s="26">
        <f t="shared" si="747"/>
        <v>316523.81670467643</v>
      </c>
      <c r="BT150" s="26">
        <f t="shared" si="748"/>
        <v>172777.75935028613</v>
      </c>
      <c r="BU150" s="26">
        <f t="shared" si="749"/>
        <v>143874.46213849005</v>
      </c>
      <c r="BV150" s="26">
        <f t="shared" si="750"/>
        <v>146942.75918748634</v>
      </c>
      <c r="BW150" s="26">
        <f t="shared" si="751"/>
        <v>1341275.9047291088</v>
      </c>
      <c r="BX150" s="26">
        <f t="shared" si="752"/>
        <v>330911.26291852689</v>
      </c>
      <c r="BY150" s="26">
        <f t="shared" si="753"/>
        <v>100712.12349694283</v>
      </c>
      <c r="BZ150" s="26">
        <f t="shared" si="754"/>
        <v>1007121.2349694289</v>
      </c>
      <c r="CA150" s="26">
        <f t="shared" si="755"/>
        <v>532335.50991241378</v>
      </c>
      <c r="CB150" s="26">
        <f t="shared" si="756"/>
        <v>999927.51186250511</v>
      </c>
      <c r="CC150" s="26">
        <f t="shared" si="757"/>
        <v>187036.80078003681</v>
      </c>
      <c r="CD150" s="26">
        <f t="shared" si="758"/>
        <v>640241.35651627753</v>
      </c>
      <c r="CE150" s="26">
        <f t="shared" si="759"/>
        <v>532335.50991241378</v>
      </c>
      <c r="CF150" s="26">
        <f t="shared" si="760"/>
        <v>223005.41631465883</v>
      </c>
      <c r="CG150" s="26">
        <f t="shared" si="761"/>
        <v>345298.70913237572</v>
      </c>
      <c r="CH150" s="26">
        <f t="shared" si="762"/>
        <v>309330.09359775338</v>
      </c>
      <c r="CI150" s="26">
        <f t="shared" si="763"/>
        <v>223005.41631465883</v>
      </c>
      <c r="CJ150" s="26">
        <f t="shared" si="764"/>
        <v>0</v>
      </c>
      <c r="CK150" s="26">
        <f t="shared" si="765"/>
        <v>1647362.5914857076</v>
      </c>
      <c r="CL150" s="26">
        <f t="shared" si="766"/>
        <v>0</v>
      </c>
      <c r="CM150" s="110">
        <f t="shared" si="767"/>
        <v>1</v>
      </c>
      <c r="CN150" s="27">
        <f t="shared" si="684"/>
        <v>140277.60058502748</v>
      </c>
      <c r="CO150" s="27">
        <f t="shared" si="685"/>
        <v>43961.641208982866</v>
      </c>
      <c r="CP150" s="27">
        <f t="shared" si="686"/>
        <v>43961.641208982837</v>
      </c>
      <c r="CQ150" s="27">
        <f t="shared" si="687"/>
        <v>27975.589860261916</v>
      </c>
      <c r="CR150" s="27">
        <f t="shared" si="688"/>
        <v>123891.89795258851</v>
      </c>
      <c r="CS150" s="27">
        <f t="shared" si="689"/>
        <v>119895.38511540827</v>
      </c>
      <c r="CT150" s="27">
        <f t="shared" si="690"/>
        <v>175846.56483593135</v>
      </c>
      <c r="CU150" s="27">
        <f t="shared" si="691"/>
        <v>95987.644083492283</v>
      </c>
      <c r="CV150" s="27">
        <f t="shared" si="692"/>
        <v>79930.256743605583</v>
      </c>
      <c r="CW150" s="27">
        <f t="shared" si="693"/>
        <v>81634.866215270187</v>
      </c>
      <c r="CX150" s="27">
        <f t="shared" si="694"/>
        <v>745153.2804050605</v>
      </c>
      <c r="CY150" s="27">
        <f t="shared" si="695"/>
        <v>183839.59051029271</v>
      </c>
      <c r="CZ150" s="27">
        <f t="shared" si="696"/>
        <v>55951.179720523796</v>
      </c>
      <c r="DA150" s="27">
        <f t="shared" si="697"/>
        <v>559511.79720523825</v>
      </c>
      <c r="DB150" s="27">
        <f t="shared" si="698"/>
        <v>295741.94995134097</v>
      </c>
      <c r="DC150" s="27">
        <f t="shared" si="699"/>
        <v>555515.28436805843</v>
      </c>
      <c r="DD150" s="27">
        <f t="shared" si="700"/>
        <v>103909.33376668711</v>
      </c>
      <c r="DE150" s="27">
        <f t="shared" si="701"/>
        <v>355689.64250904304</v>
      </c>
      <c r="DF150" s="27">
        <f t="shared" si="702"/>
        <v>295741.94995134097</v>
      </c>
      <c r="DG150" s="27">
        <f t="shared" si="703"/>
        <v>123891.89795258823</v>
      </c>
      <c r="DH150" s="27">
        <f t="shared" si="704"/>
        <v>191832.61618465319</v>
      </c>
      <c r="DI150" s="27">
        <f t="shared" si="705"/>
        <v>171850.05199875188</v>
      </c>
      <c r="DJ150" s="27">
        <f t="shared" si="706"/>
        <v>123891.89795258823</v>
      </c>
      <c r="DK150" s="27">
        <f t="shared" si="707"/>
        <v>0</v>
      </c>
      <c r="DL150" s="27">
        <f t="shared" si="708"/>
        <v>915201.43971428194</v>
      </c>
      <c r="DM150" s="27">
        <f t="shared" si="709"/>
        <v>0</v>
      </c>
      <c r="DN150" s="110">
        <f t="shared" si="768"/>
        <v>1.0000000000000002</v>
      </c>
      <c r="DO150" s="28">
        <f t="shared" si="771"/>
        <v>112222.08046802197</v>
      </c>
      <c r="DP150" s="28">
        <f t="shared" si="772"/>
        <v>35169.312967186299</v>
      </c>
      <c r="DQ150" s="28">
        <f t="shared" si="773"/>
        <v>35169.31296718627</v>
      </c>
      <c r="DR150" s="28">
        <f t="shared" si="774"/>
        <v>22380.471888209537</v>
      </c>
      <c r="DS150" s="28">
        <f t="shared" si="775"/>
        <v>99113.518362070783</v>
      </c>
      <c r="DT150" s="28">
        <f t="shared" si="776"/>
        <v>95916.30809232661</v>
      </c>
      <c r="DU150" s="28">
        <f t="shared" si="777"/>
        <v>140677.25186874508</v>
      </c>
      <c r="DV150" s="28">
        <f t="shared" si="778"/>
        <v>76790.115266793844</v>
      </c>
      <c r="DW150" s="28">
        <f t="shared" si="779"/>
        <v>63944.20539488447</v>
      </c>
      <c r="DX150" s="28">
        <f t="shared" si="780"/>
        <v>65307.892972216156</v>
      </c>
      <c r="DY150" s="28">
        <f t="shared" si="781"/>
        <v>596122.62432404829</v>
      </c>
      <c r="DZ150" s="28">
        <f t="shared" si="782"/>
        <v>147071.67240823418</v>
      </c>
      <c r="EA150" s="28">
        <f t="shared" si="783"/>
        <v>44760.943776419037</v>
      </c>
      <c r="EB150" s="28">
        <f t="shared" si="784"/>
        <v>447609.4377641906</v>
      </c>
      <c r="EC150" s="28">
        <f t="shared" si="785"/>
        <v>236593.55996107281</v>
      </c>
      <c r="ED150" s="28">
        <f t="shared" si="786"/>
        <v>444412.22749444668</v>
      </c>
      <c r="EE150" s="28">
        <f t="shared" si="787"/>
        <v>83127.467013349698</v>
      </c>
      <c r="EF150" s="28">
        <f t="shared" si="788"/>
        <v>284551.71400723449</v>
      </c>
      <c r="EG150" s="28">
        <f t="shared" si="789"/>
        <v>236593.55996107281</v>
      </c>
      <c r="EH150" s="28">
        <f t="shared" si="790"/>
        <v>99113.518362070594</v>
      </c>
      <c r="EI150" s="28">
        <f t="shared" si="791"/>
        <v>153466.09294772253</v>
      </c>
      <c r="EJ150" s="28">
        <f t="shared" si="792"/>
        <v>137480.0415990015</v>
      </c>
      <c r="EK150" s="28">
        <f t="shared" si="793"/>
        <v>99113.518362070594</v>
      </c>
      <c r="EL150" s="28">
        <f t="shared" si="794"/>
        <v>0</v>
      </c>
      <c r="EM150" s="28">
        <f t="shared" si="795"/>
        <v>732161.15177142562</v>
      </c>
      <c r="EN150" s="28">
        <f t="shared" si="796"/>
        <v>0</v>
      </c>
      <c r="EQ150" s="144">
        <v>4.2719474647480715E-2</v>
      </c>
      <c r="ER150" s="144">
        <v>6.2759893393003155E-2</v>
      </c>
      <c r="ES150" s="144">
        <v>7.2779682467365589E-2</v>
      </c>
      <c r="ET150" s="144">
        <v>7.8522579695448791E-2</v>
      </c>
      <c r="EU150" s="144">
        <v>7.8522579695448791E-2</v>
      </c>
      <c r="EV150" s="144">
        <v>7.8522579695448791E-2</v>
      </c>
      <c r="EW150" s="144">
        <v>8.8176497129381734E-2</v>
      </c>
      <c r="EX150" s="144">
        <v>9.0180622469552399E-2</v>
      </c>
      <c r="EY150" s="144">
        <v>0.10020041253401707</v>
      </c>
      <c r="EZ150" s="144">
        <v>9.7194224523761072E-2</v>
      </c>
      <c r="FA150" s="144">
        <v>0.10020041253401707</v>
      </c>
      <c r="FB150" s="144">
        <v>0.11022104121507484</v>
      </c>
      <c r="FC150" s="145">
        <f t="shared" si="797"/>
        <v>1</v>
      </c>
      <c r="FD150" s="146">
        <f t="shared" si="798"/>
        <v>0.17825905050784946</v>
      </c>
      <c r="FE150" s="146">
        <f t="shared" si="799"/>
        <v>0.23556773908634637</v>
      </c>
      <c r="FF150" s="146">
        <f t="shared" si="800"/>
        <v>0.2785575321329512</v>
      </c>
      <c r="FG150" s="146">
        <f t="shared" si="801"/>
        <v>0.30761567827285297</v>
      </c>
      <c r="FH150" s="145">
        <f t="shared" si="655"/>
        <v>1</v>
      </c>
      <c r="FJ150" s="52">
        <f t="shared" si="802"/>
        <v>45010.353398051418</v>
      </c>
      <c r="FK150" s="52">
        <f t="shared" si="803"/>
        <v>14105.80875722406</v>
      </c>
      <c r="FL150" s="52">
        <f t="shared" si="804"/>
        <v>14105.808757224049</v>
      </c>
      <c r="FM150" s="52">
        <f t="shared" si="805"/>
        <v>8976.4237545971591</v>
      </c>
      <c r="FN150" s="52">
        <f t="shared" si="806"/>
        <v>39752.733770358849</v>
      </c>
      <c r="FO150" s="52">
        <f t="shared" si="807"/>
        <v>38470.387519702126</v>
      </c>
      <c r="FP150" s="52">
        <f t="shared" si="808"/>
        <v>56423.235028896197</v>
      </c>
      <c r="FQ150" s="52">
        <f t="shared" si="809"/>
        <v>30799.199330655712</v>
      </c>
      <c r="FR150" s="52">
        <f t="shared" si="810"/>
        <v>25646.925013134773</v>
      </c>
      <c r="FS150" s="52">
        <f t="shared" si="811"/>
        <v>26193.876731764889</v>
      </c>
      <c r="FT150" s="52">
        <f t="shared" si="812"/>
        <v>239094.56924606769</v>
      </c>
      <c r="FU150" s="52">
        <f t="shared" si="813"/>
        <v>58987.927530209934</v>
      </c>
      <c r="FV150" s="52">
        <f t="shared" si="814"/>
        <v>17952.847509194304</v>
      </c>
      <c r="FW150" s="52">
        <f t="shared" si="815"/>
        <v>179528.47509194314</v>
      </c>
      <c r="FX150" s="52">
        <f t="shared" si="816"/>
        <v>94893.622548598767</v>
      </c>
      <c r="FY150" s="52">
        <f t="shared" si="817"/>
        <v>178246.12884128653</v>
      </c>
      <c r="FZ150" s="52">
        <f t="shared" si="818"/>
        <v>33341.002517075161</v>
      </c>
      <c r="GA150" s="52">
        <f t="shared" si="819"/>
        <v>114128.81630844917</v>
      </c>
      <c r="GB150" s="52">
        <f t="shared" si="820"/>
        <v>94893.622548598767</v>
      </c>
      <c r="GC150" s="52">
        <f t="shared" si="821"/>
        <v>39752.733770358762</v>
      </c>
      <c r="GD150" s="52">
        <f t="shared" si="822"/>
        <v>61552.62003152338</v>
      </c>
      <c r="GE150" s="52">
        <f t="shared" si="823"/>
        <v>55140.888778239721</v>
      </c>
      <c r="GF150" s="52">
        <f t="shared" si="824"/>
        <v>39752.733770358762</v>
      </c>
      <c r="GG150" s="52">
        <f t="shared" si="825"/>
        <v>0</v>
      </c>
      <c r="GH150" s="52">
        <f t="shared" si="826"/>
        <v>293657.29140039254</v>
      </c>
      <c r="GI150" s="52">
        <f t="shared" si="827"/>
        <v>0</v>
      </c>
      <c r="GJ150" s="26"/>
      <c r="GL150" s="150">
        <f t="shared" si="828"/>
        <v>59480.778985690427</v>
      </c>
      <c r="GM150" s="150">
        <f t="shared" si="829"/>
        <v>18640.699967025448</v>
      </c>
      <c r="GN150" s="150">
        <f t="shared" si="830"/>
        <v>18640.699967025434</v>
      </c>
      <c r="GO150" s="150">
        <f t="shared" si="831"/>
        <v>11862.26361537987</v>
      </c>
      <c r="GP150" s="150">
        <f t="shared" si="832"/>
        <v>52532.881725253712</v>
      </c>
      <c r="GQ150" s="150">
        <f t="shared" si="833"/>
        <v>50838.272637342321</v>
      </c>
      <c r="GR150" s="150">
        <f t="shared" si="834"/>
        <v>74562.799868101734</v>
      </c>
      <c r="GS150" s="150">
        <f t="shared" si="835"/>
        <v>40700.866134551747</v>
      </c>
      <c r="GT150" s="150">
        <f t="shared" si="836"/>
        <v>33892.181758228246</v>
      </c>
      <c r="GU150" s="150">
        <f t="shared" si="837"/>
        <v>34614.973556905607</v>
      </c>
      <c r="GV150" s="150">
        <f t="shared" si="838"/>
        <v>315961.33236802986</v>
      </c>
      <c r="GW150" s="150">
        <f t="shared" si="839"/>
        <v>77952.018043924909</v>
      </c>
      <c r="GX150" s="150">
        <f t="shared" si="840"/>
        <v>23724.527230759722</v>
      </c>
      <c r="GY150" s="150">
        <f t="shared" si="841"/>
        <v>237245.27230759736</v>
      </c>
      <c r="GZ150" s="150">
        <f t="shared" si="842"/>
        <v>125401.07250544464</v>
      </c>
      <c r="HA150" s="150">
        <f t="shared" si="843"/>
        <v>235550.66321968613</v>
      </c>
      <c r="HB150" s="150">
        <f t="shared" si="844"/>
        <v>44059.836285696656</v>
      </c>
      <c r="HC150" s="150">
        <f t="shared" si="845"/>
        <v>150820.20882411493</v>
      </c>
      <c r="HD150" s="150">
        <f t="shared" si="846"/>
        <v>125401.07250544464</v>
      </c>
      <c r="HE150" s="150">
        <f t="shared" si="847"/>
        <v>52532.881725253603</v>
      </c>
      <c r="HF150" s="150">
        <f t="shared" si="848"/>
        <v>81341.23621974769</v>
      </c>
      <c r="HG150" s="150">
        <f t="shared" si="849"/>
        <v>72868.190780190678</v>
      </c>
      <c r="HH150" s="150">
        <f t="shared" si="850"/>
        <v>52532.881725253603</v>
      </c>
      <c r="HI150" s="150">
        <f t="shared" si="851"/>
        <v>0</v>
      </c>
      <c r="HJ150" s="150">
        <f t="shared" si="852"/>
        <v>388065.48113171256</v>
      </c>
      <c r="HK150" s="150">
        <f t="shared" si="853"/>
        <v>0</v>
      </c>
      <c r="HL150" s="26"/>
      <c r="HN150" s="147">
        <f t="shared" si="854"/>
        <v>70335.688018494751</v>
      </c>
      <c r="HO150" s="147">
        <f t="shared" si="855"/>
        <v>22042.523310639332</v>
      </c>
      <c r="HP150" s="147">
        <f t="shared" si="856"/>
        <v>22042.523310639313</v>
      </c>
      <c r="HQ150" s="147">
        <f t="shared" si="857"/>
        <v>14027.060288588711</v>
      </c>
      <c r="HR150" s="147">
        <f t="shared" si="858"/>
        <v>62119.838420892869</v>
      </c>
      <c r="HS150" s="147">
        <f t="shared" si="859"/>
        <v>60115.972665380214</v>
      </c>
      <c r="HT150" s="147">
        <f t="shared" si="860"/>
        <v>88170.093242557254</v>
      </c>
      <c r="HU150" s="147">
        <f t="shared" si="861"/>
        <v>48128.546252076638</v>
      </c>
      <c r="HV150" s="147">
        <f t="shared" si="862"/>
        <v>40077.315110253512</v>
      </c>
      <c r="HW150" s="147">
        <f t="shared" si="863"/>
        <v>40932.01236407274</v>
      </c>
      <c r="HX150" s="147">
        <f t="shared" si="864"/>
        <v>373622.50593073195</v>
      </c>
      <c r="HY150" s="147">
        <f t="shared" si="865"/>
        <v>92177.824753583016</v>
      </c>
      <c r="HZ150" s="147">
        <f t="shared" si="866"/>
        <v>28054.120577177404</v>
      </c>
      <c r="IA150" s="147">
        <f t="shared" si="867"/>
        <v>280541.20577177417</v>
      </c>
      <c r="IB150" s="147">
        <f t="shared" si="868"/>
        <v>148286.06590793817</v>
      </c>
      <c r="IC150" s="147">
        <f t="shared" si="869"/>
        <v>278537.34001626173</v>
      </c>
      <c r="ID150" s="147">
        <f t="shared" si="870"/>
        <v>52100.509643329497</v>
      </c>
      <c r="IE150" s="147">
        <f t="shared" si="871"/>
        <v>178344.05224062724</v>
      </c>
      <c r="IF150" s="147">
        <f t="shared" si="872"/>
        <v>148286.06590793817</v>
      </c>
      <c r="IG150" s="147">
        <f t="shared" si="873"/>
        <v>62119.838420892738</v>
      </c>
      <c r="IH150" s="147">
        <f t="shared" si="874"/>
        <v>96185.556264608327</v>
      </c>
      <c r="II150" s="147">
        <f t="shared" si="875"/>
        <v>86166.227487044991</v>
      </c>
      <c r="IJ150" s="147">
        <f t="shared" si="876"/>
        <v>62119.838420892738</v>
      </c>
      <c r="IK150" s="147">
        <f t="shared" si="877"/>
        <v>0</v>
      </c>
      <c r="IL150" s="147">
        <f t="shared" si="878"/>
        <v>458885.25801240175</v>
      </c>
      <c r="IM150" s="147">
        <f t="shared" si="879"/>
        <v>0</v>
      </c>
      <c r="IN150" s="26"/>
      <c r="IP150" s="61">
        <f t="shared" si="880"/>
        <v>77672.860650812843</v>
      </c>
      <c r="IQ150" s="61">
        <f t="shared" si="881"/>
        <v>24341.922141280324</v>
      </c>
      <c r="IR150" s="61">
        <f t="shared" si="882"/>
        <v>24341.922141280305</v>
      </c>
      <c r="IS150" s="61">
        <f t="shared" si="883"/>
        <v>15490.314089905713</v>
      </c>
      <c r="IT150" s="61">
        <f t="shared" si="884"/>
        <v>68599.962398153875</v>
      </c>
      <c r="IU150" s="61">
        <f t="shared" si="885"/>
        <v>66387.060385310222</v>
      </c>
      <c r="IV150" s="61">
        <f t="shared" si="886"/>
        <v>97367.688565121221</v>
      </c>
      <c r="IW150" s="61">
        <f t="shared" si="887"/>
        <v>53149.14763300203</v>
      </c>
      <c r="IX150" s="61">
        <f t="shared" si="888"/>
        <v>44258.040256873523</v>
      </c>
      <c r="IY150" s="61">
        <f t="shared" si="889"/>
        <v>45201.896534743108</v>
      </c>
      <c r="IZ150" s="61">
        <f t="shared" si="890"/>
        <v>412597.49718427932</v>
      </c>
      <c r="JA150" s="61">
        <f t="shared" si="891"/>
        <v>101793.49259080902</v>
      </c>
      <c r="JB150" s="61">
        <f t="shared" si="892"/>
        <v>30980.628179811403</v>
      </c>
      <c r="JC150" s="61">
        <f t="shared" si="893"/>
        <v>309806.28179811419</v>
      </c>
      <c r="JD150" s="61">
        <f t="shared" si="894"/>
        <v>163754.7489504322</v>
      </c>
      <c r="JE150" s="61">
        <f t="shared" si="895"/>
        <v>307593.37978527072</v>
      </c>
      <c r="JF150" s="61">
        <f t="shared" si="896"/>
        <v>57535.4523339355</v>
      </c>
      <c r="JG150" s="61">
        <f t="shared" si="897"/>
        <v>196948.2791430862</v>
      </c>
      <c r="JH150" s="61">
        <f t="shared" si="898"/>
        <v>163754.7489504322</v>
      </c>
      <c r="JI150" s="61">
        <f t="shared" si="899"/>
        <v>68599.96239815373</v>
      </c>
      <c r="JJ150" s="61">
        <f t="shared" si="900"/>
        <v>106219.29661649633</v>
      </c>
      <c r="JK150" s="61">
        <f t="shared" si="901"/>
        <v>95154.786552278005</v>
      </c>
      <c r="JL150" s="61">
        <f t="shared" si="902"/>
        <v>68599.96239815373</v>
      </c>
      <c r="JM150" s="61">
        <f t="shared" si="903"/>
        <v>0</v>
      </c>
      <c r="JN150" s="61">
        <f t="shared" si="904"/>
        <v>506754.5609412007</v>
      </c>
      <c r="JO150" s="61">
        <f t="shared" si="905"/>
        <v>0</v>
      </c>
      <c r="JQ150" s="26">
        <f t="shared" si="769"/>
        <v>10099953.000000004</v>
      </c>
      <c r="JR150" s="156">
        <f t="shared" si="770"/>
        <v>1.0000000000000004</v>
      </c>
      <c r="JT150" s="157">
        <f t="shared" si="906"/>
        <v>252499.68105304945</v>
      </c>
      <c r="JU150" s="29">
        <f t="shared" si="907"/>
        <v>1</v>
      </c>
    </row>
    <row r="151" spans="1:281" ht="18.75" x14ac:dyDescent="0.3">
      <c r="A151" t="s">
        <v>234</v>
      </c>
      <c r="B151" s="10" t="s">
        <v>221</v>
      </c>
      <c r="C151" t="s">
        <v>33</v>
      </c>
      <c r="D151" s="107" t="s">
        <v>25</v>
      </c>
      <c r="E151" t="s">
        <v>305</v>
      </c>
      <c r="F151" s="114"/>
      <c r="G151" s="108">
        <v>249516</v>
      </c>
      <c r="H151" s="21">
        <v>311895</v>
      </c>
      <c r="I151" s="25">
        <f t="shared" si="713"/>
        <v>0.8</v>
      </c>
      <c r="J151" s="105">
        <v>2.5000084758122137E-2</v>
      </c>
      <c r="K151" s="105">
        <v>7.8347843971323054E-3</v>
      </c>
      <c r="L151" s="105">
        <v>7.8347843971323088E-3</v>
      </c>
      <c r="M151" s="105">
        <v>4.9857718890841925E-3</v>
      </c>
      <c r="N151" s="105">
        <v>2.2079846937372829E-2</v>
      </c>
      <c r="O151" s="105">
        <v>2.1367593810360817E-2</v>
      </c>
      <c r="P151" s="105">
        <v>3.1339137588529235E-2</v>
      </c>
      <c r="Q151" s="105">
        <v>1.710678845241026E-2</v>
      </c>
      <c r="R151" s="105">
        <v>1.4245062540240555E-2</v>
      </c>
      <c r="S151" s="105">
        <v>1.454885574096096E-2</v>
      </c>
      <c r="T151" s="105">
        <v>0.1328002125088209</v>
      </c>
      <c r="U151" s="105">
        <v>3.2763643842553189E-2</v>
      </c>
      <c r="V151" s="105">
        <v>9.9715437781683867E-3</v>
      </c>
      <c r="W151" s="105">
        <v>9.9715437781683444E-2</v>
      </c>
      <c r="X151" s="105">
        <v>5.2706731398889921E-2</v>
      </c>
      <c r="Y151" s="105">
        <v>9.9003184654671575E-2</v>
      </c>
      <c r="Z151" s="105">
        <v>1.8518581302312698E-2</v>
      </c>
      <c r="AA151" s="105">
        <v>6.3390528304070368E-2</v>
      </c>
      <c r="AB151" s="105">
        <v>5.2706731398889921E-2</v>
      </c>
      <c r="AC151" s="105">
        <v>2.2079846937372832E-2</v>
      </c>
      <c r="AD151" s="105">
        <v>3.4188150096577233E-2</v>
      </c>
      <c r="AE151" s="105">
        <v>3.0626884461517099E-2</v>
      </c>
      <c r="AF151" s="105">
        <v>2.2079846937372846E-2</v>
      </c>
      <c r="AG151" s="105">
        <v>0</v>
      </c>
      <c r="AH151" s="105">
        <v>0.16310596608575398</v>
      </c>
      <c r="AJ151" s="8">
        <f t="shared" si="740"/>
        <v>1</v>
      </c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M151" s="26">
        <f t="shared" si="741"/>
        <v>6237.921148507603</v>
      </c>
      <c r="BN151" s="26">
        <f t="shared" si="742"/>
        <v>1954.9040636348643</v>
      </c>
      <c r="BO151" s="26">
        <f t="shared" si="743"/>
        <v>1954.9040636348652</v>
      </c>
      <c r="BP151" s="26">
        <f t="shared" si="744"/>
        <v>1244.0298586767315</v>
      </c>
      <c r="BQ151" s="26">
        <f t="shared" si="745"/>
        <v>5509.2750884255183</v>
      </c>
      <c r="BR151" s="26">
        <f t="shared" si="746"/>
        <v>5331.5565371859893</v>
      </c>
      <c r="BS151" s="26">
        <f t="shared" si="747"/>
        <v>7819.6162545394609</v>
      </c>
      <c r="BT151" s="26">
        <f t="shared" si="748"/>
        <v>4268.4174274915986</v>
      </c>
      <c r="BU151" s="26">
        <f t="shared" si="749"/>
        <v>3554.3710247906624</v>
      </c>
      <c r="BV151" s="26">
        <f t="shared" si="750"/>
        <v>3630.1722890616152</v>
      </c>
      <c r="BW151" s="26">
        <f t="shared" si="751"/>
        <v>33135.777824350953</v>
      </c>
      <c r="BX151" s="26">
        <f t="shared" si="752"/>
        <v>8175.0533570185016</v>
      </c>
      <c r="BY151" s="26">
        <f t="shared" si="753"/>
        <v>2488.0597173534634</v>
      </c>
      <c r="BZ151" s="26">
        <f t="shared" si="754"/>
        <v>24880.597173534527</v>
      </c>
      <c r="CA151" s="26">
        <f t="shared" si="755"/>
        <v>13151.172791725417</v>
      </c>
      <c r="CB151" s="26">
        <f t="shared" si="756"/>
        <v>24702.878622295033</v>
      </c>
      <c r="CC151" s="26">
        <f t="shared" si="757"/>
        <v>4620.6823322278551</v>
      </c>
      <c r="CD151" s="26">
        <f t="shared" si="758"/>
        <v>15816.951060318423</v>
      </c>
      <c r="CE151" s="26">
        <f t="shared" si="759"/>
        <v>13151.172791725417</v>
      </c>
      <c r="CF151" s="26">
        <f t="shared" si="760"/>
        <v>5509.2750884255192</v>
      </c>
      <c r="CG151" s="26">
        <f t="shared" si="761"/>
        <v>8530.4904594975651</v>
      </c>
      <c r="CH151" s="26">
        <f t="shared" si="762"/>
        <v>7641.8977032999001</v>
      </c>
      <c r="CI151" s="26">
        <f t="shared" si="763"/>
        <v>5509.2750884255229</v>
      </c>
      <c r="CJ151" s="26">
        <f t="shared" si="764"/>
        <v>0</v>
      </c>
      <c r="CK151" s="26">
        <f t="shared" si="765"/>
        <v>40697.548233852991</v>
      </c>
      <c r="CL151" s="26">
        <f t="shared" si="766"/>
        <v>0</v>
      </c>
      <c r="CM151" s="110">
        <f t="shared" si="767"/>
        <v>1</v>
      </c>
      <c r="CN151" s="27">
        <f t="shared" si="684"/>
        <v>7797.4014356345042</v>
      </c>
      <c r="CO151" s="27">
        <f t="shared" si="685"/>
        <v>2443.6300795435805</v>
      </c>
      <c r="CP151" s="27">
        <f t="shared" si="686"/>
        <v>2443.6300795435814</v>
      </c>
      <c r="CQ151" s="27">
        <f t="shared" si="687"/>
        <v>1555.0373233459143</v>
      </c>
      <c r="CR151" s="27">
        <f t="shared" si="688"/>
        <v>6886.5938605318988</v>
      </c>
      <c r="CS151" s="27">
        <f t="shared" si="689"/>
        <v>6664.4456714824873</v>
      </c>
      <c r="CT151" s="27">
        <f t="shared" si="690"/>
        <v>9774.5203181743254</v>
      </c>
      <c r="CU151" s="27">
        <f t="shared" si="691"/>
        <v>5335.5217843644978</v>
      </c>
      <c r="CV151" s="27">
        <f t="shared" si="692"/>
        <v>4442.9637809883279</v>
      </c>
      <c r="CW151" s="27">
        <f t="shared" si="693"/>
        <v>4537.7153613270184</v>
      </c>
      <c r="CX151" s="27">
        <f t="shared" si="694"/>
        <v>41419.722280438698</v>
      </c>
      <c r="CY151" s="27">
        <f t="shared" si="695"/>
        <v>10218.816696273127</v>
      </c>
      <c r="CZ151" s="27">
        <f t="shared" si="696"/>
        <v>3110.074646691829</v>
      </c>
      <c r="DA151" s="27">
        <f t="shared" si="697"/>
        <v>31100.746466918157</v>
      </c>
      <c r="DB151" s="27">
        <f t="shared" si="698"/>
        <v>16438.965989656772</v>
      </c>
      <c r="DC151" s="27">
        <f t="shared" si="699"/>
        <v>30878.59827786879</v>
      </c>
      <c r="DD151" s="27">
        <f t="shared" si="700"/>
        <v>5775.8529152848187</v>
      </c>
      <c r="DE151" s="27">
        <f t="shared" si="701"/>
        <v>19771.188825398029</v>
      </c>
      <c r="DF151" s="27">
        <f t="shared" si="702"/>
        <v>16438.965989656772</v>
      </c>
      <c r="DG151" s="27">
        <f t="shared" si="703"/>
        <v>6886.5938605318997</v>
      </c>
      <c r="DH151" s="27">
        <f t="shared" si="704"/>
        <v>10663.113074371957</v>
      </c>
      <c r="DI151" s="27">
        <f t="shared" si="705"/>
        <v>9552.3721291248748</v>
      </c>
      <c r="DJ151" s="27">
        <f t="shared" si="706"/>
        <v>6886.5938605319043</v>
      </c>
      <c r="DK151" s="27">
        <f t="shared" si="707"/>
        <v>0</v>
      </c>
      <c r="DL151" s="27">
        <f t="shared" si="708"/>
        <v>50871.935292316237</v>
      </c>
      <c r="DM151" s="27">
        <f t="shared" si="709"/>
        <v>0</v>
      </c>
      <c r="DN151" s="110">
        <f t="shared" si="768"/>
        <v>1.0000000000000002</v>
      </c>
      <c r="DO151" s="28">
        <f t="shared" si="771"/>
        <v>-1559.4802871269012</v>
      </c>
      <c r="DP151" s="28">
        <f t="shared" si="772"/>
        <v>-488.72601590871614</v>
      </c>
      <c r="DQ151" s="28">
        <f t="shared" si="773"/>
        <v>-488.72601590871614</v>
      </c>
      <c r="DR151" s="28">
        <f t="shared" si="774"/>
        <v>-311.00746466918281</v>
      </c>
      <c r="DS151" s="28">
        <f t="shared" si="775"/>
        <v>-1377.3187721063805</v>
      </c>
      <c r="DT151" s="28">
        <f t="shared" si="776"/>
        <v>-1332.889134296498</v>
      </c>
      <c r="DU151" s="28">
        <f t="shared" si="777"/>
        <v>-1954.9040636348645</v>
      </c>
      <c r="DV151" s="28">
        <f t="shared" si="778"/>
        <v>-1067.1043568728992</v>
      </c>
      <c r="DW151" s="28">
        <f t="shared" si="779"/>
        <v>-888.59275619766549</v>
      </c>
      <c r="DX151" s="28">
        <f t="shared" si="780"/>
        <v>-907.54307226540323</v>
      </c>
      <c r="DY151" s="28">
        <f t="shared" si="781"/>
        <v>-8283.9444560877455</v>
      </c>
      <c r="DZ151" s="28">
        <f t="shared" si="782"/>
        <v>-2043.763339254625</v>
      </c>
      <c r="EA151" s="28">
        <f t="shared" si="783"/>
        <v>-622.01492933836562</v>
      </c>
      <c r="EB151" s="28">
        <f t="shared" si="784"/>
        <v>-6220.1492933836307</v>
      </c>
      <c r="EC151" s="28">
        <f t="shared" si="785"/>
        <v>-3287.7931979313544</v>
      </c>
      <c r="ED151" s="28">
        <f t="shared" si="786"/>
        <v>-6175.7196555737573</v>
      </c>
      <c r="EE151" s="28">
        <f t="shared" si="787"/>
        <v>-1155.1705830569636</v>
      </c>
      <c r="EF151" s="28">
        <f t="shared" si="788"/>
        <v>-3954.2377650796061</v>
      </c>
      <c r="EG151" s="28">
        <f t="shared" si="789"/>
        <v>-3287.7931979313544</v>
      </c>
      <c r="EH151" s="28">
        <f t="shared" si="790"/>
        <v>-1377.3187721063805</v>
      </c>
      <c r="EI151" s="28">
        <f t="shared" si="791"/>
        <v>-2132.6226148743917</v>
      </c>
      <c r="EJ151" s="28">
        <f t="shared" si="792"/>
        <v>-1910.4744258249748</v>
      </c>
      <c r="EK151" s="28">
        <f t="shared" si="793"/>
        <v>-1377.3187721063814</v>
      </c>
      <c r="EL151" s="28">
        <f t="shared" si="794"/>
        <v>0</v>
      </c>
      <c r="EM151" s="28">
        <f t="shared" si="795"/>
        <v>-10174.387058463246</v>
      </c>
      <c r="EN151" s="28">
        <f t="shared" si="796"/>
        <v>0</v>
      </c>
      <c r="EQ151" s="144">
        <v>4.2720925574500586E-2</v>
      </c>
      <c r="ER151" s="144">
        <v>6.2754135183012649E-2</v>
      </c>
      <c r="ES151" s="144">
        <v>7.2785788629650711E-2</v>
      </c>
      <c r="ET151" s="144">
        <v>7.8519072939471066E-2</v>
      </c>
      <c r="EU151" s="144">
        <v>7.8519072939471066E-2</v>
      </c>
      <c r="EV151" s="144">
        <v>7.8519072939471066E-2</v>
      </c>
      <c r="EW151" s="144">
        <v>8.817318178034618E-2</v>
      </c>
      <c r="EX151" s="144">
        <v>9.0179520484929387E-2</v>
      </c>
      <c r="EY151" s="144">
        <v>0.10019610525104643</v>
      </c>
      <c r="EZ151" s="144">
        <v>9.7194151572571136E-2</v>
      </c>
      <c r="FA151" s="144">
        <v>0.10019610525104643</v>
      </c>
      <c r="FB151" s="144">
        <v>0.11024286745448347</v>
      </c>
      <c r="FC151" s="145">
        <f t="shared" si="797"/>
        <v>1.0000000000000002</v>
      </c>
      <c r="FD151" s="146">
        <f t="shared" si="798"/>
        <v>0.17826084938716394</v>
      </c>
      <c r="FE151" s="146">
        <f t="shared" si="799"/>
        <v>0.23555721881841318</v>
      </c>
      <c r="FF151" s="146">
        <f t="shared" si="800"/>
        <v>0.27854880751632199</v>
      </c>
      <c r="FG151" s="146">
        <f t="shared" si="801"/>
        <v>0.30763312427810102</v>
      </c>
      <c r="FH151" s="145">
        <f t="shared" si="655"/>
        <v>1</v>
      </c>
      <c r="FJ151" s="52">
        <f t="shared" si="802"/>
        <v>1111.9771223431185</v>
      </c>
      <c r="FK151" s="52">
        <f t="shared" si="803"/>
        <v>348.48285885396928</v>
      </c>
      <c r="FL151" s="52">
        <f t="shared" si="804"/>
        <v>348.48285885396945</v>
      </c>
      <c r="FM151" s="52">
        <f t="shared" si="805"/>
        <v>221.76181927070766</v>
      </c>
      <c r="FN151" s="52">
        <f t="shared" si="806"/>
        <v>982.08805677027567</v>
      </c>
      <c r="FO151" s="52">
        <f t="shared" si="807"/>
        <v>950.40779687446093</v>
      </c>
      <c r="FP151" s="52">
        <f t="shared" si="808"/>
        <v>1393.9314354158778</v>
      </c>
      <c r="FQ151" s="52">
        <f t="shared" si="809"/>
        <v>760.89171616362557</v>
      </c>
      <c r="FR151" s="52">
        <f t="shared" si="810"/>
        <v>633.60519791630782</v>
      </c>
      <c r="FS151" s="52">
        <f t="shared" si="811"/>
        <v>647.11759566986871</v>
      </c>
      <c r="FT151" s="52">
        <f t="shared" si="812"/>
        <v>5906.8119000731522</v>
      </c>
      <c r="FU151" s="52">
        <f t="shared" si="813"/>
        <v>1457.2919552075041</v>
      </c>
      <c r="FV151" s="52">
        <f t="shared" si="814"/>
        <v>443.52363854141544</v>
      </c>
      <c r="FW151" s="52">
        <f t="shared" si="815"/>
        <v>4435.2363854141349</v>
      </c>
      <c r="FX151" s="52">
        <f t="shared" si="816"/>
        <v>2344.3392322903328</v>
      </c>
      <c r="FY151" s="52">
        <f t="shared" si="817"/>
        <v>4403.5561255183266</v>
      </c>
      <c r="FZ151" s="52">
        <f t="shared" si="818"/>
        <v>823.68675729119911</v>
      </c>
      <c r="GA151" s="52">
        <f t="shared" si="819"/>
        <v>2819.5431307275653</v>
      </c>
      <c r="GB151" s="52">
        <f t="shared" si="820"/>
        <v>2344.3392322903328</v>
      </c>
      <c r="GC151" s="52">
        <f t="shared" si="821"/>
        <v>982.08805677027578</v>
      </c>
      <c r="GD151" s="52">
        <f t="shared" si="822"/>
        <v>1520.6524749991343</v>
      </c>
      <c r="GE151" s="52">
        <f t="shared" si="823"/>
        <v>1362.2511755200576</v>
      </c>
      <c r="GF151" s="52">
        <f t="shared" si="824"/>
        <v>982.08805677027647</v>
      </c>
      <c r="GG151" s="52">
        <f t="shared" si="825"/>
        <v>0</v>
      </c>
      <c r="GH151" s="52">
        <f t="shared" si="826"/>
        <v>7254.779516141708</v>
      </c>
      <c r="GI151" s="52">
        <f t="shared" si="827"/>
        <v>0</v>
      </c>
      <c r="GJ151" s="26"/>
      <c r="GL151" s="150">
        <f t="shared" si="828"/>
        <v>1469.3873569510126</v>
      </c>
      <c r="GM151" s="150">
        <f t="shared" si="829"/>
        <v>460.49176428664288</v>
      </c>
      <c r="GN151" s="150">
        <f t="shared" si="830"/>
        <v>460.4917642866431</v>
      </c>
      <c r="GO151" s="150">
        <f t="shared" si="831"/>
        <v>293.04021363695443</v>
      </c>
      <c r="GP151" s="150">
        <f t="shared" si="832"/>
        <v>1297.7495175350825</v>
      </c>
      <c r="GQ151" s="150">
        <f t="shared" si="833"/>
        <v>1255.8866298726614</v>
      </c>
      <c r="GR151" s="150">
        <f t="shared" si="834"/>
        <v>1841.9670571465724</v>
      </c>
      <c r="GS151" s="150">
        <f t="shared" si="835"/>
        <v>1005.4565379759667</v>
      </c>
      <c r="GT151" s="150">
        <f t="shared" si="836"/>
        <v>837.25775324844153</v>
      </c>
      <c r="GU151" s="150">
        <f t="shared" si="837"/>
        <v>855.11328824302677</v>
      </c>
      <c r="GV151" s="150">
        <f t="shared" si="838"/>
        <v>7805.3716676889608</v>
      </c>
      <c r="GW151" s="150">
        <f t="shared" si="839"/>
        <v>1925.6928324714104</v>
      </c>
      <c r="GX151" s="150">
        <f t="shared" si="840"/>
        <v>586.08042727390898</v>
      </c>
      <c r="GY151" s="150">
        <f t="shared" si="841"/>
        <v>5860.8042727390648</v>
      </c>
      <c r="GZ151" s="150">
        <f t="shared" si="842"/>
        <v>3097.8536870192261</v>
      </c>
      <c r="HA151" s="150">
        <f t="shared" si="843"/>
        <v>5818.9413850766523</v>
      </c>
      <c r="HB151" s="150">
        <f t="shared" si="844"/>
        <v>1088.4350792229727</v>
      </c>
      <c r="HC151" s="150">
        <f t="shared" si="845"/>
        <v>3725.7970019555592</v>
      </c>
      <c r="HD151" s="150">
        <f t="shared" si="846"/>
        <v>3097.8536870192261</v>
      </c>
      <c r="HE151" s="150">
        <f t="shared" si="847"/>
        <v>1297.7495175350828</v>
      </c>
      <c r="HF151" s="150">
        <f t="shared" si="848"/>
        <v>2009.418607796254</v>
      </c>
      <c r="HG151" s="150">
        <f t="shared" si="849"/>
        <v>1800.1041694841438</v>
      </c>
      <c r="HH151" s="150">
        <f t="shared" si="850"/>
        <v>1297.7495175350834</v>
      </c>
      <c r="HI151" s="150">
        <f t="shared" si="851"/>
        <v>0</v>
      </c>
      <c r="HJ151" s="150">
        <f t="shared" si="852"/>
        <v>9586.6012746946344</v>
      </c>
      <c r="HK151" s="150">
        <f t="shared" si="853"/>
        <v>0</v>
      </c>
      <c r="HL151" s="26"/>
      <c r="HN151" s="147">
        <f t="shared" si="854"/>
        <v>1737.5654972976386</v>
      </c>
      <c r="HO151" s="147">
        <f t="shared" si="855"/>
        <v>544.53619573430353</v>
      </c>
      <c r="HP151" s="147">
        <f t="shared" si="856"/>
        <v>544.53619573430376</v>
      </c>
      <c r="HQ151" s="147">
        <f t="shared" si="857"/>
        <v>346.5230336491021</v>
      </c>
      <c r="HR151" s="147">
        <f t="shared" si="858"/>
        <v>1534.6020061603076</v>
      </c>
      <c r="HS151" s="147">
        <f t="shared" si="859"/>
        <v>1485.0987156390083</v>
      </c>
      <c r="HT151" s="147">
        <f t="shared" si="860"/>
        <v>2178.144782937215</v>
      </c>
      <c r="HU151" s="147">
        <f t="shared" si="861"/>
        <v>1188.9625844096715</v>
      </c>
      <c r="HV151" s="147">
        <f t="shared" si="862"/>
        <v>990.06581042600635</v>
      </c>
      <c r="HW151" s="147">
        <f t="shared" si="863"/>
        <v>1011.1801621969098</v>
      </c>
      <c r="HX151" s="147">
        <f t="shared" si="864"/>
        <v>9229.9313990987448</v>
      </c>
      <c r="HY151" s="147">
        <f t="shared" si="865"/>
        <v>2277.1513639798086</v>
      </c>
      <c r="HZ151" s="147">
        <f t="shared" si="866"/>
        <v>693.04606729820443</v>
      </c>
      <c r="IA151" s="147">
        <f t="shared" si="867"/>
        <v>6930.4606729820143</v>
      </c>
      <c r="IB151" s="147">
        <f t="shared" si="868"/>
        <v>3663.2434985762143</v>
      </c>
      <c r="IC151" s="147">
        <f t="shared" si="869"/>
        <v>6880.9573824607241</v>
      </c>
      <c r="ID151" s="147">
        <f t="shared" si="870"/>
        <v>1287.0855535538067</v>
      </c>
      <c r="IE151" s="147">
        <f t="shared" si="871"/>
        <v>4405.7928563957212</v>
      </c>
      <c r="IF151" s="147">
        <f t="shared" si="872"/>
        <v>3663.2434985762143</v>
      </c>
      <c r="IG151" s="147">
        <f t="shared" si="873"/>
        <v>1534.6020061603078</v>
      </c>
      <c r="IH151" s="147">
        <f t="shared" si="874"/>
        <v>2376.1579450224085</v>
      </c>
      <c r="II151" s="147">
        <f t="shared" si="875"/>
        <v>2128.6414924159071</v>
      </c>
      <c r="IJ151" s="147">
        <f t="shared" si="876"/>
        <v>1534.6020061603087</v>
      </c>
      <c r="IK151" s="147">
        <f t="shared" si="877"/>
        <v>0</v>
      </c>
      <c r="IL151" s="147">
        <f t="shared" si="878"/>
        <v>11336.253529377747</v>
      </c>
      <c r="IM151" s="147">
        <f t="shared" si="879"/>
        <v>0</v>
      </c>
      <c r="IN151" s="26"/>
      <c r="IP151" s="61">
        <f t="shared" si="880"/>
        <v>1918.991171915834</v>
      </c>
      <c r="IQ151" s="61">
        <f t="shared" si="881"/>
        <v>601.39324475994897</v>
      </c>
      <c r="IR151" s="61">
        <f t="shared" si="882"/>
        <v>601.3932447599492</v>
      </c>
      <c r="IS151" s="61">
        <f t="shared" si="883"/>
        <v>382.70479211996741</v>
      </c>
      <c r="IT151" s="61">
        <f t="shared" si="884"/>
        <v>1694.8355079598534</v>
      </c>
      <c r="IU151" s="61">
        <f t="shared" si="885"/>
        <v>1640.1633947998594</v>
      </c>
      <c r="IV151" s="61">
        <f t="shared" si="886"/>
        <v>2405.5729790397968</v>
      </c>
      <c r="IW151" s="61">
        <f t="shared" si="887"/>
        <v>1313.1065889423353</v>
      </c>
      <c r="IX151" s="61">
        <f t="shared" si="888"/>
        <v>1093.4422631999071</v>
      </c>
      <c r="IY151" s="61">
        <f t="shared" si="889"/>
        <v>1116.7612429518103</v>
      </c>
      <c r="IZ151" s="61">
        <f t="shared" si="890"/>
        <v>10193.662857490101</v>
      </c>
      <c r="JA151" s="61">
        <f t="shared" si="891"/>
        <v>2514.9172053597795</v>
      </c>
      <c r="JB151" s="61">
        <f t="shared" si="892"/>
        <v>765.40958423993493</v>
      </c>
      <c r="JC151" s="61">
        <f t="shared" si="893"/>
        <v>7654.0958423993161</v>
      </c>
      <c r="JD151" s="61">
        <f t="shared" si="894"/>
        <v>4045.7363738396461</v>
      </c>
      <c r="JE151" s="61">
        <f t="shared" si="895"/>
        <v>7599.4237292393327</v>
      </c>
      <c r="JF151" s="61">
        <f t="shared" si="896"/>
        <v>1421.4749421598774</v>
      </c>
      <c r="JG151" s="61">
        <f t="shared" si="897"/>
        <v>4865.8180712395788</v>
      </c>
      <c r="JH151" s="61">
        <f t="shared" si="898"/>
        <v>4045.7363738396461</v>
      </c>
      <c r="JI151" s="61">
        <f t="shared" si="899"/>
        <v>1694.8355079598537</v>
      </c>
      <c r="JJ151" s="61">
        <f t="shared" si="900"/>
        <v>2624.2614316797694</v>
      </c>
      <c r="JK151" s="61">
        <f t="shared" si="901"/>
        <v>2350.9008658797929</v>
      </c>
      <c r="JL151" s="61">
        <f t="shared" si="902"/>
        <v>1694.8355079598548</v>
      </c>
      <c r="JM151" s="61">
        <f t="shared" si="903"/>
        <v>0</v>
      </c>
      <c r="JN151" s="61">
        <f t="shared" si="904"/>
        <v>12519.913913638908</v>
      </c>
      <c r="JO151" s="61">
        <f t="shared" si="905"/>
        <v>0</v>
      </c>
      <c r="JQ151" s="26">
        <f t="shared" si="769"/>
        <v>249516.00000000006</v>
      </c>
      <c r="JR151" s="156">
        <f t="shared" si="770"/>
        <v>1.0000000000000002</v>
      </c>
      <c r="JT151" s="157">
        <f t="shared" si="906"/>
        <v>6237.921148507603</v>
      </c>
      <c r="JU151" s="29">
        <f t="shared" si="907"/>
        <v>1</v>
      </c>
    </row>
    <row r="152" spans="1:281" ht="18.75" x14ac:dyDescent="0.3">
      <c r="A152" t="s">
        <v>234</v>
      </c>
      <c r="B152" s="10" t="s">
        <v>11</v>
      </c>
      <c r="C152" t="s">
        <v>33</v>
      </c>
      <c r="D152" s="107" t="s">
        <v>25</v>
      </c>
      <c r="E152" t="s">
        <v>36</v>
      </c>
      <c r="F152" s="114"/>
      <c r="G152" s="108">
        <v>16699956</v>
      </c>
      <c r="H152" s="21">
        <v>9277753</v>
      </c>
      <c r="I152" s="25">
        <f t="shared" si="713"/>
        <v>1.8000000646708314</v>
      </c>
      <c r="J152" s="105">
        <v>1.4128796527573973E-2</v>
      </c>
      <c r="K152" s="105">
        <v>9.2703546684735957E-3</v>
      </c>
      <c r="L152" s="105">
        <v>9.692600116516556E-3</v>
      </c>
      <c r="M152" s="105">
        <v>2.0289002651086546E-2</v>
      </c>
      <c r="N152" s="105">
        <v>3.7393245509075544E-3</v>
      </c>
      <c r="O152" s="105">
        <v>6.5717194956816688E-2</v>
      </c>
      <c r="P152" s="105">
        <v>5.1457971498252908E-3</v>
      </c>
      <c r="Q152" s="105">
        <v>3.6622516518727138E-2</v>
      </c>
      <c r="R152" s="105">
        <v>8.0544862732371096E-3</v>
      </c>
      <c r="S152" s="105">
        <v>1.1661057703779412E-2</v>
      </c>
      <c r="T152" s="105">
        <v>0.19141549299856311</v>
      </c>
      <c r="U152" s="105">
        <v>2.1342820643165904E-2</v>
      </c>
      <c r="V152" s="105">
        <v>2.8182243159942545E-3</v>
      </c>
      <c r="W152" s="105">
        <v>6.7716402163488162E-2</v>
      </c>
      <c r="X152" s="105">
        <v>0.12413021932623813</v>
      </c>
      <c r="Y152" s="105">
        <v>1.7476547076642892E-2</v>
      </c>
      <c r="Z152" s="105">
        <v>1.8988249526575292E-3</v>
      </c>
      <c r="AA152" s="105">
        <v>0.10622963470618169</v>
      </c>
      <c r="AB152" s="105">
        <v>3.8781956178573086E-2</v>
      </c>
      <c r="AC152" s="105">
        <v>3.1583964338868432E-2</v>
      </c>
      <c r="AD152" s="105">
        <v>4.2674117630796905E-2</v>
      </c>
      <c r="AE152" s="105">
        <v>2.1654709777653672E-2</v>
      </c>
      <c r="AF152" s="105">
        <v>3.3289017509317356E-2</v>
      </c>
      <c r="AG152" s="105">
        <v>7.3548689401858575E-2</v>
      </c>
      <c r="AH152" s="105">
        <v>4.1118247863056685E-2</v>
      </c>
      <c r="AJ152" s="8">
        <f t="shared" si="740"/>
        <v>1.0000000000000002</v>
      </c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M152" s="26">
        <f t="shared" si="741"/>
        <v>235950.28034343815</v>
      </c>
      <c r="BN152" s="26">
        <f t="shared" si="742"/>
        <v>154814.51506790365</v>
      </c>
      <c r="BO152" s="26">
        <f t="shared" si="743"/>
        <v>161865.99547142137</v>
      </c>
      <c r="BP152" s="26">
        <f t="shared" si="744"/>
        <v>338825.45155702869</v>
      </c>
      <c r="BQ152" s="26">
        <f t="shared" si="745"/>
        <v>62446.555469875922</v>
      </c>
      <c r="BR152" s="26">
        <f t="shared" si="746"/>
        <v>1097474.2642222606</v>
      </c>
      <c r="BS152" s="26">
        <f t="shared" si="747"/>
        <v>85934.585987007769</v>
      </c>
      <c r="BT152" s="26">
        <f t="shared" si="748"/>
        <v>611594.41447201639</v>
      </c>
      <c r="BU152" s="26">
        <f t="shared" si="749"/>
        <v>134509.56636566372</v>
      </c>
      <c r="BV152" s="26">
        <f t="shared" si="750"/>
        <v>194739.15056657721</v>
      </c>
      <c r="BW152" s="26">
        <f t="shared" si="751"/>
        <v>3196630.310794312</v>
      </c>
      <c r="BX152" s="26">
        <f t="shared" si="752"/>
        <v>356424.16565676231</v>
      </c>
      <c r="BY152" s="26">
        <f t="shared" si="753"/>
        <v>47064.222075234145</v>
      </c>
      <c r="BZ152" s="26">
        <f t="shared" si="754"/>
        <v>1130860.9366085571</v>
      </c>
      <c r="CA152" s="26">
        <f t="shared" si="755"/>
        <v>2072969.2010185265</v>
      </c>
      <c r="CB152" s="26">
        <f t="shared" si="756"/>
        <v>291857.56721186492</v>
      </c>
      <c r="CC152" s="26">
        <f t="shared" si="757"/>
        <v>31710.29316108282</v>
      </c>
      <c r="CD152" s="26">
        <f t="shared" si="758"/>
        <v>1774030.2254893072</v>
      </c>
      <c r="CE152" s="26">
        <f t="shared" si="759"/>
        <v>647656.9617760987</v>
      </c>
      <c r="CF152" s="26">
        <f t="shared" si="760"/>
        <v>527450.81476467196</v>
      </c>
      <c r="CG152" s="26">
        <f t="shared" si="761"/>
        <v>712655.8867731326</v>
      </c>
      <c r="CH152" s="26">
        <f t="shared" si="762"/>
        <v>361632.70047958608</v>
      </c>
      <c r="CI152" s="26">
        <f t="shared" si="763"/>
        <v>555925.12768882944</v>
      </c>
      <c r="CJ152" s="26">
        <f t="shared" si="764"/>
        <v>1228259.8768687046</v>
      </c>
      <c r="CK152" s="26">
        <f t="shared" si="765"/>
        <v>686672.9301101407</v>
      </c>
      <c r="CL152" s="26">
        <f t="shared" si="766"/>
        <v>0</v>
      </c>
      <c r="CM152" s="110">
        <f t="shared" si="767"/>
        <v>1.0000000000000002</v>
      </c>
      <c r="CN152" s="27">
        <f t="shared" si="684"/>
        <v>131083.48437008902</v>
      </c>
      <c r="CO152" s="27">
        <f t="shared" si="685"/>
        <v>86008.060836494915</v>
      </c>
      <c r="CP152" s="27">
        <f t="shared" si="686"/>
        <v>89925.549808811833</v>
      </c>
      <c r="CQ152" s="27">
        <f t="shared" si="687"/>
        <v>188236.35521312617</v>
      </c>
      <c r="CR152" s="27">
        <f t="shared" si="688"/>
        <v>34692.529570156214</v>
      </c>
      <c r="CS152" s="27">
        <f t="shared" si="689"/>
        <v>609707.90266219084</v>
      </c>
      <c r="CT152" s="27">
        <f t="shared" si="690"/>
        <v>47741.434944183042</v>
      </c>
      <c r="CU152" s="27">
        <f t="shared" si="691"/>
        <v>339774.66249917028</v>
      </c>
      <c r="CV152" s="27">
        <f t="shared" si="692"/>
        <v>74727.534184984412</v>
      </c>
      <c r="CW152" s="27">
        <f t="shared" si="693"/>
        <v>108188.41309441255</v>
      </c>
      <c r="CX152" s="27">
        <f t="shared" si="694"/>
        <v>1775905.664413898</v>
      </c>
      <c r="CY152" s="27">
        <f t="shared" si="695"/>
        <v>198013.4182505944</v>
      </c>
      <c r="CZ152" s="27">
        <f t="shared" si="696"/>
        <v>26146.78910238864</v>
      </c>
      <c r="DA152" s="27">
        <f t="shared" si="697"/>
        <v>628256.05332150881</v>
      </c>
      <c r="DB152" s="27">
        <f t="shared" si="698"/>
        <v>1151649.5147446638</v>
      </c>
      <c r="DC152" s="27">
        <f t="shared" si="699"/>
        <v>162143.08706996482</v>
      </c>
      <c r="DD152" s="27">
        <f t="shared" si="700"/>
        <v>17616.828900993249</v>
      </c>
      <c r="DE152" s="27">
        <f t="shared" si="701"/>
        <v>985572.31208418123</v>
      </c>
      <c r="DF152" s="27">
        <f t="shared" si="702"/>
        <v>359809.41028162499</v>
      </c>
      <c r="DG152" s="27">
        <f t="shared" si="703"/>
        <v>293028.21989682963</v>
      </c>
      <c r="DH152" s="27">
        <f t="shared" si="704"/>
        <v>395919.92287147889</v>
      </c>
      <c r="DI152" s="27">
        <f t="shared" si="705"/>
        <v>200907.04860375568</v>
      </c>
      <c r="DJ152" s="27">
        <f t="shared" si="706"/>
        <v>308847.28206412162</v>
      </c>
      <c r="DK152" s="27">
        <f t="shared" si="707"/>
        <v>682366.57374416164</v>
      </c>
      <c r="DL152" s="27">
        <f t="shared" si="708"/>
        <v>381484.94746621774</v>
      </c>
      <c r="DM152" s="27">
        <f t="shared" si="709"/>
        <v>0</v>
      </c>
      <c r="DN152" s="110">
        <f t="shared" si="768"/>
        <v>1</v>
      </c>
      <c r="DO152" s="28">
        <f t="shared" si="771"/>
        <v>104866.79597334913</v>
      </c>
      <c r="DP152" s="28">
        <f t="shared" si="772"/>
        <v>68806.45423140873</v>
      </c>
      <c r="DQ152" s="28">
        <f t="shared" si="773"/>
        <v>71940.445662609534</v>
      </c>
      <c r="DR152" s="28">
        <f t="shared" si="774"/>
        <v>150589.09634390252</v>
      </c>
      <c r="DS152" s="28">
        <f t="shared" si="775"/>
        <v>27754.025899719709</v>
      </c>
      <c r="DT152" s="28">
        <f t="shared" si="776"/>
        <v>487766.36156006972</v>
      </c>
      <c r="DU152" s="28">
        <f t="shared" si="777"/>
        <v>38193.151042824727</v>
      </c>
      <c r="DV152" s="28">
        <f t="shared" si="778"/>
        <v>271819.7519728461</v>
      </c>
      <c r="DW152" s="28">
        <f t="shared" si="779"/>
        <v>59782.032180679307</v>
      </c>
      <c r="DX152" s="28">
        <f t="shared" si="780"/>
        <v>86550.737472164663</v>
      </c>
      <c r="DY152" s="28">
        <f t="shared" si="781"/>
        <v>1420724.646380414</v>
      </c>
      <c r="DZ152" s="28">
        <f t="shared" si="782"/>
        <v>158410.74740616791</v>
      </c>
      <c r="EA152" s="28">
        <f t="shared" si="783"/>
        <v>20917.432972845505</v>
      </c>
      <c r="EB152" s="28">
        <f t="shared" si="784"/>
        <v>502604.88328704832</v>
      </c>
      <c r="EC152" s="28">
        <f t="shared" si="785"/>
        <v>921319.68627386261</v>
      </c>
      <c r="ED152" s="28">
        <f t="shared" si="786"/>
        <v>129714.4801419001</v>
      </c>
      <c r="EE152" s="28">
        <f t="shared" si="787"/>
        <v>14093.464260089571</v>
      </c>
      <c r="EF152" s="28">
        <f t="shared" si="788"/>
        <v>788457.91340512596</v>
      </c>
      <c r="EG152" s="28">
        <f t="shared" si="789"/>
        <v>287847.55149447371</v>
      </c>
      <c r="EH152" s="28">
        <f t="shared" si="790"/>
        <v>234422.59486784233</v>
      </c>
      <c r="EI152" s="28">
        <f t="shared" si="791"/>
        <v>316735.96390165371</v>
      </c>
      <c r="EJ152" s="28">
        <f t="shared" si="792"/>
        <v>160725.6518758304</v>
      </c>
      <c r="EK152" s="28">
        <f t="shared" si="793"/>
        <v>247077.84562470781</v>
      </c>
      <c r="EL152" s="28">
        <f t="shared" si="794"/>
        <v>545893.30312454293</v>
      </c>
      <c r="EM152" s="28">
        <f t="shared" si="795"/>
        <v>305187.98264392297</v>
      </c>
      <c r="EN152" s="28">
        <f t="shared" si="796"/>
        <v>0</v>
      </c>
      <c r="EQ152" s="144">
        <v>4.2719495052150266E-2</v>
      </c>
      <c r="ER152" s="144">
        <v>6.2759504300412564E-2</v>
      </c>
      <c r="ES152" s="144">
        <v>7.2779752338317016E-2</v>
      </c>
      <c r="ET152" s="144">
        <v>7.8522728774501727E-2</v>
      </c>
      <c r="EU152" s="144">
        <v>7.8522728774501727E-2</v>
      </c>
      <c r="EV152" s="144">
        <v>7.8522728774501727E-2</v>
      </c>
      <c r="EW152" s="144">
        <v>8.8176429196305223E-2</v>
      </c>
      <c r="EX152" s="144">
        <v>9.0180283234542052E-2</v>
      </c>
      <c r="EY152" s="144">
        <v>0.10020053187125037</v>
      </c>
      <c r="EZ152" s="144">
        <v>9.7194505903112155E-2</v>
      </c>
      <c r="FA152" s="144">
        <v>0.10020053187125037</v>
      </c>
      <c r="FB152" s="144">
        <v>0.11022077990915483</v>
      </c>
      <c r="FC152" s="145">
        <f t="shared" si="797"/>
        <v>1</v>
      </c>
      <c r="FD152" s="146">
        <f t="shared" si="798"/>
        <v>0.17825875169087985</v>
      </c>
      <c r="FE152" s="146">
        <f t="shared" si="799"/>
        <v>0.23556818632350518</v>
      </c>
      <c r="FF152" s="146">
        <f t="shared" si="800"/>
        <v>0.27855724430209766</v>
      </c>
      <c r="FG152" s="146">
        <f t="shared" si="801"/>
        <v>0.30761581768351731</v>
      </c>
      <c r="FH152" s="145">
        <f t="shared" si="655"/>
        <v>1</v>
      </c>
      <c r="FJ152" s="52">
        <f t="shared" si="802"/>
        <v>42060.20243513443</v>
      </c>
      <c r="FK152" s="52">
        <f t="shared" si="803"/>
        <v>27597.042199633412</v>
      </c>
      <c r="FL152" s="52">
        <f t="shared" si="804"/>
        <v>28854.030293937183</v>
      </c>
      <c r="FM152" s="52">
        <f t="shared" si="805"/>
        <v>60398.602035654614</v>
      </c>
      <c r="FN152" s="52">
        <f t="shared" si="806"/>
        <v>11131.645025455367</v>
      </c>
      <c r="FO152" s="52">
        <f t="shared" si="807"/>
        <v>195634.39235312701</v>
      </c>
      <c r="FP152" s="52">
        <f t="shared" si="808"/>
        <v>15318.592025116581</v>
      </c>
      <c r="FQ152" s="52">
        <f t="shared" si="809"/>
        <v>109022.05686489622</v>
      </c>
      <c r="FR152" s="52">
        <f t="shared" si="810"/>
        <v>23977.507390824772</v>
      </c>
      <c r="FS152" s="52">
        <f t="shared" si="811"/>
        <v>34713.957885340351</v>
      </c>
      <c r="FT152" s="52">
        <f t="shared" si="812"/>
        <v>569827.32881942333</v>
      </c>
      <c r="FU152" s="52">
        <f t="shared" si="813"/>
        <v>63535.72684243782</v>
      </c>
      <c r="FV152" s="52">
        <f t="shared" si="814"/>
        <v>8389.6094764335885</v>
      </c>
      <c r="FW152" s="52">
        <f t="shared" si="815"/>
        <v>201585.85889582059</v>
      </c>
      <c r="FX152" s="52">
        <f t="shared" si="816"/>
        <v>369524.90206720307</v>
      </c>
      <c r="FY152" s="52">
        <f t="shared" si="817"/>
        <v>52026.165602724104</v>
      </c>
      <c r="FZ152" s="52">
        <f t="shared" si="818"/>
        <v>5652.6372746464676</v>
      </c>
      <c r="GA152" s="52">
        <f t="shared" si="819"/>
        <v>316236.41345761402</v>
      </c>
      <c r="GB152" s="52">
        <f t="shared" si="820"/>
        <v>115450.52153011523</v>
      </c>
      <c r="GC152" s="52">
        <f t="shared" si="821"/>
        <v>94022.723818287923</v>
      </c>
      <c r="GD152" s="52">
        <f t="shared" si="822"/>
        <v>127037.14876133563</v>
      </c>
      <c r="GE152" s="52">
        <f t="shared" si="823"/>
        <v>64464.193758092864</v>
      </c>
      <c r="GF152" s="52">
        <f t="shared" si="824"/>
        <v>99098.519295403719</v>
      </c>
      <c r="GG152" s="52">
        <f t="shared" si="825"/>
        <v>218948.07240260908</v>
      </c>
      <c r="GH152" s="52">
        <f t="shared" si="826"/>
        <v>122405.45934135246</v>
      </c>
      <c r="GI152" s="52">
        <f t="shared" si="827"/>
        <v>0</v>
      </c>
      <c r="GJ152" s="26"/>
      <c r="GL152" s="150">
        <f t="shared" si="828"/>
        <v>55582.379603026318</v>
      </c>
      <c r="GM152" s="150">
        <f t="shared" si="829"/>
        <v>36469.374531099027</v>
      </c>
      <c r="GN152" s="150">
        <f t="shared" si="830"/>
        <v>38130.478980651431</v>
      </c>
      <c r="GO152" s="150">
        <f t="shared" si="831"/>
        <v>79816.497103531918</v>
      </c>
      <c r="GP152" s="150">
        <f t="shared" si="832"/>
        <v>14710.421814188832</v>
      </c>
      <c r="GQ152" s="150">
        <f t="shared" si="833"/>
        <v>258530.02195956124</v>
      </c>
      <c r="GR152" s="150">
        <f t="shared" si="834"/>
        <v>20243.454563420724</v>
      </c>
      <c r="GS152" s="150">
        <f t="shared" si="835"/>
        <v>144072.18698275901</v>
      </c>
      <c r="GT152" s="150">
        <f t="shared" si="836"/>
        <v>31686.174591920557</v>
      </c>
      <c r="GU152" s="150">
        <f t="shared" si="837"/>
        <v>45874.348505148591</v>
      </c>
      <c r="GV152" s="150">
        <f t="shared" si="838"/>
        <v>753024.40466055879</v>
      </c>
      <c r="GW152" s="150">
        <f t="shared" si="839"/>
        <v>83962.194265632061</v>
      </c>
      <c r="GX152" s="150">
        <f t="shared" si="840"/>
        <v>11086.833434989583</v>
      </c>
      <c r="GY152" s="150">
        <f t="shared" si="841"/>
        <v>266394.85982097819</v>
      </c>
      <c r="GZ152" s="150">
        <f t="shared" si="842"/>
        <v>488325.59498841991</v>
      </c>
      <c r="HA152" s="150">
        <f t="shared" si="843"/>
        <v>68752.357772889532</v>
      </c>
      <c r="HB152" s="150">
        <f t="shared" si="844"/>
        <v>7469.9362477429295</v>
      </c>
      <c r="HC152" s="150">
        <f t="shared" si="845"/>
        <v>417905.08270159503</v>
      </c>
      <c r="HD152" s="150">
        <f t="shared" si="846"/>
        <v>152567.37584538729</v>
      </c>
      <c r="HE152" s="150">
        <f t="shared" si="847"/>
        <v>124250.63180896886</v>
      </c>
      <c r="HF152" s="150">
        <f t="shared" si="848"/>
        <v>167879.05471991611</v>
      </c>
      <c r="HG152" s="150">
        <f t="shared" si="849"/>
        <v>85189.15936724747</v>
      </c>
      <c r="HH152" s="150">
        <f t="shared" si="850"/>
        <v>130958.27406132058</v>
      </c>
      <c r="HI152" s="150">
        <f t="shared" si="851"/>
        <v>289338.95152789255</v>
      </c>
      <c r="HJ152" s="150">
        <f t="shared" si="852"/>
        <v>161758.29674349289</v>
      </c>
      <c r="HK152" s="150">
        <f t="shared" si="853"/>
        <v>0</v>
      </c>
      <c r="HL152" s="26"/>
      <c r="HN152" s="147">
        <f t="shared" si="854"/>
        <v>65725.659884775538</v>
      </c>
      <c r="HO152" s="147">
        <f t="shared" si="855"/>
        <v>43124.704695280816</v>
      </c>
      <c r="HP152" s="147">
        <f t="shared" si="856"/>
        <v>45088.945644734958</v>
      </c>
      <c r="HQ152" s="147">
        <f t="shared" si="857"/>
        <v>94382.284085139792</v>
      </c>
      <c r="HR152" s="147">
        <f t="shared" si="858"/>
        <v>17394.94040784672</v>
      </c>
      <c r="HS152" s="147">
        <f t="shared" si="859"/>
        <v>305709.40673422511</v>
      </c>
      <c r="HT152" s="147">
        <f t="shared" si="860"/>
        <v>23937.701462782541</v>
      </c>
      <c r="HU152" s="147">
        <f t="shared" si="861"/>
        <v>170364.05472587983</v>
      </c>
      <c r="HV152" s="147">
        <f t="shared" si="862"/>
        <v>37468.614139089404</v>
      </c>
      <c r="HW152" s="147">
        <f t="shared" si="863"/>
        <v>54246.001139557025</v>
      </c>
      <c r="HX152" s="147">
        <f t="shared" si="864"/>
        <v>890444.53042742156</v>
      </c>
      <c r="HY152" s="147">
        <f t="shared" si="865"/>
        <v>99284.533388022071</v>
      </c>
      <c r="HZ152" s="147">
        <f t="shared" si="866"/>
        <v>13110.080006499176</v>
      </c>
      <c r="IA152" s="147">
        <f t="shared" si="867"/>
        <v>315009.50619056885</v>
      </c>
      <c r="IB152" s="147">
        <f t="shared" si="868"/>
        <v>577440.58815884183</v>
      </c>
      <c r="IC152" s="147">
        <f t="shared" si="869"/>
        <v>81299.03965125134</v>
      </c>
      <c r="ID152" s="147">
        <f t="shared" si="870"/>
        <v>8833.131878962884</v>
      </c>
      <c r="IE152" s="147">
        <f t="shared" si="871"/>
        <v>494168.97092093033</v>
      </c>
      <c r="IF152" s="147">
        <f t="shared" si="872"/>
        <v>180409.53852541905</v>
      </c>
      <c r="IG152" s="147">
        <f t="shared" si="873"/>
        <v>146925.24546574318</v>
      </c>
      <c r="IH152" s="147">
        <f t="shared" si="874"/>
        <v>198515.45995519156</v>
      </c>
      <c r="II152" s="147">
        <f t="shared" si="875"/>
        <v>100735.40849511937</v>
      </c>
      <c r="IJ152" s="147">
        <f t="shared" si="876"/>
        <v>154856.9716072921</v>
      </c>
      <c r="IK152" s="147">
        <f t="shared" si="877"/>
        <v>342140.68658738013</v>
      </c>
      <c r="IL152" s="147">
        <f t="shared" si="878"/>
        <v>191277.71914832768</v>
      </c>
      <c r="IM152" s="147">
        <f t="shared" si="879"/>
        <v>0</v>
      </c>
      <c r="IN152" s="26"/>
      <c r="IP152" s="61">
        <f t="shared" si="880"/>
        <v>72582.038420501864</v>
      </c>
      <c r="IQ152" s="61">
        <f t="shared" si="881"/>
        <v>47623.39364189039</v>
      </c>
      <c r="IR152" s="61">
        <f t="shared" si="882"/>
        <v>49792.540552097795</v>
      </c>
      <c r="IS152" s="61">
        <f t="shared" si="883"/>
        <v>104228.06833270236</v>
      </c>
      <c r="IT152" s="61">
        <f t="shared" si="884"/>
        <v>19209.548222385001</v>
      </c>
      <c r="IU152" s="61">
        <f t="shared" si="885"/>
        <v>337600.44317534723</v>
      </c>
      <c r="IV152" s="61">
        <f t="shared" si="886"/>
        <v>26434.837935687923</v>
      </c>
      <c r="IW152" s="61">
        <f t="shared" si="887"/>
        <v>188136.11589848131</v>
      </c>
      <c r="IX152" s="61">
        <f t="shared" si="888"/>
        <v>41377.270243828985</v>
      </c>
      <c r="IY152" s="61">
        <f t="shared" si="889"/>
        <v>59904.843036531245</v>
      </c>
      <c r="IZ152" s="61">
        <f t="shared" si="890"/>
        <v>983334.04688690836</v>
      </c>
      <c r="JA152" s="61">
        <f t="shared" si="891"/>
        <v>109641.71116067037</v>
      </c>
      <c r="JB152" s="61">
        <f t="shared" si="892"/>
        <v>14477.699157311798</v>
      </c>
      <c r="JC152" s="61">
        <f t="shared" si="893"/>
        <v>347870.71170118952</v>
      </c>
      <c r="JD152" s="61">
        <f t="shared" si="894"/>
        <v>637678.11580406153</v>
      </c>
      <c r="JE152" s="61">
        <f t="shared" si="895"/>
        <v>89780.00418499994</v>
      </c>
      <c r="JF152" s="61">
        <f t="shared" si="896"/>
        <v>9754.5877597305389</v>
      </c>
      <c r="JG152" s="61">
        <f t="shared" si="897"/>
        <v>545719.75840916787</v>
      </c>
      <c r="JH152" s="61">
        <f t="shared" si="898"/>
        <v>199229.52587517712</v>
      </c>
      <c r="JI152" s="61">
        <f t="shared" si="899"/>
        <v>162252.21367167198</v>
      </c>
      <c r="JJ152" s="61">
        <f t="shared" si="900"/>
        <v>219224.22333668932</v>
      </c>
      <c r="JK152" s="61">
        <f t="shared" si="901"/>
        <v>111243.93885912637</v>
      </c>
      <c r="JL152" s="61">
        <f t="shared" si="902"/>
        <v>171011.36272481305</v>
      </c>
      <c r="JM152" s="61">
        <f t="shared" si="903"/>
        <v>377832.16635082284</v>
      </c>
      <c r="JN152" s="61">
        <f t="shared" si="904"/>
        <v>211231.45487696768</v>
      </c>
      <c r="JO152" s="61">
        <f t="shared" si="905"/>
        <v>0</v>
      </c>
      <c r="JQ152" s="26">
        <f t="shared" si="769"/>
        <v>16699956.000000007</v>
      </c>
      <c r="JR152" s="156">
        <f t="shared" si="770"/>
        <v>1.0000000000000004</v>
      </c>
      <c r="JT152" s="157">
        <f t="shared" si="906"/>
        <v>235950.28034343815</v>
      </c>
      <c r="JU152" s="29">
        <f t="shared" si="907"/>
        <v>1</v>
      </c>
    </row>
    <row r="153" spans="1:281" ht="18.75" x14ac:dyDescent="0.3">
      <c r="A153" t="s">
        <v>234</v>
      </c>
      <c r="B153" s="10" t="s">
        <v>222</v>
      </c>
      <c r="C153" t="s">
        <v>33</v>
      </c>
      <c r="D153" s="107" t="s">
        <v>25</v>
      </c>
      <c r="E153" t="s">
        <v>306</v>
      </c>
      <c r="F153" s="114"/>
      <c r="G153" s="108">
        <v>359594</v>
      </c>
      <c r="H153" s="21">
        <v>326904</v>
      </c>
      <c r="I153" s="25">
        <f t="shared" si="713"/>
        <v>1.0999987763991876</v>
      </c>
      <c r="J153" s="105">
        <v>2.4999999999999981E-2</v>
      </c>
      <c r="K153" s="105">
        <v>7.8347578347578283E-3</v>
      </c>
      <c r="L153" s="105">
        <v>7.8347578347578422E-3</v>
      </c>
      <c r="M153" s="105">
        <v>4.9857549857549805E-3</v>
      </c>
      <c r="N153" s="105">
        <v>2.2079772079772124E-2</v>
      </c>
      <c r="O153" s="105">
        <v>2.1367521367521364E-2</v>
      </c>
      <c r="P153" s="105">
        <v>3.1339031339031369E-2</v>
      </c>
      <c r="Q153" s="105">
        <v>0</v>
      </c>
      <c r="R153" s="105">
        <v>1.4245014245014264E-2</v>
      </c>
      <c r="S153" s="105">
        <v>1.5669515669515684E-2</v>
      </c>
      <c r="T153" s="105">
        <v>0.2118899999999995</v>
      </c>
      <c r="U153" s="105">
        <v>3.2763532763532895E-2</v>
      </c>
      <c r="V153" s="105">
        <v>9.9715099715099609E-3</v>
      </c>
      <c r="W153" s="105">
        <v>9.9715099715099675E-2</v>
      </c>
      <c r="X153" s="105">
        <v>5.2706552706552647E-2</v>
      </c>
      <c r="Y153" s="105">
        <v>9.9002849002848947E-2</v>
      </c>
      <c r="Z153" s="105">
        <v>1.8518518518518497E-2</v>
      </c>
      <c r="AA153" s="105">
        <v>6.3390313390313577E-2</v>
      </c>
      <c r="AB153" s="105">
        <v>5.270655270655273E-2</v>
      </c>
      <c r="AC153" s="105">
        <v>2.2079772079772124E-2</v>
      </c>
      <c r="AD153" s="105">
        <v>3.4188034188034205E-2</v>
      </c>
      <c r="AE153" s="105">
        <v>3.0626780626780589E-2</v>
      </c>
      <c r="AF153" s="105">
        <v>2.2079772079772089E-2</v>
      </c>
      <c r="AG153" s="105">
        <v>4.5868945870164325E-6</v>
      </c>
      <c r="AH153" s="105">
        <v>9.9999999999999867E-2</v>
      </c>
      <c r="AJ153" s="8">
        <f t="shared" si="740"/>
        <v>0.99999999999999967</v>
      </c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M153" s="26">
        <f t="shared" si="741"/>
        <v>8989.8499999999931</v>
      </c>
      <c r="BN153" s="26">
        <f t="shared" si="742"/>
        <v>2817.3319088319067</v>
      </c>
      <c r="BO153" s="26">
        <f t="shared" si="743"/>
        <v>2817.3319088319117</v>
      </c>
      <c r="BP153" s="26">
        <f t="shared" si="744"/>
        <v>1792.8475783475765</v>
      </c>
      <c r="BQ153" s="26">
        <f t="shared" si="745"/>
        <v>7939.7535612535776</v>
      </c>
      <c r="BR153" s="26">
        <f t="shared" si="746"/>
        <v>7683.6324786324776</v>
      </c>
      <c r="BS153" s="26">
        <f t="shared" si="747"/>
        <v>11269.327635327647</v>
      </c>
      <c r="BT153" s="26">
        <f t="shared" si="748"/>
        <v>0</v>
      </c>
      <c r="BU153" s="26">
        <f t="shared" si="749"/>
        <v>5122.421652421659</v>
      </c>
      <c r="BV153" s="26">
        <f t="shared" si="750"/>
        <v>5634.6638176638235</v>
      </c>
      <c r="BW153" s="26">
        <f t="shared" si="751"/>
        <v>76194.372659999819</v>
      </c>
      <c r="BX153" s="26">
        <f t="shared" si="752"/>
        <v>11781.569800569847</v>
      </c>
      <c r="BY153" s="26">
        <f t="shared" si="753"/>
        <v>3585.6951566951529</v>
      </c>
      <c r="BZ153" s="26">
        <f t="shared" si="754"/>
        <v>35856.951566951553</v>
      </c>
      <c r="CA153" s="26">
        <f t="shared" si="755"/>
        <v>18952.960113960093</v>
      </c>
      <c r="CB153" s="26">
        <f t="shared" si="756"/>
        <v>35600.830484330465</v>
      </c>
      <c r="CC153" s="26">
        <f t="shared" si="757"/>
        <v>6659.1481481481405</v>
      </c>
      <c r="CD153" s="26">
        <f t="shared" si="758"/>
        <v>22794.776353276422</v>
      </c>
      <c r="CE153" s="26">
        <f t="shared" si="759"/>
        <v>18952.960113960122</v>
      </c>
      <c r="CF153" s="26">
        <f t="shared" si="760"/>
        <v>7939.7535612535776</v>
      </c>
      <c r="CG153" s="26">
        <f t="shared" si="761"/>
        <v>12293.811965811972</v>
      </c>
      <c r="CH153" s="26">
        <f t="shared" si="762"/>
        <v>11013.206552706539</v>
      </c>
      <c r="CI153" s="26">
        <f t="shared" si="763"/>
        <v>7939.7535612535648</v>
      </c>
      <c r="CJ153" s="26">
        <f t="shared" si="764"/>
        <v>1.649419772123587</v>
      </c>
      <c r="CK153" s="26">
        <f t="shared" si="765"/>
        <v>35959.399999999951</v>
      </c>
      <c r="CL153" s="26">
        <f t="shared" si="766"/>
        <v>0</v>
      </c>
      <c r="CM153" s="110">
        <f t="shared" si="767"/>
        <v>1</v>
      </c>
      <c r="CN153" s="27">
        <f>$H153*J153</f>
        <v>8172.599999999994</v>
      </c>
      <c r="CO153" s="27">
        <f t="shared" ref="CO153:CO191" si="908">$H153*K153</f>
        <v>2561.213675213673</v>
      </c>
      <c r="CP153" s="27">
        <f t="shared" ref="CP153:CP191" si="909">$H153*L153</f>
        <v>2561.2136752136776</v>
      </c>
      <c r="CQ153" s="27">
        <f t="shared" ref="CQ153:CQ191" si="910">$H153*M153</f>
        <v>1629.8632478632462</v>
      </c>
      <c r="CR153" s="27">
        <f t="shared" ref="CR153:CR191" si="911">$H153*N153</f>
        <v>7217.9658119658261</v>
      </c>
      <c r="CS153" s="27">
        <f t="shared" ref="CS153:CS191" si="912">$H153*O153</f>
        <v>6985.1282051282042</v>
      </c>
      <c r="CT153" s="27">
        <f t="shared" ref="CT153:CT191" si="913">$H153*P153</f>
        <v>10244.85470085471</v>
      </c>
      <c r="CU153" s="27">
        <f t="shared" ref="CU153:CU191" si="914">$H153*Q153</f>
        <v>0</v>
      </c>
      <c r="CV153" s="27">
        <f t="shared" ref="CV153:CV191" si="915">$H153*R153</f>
        <v>4656.7521367521431</v>
      </c>
      <c r="CW153" s="27">
        <f t="shared" ref="CW153:CW191" si="916">$H153*S153</f>
        <v>5122.4273504273551</v>
      </c>
      <c r="CX153" s="27">
        <f t="shared" ref="CX153:CX191" si="917">$H153*T153</f>
        <v>69267.688559999835</v>
      </c>
      <c r="CY153" s="27">
        <f t="shared" ref="CY153:CY191" si="918">$H153*U153</f>
        <v>10710.529914529958</v>
      </c>
      <c r="CZ153" s="27">
        <f t="shared" ref="CZ153:CZ191" si="919">$H153*V153</f>
        <v>3259.7264957264924</v>
      </c>
      <c r="DA153" s="27">
        <f t="shared" ref="DA153:DA191" si="920">$H153*W153</f>
        <v>32597.264957264942</v>
      </c>
      <c r="DB153" s="27">
        <f t="shared" ref="DB153:DB191" si="921">$H153*X153</f>
        <v>17229.982905982888</v>
      </c>
      <c r="DC153" s="27">
        <f t="shared" ref="DC153:DC191" si="922">$H153*Y153</f>
        <v>32364.427350427333</v>
      </c>
      <c r="DD153" s="27">
        <f t="shared" ref="DD153:DD191" si="923">$H153*Z153</f>
        <v>6053.777777777771</v>
      </c>
      <c r="DE153" s="27">
        <f t="shared" ref="DE153:DE191" si="924">$H153*AA153</f>
        <v>20722.54700854707</v>
      </c>
      <c r="DF153" s="27">
        <f t="shared" ref="DF153:DF191" si="925">$H153*AB153</f>
        <v>17229.982905982914</v>
      </c>
      <c r="DG153" s="27">
        <f t="shared" ref="DG153:DG191" si="926">$H153*AC153</f>
        <v>7217.9658119658261</v>
      </c>
      <c r="DH153" s="27">
        <f t="shared" ref="DH153:DH191" si="927">$H153*AD153</f>
        <v>11176.205128205134</v>
      </c>
      <c r="DI153" s="27">
        <f t="shared" ref="DI153:DI191" si="928">$H153*AE153</f>
        <v>10012.017094017081</v>
      </c>
      <c r="DJ153" s="27">
        <f t="shared" ref="DJ153:DJ191" si="929">$H153*AF153</f>
        <v>7217.9658119658152</v>
      </c>
      <c r="DK153" s="27">
        <f t="shared" ref="DK153:DK191" si="930">$H153*AG153</f>
        <v>1.4994741880740199</v>
      </c>
      <c r="DL153" s="27">
        <f t="shared" ref="DL153:DL191" si="931">$H153*AH153</f>
        <v>32690.399999999958</v>
      </c>
      <c r="DM153" s="27">
        <f t="shared" ref="DM153:DM191" si="932">$H153*AI153</f>
        <v>0</v>
      </c>
      <c r="DN153" s="110">
        <f t="shared" si="768"/>
        <v>0.99999999999999967</v>
      </c>
      <c r="DO153" s="28">
        <f t="shared" si="771"/>
        <v>817.24999999999909</v>
      </c>
      <c r="DP153" s="28">
        <f t="shared" si="772"/>
        <v>256.11823361823372</v>
      </c>
      <c r="DQ153" s="28">
        <f t="shared" si="773"/>
        <v>256.11823361823417</v>
      </c>
      <c r="DR153" s="28">
        <f t="shared" si="774"/>
        <v>162.98433048433026</v>
      </c>
      <c r="DS153" s="28">
        <f t="shared" si="775"/>
        <v>721.78774928775147</v>
      </c>
      <c r="DT153" s="28">
        <f t="shared" si="776"/>
        <v>698.50427350427344</v>
      </c>
      <c r="DU153" s="28">
        <f t="shared" si="777"/>
        <v>1024.4729344729367</v>
      </c>
      <c r="DV153" s="28">
        <f t="shared" si="778"/>
        <v>0</v>
      </c>
      <c r="DW153" s="28">
        <f t="shared" si="779"/>
        <v>465.66951566951593</v>
      </c>
      <c r="DX153" s="28">
        <f t="shared" si="780"/>
        <v>512.23646723646834</v>
      </c>
      <c r="DY153" s="28">
        <f t="shared" si="781"/>
        <v>6926.684099999984</v>
      </c>
      <c r="DZ153" s="28">
        <f t="shared" si="782"/>
        <v>1071.0398860398891</v>
      </c>
      <c r="EA153" s="28">
        <f t="shared" si="783"/>
        <v>325.96866096866052</v>
      </c>
      <c r="EB153" s="28">
        <f t="shared" si="784"/>
        <v>3259.6866096866106</v>
      </c>
      <c r="EC153" s="28">
        <f t="shared" si="785"/>
        <v>1722.9772079772047</v>
      </c>
      <c r="ED153" s="28">
        <f t="shared" si="786"/>
        <v>3236.4031339031317</v>
      </c>
      <c r="EE153" s="28">
        <f t="shared" si="787"/>
        <v>605.37037037036953</v>
      </c>
      <c r="EF153" s="28">
        <f t="shared" si="788"/>
        <v>2072.2293447293523</v>
      </c>
      <c r="EG153" s="28">
        <f t="shared" si="789"/>
        <v>1722.9772079772083</v>
      </c>
      <c r="EH153" s="28">
        <f t="shared" si="790"/>
        <v>721.78774928775147</v>
      </c>
      <c r="EI153" s="28">
        <f t="shared" si="791"/>
        <v>1117.6068376068379</v>
      </c>
      <c r="EJ153" s="28">
        <f t="shared" si="792"/>
        <v>1001.1894586894578</v>
      </c>
      <c r="EK153" s="28">
        <f t="shared" si="793"/>
        <v>721.78774928774965</v>
      </c>
      <c r="EL153" s="28">
        <f t="shared" si="794"/>
        <v>0.14994558404956715</v>
      </c>
      <c r="EM153" s="28">
        <f t="shared" si="795"/>
        <v>3268.9999999999927</v>
      </c>
      <c r="EN153" s="28">
        <f t="shared" si="796"/>
        <v>0</v>
      </c>
      <c r="EQ153" s="144">
        <v>4.2719239158686674E-2</v>
      </c>
      <c r="ER153" s="144">
        <v>6.2759119861413318E-2</v>
      </c>
      <c r="ES153" s="144">
        <v>7.278616547855446E-2</v>
      </c>
      <c r="ET153" s="144">
        <v>7.8517062625839074E-2</v>
      </c>
      <c r="EU153" s="144">
        <v>7.8517062625839074E-2</v>
      </c>
      <c r="EV153" s="144">
        <v>7.8517062625839074E-2</v>
      </c>
      <c r="EW153" s="144">
        <v>8.8178322760160216E-2</v>
      </c>
      <c r="EX153" s="144">
        <v>9.0186568428047689E-2</v>
      </c>
      <c r="EY153" s="144">
        <v>0.1001994035136332</v>
      </c>
      <c r="EZ153" s="144">
        <v>9.7194140277579791E-2</v>
      </c>
      <c r="FA153" s="144">
        <v>0.1001994035136332</v>
      </c>
      <c r="FB153" s="144">
        <v>0.11022644913077433</v>
      </c>
      <c r="FC153" s="145">
        <f t="shared" si="797"/>
        <v>1.0000000000000002</v>
      </c>
      <c r="FD153" s="146">
        <f t="shared" si="798"/>
        <v>0.17826452449865446</v>
      </c>
      <c r="FE153" s="146">
        <f t="shared" si="799"/>
        <v>0.23555118787751722</v>
      </c>
      <c r="FF153" s="146">
        <f t="shared" si="800"/>
        <v>0.27856429470184113</v>
      </c>
      <c r="FG153" s="146">
        <f t="shared" si="801"/>
        <v>0.30761999292198733</v>
      </c>
      <c r="FH153" s="145">
        <f t="shared" si="655"/>
        <v>1.0000000000000002</v>
      </c>
      <c r="FJ153" s="52">
        <f t="shared" si="802"/>
        <v>1602.5713355642276</v>
      </c>
      <c r="FK153" s="52">
        <f t="shared" si="803"/>
        <v>502.23033308280634</v>
      </c>
      <c r="FL153" s="52">
        <f t="shared" si="804"/>
        <v>502.23033308280725</v>
      </c>
      <c r="FM153" s="52">
        <f t="shared" si="805"/>
        <v>319.60112105269485</v>
      </c>
      <c r="FN153" s="52">
        <f t="shared" si="806"/>
        <v>1415.3763932333673</v>
      </c>
      <c r="FO153" s="52">
        <f t="shared" si="807"/>
        <v>1369.7190902258365</v>
      </c>
      <c r="FP153" s="52">
        <f t="shared" si="808"/>
        <v>2008.921332331229</v>
      </c>
      <c r="FQ153" s="52">
        <f t="shared" si="809"/>
        <v>0</v>
      </c>
      <c r="FR153" s="52">
        <f t="shared" si="810"/>
        <v>913.14606015055892</v>
      </c>
      <c r="FS153" s="52">
        <f t="shared" si="811"/>
        <v>1004.4606661656145</v>
      </c>
      <c r="FT153" s="52">
        <f t="shared" si="812"/>
        <v>13582.753611708145</v>
      </c>
      <c r="FU153" s="52">
        <f t="shared" si="813"/>
        <v>2100.2359383462908</v>
      </c>
      <c r="FV153" s="52">
        <f t="shared" si="814"/>
        <v>639.2022421053897</v>
      </c>
      <c r="FW153" s="52">
        <f t="shared" si="815"/>
        <v>6392.0224210539018</v>
      </c>
      <c r="FX153" s="52">
        <f t="shared" si="816"/>
        <v>3378.6404225570595</v>
      </c>
      <c r="FY153" s="52">
        <f t="shared" si="817"/>
        <v>6346.365118046373</v>
      </c>
      <c r="FZ153" s="52">
        <f t="shared" si="818"/>
        <v>1187.0898781957237</v>
      </c>
      <c r="GA153" s="52">
        <f t="shared" si="819"/>
        <v>4063.499967669994</v>
      </c>
      <c r="GB153" s="52">
        <f t="shared" si="820"/>
        <v>3378.640422557065</v>
      </c>
      <c r="GC153" s="52">
        <f t="shared" si="821"/>
        <v>1415.3763932333673</v>
      </c>
      <c r="GD153" s="52">
        <f t="shared" si="822"/>
        <v>2191.5505443613397</v>
      </c>
      <c r="GE153" s="52">
        <f t="shared" si="823"/>
        <v>1963.2640293236966</v>
      </c>
      <c r="GF153" s="52">
        <f t="shared" si="824"/>
        <v>1415.3763932333652</v>
      </c>
      <c r="GG153" s="52">
        <f t="shared" si="825"/>
        <v>0.29403303137629022</v>
      </c>
      <c r="GH153" s="52">
        <f t="shared" si="826"/>
        <v>6410.285342256906</v>
      </c>
      <c r="GI153" s="52">
        <f t="shared" si="827"/>
        <v>0</v>
      </c>
      <c r="GJ153" s="26"/>
      <c r="GL153" s="150">
        <f t="shared" si="828"/>
        <v>2117.5698463406966</v>
      </c>
      <c r="GM153" s="150">
        <f t="shared" si="829"/>
        <v>663.62587777058866</v>
      </c>
      <c r="GN153" s="150">
        <f t="shared" si="830"/>
        <v>663.62587777058991</v>
      </c>
      <c r="GO153" s="150">
        <f t="shared" si="831"/>
        <v>422.30737676310179</v>
      </c>
      <c r="GP153" s="150">
        <f t="shared" si="832"/>
        <v>1870.2183828080279</v>
      </c>
      <c r="GQ153" s="150">
        <f t="shared" si="833"/>
        <v>1809.8887575561521</v>
      </c>
      <c r="GR153" s="150">
        <f t="shared" si="834"/>
        <v>2654.5035110823596</v>
      </c>
      <c r="GS153" s="150">
        <f t="shared" si="835"/>
        <v>0</v>
      </c>
      <c r="GT153" s="150">
        <f t="shared" si="836"/>
        <v>1206.5925050374365</v>
      </c>
      <c r="GU153" s="150">
        <f t="shared" si="837"/>
        <v>1327.2517555411798</v>
      </c>
      <c r="GV153" s="150">
        <f t="shared" si="838"/>
        <v>17947.67498964518</v>
      </c>
      <c r="GW153" s="150">
        <f t="shared" si="839"/>
        <v>2775.1627615861112</v>
      </c>
      <c r="GX153" s="150">
        <f t="shared" si="840"/>
        <v>844.61475352620357</v>
      </c>
      <c r="GY153" s="150">
        <f t="shared" si="841"/>
        <v>8446.14753526204</v>
      </c>
      <c r="GZ153" s="150">
        <f t="shared" si="842"/>
        <v>4464.392268638504</v>
      </c>
      <c r="HA153" s="150">
        <f t="shared" si="843"/>
        <v>8385.8179100101679</v>
      </c>
      <c r="HB153" s="150">
        <f t="shared" si="844"/>
        <v>1568.5702565486636</v>
      </c>
      <c r="HC153" s="150">
        <f t="shared" si="845"/>
        <v>5369.3366474166014</v>
      </c>
      <c r="HD153" s="150">
        <f t="shared" si="846"/>
        <v>4464.3922686385113</v>
      </c>
      <c r="HE153" s="150">
        <f t="shared" si="847"/>
        <v>1870.2183828080279</v>
      </c>
      <c r="HF153" s="150">
        <f t="shared" si="848"/>
        <v>2895.822012089845</v>
      </c>
      <c r="HG153" s="150">
        <f t="shared" si="849"/>
        <v>2594.1738858304816</v>
      </c>
      <c r="HH153" s="150">
        <f t="shared" si="850"/>
        <v>1870.2183828080249</v>
      </c>
      <c r="HI153" s="150">
        <f t="shared" si="851"/>
        <v>0.38852278663237472</v>
      </c>
      <c r="HJ153" s="150">
        <f t="shared" si="852"/>
        <v>8470.2793853627809</v>
      </c>
      <c r="HK153" s="150">
        <f t="shared" si="853"/>
        <v>0</v>
      </c>
      <c r="HL153" s="26"/>
      <c r="HN153" s="147">
        <f t="shared" si="854"/>
        <v>2504.2512247253444</v>
      </c>
      <c r="HO153" s="147">
        <f t="shared" si="855"/>
        <v>784.80807612475189</v>
      </c>
      <c r="HP153" s="147">
        <f t="shared" si="856"/>
        <v>784.80807612475326</v>
      </c>
      <c r="HQ153" s="147">
        <f t="shared" si="857"/>
        <v>499.4233211702965</v>
      </c>
      <c r="HR153" s="147">
        <f t="shared" si="858"/>
        <v>2211.7318508970343</v>
      </c>
      <c r="HS153" s="147">
        <f t="shared" si="859"/>
        <v>2140.3856621584155</v>
      </c>
      <c r="HT153" s="147">
        <f t="shared" si="860"/>
        <v>3139.232304499013</v>
      </c>
      <c r="HU153" s="147">
        <f t="shared" si="861"/>
        <v>0</v>
      </c>
      <c r="HV153" s="147">
        <f t="shared" si="862"/>
        <v>1426.9237747722791</v>
      </c>
      <c r="HW153" s="147">
        <f t="shared" si="863"/>
        <v>1569.6161522495065</v>
      </c>
      <c r="HX153" s="147">
        <f t="shared" si="864"/>
        <v>21225.031680282096</v>
      </c>
      <c r="HY153" s="147">
        <f t="shared" si="865"/>
        <v>3281.9246819762507</v>
      </c>
      <c r="HZ153" s="147">
        <f t="shared" si="866"/>
        <v>998.84664234059301</v>
      </c>
      <c r="IA153" s="147">
        <f t="shared" si="867"/>
        <v>9988.4664234059364</v>
      </c>
      <c r="IB153" s="147">
        <f t="shared" si="868"/>
        <v>5279.6179666574199</v>
      </c>
      <c r="IC153" s="147">
        <f t="shared" si="869"/>
        <v>9917.1202346673217</v>
      </c>
      <c r="ID153" s="147">
        <f t="shared" si="870"/>
        <v>1855.0009072039581</v>
      </c>
      <c r="IE153" s="147">
        <f t="shared" si="871"/>
        <v>6349.8107977366526</v>
      </c>
      <c r="IF153" s="147">
        <f t="shared" si="872"/>
        <v>5279.617966657428</v>
      </c>
      <c r="IG153" s="147">
        <f t="shared" si="873"/>
        <v>2211.7318508970343</v>
      </c>
      <c r="IH153" s="147">
        <f t="shared" si="874"/>
        <v>3424.6170594534669</v>
      </c>
      <c r="II153" s="147">
        <f t="shared" si="875"/>
        <v>3067.8861157603919</v>
      </c>
      <c r="IJ153" s="147">
        <f t="shared" si="876"/>
        <v>2211.7318508970307</v>
      </c>
      <c r="IK153" s="147">
        <f t="shared" si="877"/>
        <v>0.45946945548887852</v>
      </c>
      <c r="IL153" s="147">
        <f t="shared" si="878"/>
        <v>10017.004898901372</v>
      </c>
      <c r="IM153" s="147">
        <f t="shared" si="879"/>
        <v>0</v>
      </c>
      <c r="IN153" s="26"/>
      <c r="IP153" s="61">
        <f t="shared" si="880"/>
        <v>2765.4575933697256</v>
      </c>
      <c r="IQ153" s="61">
        <f t="shared" si="881"/>
        <v>866.66762185376024</v>
      </c>
      <c r="IR153" s="61">
        <f t="shared" si="882"/>
        <v>866.66762185376172</v>
      </c>
      <c r="IS153" s="61">
        <f t="shared" si="883"/>
        <v>551.51575936148356</v>
      </c>
      <c r="IT153" s="61">
        <f t="shared" si="884"/>
        <v>2442.4269343151491</v>
      </c>
      <c r="IU153" s="61">
        <f t="shared" si="885"/>
        <v>2363.6389686920747</v>
      </c>
      <c r="IV153" s="61">
        <f t="shared" si="886"/>
        <v>3466.6704874150469</v>
      </c>
      <c r="IW153" s="61">
        <f t="shared" si="887"/>
        <v>0</v>
      </c>
      <c r="IX153" s="61">
        <f t="shared" si="888"/>
        <v>1575.7593124613854</v>
      </c>
      <c r="IY153" s="61">
        <f t="shared" si="889"/>
        <v>1733.3352437075234</v>
      </c>
      <c r="IZ153" s="61">
        <f t="shared" si="890"/>
        <v>23438.91237836441</v>
      </c>
      <c r="JA153" s="61">
        <f t="shared" si="891"/>
        <v>3624.246418661196</v>
      </c>
      <c r="JB153" s="61">
        <f t="shared" si="892"/>
        <v>1103.0315187229671</v>
      </c>
      <c r="JC153" s="61">
        <f t="shared" si="893"/>
        <v>11030.315187229678</v>
      </c>
      <c r="JD153" s="61">
        <f t="shared" si="894"/>
        <v>5830.3094561071121</v>
      </c>
      <c r="JE153" s="61">
        <f t="shared" si="895"/>
        <v>10951.527221606608</v>
      </c>
      <c r="JF153" s="61">
        <f t="shared" si="896"/>
        <v>2048.487106199796</v>
      </c>
      <c r="JG153" s="61">
        <f t="shared" si="897"/>
        <v>7012.1289404531772</v>
      </c>
      <c r="JH153" s="61">
        <f t="shared" si="898"/>
        <v>5830.3094561071212</v>
      </c>
      <c r="JI153" s="61">
        <f t="shared" si="899"/>
        <v>2442.4269343151491</v>
      </c>
      <c r="JJ153" s="61">
        <f t="shared" si="900"/>
        <v>3781.822349907322</v>
      </c>
      <c r="JK153" s="61">
        <f t="shared" si="901"/>
        <v>3387.8825217919698</v>
      </c>
      <c r="JL153" s="61">
        <f t="shared" si="902"/>
        <v>2442.4269343151454</v>
      </c>
      <c r="JM153" s="61">
        <f t="shared" si="903"/>
        <v>0.5073944986260438</v>
      </c>
      <c r="JN153" s="61">
        <f t="shared" si="904"/>
        <v>11061.830373478895</v>
      </c>
      <c r="JO153" s="61">
        <f t="shared" si="905"/>
        <v>0</v>
      </c>
      <c r="JQ153" s="26">
        <f t="shared" si="769"/>
        <v>359593.99999999994</v>
      </c>
      <c r="JR153" s="156">
        <f t="shared" si="770"/>
        <v>0.99999999999999989</v>
      </c>
      <c r="JT153" s="157">
        <f t="shared" si="906"/>
        <v>8989.8499999999949</v>
      </c>
      <c r="JU153" s="29">
        <f t="shared" si="907"/>
        <v>1.0000000000000002</v>
      </c>
    </row>
    <row r="154" spans="1:281" ht="18.75" x14ac:dyDescent="0.3">
      <c r="A154" t="s">
        <v>234</v>
      </c>
      <c r="B154" s="10" t="s">
        <v>1</v>
      </c>
      <c r="C154" t="s">
        <v>16</v>
      </c>
      <c r="D154" s="107" t="s">
        <v>17</v>
      </c>
      <c r="E154" t="s">
        <v>18</v>
      </c>
      <c r="F154" s="114"/>
      <c r="G154" s="108">
        <v>7024145</v>
      </c>
      <c r="H154" s="21">
        <v>3207372</v>
      </c>
      <c r="I154" s="25">
        <f t="shared" si="713"/>
        <v>2.1900000997701543</v>
      </c>
      <c r="J154" s="105">
        <v>1.7220241030876545E-2</v>
      </c>
      <c r="K154" s="105">
        <v>6.6404325836535568E-3</v>
      </c>
      <c r="L154" s="105">
        <v>1.6484444548103584E-2</v>
      </c>
      <c r="M154" s="105">
        <v>5.2960329051490555E-3</v>
      </c>
      <c r="N154" s="105">
        <v>1.0799420897489776E-2</v>
      </c>
      <c r="O154" s="105">
        <v>2.0418791194068468E-2</v>
      </c>
      <c r="P154" s="105">
        <v>1.7610609999029515E-2</v>
      </c>
      <c r="Q154" s="105">
        <v>9.7352229452525082E-3</v>
      </c>
      <c r="R154" s="105">
        <v>5.7963531606404399E-3</v>
      </c>
      <c r="S154" s="105">
        <v>4.2324037955629177E-3</v>
      </c>
      <c r="T154" s="105">
        <v>0.26018969901686034</v>
      </c>
      <c r="U154" s="105">
        <v>1.7354180615063181E-2</v>
      </c>
      <c r="V154" s="105">
        <v>3.7037426834814233E-3</v>
      </c>
      <c r="W154" s="105">
        <v>8.5920880755942758E-2</v>
      </c>
      <c r="X154" s="105">
        <v>7.1816110295507704E-2</v>
      </c>
      <c r="Y154" s="105">
        <v>5.7311084820620563E-2</v>
      </c>
      <c r="Z154" s="105">
        <v>6.0541689133311229E-3</v>
      </c>
      <c r="AA154" s="105">
        <v>0.10867058804547558</v>
      </c>
      <c r="AB154" s="105">
        <v>3.1082979233556522E-2</v>
      </c>
      <c r="AC154" s="105">
        <v>1.4028029824510577E-2</v>
      </c>
      <c r="AD154" s="105">
        <v>2.1152860704628254E-2</v>
      </c>
      <c r="AE154" s="105">
        <v>2.4824266034102083E-2</v>
      </c>
      <c r="AF154" s="105">
        <v>1.6229709014233231E-2</v>
      </c>
      <c r="AG154" s="105">
        <v>3.7936732152870953E-2</v>
      </c>
      <c r="AH154" s="105">
        <v>0.12949101482998945</v>
      </c>
      <c r="AJ154" s="8">
        <f t="shared" si="740"/>
        <v>1</v>
      </c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M154" s="26">
        <f t="shared" si="741"/>
        <v>120957.46993582633</v>
      </c>
      <c r="BN154" s="26">
        <f t="shared" si="742"/>
        <v>46643.361330307212</v>
      </c>
      <c r="BO154" s="26">
        <f t="shared" si="743"/>
        <v>115789.12875033905</v>
      </c>
      <c r="BP154" s="26">
        <f t="shared" si="744"/>
        <v>37200.103050538215</v>
      </c>
      <c r="BQ154" s="26">
        <f t="shared" si="745"/>
        <v>75856.698299998316</v>
      </c>
      <c r="BR154" s="26">
        <f t="shared" si="746"/>
        <v>143424.55007186005</v>
      </c>
      <c r="BS154" s="26">
        <f t="shared" si="747"/>
        <v>123699.47817163316</v>
      </c>
      <c r="BT154" s="26">
        <f t="shared" si="748"/>
        <v>68381.617574780685</v>
      </c>
      <c r="BU154" s="26">
        <f t="shared" si="749"/>
        <v>40714.425071546742</v>
      </c>
      <c r="BV154" s="26">
        <f t="shared" si="750"/>
        <v>29729.017958584289</v>
      </c>
      <c r="BW154" s="26">
        <f t="shared" si="751"/>
        <v>1827610.1734007846</v>
      </c>
      <c r="BX154" s="26">
        <f t="shared" si="752"/>
        <v>121898.28099639298</v>
      </c>
      <c r="BY154" s="26">
        <f t="shared" si="753"/>
        <v>26015.625651462622</v>
      </c>
      <c r="BZ154" s="26">
        <f t="shared" si="754"/>
        <v>603520.72495745157</v>
      </c>
      <c r="CA154" s="26">
        <f t="shared" si="755"/>
        <v>504446.77205163898</v>
      </c>
      <c r="CB154" s="26">
        <f t="shared" si="756"/>
        <v>402561.36988733785</v>
      </c>
      <c r="CC154" s="26">
        <f t="shared" si="757"/>
        <v>42525.360301730238</v>
      </c>
      <c r="CD154" s="26">
        <f t="shared" si="758"/>
        <v>763317.96766668709</v>
      </c>
      <c r="CE154" s="26">
        <f t="shared" si="759"/>
        <v>218331.35316848988</v>
      </c>
      <c r="CF154" s="26">
        <f t="shared" si="760"/>
        <v>98534.915551686849</v>
      </c>
      <c r="CG154" s="26">
        <f t="shared" si="761"/>
        <v>148580.76075411102</v>
      </c>
      <c r="CH154" s="26">
        <f t="shared" si="762"/>
        <v>174369.24414210799</v>
      </c>
      <c r="CI154" s="26">
        <f t="shared" si="763"/>
        <v>113999.82942378128</v>
      </c>
      <c r="CJ154" s="26">
        <f t="shared" si="764"/>
        <v>266473.10746792774</v>
      </c>
      <c r="CK154" s="26">
        <f t="shared" si="765"/>
        <v>909563.66436299623</v>
      </c>
      <c r="CL154" s="26">
        <f t="shared" si="766"/>
        <v>0</v>
      </c>
      <c r="CM154" s="110">
        <f t="shared" si="767"/>
        <v>1.0000000000000002</v>
      </c>
      <c r="CN154" s="27">
        <f t="shared" ref="CN154:CN191" si="933">$H154*J154</f>
        <v>55231.718915684563</v>
      </c>
      <c r="CO154" s="27">
        <f t="shared" si="908"/>
        <v>21298.337536698076</v>
      </c>
      <c r="CP154" s="27">
        <f t="shared" si="909"/>
        <v>52871.745879140086</v>
      </c>
      <c r="CQ154" s="27">
        <f t="shared" si="910"/>
        <v>16986.347651053737</v>
      </c>
      <c r="CR154" s="27">
        <f t="shared" si="911"/>
        <v>34637.760202823578</v>
      </c>
      <c r="CS154" s="27">
        <f t="shared" si="912"/>
        <v>65490.659149701773</v>
      </c>
      <c r="CT154" s="27">
        <f t="shared" si="913"/>
        <v>56483.777413807293</v>
      </c>
      <c r="CU154" s="27">
        <f t="shared" si="914"/>
        <v>31224.481488360427</v>
      </c>
      <c r="CV154" s="27">
        <f t="shared" si="915"/>
        <v>18591.060829549649</v>
      </c>
      <c r="CW154" s="27">
        <f t="shared" si="916"/>
        <v>13574.893426582226</v>
      </c>
      <c r="CX154" s="27">
        <f t="shared" si="917"/>
        <v>834525.15531510534</v>
      </c>
      <c r="CY154" s="27">
        <f t="shared" si="918"/>
        <v>55661.312987696423</v>
      </c>
      <c r="CZ154" s="27">
        <f t="shared" si="919"/>
        <v>11879.280578203179</v>
      </c>
      <c r="DA154" s="27">
        <f t="shared" si="920"/>
        <v>275580.22715194966</v>
      </c>
      <c r="DB154" s="27">
        <f t="shared" si="921"/>
        <v>230340.98131072315</v>
      </c>
      <c r="DC154" s="27">
        <f t="shared" si="922"/>
        <v>183817.96874328342</v>
      </c>
      <c r="DD154" s="27">
        <f t="shared" si="923"/>
        <v>19417.971855888671</v>
      </c>
      <c r="DE154" s="27">
        <f t="shared" si="924"/>
        <v>348547.00132059312</v>
      </c>
      <c r="DF154" s="27">
        <f t="shared" si="925"/>
        <v>99694.677270290646</v>
      </c>
      <c r="DG154" s="27">
        <f t="shared" si="926"/>
        <v>44993.110074300137</v>
      </c>
      <c r="DH154" s="27">
        <f t="shared" si="927"/>
        <v>67845.09314392494</v>
      </c>
      <c r="DI154" s="27">
        <f t="shared" si="928"/>
        <v>79620.655798330074</v>
      </c>
      <c r="DJ154" s="27">
        <f t="shared" si="929"/>
        <v>52054.714260399269</v>
      </c>
      <c r="DK154" s="27">
        <f t="shared" si="930"/>
        <v>121677.21247861801</v>
      </c>
      <c r="DL154" s="27">
        <f t="shared" si="931"/>
        <v>415325.85521729296</v>
      </c>
      <c r="DM154" s="27">
        <f t="shared" si="932"/>
        <v>0</v>
      </c>
      <c r="DN154" s="110">
        <f t="shared" si="768"/>
        <v>1.0000000000000002</v>
      </c>
      <c r="DO154" s="28">
        <f t="shared" si="771"/>
        <v>65725.751020141761</v>
      </c>
      <c r="DP154" s="28">
        <f t="shared" si="772"/>
        <v>25345.023793609136</v>
      </c>
      <c r="DQ154" s="28">
        <f t="shared" si="773"/>
        <v>62917.382871198963</v>
      </c>
      <c r="DR154" s="28">
        <f t="shared" si="774"/>
        <v>20213.755399484478</v>
      </c>
      <c r="DS154" s="28">
        <f t="shared" si="775"/>
        <v>41218.938097174738</v>
      </c>
      <c r="DT154" s="28">
        <f t="shared" si="776"/>
        <v>77933.890922158287</v>
      </c>
      <c r="DU154" s="28">
        <f t="shared" si="777"/>
        <v>67215.700757825864</v>
      </c>
      <c r="DV154" s="28">
        <f t="shared" si="778"/>
        <v>37157.136086420258</v>
      </c>
      <c r="DW154" s="28">
        <f t="shared" si="779"/>
        <v>22123.364241997093</v>
      </c>
      <c r="DX154" s="28">
        <f t="shared" si="780"/>
        <v>16154.124532002063</v>
      </c>
      <c r="DY154" s="28">
        <f t="shared" si="781"/>
        <v>993085.01808567927</v>
      </c>
      <c r="DZ154" s="28">
        <f t="shared" si="782"/>
        <v>66236.968008696553</v>
      </c>
      <c r="EA154" s="28">
        <f t="shared" si="783"/>
        <v>14136.345073259443</v>
      </c>
      <c r="EB154" s="28">
        <f t="shared" si="784"/>
        <v>327940.49780550192</v>
      </c>
      <c r="EC154" s="28">
        <f t="shared" si="785"/>
        <v>274105.79074091581</v>
      </c>
      <c r="ED154" s="28">
        <f t="shared" si="786"/>
        <v>218743.40114405443</v>
      </c>
      <c r="EE154" s="28">
        <f t="shared" si="787"/>
        <v>23107.388445841567</v>
      </c>
      <c r="EF154" s="28">
        <f t="shared" si="788"/>
        <v>414770.96634609398</v>
      </c>
      <c r="EG154" s="28">
        <f t="shared" si="789"/>
        <v>118636.67589819923</v>
      </c>
      <c r="EH154" s="28">
        <f t="shared" si="790"/>
        <v>53541.805477386712</v>
      </c>
      <c r="EI154" s="28">
        <f t="shared" si="791"/>
        <v>80735.667610186079</v>
      </c>
      <c r="EJ154" s="28">
        <f t="shared" si="792"/>
        <v>94748.588343777912</v>
      </c>
      <c r="EK154" s="28">
        <f t="shared" si="793"/>
        <v>61945.115163382012</v>
      </c>
      <c r="EL154" s="28">
        <f t="shared" si="794"/>
        <v>144795.89498930972</v>
      </c>
      <c r="EM154" s="28">
        <f t="shared" si="795"/>
        <v>494237.80914570327</v>
      </c>
      <c r="EN154" s="28">
        <f t="shared" si="796"/>
        <v>0</v>
      </c>
      <c r="EQ154" s="144">
        <v>4.1379995171739688E-2</v>
      </c>
      <c r="ER154" s="144">
        <v>6.1420077526053184E-2</v>
      </c>
      <c r="ES154" s="144">
        <v>7.1440105178342414E-2</v>
      </c>
      <c r="ET154" s="144">
        <v>7.9862489475805917E-2</v>
      </c>
      <c r="EU154" s="144">
        <v>7.9862489475805917E-2</v>
      </c>
      <c r="EV154" s="144">
        <v>7.9862489475805917E-2</v>
      </c>
      <c r="EW154" s="144">
        <v>8.8176348976478885E-2</v>
      </c>
      <c r="EX154" s="144">
        <v>9.0180357069543207E-2</v>
      </c>
      <c r="EY154" s="144">
        <v>0.10020039753486482</v>
      </c>
      <c r="EZ154" s="144">
        <v>9.7194386107103486E-2</v>
      </c>
      <c r="FA154" s="144">
        <v>0.10020039753486482</v>
      </c>
      <c r="FB154" s="144">
        <v>0.11022046647359174</v>
      </c>
      <c r="FC154" s="145">
        <f t="shared" si="797"/>
        <v>1</v>
      </c>
      <c r="FD154" s="146">
        <f t="shared" si="798"/>
        <v>0.17424017787613527</v>
      </c>
      <c r="FE154" s="146">
        <f t="shared" si="799"/>
        <v>0.23958746842741774</v>
      </c>
      <c r="FF154" s="146">
        <f t="shared" si="800"/>
        <v>0.27855710358088692</v>
      </c>
      <c r="FG154" s="146">
        <f t="shared" si="801"/>
        <v>0.30761525011556001</v>
      </c>
      <c r="FH154" s="145">
        <f t="shared" si="655"/>
        <v>1</v>
      </c>
      <c r="FJ154" s="52">
        <f t="shared" si="802"/>
        <v>21075.651077065664</v>
      </c>
      <c r="FK154" s="52">
        <f t="shared" si="803"/>
        <v>8127.1475749335787</v>
      </c>
      <c r="FL154" s="52">
        <f t="shared" si="804"/>
        <v>20175.118389581803</v>
      </c>
      <c r="FM154" s="52">
        <f t="shared" si="805"/>
        <v>6481.7525725363412</v>
      </c>
      <c r="FN154" s="52">
        <f t="shared" si="806"/>
        <v>13217.284604888035</v>
      </c>
      <c r="FO154" s="52">
        <f t="shared" si="807"/>
        <v>24990.319116325565</v>
      </c>
      <c r="FP154" s="52">
        <f t="shared" si="808"/>
        <v>21553.419079810476</v>
      </c>
      <c r="FQ154" s="52">
        <f t="shared" si="809"/>
        <v>11914.825209687644</v>
      </c>
      <c r="FR154" s="52">
        <f t="shared" si="810"/>
        <v>7094.0886665908856</v>
      </c>
      <c r="FS154" s="52">
        <f t="shared" si="811"/>
        <v>5179.9893771865463</v>
      </c>
      <c r="FT154" s="52">
        <f t="shared" si="812"/>
        <v>318443.12170158717</v>
      </c>
      <c r="FU154" s="52">
        <f t="shared" si="813"/>
        <v>21239.578163606631</v>
      </c>
      <c r="FV154" s="52">
        <f t="shared" si="814"/>
        <v>4532.9672410697949</v>
      </c>
      <c r="FW154" s="52">
        <f t="shared" si="815"/>
        <v>105157.55846852047</v>
      </c>
      <c r="FX154" s="52">
        <f t="shared" si="816"/>
        <v>87894.895291319845</v>
      </c>
      <c r="FY154" s="52">
        <f t="shared" si="817"/>
        <v>70142.364695230426</v>
      </c>
      <c r="FZ154" s="52">
        <f t="shared" si="818"/>
        <v>7409.6263432202177</v>
      </c>
      <c r="GA154" s="52">
        <f t="shared" si="819"/>
        <v>133000.65846229362</v>
      </c>
      <c r="GB154" s="52">
        <f t="shared" si="820"/>
        <v>38042.093812014988</v>
      </c>
      <c r="GC154" s="52">
        <f t="shared" si="821"/>
        <v>17168.741212735884</v>
      </c>
      <c r="GD154" s="52">
        <f t="shared" si="822"/>
        <v>25888.738182767804</v>
      </c>
      <c r="GE154" s="52">
        <f t="shared" si="823"/>
        <v>30382.128115448155</v>
      </c>
      <c r="GF154" s="52">
        <f t="shared" si="824"/>
        <v>19863.350556648729</v>
      </c>
      <c r="GG154" s="52">
        <f t="shared" si="825"/>
        <v>46430.32164441824</v>
      </c>
      <c r="GH154" s="52">
        <f t="shared" si="826"/>
        <v>158482.53466827786</v>
      </c>
      <c r="GI154" s="52">
        <f t="shared" si="827"/>
        <v>0</v>
      </c>
      <c r="GJ154" s="26"/>
      <c r="GL154" s="150">
        <f t="shared" si="828"/>
        <v>28979.894009310123</v>
      </c>
      <c r="GM154" s="150">
        <f t="shared" si="829"/>
        <v>11175.164860073617</v>
      </c>
      <c r="GN154" s="150">
        <f t="shared" si="830"/>
        <v>27741.624228710065</v>
      </c>
      <c r="GO154" s="150">
        <f t="shared" si="831"/>
        <v>8912.6785151175118</v>
      </c>
      <c r="GP154" s="150">
        <f t="shared" si="832"/>
        <v>18174.314308958998</v>
      </c>
      <c r="GQ154" s="150">
        <f t="shared" si="833"/>
        <v>34362.724862058363</v>
      </c>
      <c r="GR154" s="150">
        <f t="shared" si="834"/>
        <v>29636.84482093421</v>
      </c>
      <c r="GS154" s="150">
        <f t="shared" si="835"/>
        <v>16383.378641713522</v>
      </c>
      <c r="GT154" s="150">
        <f t="shared" si="836"/>
        <v>9754.6660313696702</v>
      </c>
      <c r="GU154" s="150">
        <f t="shared" si="837"/>
        <v>7122.7001515304482</v>
      </c>
      <c r="GV154" s="150">
        <f t="shared" si="838"/>
        <v>437872.49471728795</v>
      </c>
      <c r="GW154" s="150">
        <f t="shared" si="839"/>
        <v>29205.300549579799</v>
      </c>
      <c r="GX154" s="150">
        <f t="shared" si="840"/>
        <v>6233.0178893893199</v>
      </c>
      <c r="GY154" s="150">
        <f t="shared" si="841"/>
        <v>144596.0026360357</v>
      </c>
      <c r="GZ154" s="150">
        <f t="shared" si="842"/>
        <v>120859.12507223485</v>
      </c>
      <c r="HA154" s="150">
        <f t="shared" si="843"/>
        <v>96448.659497980596</v>
      </c>
      <c r="HB154" s="150">
        <f t="shared" si="844"/>
        <v>10188.543418655358</v>
      </c>
      <c r="HC154" s="150">
        <f t="shared" si="845"/>
        <v>182881.41947842308</v>
      </c>
      <c r="HD154" s="150">
        <f t="shared" si="846"/>
        <v>52309.456183970957</v>
      </c>
      <c r="HE154" s="150">
        <f t="shared" si="847"/>
        <v>23607.730968738048</v>
      </c>
      <c r="HF154" s="150">
        <f t="shared" si="848"/>
        <v>35598.088326097284</v>
      </c>
      <c r="HG154" s="150">
        <f t="shared" si="849"/>
        <v>41776.685775609993</v>
      </c>
      <c r="HH154" s="150">
        <f t="shared" si="850"/>
        <v>27312.930532801205</v>
      </c>
      <c r="HI154" s="150">
        <f t="shared" si="851"/>
        <v>63843.617222228029</v>
      </c>
      <c r="HJ154" s="150">
        <f t="shared" si="852"/>
        <v>217920.05571829574</v>
      </c>
      <c r="HK154" s="150">
        <f t="shared" si="853"/>
        <v>0</v>
      </c>
      <c r="HL154" s="26"/>
      <c r="HN154" s="147">
        <f t="shared" si="854"/>
        <v>33693.562481795991</v>
      </c>
      <c r="HO154" s="147">
        <f t="shared" si="855"/>
        <v>12992.839633447122</v>
      </c>
      <c r="HP154" s="147">
        <f t="shared" si="856"/>
        <v>32253.884330848847</v>
      </c>
      <c r="HQ154" s="147">
        <f t="shared" si="857"/>
        <v>10362.352958668442</v>
      </c>
      <c r="HR154" s="147">
        <f t="shared" si="858"/>
        <v>21130.422165656721</v>
      </c>
      <c r="HS154" s="147">
        <f t="shared" si="859"/>
        <v>39951.927250409222</v>
      </c>
      <c r="HT154" s="147">
        <f t="shared" si="860"/>
        <v>34457.368353957281</v>
      </c>
      <c r="HU154" s="147">
        <f t="shared" si="861"/>
        <v>19048.18532980678</v>
      </c>
      <c r="HV154" s="147">
        <f t="shared" si="862"/>
        <v>11341.292321891106</v>
      </c>
      <c r="HW154" s="147">
        <f t="shared" si="863"/>
        <v>8281.2291348474118</v>
      </c>
      <c r="HX154" s="147">
        <f t="shared" si="864"/>
        <v>509093.79637748509</v>
      </c>
      <c r="HY154" s="147">
        <f t="shared" si="865"/>
        <v>33955.6320858443</v>
      </c>
      <c r="HZ154" s="147">
        <f t="shared" si="866"/>
        <v>7246.8373293160521</v>
      </c>
      <c r="IA154" s="147">
        <f t="shared" si="867"/>
        <v>168114.98509518479</v>
      </c>
      <c r="IB154" s="147">
        <f t="shared" si="868"/>
        <v>140517.23173343245</v>
      </c>
      <c r="IC154" s="147">
        <f t="shared" si="869"/>
        <v>112136.3292093709</v>
      </c>
      <c r="ID154" s="147">
        <f t="shared" si="870"/>
        <v>11845.741194383607</v>
      </c>
      <c r="IE154" s="147">
        <f t="shared" si="871"/>
        <v>212627.64218448146</v>
      </c>
      <c r="IF154" s="147">
        <f t="shared" si="872"/>
        <v>60817.749359510242</v>
      </c>
      <c r="IG154" s="147">
        <f t="shared" si="873"/>
        <v>27447.600677665177</v>
      </c>
      <c r="IH154" s="147">
        <f t="shared" si="874"/>
        <v>41388.226363509879</v>
      </c>
      <c r="II154" s="147">
        <f t="shared" si="875"/>
        <v>48571.791601814133</v>
      </c>
      <c r="IJ154" s="147">
        <f t="shared" si="876"/>
        <v>31755.462293003682</v>
      </c>
      <c r="IK154" s="147">
        <f t="shared" si="877"/>
        <v>74227.976998464364</v>
      </c>
      <c r="IL154" s="147">
        <f t="shared" si="878"/>
        <v>253365.41986737421</v>
      </c>
      <c r="IM154" s="147">
        <f t="shared" si="879"/>
        <v>0</v>
      </c>
      <c r="IN154" s="26"/>
      <c r="IP154" s="61">
        <f t="shared" si="880"/>
        <v>37208.362367654547</v>
      </c>
      <c r="IQ154" s="61">
        <f t="shared" si="881"/>
        <v>14348.209261852893</v>
      </c>
      <c r="IR154" s="61">
        <f t="shared" si="882"/>
        <v>35618.501801198327</v>
      </c>
      <c r="IS154" s="61">
        <f t="shared" si="883"/>
        <v>11443.31900421592</v>
      </c>
      <c r="IT154" s="61">
        <f t="shared" si="884"/>
        <v>23334.677220494559</v>
      </c>
      <c r="IU154" s="61">
        <f t="shared" si="885"/>
        <v>44119.578843066891</v>
      </c>
      <c r="IV154" s="61">
        <f t="shared" si="886"/>
        <v>38051.84591693119</v>
      </c>
      <c r="IW154" s="61">
        <f t="shared" si="887"/>
        <v>21035.228393572736</v>
      </c>
      <c r="IX154" s="61">
        <f t="shared" si="888"/>
        <v>12524.378051695079</v>
      </c>
      <c r="IY154" s="61">
        <f t="shared" si="889"/>
        <v>9145.0992950198815</v>
      </c>
      <c r="IZ154" s="61">
        <f t="shared" si="890"/>
        <v>562200.7606044244</v>
      </c>
      <c r="JA154" s="61">
        <f t="shared" si="891"/>
        <v>37497.770197362239</v>
      </c>
      <c r="JB154" s="61">
        <f t="shared" si="892"/>
        <v>8002.8031916874534</v>
      </c>
      <c r="JC154" s="61">
        <f t="shared" si="893"/>
        <v>185652.17875771056</v>
      </c>
      <c r="JD154" s="61">
        <f t="shared" si="894"/>
        <v>155175.51995465183</v>
      </c>
      <c r="JE154" s="61">
        <f t="shared" si="895"/>
        <v>123834.01648475591</v>
      </c>
      <c r="JF154" s="61">
        <f t="shared" si="896"/>
        <v>13081.449345471054</v>
      </c>
      <c r="JG154" s="61">
        <f t="shared" si="897"/>
        <v>234808.2475414889</v>
      </c>
      <c r="JH154" s="61">
        <f t="shared" si="898"/>
        <v>67162.053812993676</v>
      </c>
      <c r="JI154" s="61">
        <f t="shared" si="899"/>
        <v>30310.842692547732</v>
      </c>
      <c r="JJ154" s="61">
        <f t="shared" si="900"/>
        <v>45705.707881736045</v>
      </c>
      <c r="JK154" s="61">
        <f t="shared" si="901"/>
        <v>53638.638649235698</v>
      </c>
      <c r="JL154" s="61">
        <f t="shared" si="902"/>
        <v>35068.086041327653</v>
      </c>
      <c r="JM154" s="61">
        <f t="shared" si="903"/>
        <v>81971.191602817096</v>
      </c>
      <c r="JN154" s="61">
        <f t="shared" si="904"/>
        <v>279795.65410904837</v>
      </c>
      <c r="JO154" s="61">
        <f t="shared" si="905"/>
        <v>0</v>
      </c>
      <c r="JQ154" s="26">
        <f t="shared" si="769"/>
        <v>7024145.0000000028</v>
      </c>
      <c r="JR154" s="156">
        <f t="shared" si="770"/>
        <v>1.0000000000000004</v>
      </c>
      <c r="JT154" s="157">
        <f t="shared" si="906"/>
        <v>120957.46993582632</v>
      </c>
      <c r="JU154" s="29">
        <f t="shared" si="907"/>
        <v>0.99999999999999989</v>
      </c>
    </row>
    <row r="155" spans="1:281" ht="18.75" x14ac:dyDescent="0.3">
      <c r="A155" t="s">
        <v>234</v>
      </c>
      <c r="B155" s="10" t="s">
        <v>92</v>
      </c>
      <c r="C155" t="s">
        <v>89</v>
      </c>
      <c r="D155" s="107" t="s">
        <v>17</v>
      </c>
      <c r="E155" t="s">
        <v>18</v>
      </c>
      <c r="F155" s="114"/>
      <c r="G155" s="108">
        <v>90002</v>
      </c>
      <c r="H155" s="21">
        <v>49995</v>
      </c>
      <c r="I155" s="25">
        <f t="shared" si="713"/>
        <v>1.8002200220022002</v>
      </c>
      <c r="J155" s="105">
        <v>2.5000000000000019E-2</v>
      </c>
      <c r="K155" s="105">
        <v>7.8347578347578353E-3</v>
      </c>
      <c r="L155" s="105">
        <v>7.8347578347577988E-3</v>
      </c>
      <c r="M155" s="105">
        <v>4.9857549857549779E-3</v>
      </c>
      <c r="N155" s="105">
        <v>2.2079772079772055E-2</v>
      </c>
      <c r="O155" s="105">
        <v>2.1367521367521337E-2</v>
      </c>
      <c r="P155" s="105">
        <v>3.1339031339031341E-2</v>
      </c>
      <c r="Q155" s="105">
        <v>0</v>
      </c>
      <c r="R155" s="105">
        <v>1.4245014245014224E-2</v>
      </c>
      <c r="S155" s="105">
        <v>1.5669515669515671E-2</v>
      </c>
      <c r="T155" s="105">
        <v>0.21188999999999966</v>
      </c>
      <c r="U155" s="105">
        <v>3.2763532763532686E-2</v>
      </c>
      <c r="V155" s="105">
        <v>9.9715099715099679E-3</v>
      </c>
      <c r="W155" s="105">
        <v>9.9715099715099842E-2</v>
      </c>
      <c r="X155" s="105">
        <v>5.2706552706552806E-2</v>
      </c>
      <c r="Y155" s="105">
        <v>9.9002849002849017E-2</v>
      </c>
      <c r="Z155" s="105">
        <v>1.8518518518518556E-2</v>
      </c>
      <c r="AA155" s="105">
        <v>6.3390313390313383E-2</v>
      </c>
      <c r="AB155" s="105">
        <v>5.2706552706552674E-2</v>
      </c>
      <c r="AC155" s="105">
        <v>2.2079772079772044E-2</v>
      </c>
      <c r="AD155" s="105">
        <v>3.4188034188034164E-2</v>
      </c>
      <c r="AE155" s="105">
        <v>3.062678062678062E-2</v>
      </c>
      <c r="AF155" s="105">
        <v>2.2079772079772058E-2</v>
      </c>
      <c r="AG155" s="105">
        <v>4.5868945870164401E-6</v>
      </c>
      <c r="AH155" s="105">
        <v>0.10000000000000007</v>
      </c>
      <c r="AJ155" s="8">
        <f t="shared" si="740"/>
        <v>1</v>
      </c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M155" s="26">
        <f t="shared" si="741"/>
        <v>2250.0500000000015</v>
      </c>
      <c r="BN155" s="26">
        <f t="shared" si="742"/>
        <v>705.14387464387471</v>
      </c>
      <c r="BO155" s="26">
        <f t="shared" si="743"/>
        <v>705.14387464387141</v>
      </c>
      <c r="BP155" s="26">
        <f t="shared" si="744"/>
        <v>448.72792022791953</v>
      </c>
      <c r="BQ155" s="26">
        <f t="shared" si="745"/>
        <v>1987.2236467236444</v>
      </c>
      <c r="BR155" s="26">
        <f t="shared" si="746"/>
        <v>1923.1196581196552</v>
      </c>
      <c r="BS155" s="26">
        <f t="shared" si="747"/>
        <v>2820.5754985754988</v>
      </c>
      <c r="BT155" s="26">
        <f t="shared" si="748"/>
        <v>0</v>
      </c>
      <c r="BU155" s="26">
        <f t="shared" si="749"/>
        <v>1282.0797720797702</v>
      </c>
      <c r="BV155" s="26">
        <f t="shared" si="750"/>
        <v>1410.2877492877494</v>
      </c>
      <c r="BW155" s="26">
        <f t="shared" si="751"/>
        <v>19070.52377999997</v>
      </c>
      <c r="BX155" s="26">
        <f t="shared" si="752"/>
        <v>2948.7834757834689</v>
      </c>
      <c r="BY155" s="26">
        <f t="shared" si="753"/>
        <v>897.45584045584008</v>
      </c>
      <c r="BZ155" s="26">
        <f t="shared" si="754"/>
        <v>8974.5584045584164</v>
      </c>
      <c r="CA155" s="26">
        <f t="shared" si="755"/>
        <v>4743.6951566951657</v>
      </c>
      <c r="CB155" s="26">
        <f t="shared" si="756"/>
        <v>8910.4544159544166</v>
      </c>
      <c r="CC155" s="26">
        <f t="shared" si="757"/>
        <v>1666.7037037037071</v>
      </c>
      <c r="CD155" s="26">
        <f t="shared" si="758"/>
        <v>5705.2549857549848</v>
      </c>
      <c r="CE155" s="26">
        <f t="shared" si="759"/>
        <v>4743.6951566951539</v>
      </c>
      <c r="CF155" s="26">
        <f t="shared" si="760"/>
        <v>1987.2236467236435</v>
      </c>
      <c r="CG155" s="26">
        <f t="shared" si="761"/>
        <v>3076.9914529914508</v>
      </c>
      <c r="CH155" s="26">
        <f t="shared" si="762"/>
        <v>2756.4715099715095</v>
      </c>
      <c r="CI155" s="26">
        <f t="shared" si="763"/>
        <v>1987.2236467236448</v>
      </c>
      <c r="CJ155" s="26">
        <f t="shared" si="764"/>
        <v>0.41282968662065367</v>
      </c>
      <c r="CK155" s="26">
        <f t="shared" si="765"/>
        <v>9000.2000000000062</v>
      </c>
      <c r="CL155" s="26">
        <f t="shared" si="766"/>
        <v>0</v>
      </c>
      <c r="CM155" s="110">
        <f t="shared" si="767"/>
        <v>1</v>
      </c>
      <c r="CN155" s="27">
        <f t="shared" si="933"/>
        <v>1249.8750000000009</v>
      </c>
      <c r="CO155" s="27">
        <f t="shared" si="908"/>
        <v>391.69871794871796</v>
      </c>
      <c r="CP155" s="27">
        <f t="shared" si="909"/>
        <v>391.69871794871614</v>
      </c>
      <c r="CQ155" s="27">
        <f t="shared" si="910"/>
        <v>249.26282051282013</v>
      </c>
      <c r="CR155" s="27">
        <f t="shared" si="911"/>
        <v>1103.8782051282039</v>
      </c>
      <c r="CS155" s="27">
        <f t="shared" si="912"/>
        <v>1068.2692307692291</v>
      </c>
      <c r="CT155" s="27">
        <f t="shared" si="913"/>
        <v>1566.7948717948718</v>
      </c>
      <c r="CU155" s="27">
        <f t="shared" si="914"/>
        <v>0</v>
      </c>
      <c r="CV155" s="27">
        <f t="shared" si="915"/>
        <v>712.17948717948616</v>
      </c>
      <c r="CW155" s="27">
        <f t="shared" si="916"/>
        <v>783.39743589743591</v>
      </c>
      <c r="CX155" s="27">
        <f t="shared" si="917"/>
        <v>10593.440549999983</v>
      </c>
      <c r="CY155" s="27">
        <f t="shared" si="918"/>
        <v>1638.0128205128167</v>
      </c>
      <c r="CZ155" s="27">
        <f t="shared" si="919"/>
        <v>498.52564102564082</v>
      </c>
      <c r="DA155" s="27">
        <f t="shared" si="920"/>
        <v>4985.2564102564165</v>
      </c>
      <c r="DB155" s="27">
        <f t="shared" si="921"/>
        <v>2635.0641025641075</v>
      </c>
      <c r="DC155" s="27">
        <f t="shared" si="922"/>
        <v>4949.6474358974365</v>
      </c>
      <c r="DD155" s="27">
        <f t="shared" si="923"/>
        <v>925.83333333333519</v>
      </c>
      <c r="DE155" s="27">
        <f t="shared" si="924"/>
        <v>3169.1987179487178</v>
      </c>
      <c r="DF155" s="27">
        <f t="shared" si="925"/>
        <v>2635.0641025641012</v>
      </c>
      <c r="DG155" s="27">
        <f t="shared" si="926"/>
        <v>1103.8782051282033</v>
      </c>
      <c r="DH155" s="27">
        <f t="shared" si="927"/>
        <v>1709.2307692307679</v>
      </c>
      <c r="DI155" s="27">
        <f t="shared" si="928"/>
        <v>1531.185897435897</v>
      </c>
      <c r="DJ155" s="27">
        <f t="shared" si="929"/>
        <v>1103.8782051282039</v>
      </c>
      <c r="DK155" s="27">
        <f t="shared" si="930"/>
        <v>0.22932179487788693</v>
      </c>
      <c r="DL155" s="27">
        <f t="shared" si="931"/>
        <v>4999.5000000000036</v>
      </c>
      <c r="DM155" s="27">
        <f t="shared" si="932"/>
        <v>0</v>
      </c>
      <c r="DN155" s="110">
        <f t="shared" si="768"/>
        <v>0.99999999999999967</v>
      </c>
      <c r="DO155" s="28">
        <f t="shared" si="771"/>
        <v>1000.1750000000006</v>
      </c>
      <c r="DP155" s="28">
        <f t="shared" si="772"/>
        <v>313.44515669515675</v>
      </c>
      <c r="DQ155" s="28">
        <f t="shared" si="773"/>
        <v>313.44515669515528</v>
      </c>
      <c r="DR155" s="28">
        <f t="shared" si="774"/>
        <v>199.4650997150994</v>
      </c>
      <c r="DS155" s="28">
        <f t="shared" si="775"/>
        <v>883.34544159544043</v>
      </c>
      <c r="DT155" s="28">
        <f t="shared" si="776"/>
        <v>854.85042735042612</v>
      </c>
      <c r="DU155" s="28">
        <f t="shared" si="777"/>
        <v>1253.780626780627</v>
      </c>
      <c r="DV155" s="28">
        <f t="shared" si="778"/>
        <v>0</v>
      </c>
      <c r="DW155" s="28">
        <f t="shared" si="779"/>
        <v>569.90028490028408</v>
      </c>
      <c r="DX155" s="28">
        <f t="shared" si="780"/>
        <v>626.89031339031351</v>
      </c>
      <c r="DY155" s="28">
        <f t="shared" si="781"/>
        <v>8477.0832299999875</v>
      </c>
      <c r="DZ155" s="28">
        <f t="shared" si="782"/>
        <v>1310.7706552706522</v>
      </c>
      <c r="EA155" s="28">
        <f t="shared" si="783"/>
        <v>398.93019943019925</v>
      </c>
      <c r="EB155" s="28">
        <f t="shared" si="784"/>
        <v>3989.3019943019999</v>
      </c>
      <c r="EC155" s="28">
        <f t="shared" si="785"/>
        <v>2108.6310541310581</v>
      </c>
      <c r="ED155" s="28">
        <f t="shared" si="786"/>
        <v>3960.8069800569801</v>
      </c>
      <c r="EE155" s="28">
        <f t="shared" si="787"/>
        <v>740.87037037037192</v>
      </c>
      <c r="EF155" s="28">
        <f t="shared" si="788"/>
        <v>2536.056267806267</v>
      </c>
      <c r="EG155" s="28">
        <f t="shared" si="789"/>
        <v>2108.6310541310527</v>
      </c>
      <c r="EH155" s="28">
        <f t="shared" si="790"/>
        <v>883.34544159544021</v>
      </c>
      <c r="EI155" s="28">
        <f t="shared" si="791"/>
        <v>1367.7606837606829</v>
      </c>
      <c r="EJ155" s="28">
        <f t="shared" si="792"/>
        <v>1225.2856125356125</v>
      </c>
      <c r="EK155" s="28">
        <f t="shared" si="793"/>
        <v>883.34544159544089</v>
      </c>
      <c r="EL155" s="28">
        <f t="shared" si="794"/>
        <v>0.18350789174276674</v>
      </c>
      <c r="EM155" s="28">
        <f t="shared" si="795"/>
        <v>4000.7000000000025</v>
      </c>
      <c r="EN155" s="28">
        <f t="shared" si="796"/>
        <v>0</v>
      </c>
      <c r="EQ155" s="144">
        <v>4.1379546116098495E-2</v>
      </c>
      <c r="ER155" s="144">
        <v>6.1419903943202507E-2</v>
      </c>
      <c r="ES155" s="144">
        <v>7.1440471746118714E-2</v>
      </c>
      <c r="ET155" s="144">
        <v>7.986226873500854E-2</v>
      </c>
      <c r="EU155" s="144">
        <v>7.986226873500854E-2</v>
      </c>
      <c r="EV155" s="144">
        <v>7.986226873500854E-2</v>
      </c>
      <c r="EW155" s="144">
        <v>8.8176663327032959E-2</v>
      </c>
      <c r="EX155" s="144">
        <v>9.018011022013471E-2</v>
      </c>
      <c r="EY155" s="144">
        <v>0.10020067802305091</v>
      </c>
      <c r="EZ155" s="144">
        <v>9.7194674349046425E-2</v>
      </c>
      <c r="FA155" s="144">
        <v>0.10020067802305091</v>
      </c>
      <c r="FB155" s="144">
        <v>0.11022046804723873</v>
      </c>
      <c r="FC155" s="145">
        <f t="shared" si="797"/>
        <v>1</v>
      </c>
      <c r="FD155" s="146">
        <f t="shared" si="798"/>
        <v>0.1742399218054197</v>
      </c>
      <c r="FE155" s="146">
        <f t="shared" si="799"/>
        <v>0.23958680620502562</v>
      </c>
      <c r="FF155" s="146">
        <f t="shared" si="800"/>
        <v>0.27855745157021861</v>
      </c>
      <c r="FG155" s="146">
        <f t="shared" si="801"/>
        <v>0.30761582041933605</v>
      </c>
      <c r="FH155" s="145">
        <f t="shared" si="655"/>
        <v>1</v>
      </c>
      <c r="FJ155" s="52">
        <f t="shared" si="802"/>
        <v>392.04853605828487</v>
      </c>
      <c r="FK155" s="52">
        <f t="shared" si="803"/>
        <v>122.8642135795194</v>
      </c>
      <c r="FL155" s="52">
        <f t="shared" si="804"/>
        <v>122.86421357951882</v>
      </c>
      <c r="FM155" s="52">
        <f t="shared" si="805"/>
        <v>78.186317732421301</v>
      </c>
      <c r="FN155" s="52">
        <f t="shared" si="806"/>
        <v>346.25369281500878</v>
      </c>
      <c r="FO155" s="52">
        <f t="shared" si="807"/>
        <v>335.08421885323418</v>
      </c>
      <c r="FP155" s="52">
        <f t="shared" si="808"/>
        <v>491.4568543180776</v>
      </c>
      <c r="FQ155" s="52">
        <f t="shared" si="809"/>
        <v>0</v>
      </c>
      <c r="FR155" s="52">
        <f t="shared" si="810"/>
        <v>223.38947923548946</v>
      </c>
      <c r="FS155" s="52">
        <f t="shared" si="811"/>
        <v>245.7284271590388</v>
      </c>
      <c r="FT155" s="52">
        <f t="shared" si="812"/>
        <v>3322.8465722155916</v>
      </c>
      <c r="FU155" s="52">
        <f t="shared" si="813"/>
        <v>513.79580224162532</v>
      </c>
      <c r="FV155" s="52">
        <f t="shared" si="814"/>
        <v>156.3726354648428</v>
      </c>
      <c r="FW155" s="52">
        <f t="shared" si="815"/>
        <v>1563.7263546484305</v>
      </c>
      <c r="FX155" s="52">
        <f t="shared" si="816"/>
        <v>826.54107317131377</v>
      </c>
      <c r="FY155" s="52">
        <f t="shared" si="817"/>
        <v>1552.5568806866543</v>
      </c>
      <c r="FZ155" s="52">
        <f t="shared" si="818"/>
        <v>290.40632300613731</v>
      </c>
      <c r="GA155" s="52">
        <f t="shared" si="819"/>
        <v>994.08318259792941</v>
      </c>
      <c r="GB155" s="52">
        <f t="shared" si="820"/>
        <v>826.54107317131172</v>
      </c>
      <c r="GC155" s="52">
        <f t="shared" si="821"/>
        <v>346.25369281500861</v>
      </c>
      <c r="GD155" s="52">
        <f t="shared" si="822"/>
        <v>536.13475016517509</v>
      </c>
      <c r="GE155" s="52">
        <f t="shared" si="823"/>
        <v>480.28738035630295</v>
      </c>
      <c r="GF155" s="52">
        <f t="shared" si="824"/>
        <v>346.25369281500883</v>
      </c>
      <c r="GG155" s="52">
        <f t="shared" si="825"/>
        <v>7.1931412315738616E-2</v>
      </c>
      <c r="GH155" s="52">
        <f t="shared" si="826"/>
        <v>1568.1941442331395</v>
      </c>
      <c r="GI155" s="52">
        <f t="shared" si="827"/>
        <v>0</v>
      </c>
      <c r="GJ155" s="26"/>
      <c r="GL155" s="150">
        <f t="shared" si="828"/>
        <v>539.08229330161828</v>
      </c>
      <c r="GM155" s="150">
        <f t="shared" si="829"/>
        <v>168.9431688409629</v>
      </c>
      <c r="GN155" s="150">
        <f t="shared" si="830"/>
        <v>168.9431688409621</v>
      </c>
      <c r="GO155" s="150">
        <f t="shared" si="831"/>
        <v>107.50928926243076</v>
      </c>
      <c r="GP155" s="150">
        <f t="shared" si="832"/>
        <v>476.11256673362209</v>
      </c>
      <c r="GQ155" s="150">
        <f t="shared" si="833"/>
        <v>460.75409683898897</v>
      </c>
      <c r="GR155" s="150">
        <f t="shared" si="834"/>
        <v>675.77267536385159</v>
      </c>
      <c r="GS155" s="150">
        <f t="shared" si="835"/>
        <v>0</v>
      </c>
      <c r="GT155" s="150">
        <f t="shared" si="836"/>
        <v>307.16939789265933</v>
      </c>
      <c r="GU155" s="150">
        <f t="shared" si="837"/>
        <v>337.8863376819258</v>
      </c>
      <c r="GV155" s="150">
        <f t="shared" si="838"/>
        <v>4569.0458851071853</v>
      </c>
      <c r="GW155" s="150">
        <f t="shared" si="839"/>
        <v>706.48961515311578</v>
      </c>
      <c r="GX155" s="150">
        <f t="shared" si="840"/>
        <v>215.01857852486174</v>
      </c>
      <c r="GY155" s="150">
        <f t="shared" si="841"/>
        <v>2150.1857852486214</v>
      </c>
      <c r="GZ155" s="150">
        <f t="shared" si="842"/>
        <v>1136.5267722028434</v>
      </c>
      <c r="HA155" s="150">
        <f t="shared" si="843"/>
        <v>2134.8273153539853</v>
      </c>
      <c r="HB155" s="150">
        <f t="shared" si="844"/>
        <v>399.32021726045849</v>
      </c>
      <c r="HC155" s="150">
        <f t="shared" si="845"/>
        <v>1366.9038206223358</v>
      </c>
      <c r="HD155" s="150">
        <f t="shared" si="846"/>
        <v>1136.5267722028404</v>
      </c>
      <c r="HE155" s="150">
        <f t="shared" si="847"/>
        <v>476.11256673362186</v>
      </c>
      <c r="HF155" s="150">
        <f t="shared" si="848"/>
        <v>737.20655494238292</v>
      </c>
      <c r="HG155" s="150">
        <f t="shared" si="849"/>
        <v>660.41420546921836</v>
      </c>
      <c r="HH155" s="150">
        <f t="shared" si="850"/>
        <v>476.1125667336222</v>
      </c>
      <c r="HI155" s="150">
        <f t="shared" si="851"/>
        <v>9.8908546124064009E-2</v>
      </c>
      <c r="HJ155" s="150">
        <f t="shared" si="852"/>
        <v>2156.3291732064731</v>
      </c>
      <c r="HK155" s="150">
        <f t="shared" si="853"/>
        <v>0</v>
      </c>
      <c r="HL155" s="26"/>
      <c r="HN155" s="147">
        <f t="shared" si="854"/>
        <v>626.7681939055708</v>
      </c>
      <c r="HO155" s="147">
        <f t="shared" si="855"/>
        <v>196.42308071114743</v>
      </c>
      <c r="HP155" s="147">
        <f t="shared" si="856"/>
        <v>196.4230807111465</v>
      </c>
      <c r="HQ155" s="147">
        <f t="shared" si="857"/>
        <v>124.99650590709361</v>
      </c>
      <c r="HR155" s="147">
        <f t="shared" si="858"/>
        <v>553.55595473141477</v>
      </c>
      <c r="HS155" s="147">
        <f t="shared" si="859"/>
        <v>535.69931103040119</v>
      </c>
      <c r="HT155" s="147">
        <f t="shared" si="860"/>
        <v>785.69232284458974</v>
      </c>
      <c r="HU155" s="147">
        <f t="shared" si="861"/>
        <v>0</v>
      </c>
      <c r="HV155" s="147">
        <f t="shared" si="862"/>
        <v>357.13287402026748</v>
      </c>
      <c r="HW155" s="147">
        <f t="shared" si="863"/>
        <v>392.84616142229487</v>
      </c>
      <c r="HX155" s="147">
        <f t="shared" si="864"/>
        <v>5312.236504266044</v>
      </c>
      <c r="HY155" s="147">
        <f t="shared" si="865"/>
        <v>821.40561024661451</v>
      </c>
      <c r="HZ155" s="147">
        <f t="shared" si="866"/>
        <v>249.9930118141875</v>
      </c>
      <c r="IA155" s="147">
        <f t="shared" si="867"/>
        <v>2499.9301181418796</v>
      </c>
      <c r="IB155" s="147">
        <f t="shared" si="868"/>
        <v>1321.3916338749941</v>
      </c>
      <c r="IC155" s="147">
        <f t="shared" si="869"/>
        <v>2482.0734744408628</v>
      </c>
      <c r="ID155" s="147">
        <f t="shared" si="870"/>
        <v>464.27273622634937</v>
      </c>
      <c r="IE155" s="147">
        <f t="shared" si="871"/>
        <v>1589.2412893901924</v>
      </c>
      <c r="IF155" s="147">
        <f t="shared" si="872"/>
        <v>1321.3916338749909</v>
      </c>
      <c r="IG155" s="147">
        <f t="shared" si="873"/>
        <v>553.55595473141454</v>
      </c>
      <c r="IH155" s="147">
        <f t="shared" si="874"/>
        <v>857.1188976486427</v>
      </c>
      <c r="II155" s="147">
        <f t="shared" si="875"/>
        <v>767.83567914357616</v>
      </c>
      <c r="IJ155" s="147">
        <f t="shared" si="876"/>
        <v>553.55595473141489</v>
      </c>
      <c r="IK155" s="147">
        <f t="shared" si="877"/>
        <v>0.11499678543758125</v>
      </c>
      <c r="IL155" s="147">
        <f t="shared" si="878"/>
        <v>2507.0727756222832</v>
      </c>
      <c r="IM155" s="147">
        <f t="shared" si="879"/>
        <v>0</v>
      </c>
      <c r="IN155" s="26"/>
      <c r="IP155" s="61">
        <f t="shared" si="880"/>
        <v>692.1509767345276</v>
      </c>
      <c r="IQ155" s="61">
        <f t="shared" si="881"/>
        <v>216.91341151224498</v>
      </c>
      <c r="IR155" s="61">
        <f t="shared" si="882"/>
        <v>216.91341151224395</v>
      </c>
      <c r="IS155" s="61">
        <f t="shared" si="883"/>
        <v>138.03580732597385</v>
      </c>
      <c r="IT155" s="61">
        <f t="shared" si="884"/>
        <v>611.30143244359874</v>
      </c>
      <c r="IU155" s="61">
        <f t="shared" si="885"/>
        <v>591.58203139703085</v>
      </c>
      <c r="IV155" s="61">
        <f t="shared" si="886"/>
        <v>867.65364604897991</v>
      </c>
      <c r="IW155" s="61">
        <f t="shared" si="887"/>
        <v>0</v>
      </c>
      <c r="IX155" s="61">
        <f t="shared" si="888"/>
        <v>394.38802093135388</v>
      </c>
      <c r="IY155" s="61">
        <f t="shared" si="889"/>
        <v>433.82682302448995</v>
      </c>
      <c r="IZ155" s="61">
        <f t="shared" si="890"/>
        <v>5866.3948184111487</v>
      </c>
      <c r="JA155" s="61">
        <f t="shared" si="891"/>
        <v>907.0924481421132</v>
      </c>
      <c r="JB155" s="61">
        <f t="shared" si="892"/>
        <v>276.07161465194798</v>
      </c>
      <c r="JC155" s="61">
        <f t="shared" si="893"/>
        <v>2760.7161465194849</v>
      </c>
      <c r="JD155" s="61">
        <f t="shared" si="894"/>
        <v>1459.2356774460143</v>
      </c>
      <c r="JE155" s="61">
        <f t="shared" si="895"/>
        <v>2740.9967454729135</v>
      </c>
      <c r="JF155" s="61">
        <f t="shared" si="896"/>
        <v>512.70442721076188</v>
      </c>
      <c r="JG155" s="61">
        <f t="shared" si="897"/>
        <v>1755.0266931445271</v>
      </c>
      <c r="JH155" s="61">
        <f t="shared" si="898"/>
        <v>1459.2356774460106</v>
      </c>
      <c r="JI155" s="61">
        <f t="shared" si="899"/>
        <v>611.3014324435984</v>
      </c>
      <c r="JJ155" s="61">
        <f t="shared" si="900"/>
        <v>946.53125023525001</v>
      </c>
      <c r="JK155" s="61">
        <f t="shared" si="901"/>
        <v>847.9342450024119</v>
      </c>
      <c r="JL155" s="61">
        <f t="shared" si="902"/>
        <v>611.30143244359886</v>
      </c>
      <c r="JM155" s="61">
        <f t="shared" si="903"/>
        <v>0.12699294274326978</v>
      </c>
      <c r="JN155" s="61">
        <f t="shared" si="904"/>
        <v>2768.6039069381104</v>
      </c>
      <c r="JO155" s="61">
        <f t="shared" si="905"/>
        <v>0</v>
      </c>
      <c r="JQ155" s="26">
        <f t="shared" si="769"/>
        <v>90001.999999999942</v>
      </c>
      <c r="JR155" s="156">
        <f t="shared" si="770"/>
        <v>0.99999999999999933</v>
      </c>
      <c r="JT155" s="157">
        <f t="shared" si="906"/>
        <v>2250.0500000000015</v>
      </c>
      <c r="JU155" s="29">
        <f t="shared" si="907"/>
        <v>1</v>
      </c>
    </row>
    <row r="156" spans="1:281" ht="18.75" x14ac:dyDescent="0.3">
      <c r="A156" t="s">
        <v>234</v>
      </c>
      <c r="B156" s="10" t="s">
        <v>100</v>
      </c>
      <c r="C156" t="s">
        <v>75</v>
      </c>
      <c r="D156" t="s">
        <v>20</v>
      </c>
      <c r="E156" t="s">
        <v>75</v>
      </c>
      <c r="F156" s="114"/>
      <c r="G156" s="17">
        <v>200110</v>
      </c>
      <c r="H156" s="21">
        <v>138007</v>
      </c>
      <c r="I156" s="25">
        <f t="shared" si="713"/>
        <v>1.4499989130986108</v>
      </c>
      <c r="J156" s="105">
        <v>1.6717344574351131E-2</v>
      </c>
      <c r="K156" s="105">
        <v>3.4447045368660806E-2</v>
      </c>
      <c r="L156" s="105">
        <v>8.4543973497323028E-3</v>
      </c>
      <c r="M156" s="105">
        <v>1.1098908083180746E-2</v>
      </c>
      <c r="N156" s="105">
        <v>2.5897545482755274E-2</v>
      </c>
      <c r="O156" s="105">
        <v>3.3235548734207934E-2</v>
      </c>
      <c r="P156" s="105">
        <v>5.27772414727843E-2</v>
      </c>
      <c r="Q156" s="105">
        <v>4.3150417332534496E-2</v>
      </c>
      <c r="R156" s="105">
        <v>1.7914346124368142E-2</v>
      </c>
      <c r="S156" s="105">
        <v>8.5271126765198348E-3</v>
      </c>
      <c r="T156" s="105">
        <v>0.23473248560316476</v>
      </c>
      <c r="U156" s="105">
        <v>1.3519490503073826E-2</v>
      </c>
      <c r="V156" s="105">
        <v>6.9303290728500036E-3</v>
      </c>
      <c r="W156" s="105">
        <v>5.3967559453698896E-2</v>
      </c>
      <c r="X156" s="105">
        <v>3.5927749996227679E-2</v>
      </c>
      <c r="Y156" s="105">
        <v>5.850656754132319E-2</v>
      </c>
      <c r="Z156" s="105">
        <v>4.0122957790184231E-2</v>
      </c>
      <c r="AA156" s="105">
        <v>7.3207852458239533E-2</v>
      </c>
      <c r="AB156" s="105">
        <v>2.0541529030765917E-2</v>
      </c>
      <c r="AC156" s="105">
        <v>2.2886744024183097E-2</v>
      </c>
      <c r="AD156" s="105">
        <v>4.1568114427954647E-2</v>
      </c>
      <c r="AE156" s="105">
        <v>1.4590166469157905E-2</v>
      </c>
      <c r="AF156" s="105">
        <v>2.7688364499060418E-2</v>
      </c>
      <c r="AG156" s="105">
        <v>0</v>
      </c>
      <c r="AH156" s="105">
        <v>0.1035901819310211</v>
      </c>
      <c r="AJ156" s="8">
        <f t="shared" si="740"/>
        <v>1.0000000000000002</v>
      </c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M156" s="26">
        <f t="shared" si="741"/>
        <v>3345.307822773405</v>
      </c>
      <c r="BN156" s="26">
        <f t="shared" si="742"/>
        <v>6893.1982487227142</v>
      </c>
      <c r="BO156" s="26">
        <f t="shared" si="743"/>
        <v>1691.8094536549311</v>
      </c>
      <c r="BP156" s="26">
        <f t="shared" si="744"/>
        <v>2221.0024965252992</v>
      </c>
      <c r="BQ156" s="26">
        <f t="shared" si="745"/>
        <v>5182.3578265541582</v>
      </c>
      <c r="BR156" s="26">
        <f t="shared" si="746"/>
        <v>6650.7656572023498</v>
      </c>
      <c r="BS156" s="26">
        <f t="shared" si="747"/>
        <v>10561.253791118867</v>
      </c>
      <c r="BT156" s="26">
        <f t="shared" si="748"/>
        <v>8634.8300124134785</v>
      </c>
      <c r="BU156" s="26">
        <f t="shared" si="749"/>
        <v>3584.8398029473087</v>
      </c>
      <c r="BV156" s="26">
        <f t="shared" si="750"/>
        <v>1706.3605176983842</v>
      </c>
      <c r="BW156" s="26">
        <f t="shared" si="751"/>
        <v>46972.317694049299</v>
      </c>
      <c r="BX156" s="26">
        <f t="shared" si="752"/>
        <v>2705.3852445701032</v>
      </c>
      <c r="BY156" s="26">
        <f t="shared" si="753"/>
        <v>1386.8281507680142</v>
      </c>
      <c r="BZ156" s="26">
        <f t="shared" si="754"/>
        <v>10799.448322279686</v>
      </c>
      <c r="CA156" s="26">
        <f t="shared" si="755"/>
        <v>7189.5020517451212</v>
      </c>
      <c r="CB156" s="26">
        <f t="shared" si="756"/>
        <v>11707.749230694184</v>
      </c>
      <c r="CC156" s="26">
        <f t="shared" si="757"/>
        <v>8029.0050833937667</v>
      </c>
      <c r="CD156" s="26">
        <f t="shared" si="758"/>
        <v>14649.623355418313</v>
      </c>
      <c r="CE156" s="26">
        <f t="shared" si="759"/>
        <v>4110.5653743465673</v>
      </c>
      <c r="CF156" s="26">
        <f t="shared" si="760"/>
        <v>4579.8663466792796</v>
      </c>
      <c r="CG156" s="26">
        <f t="shared" si="761"/>
        <v>8318.1953781780048</v>
      </c>
      <c r="CH156" s="26">
        <f t="shared" si="762"/>
        <v>2919.6382121431884</v>
      </c>
      <c r="CI156" s="26">
        <f t="shared" si="763"/>
        <v>5540.7186199069802</v>
      </c>
      <c r="CJ156" s="26">
        <f t="shared" si="764"/>
        <v>0</v>
      </c>
      <c r="CK156" s="26">
        <f t="shared" si="765"/>
        <v>20729.431306216633</v>
      </c>
      <c r="CL156" s="26">
        <f t="shared" si="766"/>
        <v>0</v>
      </c>
      <c r="CM156" s="110">
        <f t="shared" si="767"/>
        <v>1</v>
      </c>
      <c r="CN156" s="27">
        <f t="shared" si="933"/>
        <v>2307.1105726724763</v>
      </c>
      <c r="CO156" s="27">
        <f t="shared" si="908"/>
        <v>4753.9333901927721</v>
      </c>
      <c r="CP156" s="27">
        <f t="shared" si="909"/>
        <v>1166.7660150445058</v>
      </c>
      <c r="CQ156" s="27">
        <f t="shared" si="910"/>
        <v>1531.7270078355252</v>
      </c>
      <c r="CR156" s="27">
        <f t="shared" si="911"/>
        <v>3574.042559438607</v>
      </c>
      <c r="CS156" s="27">
        <f t="shared" si="912"/>
        <v>4586.7383741618341</v>
      </c>
      <c r="CT156" s="27">
        <f t="shared" si="913"/>
        <v>7283.6287639345428</v>
      </c>
      <c r="CU156" s="27">
        <f t="shared" si="914"/>
        <v>5955.0596448110882</v>
      </c>
      <c r="CV156" s="27">
        <f t="shared" si="915"/>
        <v>2472.3051655856743</v>
      </c>
      <c r="CW156" s="27">
        <f t="shared" si="916"/>
        <v>1176.8012391484729</v>
      </c>
      <c r="CX156" s="27">
        <f t="shared" si="917"/>
        <v>32394.726140635958</v>
      </c>
      <c r="CY156" s="27">
        <f t="shared" si="918"/>
        <v>1865.7843258577095</v>
      </c>
      <c r="CZ156" s="27">
        <f t="shared" si="919"/>
        <v>956.43392435681051</v>
      </c>
      <c r="DA156" s="27">
        <f t="shared" si="920"/>
        <v>7447.9009775266231</v>
      </c>
      <c r="DB156" s="27">
        <f t="shared" si="921"/>
        <v>4958.2809937293932</v>
      </c>
      <c r="DC156" s="27">
        <f t="shared" si="922"/>
        <v>8074.3158666753898</v>
      </c>
      <c r="DD156" s="27">
        <f t="shared" si="923"/>
        <v>5537.2490357499555</v>
      </c>
      <c r="DE156" s="27">
        <f t="shared" si="924"/>
        <v>10103.196094204262</v>
      </c>
      <c r="DF156" s="27">
        <f t="shared" si="925"/>
        <v>2834.8747969489118</v>
      </c>
      <c r="DG156" s="27">
        <f t="shared" si="926"/>
        <v>3158.5308825454367</v>
      </c>
      <c r="DH156" s="27">
        <f t="shared" si="927"/>
        <v>5736.6907678587368</v>
      </c>
      <c r="DI156" s="27">
        <f t="shared" si="928"/>
        <v>2013.5451039090751</v>
      </c>
      <c r="DJ156" s="27">
        <f t="shared" si="929"/>
        <v>3821.1881194218313</v>
      </c>
      <c r="DK156" s="27">
        <f t="shared" si="930"/>
        <v>0</v>
      </c>
      <c r="DL156" s="27">
        <f t="shared" si="931"/>
        <v>14296.170237754428</v>
      </c>
      <c r="DM156" s="27">
        <f t="shared" si="932"/>
        <v>0</v>
      </c>
      <c r="DN156" s="110">
        <f t="shared" si="768"/>
        <v>1</v>
      </c>
      <c r="DO156" s="28">
        <f t="shared" si="771"/>
        <v>1038.1972501009286</v>
      </c>
      <c r="DP156" s="28">
        <f t="shared" si="772"/>
        <v>2139.2648585299421</v>
      </c>
      <c r="DQ156" s="28">
        <f t="shared" si="773"/>
        <v>525.04343861042526</v>
      </c>
      <c r="DR156" s="28">
        <f t="shared" si="774"/>
        <v>689.27548868977397</v>
      </c>
      <c r="DS156" s="28">
        <f t="shared" si="775"/>
        <v>1608.3152671155513</v>
      </c>
      <c r="DT156" s="28">
        <f t="shared" si="776"/>
        <v>2064.0272830405156</v>
      </c>
      <c r="DU156" s="28">
        <f t="shared" si="777"/>
        <v>3277.6250271843237</v>
      </c>
      <c r="DV156" s="28">
        <f t="shared" si="778"/>
        <v>2679.7703676023903</v>
      </c>
      <c r="DW156" s="28">
        <f t="shared" si="779"/>
        <v>1112.5346373616344</v>
      </c>
      <c r="DX156" s="28">
        <f t="shared" si="780"/>
        <v>529.55927854991137</v>
      </c>
      <c r="DY156" s="28">
        <f t="shared" si="781"/>
        <v>14577.591553413342</v>
      </c>
      <c r="DZ156" s="28">
        <f t="shared" si="782"/>
        <v>839.60091871239365</v>
      </c>
      <c r="EA156" s="28">
        <f t="shared" si="783"/>
        <v>430.3942264112037</v>
      </c>
      <c r="EB156" s="28">
        <f t="shared" si="784"/>
        <v>3351.547344753063</v>
      </c>
      <c r="EC156" s="28">
        <f t="shared" si="785"/>
        <v>2231.221058015728</v>
      </c>
      <c r="ED156" s="28">
        <f t="shared" si="786"/>
        <v>3633.4333640187942</v>
      </c>
      <c r="EE156" s="28">
        <f t="shared" si="787"/>
        <v>2491.7560476438111</v>
      </c>
      <c r="EF156" s="28">
        <f t="shared" si="788"/>
        <v>4546.4272612140503</v>
      </c>
      <c r="EG156" s="28">
        <f t="shared" si="789"/>
        <v>1275.6905773976555</v>
      </c>
      <c r="EH156" s="28">
        <f t="shared" si="790"/>
        <v>1421.3354641338428</v>
      </c>
      <c r="EI156" s="28">
        <f t="shared" si="791"/>
        <v>2581.5046103192681</v>
      </c>
      <c r="EJ156" s="28">
        <f t="shared" si="792"/>
        <v>906.09310823411329</v>
      </c>
      <c r="EK156" s="28">
        <f t="shared" si="793"/>
        <v>1719.5305004851489</v>
      </c>
      <c r="EL156" s="28">
        <f t="shared" si="794"/>
        <v>0</v>
      </c>
      <c r="EM156" s="28">
        <f t="shared" si="795"/>
        <v>6433.261068462205</v>
      </c>
      <c r="EN156" s="28">
        <f t="shared" si="796"/>
        <v>0</v>
      </c>
      <c r="EQ156" s="144">
        <v>4.2778345462363886E-2</v>
      </c>
      <c r="ER156" s="144">
        <v>5.2778361451277171E-2</v>
      </c>
      <c r="ES156" s="144">
        <v>6.2917281124375835E-2</v>
      </c>
      <c r="ET156" s="144">
        <v>7.9721613066392277E-2</v>
      </c>
      <c r="EU156" s="144">
        <v>6.7638291641468312E-2</v>
      </c>
      <c r="EV156" s="144">
        <v>7.7638307630381598E-2</v>
      </c>
      <c r="EW156" s="144">
        <v>8.0277785383615005E-2</v>
      </c>
      <c r="EX156" s="144">
        <v>7.027776939470172E-2</v>
      </c>
      <c r="EY156" s="144">
        <v>8.0277785383615005E-2</v>
      </c>
      <c r="EZ156" s="144">
        <v>0.10736110580923187</v>
      </c>
      <c r="FA156" s="144">
        <v>0.10736110580923187</v>
      </c>
      <c r="FB156" s="144">
        <v>0.17097224784334542</v>
      </c>
      <c r="FC156" s="145">
        <f t="shared" si="797"/>
        <v>0.99999999999999989</v>
      </c>
      <c r="FD156" s="146">
        <f t="shared" si="798"/>
        <v>0.15847398803801688</v>
      </c>
      <c r="FE156" s="146">
        <f t="shared" si="799"/>
        <v>0.22499821233824219</v>
      </c>
      <c r="FF156" s="146">
        <f t="shared" si="800"/>
        <v>0.23083334016193174</v>
      </c>
      <c r="FG156" s="146">
        <f t="shared" si="801"/>
        <v>0.38569445946180914</v>
      </c>
      <c r="FH156" s="145">
        <f t="shared" si="655"/>
        <v>0.99999999999999989</v>
      </c>
      <c r="FJ156" s="52">
        <f t="shared" si="802"/>
        <v>530.14427188967682</v>
      </c>
      <c r="FK156" s="52">
        <f t="shared" si="803"/>
        <v>1092.3926168117623</v>
      </c>
      <c r="FL156" s="52">
        <f t="shared" si="804"/>
        <v>268.10779112111544</v>
      </c>
      <c r="FM156" s="52">
        <f t="shared" si="805"/>
        <v>351.97112306675587</v>
      </c>
      <c r="FN156" s="52">
        <f t="shared" si="806"/>
        <v>821.26891221406686</v>
      </c>
      <c r="FO156" s="52">
        <f t="shared" si="807"/>
        <v>1053.9733572031387</v>
      </c>
      <c r="FP156" s="52">
        <f t="shared" si="808"/>
        <v>1673.6840069602317</v>
      </c>
      <c r="FQ156" s="52">
        <f t="shared" si="809"/>
        <v>1368.3959480975227</v>
      </c>
      <c r="FR156" s="52">
        <f t="shared" si="810"/>
        <v>568.1038600504786</v>
      </c>
      <c r="FS156" s="52">
        <f t="shared" si="811"/>
        <v>270.41375627027804</v>
      </c>
      <c r="FT156" s="52">
        <f t="shared" si="812"/>
        <v>7443.8905123646973</v>
      </c>
      <c r="FU156" s="52">
        <f t="shared" si="813"/>
        <v>428.73318888622987</v>
      </c>
      <c r="FV156" s="52">
        <f t="shared" si="814"/>
        <v>219.77618777559536</v>
      </c>
      <c r="FW156" s="52">
        <f t="shared" si="815"/>
        <v>1711.4316442421325</v>
      </c>
      <c r="FX156" s="52">
        <f t="shared" si="816"/>
        <v>1139.3490621475542</v>
      </c>
      <c r="FY156" s="52">
        <f t="shared" si="817"/>
        <v>1855.3737115371314</v>
      </c>
      <c r="FZ156" s="52">
        <f t="shared" si="818"/>
        <v>1272.3884555429204</v>
      </c>
      <c r="GA156" s="52">
        <f t="shared" si="819"/>
        <v>2321.5842363880142</v>
      </c>
      <c r="GB156" s="52">
        <f t="shared" si="820"/>
        <v>651.41768796368433</v>
      </c>
      <c r="GC156" s="52">
        <f t="shared" si="821"/>
        <v>725.78968463936826</v>
      </c>
      <c r="GD156" s="52">
        <f t="shared" si="822"/>
        <v>1318.2175948592685</v>
      </c>
      <c r="GE156" s="52">
        <f t="shared" si="823"/>
        <v>462.68671110651661</v>
      </c>
      <c r="GF156" s="52">
        <f t="shared" si="824"/>
        <v>878.05977629315612</v>
      </c>
      <c r="GG156" s="52">
        <f t="shared" si="825"/>
        <v>0</v>
      </c>
      <c r="GH156" s="52">
        <f t="shared" si="826"/>
        <v>3285.0756488562674</v>
      </c>
      <c r="GI156" s="52">
        <f t="shared" si="827"/>
        <v>0</v>
      </c>
      <c r="GJ156" s="26"/>
      <c r="GL156" s="150">
        <f t="shared" si="828"/>
        <v>752.68827984515326</v>
      </c>
      <c r="GM156" s="150">
        <f t="shared" si="829"/>
        <v>1550.9572832557124</v>
      </c>
      <c r="GN156" s="150">
        <f t="shared" si="830"/>
        <v>380.6541026892977</v>
      </c>
      <c r="GO156" s="150">
        <f t="shared" si="831"/>
        <v>499.72159131696526</v>
      </c>
      <c r="GP156" s="150">
        <f t="shared" si="832"/>
        <v>1166.0212466717837</v>
      </c>
      <c r="GQ156" s="150">
        <f t="shared" si="833"/>
        <v>1496.4103835511032</v>
      </c>
      <c r="GR156" s="150">
        <f t="shared" si="834"/>
        <v>2376.2632230522281</v>
      </c>
      <c r="GS156" s="150">
        <f t="shared" si="835"/>
        <v>1942.8213166376343</v>
      </c>
      <c r="GT156" s="150">
        <f t="shared" si="836"/>
        <v>806.58254718212083</v>
      </c>
      <c r="GU156" s="150">
        <f t="shared" si="837"/>
        <v>383.92806608669395</v>
      </c>
      <c r="GV156" s="150">
        <f t="shared" si="838"/>
        <v>10568.687510545074</v>
      </c>
      <c r="GW156" s="150">
        <f t="shared" si="839"/>
        <v>608.70684371453137</v>
      </c>
      <c r="GX156" s="150">
        <f t="shared" si="840"/>
        <v>312.03385474315343</v>
      </c>
      <c r="GY156" s="150">
        <f t="shared" si="841"/>
        <v>2429.856566752158</v>
      </c>
      <c r="GZ156" s="150">
        <f t="shared" si="842"/>
        <v>1617.6251092447767</v>
      </c>
      <c r="HA156" s="150">
        <f t="shared" si="843"/>
        <v>2634.2226474106214</v>
      </c>
      <c r="HB156" s="150">
        <f t="shared" si="844"/>
        <v>1806.5117906182566</v>
      </c>
      <c r="HC156" s="150">
        <f t="shared" si="845"/>
        <v>3296.1390663976817</v>
      </c>
      <c r="HD156" s="150">
        <f t="shared" si="846"/>
        <v>924.86986092745497</v>
      </c>
      <c r="HE156" s="150">
        <f t="shared" si="847"/>
        <v>1030.461740750914</v>
      </c>
      <c r="HF156" s="150">
        <f t="shared" si="848"/>
        <v>1871.5790899702795</v>
      </c>
      <c r="HG156" s="150">
        <f t="shared" si="849"/>
        <v>656.91337840663891</v>
      </c>
      <c r="HH156" s="150">
        <f t="shared" si="850"/>
        <v>1246.6517845482829</v>
      </c>
      <c r="HI156" s="150">
        <f t="shared" si="851"/>
        <v>0</v>
      </c>
      <c r="HJ156" s="150">
        <f t="shared" si="852"/>
        <v>4664.0849866871349</v>
      </c>
      <c r="HK156" s="150">
        <f t="shared" si="853"/>
        <v>0</v>
      </c>
      <c r="HL156" s="26"/>
      <c r="HN156" s="147">
        <f t="shared" si="854"/>
        <v>772.20857860062461</v>
      </c>
      <c r="HO156" s="147">
        <f t="shared" si="855"/>
        <v>1591.1799761510424</v>
      </c>
      <c r="HP156" s="147">
        <f t="shared" si="856"/>
        <v>390.52602710470057</v>
      </c>
      <c r="HQ156" s="147">
        <f t="shared" si="857"/>
        <v>512.68142478092398</v>
      </c>
      <c r="HR156" s="147">
        <f t="shared" si="858"/>
        <v>1196.2609670178254</v>
      </c>
      <c r="HS156" s="147">
        <f t="shared" si="859"/>
        <v>1535.2184512862834</v>
      </c>
      <c r="HT156" s="147">
        <f t="shared" si="860"/>
        <v>2437.8894889018325</v>
      </c>
      <c r="HU156" s="147">
        <f t="shared" si="861"/>
        <v>1993.2066534958979</v>
      </c>
      <c r="HV156" s="147">
        <f t="shared" si="862"/>
        <v>827.50054565976848</v>
      </c>
      <c r="HW156" s="147">
        <f t="shared" si="863"/>
        <v>393.88489782076107</v>
      </c>
      <c r="HX156" s="147">
        <f t="shared" si="864"/>
        <v>10842.776988464808</v>
      </c>
      <c r="HY156" s="147">
        <f t="shared" si="865"/>
        <v>624.49311242892156</v>
      </c>
      <c r="HZ156" s="147">
        <f t="shared" si="866"/>
        <v>320.12617427237581</v>
      </c>
      <c r="IA156" s="147">
        <f t="shared" si="867"/>
        <v>2492.8727281379897</v>
      </c>
      <c r="IB156" s="147">
        <f t="shared" si="868"/>
        <v>1659.5767727053878</v>
      </c>
      <c r="IC156" s="147">
        <f t="shared" si="869"/>
        <v>2702.5388606994252</v>
      </c>
      <c r="ID156" s="147">
        <f t="shared" si="870"/>
        <v>1853.3620615769125</v>
      </c>
      <c r="IE156" s="147">
        <f t="shared" si="871"/>
        <v>3381.6214912454552</v>
      </c>
      <c r="IF156" s="147">
        <f t="shared" si="872"/>
        <v>948.8555353143995</v>
      </c>
      <c r="IG156" s="147">
        <f t="shared" si="873"/>
        <v>1057.1858462992018</v>
      </c>
      <c r="IH156" s="147">
        <f t="shared" si="874"/>
        <v>1920.1168232643718</v>
      </c>
      <c r="II156" s="147">
        <f t="shared" si="875"/>
        <v>673.94984057342288</v>
      </c>
      <c r="IJ156" s="147">
        <f t="shared" si="876"/>
        <v>1278.982585930537</v>
      </c>
      <c r="IK156" s="147">
        <f t="shared" si="877"/>
        <v>0</v>
      </c>
      <c r="IL156" s="147">
        <f t="shared" si="878"/>
        <v>4785.0438680713014</v>
      </c>
      <c r="IM156" s="147">
        <f t="shared" si="879"/>
        <v>0</v>
      </c>
      <c r="IN156" s="26"/>
      <c r="IP156" s="61">
        <f t="shared" si="880"/>
        <v>1290.26669243795</v>
      </c>
      <c r="IQ156" s="61">
        <f t="shared" si="881"/>
        <v>2658.6683725041967</v>
      </c>
      <c r="IR156" s="61">
        <f t="shared" si="882"/>
        <v>652.5215327398173</v>
      </c>
      <c r="IS156" s="61">
        <f t="shared" si="883"/>
        <v>856.62835736065392</v>
      </c>
      <c r="IT156" s="61">
        <f t="shared" si="884"/>
        <v>1998.8067006504821</v>
      </c>
      <c r="IU156" s="61">
        <f t="shared" si="885"/>
        <v>2565.1634651618242</v>
      </c>
      <c r="IV156" s="61">
        <f t="shared" si="886"/>
        <v>4073.4170722045737</v>
      </c>
      <c r="IW156" s="61">
        <f t="shared" si="887"/>
        <v>3330.4060941824232</v>
      </c>
      <c r="IX156" s="61">
        <f t="shared" si="888"/>
        <v>1382.6528500549407</v>
      </c>
      <c r="IY156" s="61">
        <f t="shared" si="889"/>
        <v>658.13379752065111</v>
      </c>
      <c r="IZ156" s="61">
        <f t="shared" si="890"/>
        <v>18116.962682674719</v>
      </c>
      <c r="JA156" s="61">
        <f t="shared" si="891"/>
        <v>1043.4520995404202</v>
      </c>
      <c r="JB156" s="61">
        <f t="shared" si="892"/>
        <v>534.89193397688962</v>
      </c>
      <c r="JC156" s="61">
        <f t="shared" si="893"/>
        <v>4165.2873831474053</v>
      </c>
      <c r="JD156" s="61">
        <f t="shared" si="894"/>
        <v>2772.9511076474023</v>
      </c>
      <c r="JE156" s="61">
        <f t="shared" si="895"/>
        <v>4515.6140110470051</v>
      </c>
      <c r="JF156" s="61">
        <f t="shared" si="896"/>
        <v>3096.7427756556767</v>
      </c>
      <c r="JG156" s="61">
        <f t="shared" si="897"/>
        <v>5650.2785613871611</v>
      </c>
      <c r="JH156" s="61">
        <f t="shared" si="898"/>
        <v>1585.4222901410285</v>
      </c>
      <c r="JI156" s="61">
        <f t="shared" si="899"/>
        <v>1766.4290749897953</v>
      </c>
      <c r="JJ156" s="61">
        <f t="shared" si="900"/>
        <v>3208.2818700840844</v>
      </c>
      <c r="JK156" s="61">
        <f t="shared" si="901"/>
        <v>1126.0882820566098</v>
      </c>
      <c r="JL156" s="61">
        <f t="shared" si="902"/>
        <v>2137.024473135004</v>
      </c>
      <c r="JM156" s="61">
        <f t="shared" si="903"/>
        <v>0</v>
      </c>
      <c r="JN156" s="61">
        <f t="shared" si="904"/>
        <v>7995.2268026019283</v>
      </c>
      <c r="JO156" s="61">
        <f t="shared" si="905"/>
        <v>0</v>
      </c>
      <c r="JQ156" s="26">
        <f t="shared" si="769"/>
        <v>200109.99999999991</v>
      </c>
      <c r="JR156" s="156">
        <f t="shared" si="770"/>
        <v>0.99999999999999956</v>
      </c>
      <c r="JT156" s="157">
        <f t="shared" si="906"/>
        <v>3345.307822773405</v>
      </c>
      <c r="JU156" s="29">
        <f t="shared" si="907"/>
        <v>1</v>
      </c>
    </row>
    <row r="157" spans="1:281" ht="18.75" x14ac:dyDescent="0.3">
      <c r="A157" t="s">
        <v>234</v>
      </c>
      <c r="B157" s="10" t="s">
        <v>106</v>
      </c>
      <c r="C157" t="s">
        <v>31</v>
      </c>
      <c r="D157" t="s">
        <v>20</v>
      </c>
      <c r="E157" t="s">
        <v>132</v>
      </c>
      <c r="F157" s="114"/>
      <c r="G157" s="17">
        <v>200002</v>
      </c>
      <c r="H157" s="21">
        <v>130720</v>
      </c>
      <c r="I157" s="25">
        <f t="shared" si="713"/>
        <v>1.5300030599755201</v>
      </c>
      <c r="J157" s="105">
        <v>1.6717344574351128E-2</v>
      </c>
      <c r="K157" s="105">
        <v>3.4447045368660799E-2</v>
      </c>
      <c r="L157" s="105">
        <v>8.4543973497323028E-3</v>
      </c>
      <c r="M157" s="105">
        <v>1.1098908083180746E-2</v>
      </c>
      <c r="N157" s="105">
        <v>2.5897545482755274E-2</v>
      </c>
      <c r="O157" s="105">
        <v>3.3235548734207927E-2</v>
      </c>
      <c r="P157" s="105">
        <v>5.2777241472784293E-2</v>
      </c>
      <c r="Q157" s="105">
        <v>4.3150417332534496E-2</v>
      </c>
      <c r="R157" s="105">
        <v>1.7914346124368138E-2</v>
      </c>
      <c r="S157" s="105">
        <v>8.5271126765198348E-3</v>
      </c>
      <c r="T157" s="105">
        <v>0.23473248560316462</v>
      </c>
      <c r="U157" s="105">
        <v>1.3519490503073826E-2</v>
      </c>
      <c r="V157" s="105">
        <v>6.9303290728500028E-3</v>
      </c>
      <c r="W157" s="105">
        <v>5.3967559453698889E-2</v>
      </c>
      <c r="X157" s="105">
        <v>3.5927749996227679E-2</v>
      </c>
      <c r="Y157" s="105">
        <v>5.8506567541323183E-2</v>
      </c>
      <c r="Z157" s="105">
        <v>4.0122957790184224E-2</v>
      </c>
      <c r="AA157" s="105">
        <v>7.3207852458239533E-2</v>
      </c>
      <c r="AB157" s="105">
        <v>2.0541529030765913E-2</v>
      </c>
      <c r="AC157" s="105">
        <v>2.2886744024183094E-2</v>
      </c>
      <c r="AD157" s="105">
        <v>4.1568114427954647E-2</v>
      </c>
      <c r="AE157" s="105">
        <v>1.4590166469157905E-2</v>
      </c>
      <c r="AF157" s="105">
        <v>2.7688364499060415E-2</v>
      </c>
      <c r="AG157" s="105">
        <v>0</v>
      </c>
      <c r="AH157" s="105">
        <v>0.1035901819310211</v>
      </c>
      <c r="AJ157" s="8">
        <f t="shared" si="740"/>
        <v>1</v>
      </c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M157" s="26">
        <f t="shared" si="741"/>
        <v>3343.5023495593741</v>
      </c>
      <c r="BN157" s="26">
        <f t="shared" si="742"/>
        <v>6889.477967822897</v>
      </c>
      <c r="BO157" s="26">
        <f t="shared" si="743"/>
        <v>1690.8963787411601</v>
      </c>
      <c r="BP157" s="26">
        <f t="shared" si="744"/>
        <v>2219.8038144523157</v>
      </c>
      <c r="BQ157" s="26">
        <f t="shared" si="745"/>
        <v>5179.5608916420206</v>
      </c>
      <c r="BR157" s="26">
        <f t="shared" si="746"/>
        <v>6647.1762179390535</v>
      </c>
      <c r="BS157" s="26">
        <f t="shared" si="747"/>
        <v>10555.553849039805</v>
      </c>
      <c r="BT157" s="26">
        <f t="shared" si="748"/>
        <v>8630.1697673415638</v>
      </c>
      <c r="BU157" s="26">
        <f t="shared" si="749"/>
        <v>3582.9050535658766</v>
      </c>
      <c r="BV157" s="26">
        <f t="shared" si="750"/>
        <v>1705.4395895293201</v>
      </c>
      <c r="BW157" s="26">
        <f t="shared" si="751"/>
        <v>46946.966585604132</v>
      </c>
      <c r="BX157" s="26">
        <f t="shared" si="752"/>
        <v>2703.9251395957713</v>
      </c>
      <c r="BY157" s="26">
        <f t="shared" si="753"/>
        <v>1386.0796752281462</v>
      </c>
      <c r="BZ157" s="26">
        <f t="shared" si="754"/>
        <v>10793.619825858685</v>
      </c>
      <c r="CA157" s="26">
        <f t="shared" si="755"/>
        <v>7185.6218547455283</v>
      </c>
      <c r="CB157" s="26">
        <f t="shared" si="756"/>
        <v>11701.43052139972</v>
      </c>
      <c r="CC157" s="26">
        <f t="shared" si="757"/>
        <v>8024.6718039524249</v>
      </c>
      <c r="CD157" s="26">
        <f t="shared" si="758"/>
        <v>14641.716907352824</v>
      </c>
      <c r="CE157" s="26">
        <f t="shared" si="759"/>
        <v>4108.3468892112442</v>
      </c>
      <c r="CF157" s="26">
        <f t="shared" si="760"/>
        <v>4577.3945783246672</v>
      </c>
      <c r="CG157" s="26">
        <f t="shared" si="761"/>
        <v>8313.7060218197857</v>
      </c>
      <c r="CH157" s="26">
        <f t="shared" si="762"/>
        <v>2918.0624741645192</v>
      </c>
      <c r="CI157" s="26">
        <f t="shared" si="763"/>
        <v>5537.728276541081</v>
      </c>
      <c r="CJ157" s="26">
        <f t="shared" si="764"/>
        <v>0</v>
      </c>
      <c r="CK157" s="26">
        <f t="shared" si="765"/>
        <v>20718.243566568082</v>
      </c>
      <c r="CL157" s="26">
        <f t="shared" si="766"/>
        <v>0</v>
      </c>
      <c r="CM157" s="110">
        <f t="shared" si="767"/>
        <v>1</v>
      </c>
      <c r="CN157" s="27">
        <f t="shared" si="933"/>
        <v>2185.2912827591795</v>
      </c>
      <c r="CO157" s="27">
        <f t="shared" si="908"/>
        <v>4502.9177705913398</v>
      </c>
      <c r="CP157" s="27">
        <f t="shared" si="909"/>
        <v>1105.1588215570066</v>
      </c>
      <c r="CQ157" s="27">
        <f t="shared" si="910"/>
        <v>1450.8492646333871</v>
      </c>
      <c r="CR157" s="27">
        <f t="shared" si="911"/>
        <v>3385.3271455057693</v>
      </c>
      <c r="CS157" s="27">
        <f t="shared" si="912"/>
        <v>4344.55093053566</v>
      </c>
      <c r="CT157" s="27">
        <f t="shared" si="913"/>
        <v>6899.0410053223632</v>
      </c>
      <c r="CU157" s="27">
        <f t="shared" si="914"/>
        <v>5640.6225537089094</v>
      </c>
      <c r="CV157" s="27">
        <f t="shared" si="915"/>
        <v>2341.7633253774029</v>
      </c>
      <c r="CW157" s="27">
        <f t="shared" si="916"/>
        <v>1114.6641690746728</v>
      </c>
      <c r="CX157" s="27">
        <f t="shared" si="917"/>
        <v>30684.230518045679</v>
      </c>
      <c r="CY157" s="27">
        <f t="shared" si="918"/>
        <v>1767.2677985618104</v>
      </c>
      <c r="CZ157" s="27">
        <f t="shared" si="919"/>
        <v>905.93261640295236</v>
      </c>
      <c r="DA157" s="27">
        <f t="shared" si="920"/>
        <v>7054.6393717875189</v>
      </c>
      <c r="DB157" s="27">
        <f t="shared" si="921"/>
        <v>4696.475479506882</v>
      </c>
      <c r="DC157" s="27">
        <f t="shared" si="922"/>
        <v>7647.9785090017667</v>
      </c>
      <c r="DD157" s="27">
        <f t="shared" si="923"/>
        <v>5244.8730423328816</v>
      </c>
      <c r="DE157" s="27">
        <f t="shared" si="924"/>
        <v>9569.730473341071</v>
      </c>
      <c r="DF157" s="27">
        <f t="shared" si="925"/>
        <v>2685.1886749017203</v>
      </c>
      <c r="DG157" s="27">
        <f t="shared" si="926"/>
        <v>2991.7551788412138</v>
      </c>
      <c r="DH157" s="27">
        <f t="shared" si="927"/>
        <v>5433.7839180222318</v>
      </c>
      <c r="DI157" s="27">
        <f t="shared" si="928"/>
        <v>1907.2265608483215</v>
      </c>
      <c r="DJ157" s="27">
        <f t="shared" si="929"/>
        <v>3619.4230073171775</v>
      </c>
      <c r="DK157" s="27">
        <f t="shared" si="930"/>
        <v>0</v>
      </c>
      <c r="DL157" s="27">
        <f t="shared" si="931"/>
        <v>13541.308582023077</v>
      </c>
      <c r="DM157" s="27">
        <f t="shared" si="932"/>
        <v>0</v>
      </c>
      <c r="DN157" s="110">
        <f t="shared" si="768"/>
        <v>1.0000000000000002</v>
      </c>
      <c r="DO157" s="28">
        <f t="shared" si="771"/>
        <v>1158.2110668001947</v>
      </c>
      <c r="DP157" s="28">
        <f t="shared" si="772"/>
        <v>2386.5601972315571</v>
      </c>
      <c r="DQ157" s="28">
        <f t="shared" si="773"/>
        <v>585.7375571841535</v>
      </c>
      <c r="DR157" s="28">
        <f t="shared" si="774"/>
        <v>768.95454981892863</v>
      </c>
      <c r="DS157" s="28">
        <f t="shared" si="775"/>
        <v>1794.2337461362513</v>
      </c>
      <c r="DT157" s="28">
        <f t="shared" si="776"/>
        <v>2302.6252874033935</v>
      </c>
      <c r="DU157" s="28">
        <f t="shared" si="777"/>
        <v>3656.5128437174417</v>
      </c>
      <c r="DV157" s="28">
        <f t="shared" si="778"/>
        <v>2989.5472136326543</v>
      </c>
      <c r="DW157" s="28">
        <f t="shared" si="779"/>
        <v>1241.1417281884737</v>
      </c>
      <c r="DX157" s="28">
        <f t="shared" si="780"/>
        <v>590.77542045464725</v>
      </c>
      <c r="DY157" s="28">
        <f t="shared" si="781"/>
        <v>16262.736067558453</v>
      </c>
      <c r="DZ157" s="28">
        <f t="shared" si="782"/>
        <v>936.65734103396085</v>
      </c>
      <c r="EA157" s="28">
        <f t="shared" si="783"/>
        <v>480.14705882519388</v>
      </c>
      <c r="EB157" s="28">
        <f t="shared" si="784"/>
        <v>3738.9804540711657</v>
      </c>
      <c r="EC157" s="28">
        <f t="shared" si="785"/>
        <v>2489.1463752386462</v>
      </c>
      <c r="ED157" s="28">
        <f t="shared" si="786"/>
        <v>4053.4520123979528</v>
      </c>
      <c r="EE157" s="28">
        <f t="shared" si="787"/>
        <v>2779.7987616195433</v>
      </c>
      <c r="EF157" s="28">
        <f t="shared" si="788"/>
        <v>5071.9864340117529</v>
      </c>
      <c r="EG157" s="28">
        <f t="shared" si="789"/>
        <v>1423.1582143095238</v>
      </c>
      <c r="EH157" s="28">
        <f t="shared" si="790"/>
        <v>1585.6393994834534</v>
      </c>
      <c r="EI157" s="28">
        <f t="shared" si="791"/>
        <v>2879.922103797554</v>
      </c>
      <c r="EJ157" s="28">
        <f t="shared" si="792"/>
        <v>1010.8359133161978</v>
      </c>
      <c r="EK157" s="28">
        <f t="shared" si="793"/>
        <v>1918.3052692239035</v>
      </c>
      <c r="EL157" s="28">
        <f t="shared" si="794"/>
        <v>0</v>
      </c>
      <c r="EM157" s="28">
        <f t="shared" si="795"/>
        <v>7176.9349845450051</v>
      </c>
      <c r="EN157" s="28">
        <f t="shared" si="796"/>
        <v>0</v>
      </c>
      <c r="EQ157" s="144">
        <v>4.2804039548105348E-2</v>
      </c>
      <c r="ER157" s="144">
        <v>5.2837305102346924E-2</v>
      </c>
      <c r="ES157" s="144">
        <v>6.2878420551399888E-2</v>
      </c>
      <c r="ET157" s="144">
        <v>7.9691569010739968E-2</v>
      </c>
      <c r="EU157" s="144">
        <v>6.764063049331609E-2</v>
      </c>
      <c r="EV157" s="144">
        <v>7.7681795941699078E-2</v>
      </c>
      <c r="EW157" s="144">
        <v>8.0321273694932471E-2</v>
      </c>
      <c r="EX157" s="144">
        <v>7.0280108246549483E-2</v>
      </c>
      <c r="EY157" s="144">
        <v>8.0321273694932471E-2</v>
      </c>
      <c r="EZ157" s="144">
        <v>0.10742996043853011</v>
      </c>
      <c r="FA157" s="144">
        <v>0.10742996043853011</v>
      </c>
      <c r="FB157" s="144">
        <v>0.17068366283891795</v>
      </c>
      <c r="FC157" s="145">
        <f t="shared" si="797"/>
        <v>1</v>
      </c>
      <c r="FD157" s="146">
        <f t="shared" si="798"/>
        <v>0.15851976520185215</v>
      </c>
      <c r="FE157" s="146">
        <f t="shared" si="799"/>
        <v>0.22501399544575515</v>
      </c>
      <c r="FF157" s="146">
        <f t="shared" si="800"/>
        <v>0.23092265563641443</v>
      </c>
      <c r="FG157" s="146">
        <f t="shared" si="801"/>
        <v>0.38554358371597819</v>
      </c>
      <c r="FH157" s="145">
        <f t="shared" si="655"/>
        <v>0.99999999999999989</v>
      </c>
      <c r="FJ157" s="52">
        <f t="shared" si="802"/>
        <v>530.01120740399301</v>
      </c>
      <c r="FK157" s="52">
        <f t="shared" si="803"/>
        <v>1092.1184298226192</v>
      </c>
      <c r="FL157" s="52">
        <f t="shared" si="804"/>
        <v>268.04049693871076</v>
      </c>
      <c r="FM157" s="52">
        <f t="shared" si="805"/>
        <v>351.88277946115687</v>
      </c>
      <c r="FN157" s="52">
        <f t="shared" si="806"/>
        <v>821.06277639178904</v>
      </c>
      <c r="FO157" s="52">
        <f t="shared" si="807"/>
        <v>1053.7088133230343</v>
      </c>
      <c r="FP157" s="52">
        <f t="shared" si="808"/>
        <v>1673.2639177252966</v>
      </c>
      <c r="FQ157" s="52">
        <f t="shared" si="809"/>
        <v>1368.0524851711077</v>
      </c>
      <c r="FR157" s="52">
        <f t="shared" si="810"/>
        <v>567.96126783179227</v>
      </c>
      <c r="FS157" s="52">
        <f t="shared" si="811"/>
        <v>270.34588329813096</v>
      </c>
      <c r="FT157" s="52">
        <f t="shared" si="812"/>
        <v>7442.0221200891656</v>
      </c>
      <c r="FU157" s="52">
        <f t="shared" si="813"/>
        <v>428.62557825210695</v>
      </c>
      <c r="FV157" s="52">
        <f t="shared" si="814"/>
        <v>219.72102466822523</v>
      </c>
      <c r="FW157" s="52">
        <f t="shared" si="815"/>
        <v>1711.0020804731751</v>
      </c>
      <c r="FX157" s="52">
        <f t="shared" si="816"/>
        <v>1139.0630892435586</v>
      </c>
      <c r="FY157" s="52">
        <f t="shared" si="817"/>
        <v>1854.9080187780698</v>
      </c>
      <c r="FZ157" s="52">
        <f t="shared" si="818"/>
        <v>1272.0690901844616</v>
      </c>
      <c r="GA157" s="52">
        <f t="shared" si="819"/>
        <v>2321.0015263055584</v>
      </c>
      <c r="GB157" s="52">
        <f t="shared" si="820"/>
        <v>651.25418424552618</v>
      </c>
      <c r="GC157" s="52">
        <f t="shared" si="821"/>
        <v>725.60751379225735</v>
      </c>
      <c r="GD157" s="52">
        <f t="shared" si="822"/>
        <v>1317.8867265360968</v>
      </c>
      <c r="GE157" s="52">
        <f t="shared" si="823"/>
        <v>462.57057824889534</v>
      </c>
      <c r="GF157" s="52">
        <f t="shared" si="824"/>
        <v>877.83938614894953</v>
      </c>
      <c r="GG157" s="52">
        <f t="shared" si="825"/>
        <v>0</v>
      </c>
      <c r="GH157" s="52">
        <f t="shared" si="826"/>
        <v>3284.2511055671562</v>
      </c>
      <c r="GI157" s="52">
        <f t="shared" si="827"/>
        <v>0</v>
      </c>
      <c r="GJ157" s="26"/>
      <c r="GL157" s="150">
        <f t="shared" si="828"/>
        <v>752.33482245662469</v>
      </c>
      <c r="GM157" s="150">
        <f t="shared" si="829"/>
        <v>1550.2289640753318</v>
      </c>
      <c r="GN157" s="150">
        <f t="shared" si="830"/>
        <v>380.47535006530728</v>
      </c>
      <c r="GO157" s="150">
        <f t="shared" si="831"/>
        <v>499.48692539564325</v>
      </c>
      <c r="GP157" s="150">
        <f t="shared" si="832"/>
        <v>1165.4736908829491</v>
      </c>
      <c r="GQ157" s="150">
        <f t="shared" si="833"/>
        <v>1495.7076792304701</v>
      </c>
      <c r="GR157" s="150">
        <f t="shared" si="834"/>
        <v>2375.1473457152661</v>
      </c>
      <c r="GS157" s="150">
        <f t="shared" si="835"/>
        <v>1941.9089807246885</v>
      </c>
      <c r="GT157" s="150">
        <f t="shared" si="836"/>
        <v>806.20378140564526</v>
      </c>
      <c r="GU157" s="150">
        <f t="shared" si="837"/>
        <v>383.74777603136096</v>
      </c>
      <c r="GV157" s="150">
        <f t="shared" si="838"/>
        <v>10563.724525485148</v>
      </c>
      <c r="GW157" s="150">
        <f t="shared" si="839"/>
        <v>608.42099904666577</v>
      </c>
      <c r="GX157" s="150">
        <f t="shared" si="840"/>
        <v>311.88732572923988</v>
      </c>
      <c r="GY157" s="150">
        <f t="shared" si="841"/>
        <v>2428.7155223389786</v>
      </c>
      <c r="GZ157" s="150">
        <f t="shared" si="842"/>
        <v>1616.865483298629</v>
      </c>
      <c r="HA157" s="150">
        <f t="shared" si="843"/>
        <v>2632.9856340510569</v>
      </c>
      <c r="HB157" s="150">
        <f t="shared" si="844"/>
        <v>1805.6634647482306</v>
      </c>
      <c r="HC157" s="150">
        <f t="shared" si="845"/>
        <v>3294.5912215091244</v>
      </c>
      <c r="HD157" s="150">
        <f t="shared" si="846"/>
        <v>924.43554821856128</v>
      </c>
      <c r="HE157" s="150">
        <f t="shared" si="847"/>
        <v>1029.9778428005709</v>
      </c>
      <c r="HF157" s="150">
        <f t="shared" si="848"/>
        <v>1870.7002089311045</v>
      </c>
      <c r="HG157" s="150">
        <f t="shared" si="849"/>
        <v>656.60489627208415</v>
      </c>
      <c r="HH157" s="150">
        <f t="shared" si="850"/>
        <v>1246.0663651974444</v>
      </c>
      <c r="HI157" s="150">
        <f t="shared" si="851"/>
        <v>0</v>
      </c>
      <c r="HJ157" s="150">
        <f t="shared" si="852"/>
        <v>4661.8947635317963</v>
      </c>
      <c r="HK157" s="150">
        <f t="shared" si="853"/>
        <v>0</v>
      </c>
      <c r="HL157" s="26"/>
      <c r="HN157" s="147">
        <f t="shared" si="854"/>
        <v>772.09044168684193</v>
      </c>
      <c r="HO157" s="147">
        <f t="shared" si="855"/>
        <v>1590.9365482782312</v>
      </c>
      <c r="HP157" s="147">
        <f t="shared" si="856"/>
        <v>390.46628218490508</v>
      </c>
      <c r="HQ157" s="147">
        <f t="shared" si="857"/>
        <v>512.60299182517133</v>
      </c>
      <c r="HR157" s="147">
        <f t="shared" si="858"/>
        <v>1196.0779561284899</v>
      </c>
      <c r="HS157" s="147">
        <f t="shared" si="859"/>
        <v>1534.9835847297036</v>
      </c>
      <c r="HT157" s="147">
        <f t="shared" si="860"/>
        <v>2437.5165265334476</v>
      </c>
      <c r="HU157" s="147">
        <f t="shared" si="861"/>
        <v>1992.9017212676108</v>
      </c>
      <c r="HV157" s="147">
        <f t="shared" si="862"/>
        <v>827.37394986256186</v>
      </c>
      <c r="HW157" s="147">
        <f t="shared" si="863"/>
        <v>393.82463904158715</v>
      </c>
      <c r="HX157" s="147">
        <f t="shared" si="864"/>
        <v>10841.118198021717</v>
      </c>
      <c r="HY157" s="147">
        <f t="shared" si="865"/>
        <v>624.39757387751808</v>
      </c>
      <c r="HZ157" s="147">
        <f t="shared" si="866"/>
        <v>320.07719952734237</v>
      </c>
      <c r="IA157" s="147">
        <f t="shared" si="867"/>
        <v>2492.4913541171404</v>
      </c>
      <c r="IB157" s="147">
        <f t="shared" si="868"/>
        <v>1659.3228810968951</v>
      </c>
      <c r="IC157" s="147">
        <f t="shared" si="869"/>
        <v>2702.1254107466166</v>
      </c>
      <c r="ID157" s="147">
        <f t="shared" si="870"/>
        <v>1853.0785235793503</v>
      </c>
      <c r="IE157" s="147">
        <f t="shared" si="871"/>
        <v>3381.1041513225032</v>
      </c>
      <c r="IF157" s="147">
        <f t="shared" si="872"/>
        <v>948.71037393226254</v>
      </c>
      <c r="IG157" s="147">
        <f t="shared" si="873"/>
        <v>1057.0241119224575</v>
      </c>
      <c r="IH157" s="147">
        <f t="shared" si="874"/>
        <v>1919.8230727390753</v>
      </c>
      <c r="II157" s="147">
        <f t="shared" si="875"/>
        <v>673.84673584703671</v>
      </c>
      <c r="IJ157" s="147">
        <f t="shared" si="876"/>
        <v>1278.7869198117307</v>
      </c>
      <c r="IK157" s="147">
        <f t="shared" si="877"/>
        <v>0</v>
      </c>
      <c r="IL157" s="147">
        <f t="shared" si="878"/>
        <v>4784.3118245139594</v>
      </c>
      <c r="IM157" s="147">
        <f t="shared" si="879"/>
        <v>0</v>
      </c>
      <c r="IN157" s="26"/>
      <c r="IP157" s="61">
        <f t="shared" si="880"/>
        <v>1289.0658780119143</v>
      </c>
      <c r="IQ157" s="61">
        <f t="shared" si="881"/>
        <v>2656.1940256467142</v>
      </c>
      <c r="IR157" s="61">
        <f t="shared" si="882"/>
        <v>651.91424955223681</v>
      </c>
      <c r="IS157" s="61">
        <f t="shared" si="883"/>
        <v>855.83111777034412</v>
      </c>
      <c r="IT157" s="61">
        <f t="shared" si="884"/>
        <v>1996.946468238792</v>
      </c>
      <c r="IU157" s="61">
        <f t="shared" si="885"/>
        <v>2562.7761406558448</v>
      </c>
      <c r="IV157" s="61">
        <f t="shared" si="886"/>
        <v>4069.6260590657939</v>
      </c>
      <c r="IW157" s="61">
        <f t="shared" si="887"/>
        <v>3327.3065801781563</v>
      </c>
      <c r="IX157" s="61">
        <f t="shared" si="888"/>
        <v>1381.3660544658769</v>
      </c>
      <c r="IY157" s="61">
        <f t="shared" si="889"/>
        <v>657.52129115824084</v>
      </c>
      <c r="IZ157" s="61">
        <f t="shared" si="890"/>
        <v>18100.101742008097</v>
      </c>
      <c r="JA157" s="61">
        <f t="shared" si="891"/>
        <v>1042.4809884194804</v>
      </c>
      <c r="JB157" s="61">
        <f t="shared" si="892"/>
        <v>534.39412530333868</v>
      </c>
      <c r="JC157" s="61">
        <f t="shared" si="893"/>
        <v>4161.4108689293898</v>
      </c>
      <c r="JD157" s="61">
        <f t="shared" si="894"/>
        <v>2770.3704011064451</v>
      </c>
      <c r="JE157" s="61">
        <f t="shared" si="895"/>
        <v>4511.4114578239751</v>
      </c>
      <c r="JF157" s="61">
        <f t="shared" si="896"/>
        <v>3093.8607254403814</v>
      </c>
      <c r="JG157" s="61">
        <f t="shared" si="897"/>
        <v>5645.0200082156371</v>
      </c>
      <c r="JH157" s="61">
        <f t="shared" si="898"/>
        <v>1583.9467828148938</v>
      </c>
      <c r="JI157" s="61">
        <f t="shared" si="899"/>
        <v>1764.7851098093811</v>
      </c>
      <c r="JJ157" s="61">
        <f t="shared" si="900"/>
        <v>3205.2960136135084</v>
      </c>
      <c r="JK157" s="61">
        <f t="shared" si="901"/>
        <v>1125.0402637965028</v>
      </c>
      <c r="JL157" s="61">
        <f t="shared" si="902"/>
        <v>2135.035605382956</v>
      </c>
      <c r="JM157" s="61">
        <f t="shared" si="903"/>
        <v>0</v>
      </c>
      <c r="JN157" s="61">
        <f t="shared" si="904"/>
        <v>7987.7858729551681</v>
      </c>
      <c r="JO157" s="61">
        <f t="shared" si="905"/>
        <v>0</v>
      </c>
      <c r="JQ157" s="26">
        <f t="shared" si="769"/>
        <v>200002.00000000015</v>
      </c>
      <c r="JR157" s="156">
        <f t="shared" si="770"/>
        <v>1.0000000000000007</v>
      </c>
      <c r="JT157" s="157">
        <f t="shared" si="906"/>
        <v>3343.5023495593741</v>
      </c>
      <c r="JU157" s="29">
        <f t="shared" si="907"/>
        <v>1</v>
      </c>
    </row>
    <row r="158" spans="1:281" ht="18.75" x14ac:dyDescent="0.3">
      <c r="A158" t="s">
        <v>234</v>
      </c>
      <c r="B158" s="10" t="s">
        <v>104</v>
      </c>
      <c r="C158" t="s">
        <v>31</v>
      </c>
      <c r="D158" t="s">
        <v>20</v>
      </c>
      <c r="E158" t="s">
        <v>130</v>
      </c>
      <c r="F158" s="114"/>
      <c r="G158" s="17">
        <v>97185</v>
      </c>
      <c r="H158" s="21">
        <v>62700</v>
      </c>
      <c r="I158" s="25">
        <f t="shared" si="713"/>
        <v>1.55</v>
      </c>
      <c r="J158" s="105">
        <v>1.6717344574351135E-2</v>
      </c>
      <c r="K158" s="105">
        <v>3.4447045368660806E-2</v>
      </c>
      <c r="L158" s="105">
        <v>8.4543973497323028E-3</v>
      </c>
      <c r="M158" s="105">
        <v>1.109890808318075E-2</v>
      </c>
      <c r="N158" s="105">
        <v>2.5897545482755281E-2</v>
      </c>
      <c r="O158" s="105">
        <v>3.3235548734207941E-2</v>
      </c>
      <c r="P158" s="105">
        <v>5.27772414727843E-2</v>
      </c>
      <c r="Q158" s="105">
        <v>4.3150417332534503E-2</v>
      </c>
      <c r="R158" s="105">
        <v>1.7914346124368145E-2</v>
      </c>
      <c r="S158" s="105">
        <v>8.5271126765198348E-3</v>
      </c>
      <c r="T158" s="105">
        <v>0.2347324856031647</v>
      </c>
      <c r="U158" s="105">
        <v>1.3519490503073828E-2</v>
      </c>
      <c r="V158" s="105">
        <v>6.9303290728500036E-3</v>
      </c>
      <c r="W158" s="105">
        <v>5.3967559453698896E-2</v>
      </c>
      <c r="X158" s="105">
        <v>3.5927749996227686E-2</v>
      </c>
      <c r="Y158" s="105">
        <v>5.850656754132319E-2</v>
      </c>
      <c r="Z158" s="105">
        <v>4.0122957790184231E-2</v>
      </c>
      <c r="AA158" s="105">
        <v>7.3207852458239547E-2</v>
      </c>
      <c r="AB158" s="105">
        <v>2.0541529030765913E-2</v>
      </c>
      <c r="AC158" s="105">
        <v>2.2886744024183097E-2</v>
      </c>
      <c r="AD158" s="105">
        <v>4.1568114427954654E-2</v>
      </c>
      <c r="AE158" s="105">
        <v>1.4590166469157907E-2</v>
      </c>
      <c r="AF158" s="105">
        <v>2.7688364499060418E-2</v>
      </c>
      <c r="AG158" s="105">
        <v>0</v>
      </c>
      <c r="AH158" s="105">
        <v>0.10359018193102112</v>
      </c>
      <c r="AJ158" s="8">
        <f t="shared" si="740"/>
        <v>1.0000000000000002</v>
      </c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M158" s="26">
        <f t="shared" si="741"/>
        <v>1624.6751324583149</v>
      </c>
      <c r="BN158" s="26">
        <f t="shared" si="742"/>
        <v>3347.7361041533004</v>
      </c>
      <c r="BO158" s="26">
        <f t="shared" si="743"/>
        <v>821.64060643373386</v>
      </c>
      <c r="BP158" s="26">
        <f t="shared" si="744"/>
        <v>1078.6473820639212</v>
      </c>
      <c r="BQ158" s="26">
        <f t="shared" si="745"/>
        <v>2516.852957741572</v>
      </c>
      <c r="BR158" s="26">
        <f t="shared" si="746"/>
        <v>3229.9968037339986</v>
      </c>
      <c r="BS158" s="26">
        <f t="shared" si="747"/>
        <v>5129.1562125325427</v>
      </c>
      <c r="BT158" s="26">
        <f t="shared" si="748"/>
        <v>4193.5733084623653</v>
      </c>
      <c r="BU158" s="26">
        <f t="shared" si="749"/>
        <v>1741.0057280967183</v>
      </c>
      <c r="BV158" s="26">
        <f t="shared" si="750"/>
        <v>828.7074454675801</v>
      </c>
      <c r="BW158" s="26">
        <f t="shared" si="751"/>
        <v>22812.476613343562</v>
      </c>
      <c r="BX158" s="26">
        <f t="shared" si="752"/>
        <v>1313.89168454123</v>
      </c>
      <c r="BY158" s="26">
        <f t="shared" si="753"/>
        <v>673.52403094492763</v>
      </c>
      <c r="BZ158" s="26">
        <f t="shared" si="754"/>
        <v>5244.8372655077274</v>
      </c>
      <c r="CA158" s="26">
        <f t="shared" si="755"/>
        <v>3491.6383833833875</v>
      </c>
      <c r="CB158" s="26">
        <f t="shared" si="756"/>
        <v>5685.9607665034946</v>
      </c>
      <c r="CC158" s="26">
        <f t="shared" si="757"/>
        <v>3899.3496528390547</v>
      </c>
      <c r="CD158" s="26">
        <f t="shared" si="758"/>
        <v>7114.7051411540106</v>
      </c>
      <c r="CE158" s="26">
        <f t="shared" si="759"/>
        <v>1996.3284988549854</v>
      </c>
      <c r="CF158" s="26">
        <f t="shared" si="760"/>
        <v>2224.2482179902345</v>
      </c>
      <c r="CG158" s="26">
        <f t="shared" si="761"/>
        <v>4039.7972006807731</v>
      </c>
      <c r="CH158" s="26">
        <f t="shared" si="762"/>
        <v>1417.9453283051112</v>
      </c>
      <c r="CI158" s="26">
        <f t="shared" si="763"/>
        <v>2690.8937038411868</v>
      </c>
      <c r="CJ158" s="26">
        <f t="shared" si="764"/>
        <v>0</v>
      </c>
      <c r="CK158" s="26">
        <f t="shared" si="765"/>
        <v>10067.411830966288</v>
      </c>
      <c r="CL158" s="26">
        <f t="shared" si="766"/>
        <v>0</v>
      </c>
      <c r="CM158" s="110">
        <f t="shared" si="767"/>
        <v>1.0000000000000002</v>
      </c>
      <c r="CN158" s="27">
        <f t="shared" si="933"/>
        <v>1048.1775048118161</v>
      </c>
      <c r="CO158" s="27">
        <f t="shared" si="908"/>
        <v>2159.8297446150327</v>
      </c>
      <c r="CP158" s="27">
        <f t="shared" si="909"/>
        <v>530.09071382821537</v>
      </c>
      <c r="CQ158" s="27">
        <f t="shared" si="910"/>
        <v>695.90153681543302</v>
      </c>
      <c r="CR158" s="27">
        <f t="shared" si="911"/>
        <v>1623.7761017687562</v>
      </c>
      <c r="CS158" s="27">
        <f t="shared" si="912"/>
        <v>2083.868905634838</v>
      </c>
      <c r="CT158" s="27">
        <f t="shared" si="913"/>
        <v>3309.1330403435754</v>
      </c>
      <c r="CU158" s="27">
        <f t="shared" si="914"/>
        <v>2705.5311667499132</v>
      </c>
      <c r="CV158" s="27">
        <f t="shared" si="915"/>
        <v>1123.2295019978826</v>
      </c>
      <c r="CW158" s="27">
        <f t="shared" si="916"/>
        <v>534.6499648177936</v>
      </c>
      <c r="CX158" s="27">
        <f t="shared" si="917"/>
        <v>14717.726847318427</v>
      </c>
      <c r="CY158" s="27">
        <f t="shared" si="918"/>
        <v>847.67205454272903</v>
      </c>
      <c r="CZ158" s="27">
        <f t="shared" si="919"/>
        <v>434.53163286769524</v>
      </c>
      <c r="DA158" s="27">
        <f t="shared" si="920"/>
        <v>3383.7659777469207</v>
      </c>
      <c r="DB158" s="27">
        <f t="shared" si="921"/>
        <v>2252.669924763476</v>
      </c>
      <c r="DC158" s="27">
        <f t="shared" si="922"/>
        <v>3668.361784840964</v>
      </c>
      <c r="DD158" s="27">
        <f t="shared" si="923"/>
        <v>2515.7094534445514</v>
      </c>
      <c r="DE158" s="27">
        <f t="shared" si="924"/>
        <v>4590.1323491316198</v>
      </c>
      <c r="DF158" s="27">
        <f t="shared" si="925"/>
        <v>1287.9538702290229</v>
      </c>
      <c r="DG158" s="27">
        <f t="shared" si="926"/>
        <v>1434.9988503162801</v>
      </c>
      <c r="DH158" s="27">
        <f t="shared" si="927"/>
        <v>2606.3207746327566</v>
      </c>
      <c r="DI158" s="27">
        <f t="shared" si="928"/>
        <v>914.80343761620077</v>
      </c>
      <c r="DJ158" s="27">
        <f t="shared" si="929"/>
        <v>1736.0604540910881</v>
      </c>
      <c r="DK158" s="27">
        <f t="shared" si="930"/>
        <v>0</v>
      </c>
      <c r="DL158" s="27">
        <f t="shared" si="931"/>
        <v>6495.1044070750249</v>
      </c>
      <c r="DM158" s="27">
        <f t="shared" si="932"/>
        <v>0</v>
      </c>
      <c r="DN158" s="110">
        <f t="shared" si="768"/>
        <v>1.0000000000000002</v>
      </c>
      <c r="DO158" s="28">
        <f t="shared" si="771"/>
        <v>576.49762764649881</v>
      </c>
      <c r="DP158" s="28">
        <f t="shared" si="772"/>
        <v>1187.9063595382677</v>
      </c>
      <c r="DQ158" s="28">
        <f t="shared" si="773"/>
        <v>291.54989260551849</v>
      </c>
      <c r="DR158" s="28">
        <f t="shared" si="774"/>
        <v>382.74584524848819</v>
      </c>
      <c r="DS158" s="28">
        <f t="shared" si="775"/>
        <v>893.07685597281579</v>
      </c>
      <c r="DT158" s="28">
        <f t="shared" si="776"/>
        <v>1146.1278980991606</v>
      </c>
      <c r="DU158" s="28">
        <f t="shared" si="777"/>
        <v>1820.0231721889672</v>
      </c>
      <c r="DV158" s="28">
        <f t="shared" si="778"/>
        <v>1488.0421417124521</v>
      </c>
      <c r="DW158" s="28">
        <f t="shared" si="779"/>
        <v>617.77622609883565</v>
      </c>
      <c r="DX158" s="28">
        <f t="shared" si="780"/>
        <v>294.0574806497865</v>
      </c>
      <c r="DY158" s="28">
        <f t="shared" si="781"/>
        <v>8094.7497660251356</v>
      </c>
      <c r="DZ158" s="28">
        <f t="shared" si="782"/>
        <v>466.21962999850098</v>
      </c>
      <c r="EA158" s="28">
        <f t="shared" si="783"/>
        <v>238.99239807723239</v>
      </c>
      <c r="EB158" s="28">
        <f t="shared" si="784"/>
        <v>1861.0712877608066</v>
      </c>
      <c r="EC158" s="28">
        <f t="shared" si="785"/>
        <v>1238.9684586199114</v>
      </c>
      <c r="ED158" s="28">
        <f t="shared" si="786"/>
        <v>2017.5989816625306</v>
      </c>
      <c r="EE158" s="28">
        <f t="shared" si="787"/>
        <v>1383.6401993945033</v>
      </c>
      <c r="EF158" s="28">
        <f t="shared" si="788"/>
        <v>2524.5727920223908</v>
      </c>
      <c r="EG158" s="28">
        <f t="shared" si="789"/>
        <v>708.37462862596249</v>
      </c>
      <c r="EH158" s="28">
        <f t="shared" si="790"/>
        <v>789.24936767395434</v>
      </c>
      <c r="EI158" s="28">
        <f t="shared" si="791"/>
        <v>1433.4764260480165</v>
      </c>
      <c r="EJ158" s="28">
        <f t="shared" si="792"/>
        <v>503.14189068891039</v>
      </c>
      <c r="EK158" s="28">
        <f t="shared" si="793"/>
        <v>954.83324975009873</v>
      </c>
      <c r="EL158" s="28">
        <f t="shared" si="794"/>
        <v>0</v>
      </c>
      <c r="EM158" s="28">
        <f t="shared" si="795"/>
        <v>3572.3074238912632</v>
      </c>
      <c r="EN158" s="28">
        <f t="shared" si="796"/>
        <v>0</v>
      </c>
      <c r="EQ158" s="144">
        <v>4.2791518713736917E-2</v>
      </c>
      <c r="ER158" s="144">
        <v>5.2812254753658271E-2</v>
      </c>
      <c r="ES158" s="144">
        <v>6.2902087594397735E-2</v>
      </c>
      <c r="ET158" s="144">
        <v>7.9668711377609849E-2</v>
      </c>
      <c r="EU158" s="144">
        <v>6.7643868127852294E-2</v>
      </c>
      <c r="EV158" s="144">
        <v>7.7664604167773654E-2</v>
      </c>
      <c r="EW158" s="144">
        <v>8.0304081921007034E-2</v>
      </c>
      <c r="EX158" s="144">
        <v>7.0283345881085688E-2</v>
      </c>
      <c r="EY158" s="144">
        <v>8.0304081921007034E-2</v>
      </c>
      <c r="EZ158" s="144">
        <v>0.1074637244295589</v>
      </c>
      <c r="FA158" s="144">
        <v>0.1074637244295589</v>
      </c>
      <c r="FB158" s="144">
        <v>0.17069799668275359</v>
      </c>
      <c r="FC158" s="145">
        <f t="shared" si="797"/>
        <v>0.99999999999999978</v>
      </c>
      <c r="FD158" s="146">
        <f t="shared" si="798"/>
        <v>0.15850586106179293</v>
      </c>
      <c r="FE158" s="146">
        <f t="shared" si="799"/>
        <v>0.2249771836732358</v>
      </c>
      <c r="FF158" s="146">
        <f t="shared" si="800"/>
        <v>0.23089150972309974</v>
      </c>
      <c r="FG158" s="146">
        <f t="shared" si="801"/>
        <v>0.38562544554187139</v>
      </c>
      <c r="FH158" s="145">
        <f t="shared" si="655"/>
        <v>0.99999999999999989</v>
      </c>
      <c r="FJ158" s="52">
        <f t="shared" si="802"/>
        <v>257.52053081598768</v>
      </c>
      <c r="FK158" s="52">
        <f t="shared" si="803"/>
        <v>530.63579379647103</v>
      </c>
      <c r="FL158" s="52">
        <f t="shared" si="804"/>
        <v>130.23485180611272</v>
      </c>
      <c r="FM158" s="52">
        <f t="shared" si="805"/>
        <v>170.97193207609058</v>
      </c>
      <c r="FN158" s="52">
        <f t="shared" si="806"/>
        <v>398.93594523274822</v>
      </c>
      <c r="FO158" s="52">
        <f t="shared" si="807"/>
        <v>511.97342460269641</v>
      </c>
      <c r="FP158" s="52">
        <f t="shared" si="808"/>
        <v>813.00132198791528</v>
      </c>
      <c r="FQ158" s="52">
        <f t="shared" si="809"/>
        <v>664.70594818357893</v>
      </c>
      <c r="FR158" s="52">
        <f t="shared" si="810"/>
        <v>275.95961204548405</v>
      </c>
      <c r="FS158" s="52">
        <f t="shared" si="811"/>
        <v>131.3549872121576</v>
      </c>
      <c r="FT158" s="52">
        <f t="shared" si="812"/>
        <v>3615.911248550035</v>
      </c>
      <c r="FU158" s="52">
        <f t="shared" si="813"/>
        <v>208.25953280013726</v>
      </c>
      <c r="FV158" s="52">
        <f t="shared" si="814"/>
        <v>106.75750647073542</v>
      </c>
      <c r="FW158" s="52">
        <f t="shared" si="815"/>
        <v>831.33744689828177</v>
      </c>
      <c r="FX158" s="52">
        <f t="shared" si="816"/>
        <v>553.4451484745905</v>
      </c>
      <c r="FY158" s="52">
        <f t="shared" si="817"/>
        <v>901.2581072582085</v>
      </c>
      <c r="FZ158" s="52">
        <f t="shared" si="818"/>
        <v>618.06977430425775</v>
      </c>
      <c r="GA158" s="52">
        <f t="shared" si="819"/>
        <v>1127.7224645993815</v>
      </c>
      <c r="GB158" s="52">
        <f t="shared" si="820"/>
        <v>316.42976767320596</v>
      </c>
      <c r="GC158" s="52">
        <f t="shared" si="821"/>
        <v>352.55637900770063</v>
      </c>
      <c r="GD158" s="52">
        <f t="shared" si="822"/>
        <v>640.33153380892668</v>
      </c>
      <c r="GE158" s="52">
        <f t="shared" si="823"/>
        <v>224.75264520154832</v>
      </c>
      <c r="GF158" s="52">
        <f t="shared" si="824"/>
        <v>426.52242355310455</v>
      </c>
      <c r="GG158" s="52">
        <f t="shared" si="825"/>
        <v>0</v>
      </c>
      <c r="GH158" s="52">
        <f t="shared" si="826"/>
        <v>1595.7437809309929</v>
      </c>
      <c r="GI158" s="52">
        <f t="shared" si="827"/>
        <v>0</v>
      </c>
      <c r="GJ158" s="26"/>
      <c r="GL158" s="150">
        <f t="shared" si="828"/>
        <v>365.51483568441301</v>
      </c>
      <c r="GM158" s="150">
        <f t="shared" si="829"/>
        <v>753.16424039361993</v>
      </c>
      <c r="GN158" s="150">
        <f t="shared" si="830"/>
        <v>184.85038962703098</v>
      </c>
      <c r="GO158" s="150">
        <f t="shared" si="831"/>
        <v>242.67105019324976</v>
      </c>
      <c r="GP158" s="150">
        <f t="shared" si="832"/>
        <v>566.23449015235246</v>
      </c>
      <c r="GQ158" s="150">
        <f t="shared" si="833"/>
        <v>726.67558417762837</v>
      </c>
      <c r="GR158" s="150">
        <f t="shared" si="834"/>
        <v>1153.9431193156522</v>
      </c>
      <c r="GS158" s="150">
        <f t="shared" si="835"/>
        <v>943.45831246511671</v>
      </c>
      <c r="GT158" s="150">
        <f t="shared" si="836"/>
        <v>391.68656546617103</v>
      </c>
      <c r="GU158" s="150">
        <f t="shared" si="837"/>
        <v>186.44026717033782</v>
      </c>
      <c r="GV158" s="150">
        <f t="shared" si="838"/>
        <v>5132.2867410815907</v>
      </c>
      <c r="GW158" s="150">
        <f t="shared" si="839"/>
        <v>295.59565083976952</v>
      </c>
      <c r="GX158" s="150">
        <f t="shared" si="840"/>
        <v>151.52753961823512</v>
      </c>
      <c r="GY158" s="150">
        <f t="shared" si="841"/>
        <v>1179.9687168183639</v>
      </c>
      <c r="GZ158" s="150">
        <f t="shared" si="842"/>
        <v>785.53896989896452</v>
      </c>
      <c r="HA158" s="150">
        <f t="shared" si="843"/>
        <v>1279.2114397244693</v>
      </c>
      <c r="HB158" s="150">
        <f t="shared" si="844"/>
        <v>877.26470305294026</v>
      </c>
      <c r="HC158" s="150">
        <f t="shared" si="845"/>
        <v>1600.6463253223208</v>
      </c>
      <c r="HD158" s="150">
        <f t="shared" si="846"/>
        <v>449.12836335901312</v>
      </c>
      <c r="HE158" s="150">
        <f t="shared" si="847"/>
        <v>500.40509987365641</v>
      </c>
      <c r="HF158" s="150">
        <f t="shared" si="848"/>
        <v>908.86219682018213</v>
      </c>
      <c r="HG158" s="150">
        <f t="shared" si="849"/>
        <v>319.00534656470563</v>
      </c>
      <c r="HH158" s="150">
        <f t="shared" si="850"/>
        <v>605.38968705423247</v>
      </c>
      <c r="HI158" s="150">
        <f t="shared" si="851"/>
        <v>0</v>
      </c>
      <c r="HJ158" s="150">
        <f t="shared" si="852"/>
        <v>2264.9379606094099</v>
      </c>
      <c r="HK158" s="150">
        <f t="shared" si="853"/>
        <v>0</v>
      </c>
      <c r="HL158" s="26"/>
      <c r="HN158" s="147">
        <f t="shared" si="854"/>
        <v>375.12369414287735</v>
      </c>
      <c r="HO158" s="147">
        <f t="shared" si="855"/>
        <v>772.96384324248379</v>
      </c>
      <c r="HP158" s="147">
        <f t="shared" si="856"/>
        <v>189.70984006928802</v>
      </c>
      <c r="HQ158" s="147">
        <f t="shared" si="857"/>
        <v>249.05052250360794</v>
      </c>
      <c r="HR158" s="147">
        <f t="shared" si="858"/>
        <v>581.11997916400048</v>
      </c>
      <c r="HS158" s="147">
        <f t="shared" si="859"/>
        <v>745.77883841492962</v>
      </c>
      <c r="HT158" s="147">
        <f t="shared" si="860"/>
        <v>1184.278621517255</v>
      </c>
      <c r="HU158" s="147">
        <f t="shared" si="861"/>
        <v>968.26047232536973</v>
      </c>
      <c r="HV158" s="147">
        <f t="shared" si="862"/>
        <v>401.98344099681577</v>
      </c>
      <c r="HW158" s="147">
        <f t="shared" si="863"/>
        <v>191.34151320278292</v>
      </c>
      <c r="HX158" s="147">
        <f t="shared" si="864"/>
        <v>5267.2071657778006</v>
      </c>
      <c r="HY158" s="147">
        <f t="shared" si="865"/>
        <v>303.36643465635132</v>
      </c>
      <c r="HZ158" s="147">
        <f t="shared" si="866"/>
        <v>155.5109803396621</v>
      </c>
      <c r="IA158" s="147">
        <f t="shared" si="867"/>
        <v>1210.9883944850533</v>
      </c>
      <c r="IB158" s="147">
        <f t="shared" si="868"/>
        <v>806.18965774651372</v>
      </c>
      <c r="IC158" s="147">
        <f t="shared" si="869"/>
        <v>1312.8400656043052</v>
      </c>
      <c r="ID158" s="147">
        <f t="shared" si="870"/>
        <v>900.32672828225418</v>
      </c>
      <c r="IE158" s="147">
        <f t="shared" si="871"/>
        <v>1642.725011275749</v>
      </c>
      <c r="IF158" s="147">
        <f t="shared" si="872"/>
        <v>460.93530100387699</v>
      </c>
      <c r="IG158" s="147">
        <f t="shared" si="873"/>
        <v>513.56002905067953</v>
      </c>
      <c r="IH158" s="147">
        <f t="shared" si="874"/>
        <v>932.75487464033586</v>
      </c>
      <c r="II158" s="147">
        <f t="shared" si="875"/>
        <v>327.39153755718343</v>
      </c>
      <c r="IJ158" s="147">
        <f t="shared" si="876"/>
        <v>621.3045097842753</v>
      </c>
      <c r="IK158" s="147">
        <f t="shared" si="877"/>
        <v>0</v>
      </c>
      <c r="IL158" s="147">
        <f t="shared" si="878"/>
        <v>2324.4799166560019</v>
      </c>
      <c r="IM158" s="147">
        <f t="shared" si="879"/>
        <v>0</v>
      </c>
      <c r="IN158" s="26"/>
      <c r="IP158" s="61">
        <f t="shared" si="880"/>
        <v>626.51607181503664</v>
      </c>
      <c r="IQ158" s="61">
        <f t="shared" si="881"/>
        <v>1290.9722267207253</v>
      </c>
      <c r="IR158" s="61">
        <f t="shared" si="882"/>
        <v>316.84552493130201</v>
      </c>
      <c r="IS158" s="61">
        <f t="shared" si="883"/>
        <v>415.9538772909728</v>
      </c>
      <c r="IT158" s="61">
        <f t="shared" si="884"/>
        <v>970.56254319247057</v>
      </c>
      <c r="IU158" s="61">
        <f t="shared" si="885"/>
        <v>1245.5689565387438</v>
      </c>
      <c r="IV158" s="61">
        <f t="shared" si="886"/>
        <v>1977.9331497117194</v>
      </c>
      <c r="IW158" s="61">
        <f t="shared" si="887"/>
        <v>1617.1485754882992</v>
      </c>
      <c r="IX158" s="61">
        <f t="shared" si="888"/>
        <v>671.37610958824723</v>
      </c>
      <c r="IY158" s="61">
        <f t="shared" si="889"/>
        <v>319.57067788230165</v>
      </c>
      <c r="IZ158" s="61">
        <f t="shared" si="890"/>
        <v>8797.0714579341329</v>
      </c>
      <c r="JA158" s="61">
        <f t="shared" si="891"/>
        <v>506.67006624497174</v>
      </c>
      <c r="JB158" s="61">
        <f t="shared" si="892"/>
        <v>259.7280045162949</v>
      </c>
      <c r="JC158" s="61">
        <f t="shared" si="893"/>
        <v>2022.5427073060278</v>
      </c>
      <c r="JD158" s="61">
        <f t="shared" si="894"/>
        <v>1346.4646072633184</v>
      </c>
      <c r="JE158" s="61">
        <f t="shared" si="895"/>
        <v>2192.6511539165108</v>
      </c>
      <c r="JF158" s="61">
        <f t="shared" si="896"/>
        <v>1503.688447199602</v>
      </c>
      <c r="JG158" s="61">
        <f t="shared" si="897"/>
        <v>2743.6113399565584</v>
      </c>
      <c r="JH158" s="61">
        <f t="shared" si="898"/>
        <v>769.835066818889</v>
      </c>
      <c r="JI158" s="61">
        <f t="shared" si="899"/>
        <v>857.72671005819768</v>
      </c>
      <c r="JJ158" s="61">
        <f t="shared" si="900"/>
        <v>1557.848595411328</v>
      </c>
      <c r="JK158" s="61">
        <f t="shared" si="901"/>
        <v>546.79579898167356</v>
      </c>
      <c r="JL158" s="61">
        <f t="shared" si="902"/>
        <v>1037.6770834495742</v>
      </c>
      <c r="JM158" s="61">
        <f t="shared" si="903"/>
        <v>0</v>
      </c>
      <c r="JN158" s="61">
        <f t="shared" si="904"/>
        <v>3882.2501727698823</v>
      </c>
      <c r="JO158" s="61">
        <f t="shared" si="905"/>
        <v>0</v>
      </c>
      <c r="JQ158" s="26">
        <f t="shared" si="769"/>
        <v>97185</v>
      </c>
      <c r="JR158" s="156">
        <f t="shared" si="770"/>
        <v>1</v>
      </c>
      <c r="JT158" s="157">
        <f t="shared" si="906"/>
        <v>1624.6751324583149</v>
      </c>
      <c r="JU158" s="29">
        <f t="shared" si="907"/>
        <v>1</v>
      </c>
    </row>
    <row r="159" spans="1:281" ht="18.75" x14ac:dyDescent="0.3">
      <c r="A159" t="s">
        <v>234</v>
      </c>
      <c r="B159" s="10" t="s">
        <v>105</v>
      </c>
      <c r="C159" t="s">
        <v>31</v>
      </c>
      <c r="D159" t="s">
        <v>20</v>
      </c>
      <c r="E159" t="s">
        <v>131</v>
      </c>
      <c r="F159" s="114"/>
      <c r="G159" s="17">
        <v>1000647</v>
      </c>
      <c r="H159" s="21">
        <v>606453</v>
      </c>
      <c r="I159" s="25">
        <f t="shared" si="713"/>
        <v>1.6499992579804206</v>
      </c>
      <c r="J159" s="105">
        <v>1.6717344574351128E-2</v>
      </c>
      <c r="K159" s="105">
        <v>3.4447045368660799E-2</v>
      </c>
      <c r="L159" s="105">
        <v>8.4543973497323011E-3</v>
      </c>
      <c r="M159" s="105">
        <v>1.1098908083180746E-2</v>
      </c>
      <c r="N159" s="105">
        <v>2.5897545482755274E-2</v>
      </c>
      <c r="O159" s="105">
        <v>3.3235548734207934E-2</v>
      </c>
      <c r="P159" s="105">
        <v>5.2777241472784293E-2</v>
      </c>
      <c r="Q159" s="105">
        <v>4.3150417332534489E-2</v>
      </c>
      <c r="R159" s="105">
        <v>1.7914346124368138E-2</v>
      </c>
      <c r="S159" s="105">
        <v>8.5271126765198348E-3</v>
      </c>
      <c r="T159" s="105">
        <v>0.23473248560316451</v>
      </c>
      <c r="U159" s="105">
        <v>1.3519490503073823E-2</v>
      </c>
      <c r="V159" s="105">
        <v>6.9303290728500028E-3</v>
      </c>
      <c r="W159" s="105">
        <v>5.3967559453698889E-2</v>
      </c>
      <c r="X159" s="105">
        <v>3.5927749996227672E-2</v>
      </c>
      <c r="Y159" s="105">
        <v>5.8506567541323183E-2</v>
      </c>
      <c r="Z159" s="105">
        <v>4.0122957790184231E-2</v>
      </c>
      <c r="AA159" s="105">
        <v>7.320785245823952E-2</v>
      </c>
      <c r="AB159" s="105">
        <v>2.054152903076591E-2</v>
      </c>
      <c r="AC159" s="105">
        <v>2.288674402418309E-2</v>
      </c>
      <c r="AD159" s="105">
        <v>4.156811442795464E-2</v>
      </c>
      <c r="AE159" s="105">
        <v>1.4590166469157903E-2</v>
      </c>
      <c r="AF159" s="105">
        <v>2.7688364499060411E-2</v>
      </c>
      <c r="AG159" s="105">
        <v>0</v>
      </c>
      <c r="AH159" s="105">
        <v>0.1035901819310211</v>
      </c>
      <c r="AJ159" s="8">
        <f t="shared" si="740"/>
        <v>0.99999999999999989</v>
      </c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M159" s="26">
        <f t="shared" si="741"/>
        <v>16728.160696290732</v>
      </c>
      <c r="BN159" s="26">
        <f t="shared" si="742"/>
        <v>34469.332607014323</v>
      </c>
      <c r="BO159" s="26">
        <f t="shared" si="743"/>
        <v>8459.8673448175778</v>
      </c>
      <c r="BP159" s="26">
        <f t="shared" si="744"/>
        <v>11106.089076710565</v>
      </c>
      <c r="BQ159" s="26">
        <f t="shared" si="745"/>
        <v>25914.301194682615</v>
      </c>
      <c r="BR159" s="26">
        <f t="shared" si="746"/>
        <v>33257.052134238969</v>
      </c>
      <c r="BS159" s="26">
        <f t="shared" si="747"/>
        <v>52811.388348017186</v>
      </c>
      <c r="BT159" s="26">
        <f t="shared" si="748"/>
        <v>43178.335652548638</v>
      </c>
      <c r="BU159" s="26">
        <f t="shared" si="749"/>
        <v>17925.936706310604</v>
      </c>
      <c r="BV159" s="26">
        <f t="shared" si="750"/>
        <v>8532.6297184215437</v>
      </c>
      <c r="BW159" s="26">
        <f t="shared" si="751"/>
        <v>234884.35752134977</v>
      </c>
      <c r="BX159" s="26">
        <f t="shared" si="752"/>
        <v>13528.237613429312</v>
      </c>
      <c r="BY159" s="26">
        <f t="shared" si="753"/>
        <v>6934.8129957601368</v>
      </c>
      <c r="BZ159" s="26">
        <f t="shared" si="754"/>
        <v>54002.476464665429</v>
      </c>
      <c r="CA159" s="26">
        <f t="shared" si="755"/>
        <v>35950.995250475229</v>
      </c>
      <c r="CB159" s="26">
        <f t="shared" si="756"/>
        <v>58544.421290522419</v>
      </c>
      <c r="CC159" s="26">
        <f t="shared" si="757"/>
        <v>40148.917343874484</v>
      </c>
      <c r="CD159" s="26">
        <f t="shared" si="758"/>
        <v>73255.217938779999</v>
      </c>
      <c r="CE159" s="26">
        <f t="shared" si="759"/>
        <v>20554.819400048815</v>
      </c>
      <c r="CF159" s="26">
        <f t="shared" si="760"/>
        <v>22901.551747566737</v>
      </c>
      <c r="CG159" s="26">
        <f t="shared" si="761"/>
        <v>41595.008997989527</v>
      </c>
      <c r="CH159" s="26">
        <f t="shared" si="762"/>
        <v>14599.606306863448</v>
      </c>
      <c r="CI159" s="26">
        <f t="shared" si="763"/>
        <v>27706.278870891303</v>
      </c>
      <c r="CJ159" s="26">
        <f t="shared" si="764"/>
        <v>0</v>
      </c>
      <c r="CK159" s="26">
        <f t="shared" si="765"/>
        <v>103657.20477873046</v>
      </c>
      <c r="CL159" s="26">
        <f t="shared" si="766"/>
        <v>0</v>
      </c>
      <c r="CM159" s="110">
        <f t="shared" si="767"/>
        <v>0.99999999999999978</v>
      </c>
      <c r="CN159" s="27">
        <f t="shared" si="933"/>
        <v>10138.283769148964</v>
      </c>
      <c r="CO159" s="27">
        <f t="shared" si="908"/>
        <v>20890.514004960449</v>
      </c>
      <c r="CP159" s="27">
        <f t="shared" si="909"/>
        <v>5127.1946359372032</v>
      </c>
      <c r="CQ159" s="27">
        <f t="shared" si="910"/>
        <v>6730.9661037692131</v>
      </c>
      <c r="CR159" s="27">
        <f t="shared" si="911"/>
        <v>15705.644150653385</v>
      </c>
      <c r="CS159" s="27">
        <f t="shared" si="912"/>
        <v>20155.798236506605</v>
      </c>
      <c r="CT159" s="27">
        <f t="shared" si="913"/>
        <v>32006.916422894454</v>
      </c>
      <c r="CU159" s="27">
        <f t="shared" si="914"/>
        <v>26168.70004256754</v>
      </c>
      <c r="CV159" s="27">
        <f t="shared" si="915"/>
        <v>10864.20895016143</v>
      </c>
      <c r="CW159" s="27">
        <f t="shared" si="916"/>
        <v>5171.2930640134837</v>
      </c>
      <c r="CX159" s="27">
        <f t="shared" si="917"/>
        <v>142354.22009149592</v>
      </c>
      <c r="CY159" s="27">
        <f t="shared" si="918"/>
        <v>8198.9355740606297</v>
      </c>
      <c r="CZ159" s="27">
        <f t="shared" si="919"/>
        <v>4202.9188572171024</v>
      </c>
      <c r="DA159" s="27">
        <f t="shared" si="920"/>
        <v>32728.788333374054</v>
      </c>
      <c r="DB159" s="27">
        <f t="shared" si="921"/>
        <v>21788.49176846226</v>
      </c>
      <c r="DC159" s="27">
        <f t="shared" si="922"/>
        <v>35481.483405138068</v>
      </c>
      <c r="DD159" s="27">
        <f t="shared" si="923"/>
        <v>24332.688120730596</v>
      </c>
      <c r="DE159" s="27">
        <f t="shared" si="924"/>
        <v>44397.121746856734</v>
      </c>
      <c r="DF159" s="27">
        <f t="shared" si="925"/>
        <v>12457.471905295079</v>
      </c>
      <c r="DG159" s="27">
        <f t="shared" si="926"/>
        <v>13879.734573697908</v>
      </c>
      <c r="DH159" s="27">
        <f t="shared" si="927"/>
        <v>25209.107699176377</v>
      </c>
      <c r="DI159" s="27">
        <f t="shared" si="928"/>
        <v>8848.2502257202177</v>
      </c>
      <c r="DJ159" s="27">
        <f t="shared" si="929"/>
        <v>16791.691715548684</v>
      </c>
      <c r="DK159" s="27">
        <f t="shared" si="930"/>
        <v>0</v>
      </c>
      <c r="DL159" s="27">
        <f t="shared" si="931"/>
        <v>62822.576602613539</v>
      </c>
      <c r="DM159" s="27">
        <f t="shared" si="932"/>
        <v>0</v>
      </c>
      <c r="DN159" s="110">
        <f t="shared" si="768"/>
        <v>0.99999999999999978</v>
      </c>
      <c r="DO159" s="28">
        <f t="shared" si="771"/>
        <v>6589.8769271417677</v>
      </c>
      <c r="DP159" s="28">
        <f t="shared" si="772"/>
        <v>13578.818602053874</v>
      </c>
      <c r="DQ159" s="28">
        <f t="shared" si="773"/>
        <v>3332.6727088803746</v>
      </c>
      <c r="DR159" s="28">
        <f t="shared" si="774"/>
        <v>4375.1229729413517</v>
      </c>
      <c r="DS159" s="28">
        <f t="shared" si="775"/>
        <v>10208.657044029231</v>
      </c>
      <c r="DT159" s="28">
        <f t="shared" si="776"/>
        <v>13101.253897732364</v>
      </c>
      <c r="DU159" s="28">
        <f t="shared" si="777"/>
        <v>20804.471925122733</v>
      </c>
      <c r="DV159" s="28">
        <f t="shared" si="778"/>
        <v>17009.635609981098</v>
      </c>
      <c r="DW159" s="28">
        <f t="shared" si="779"/>
        <v>7061.7277561491737</v>
      </c>
      <c r="DX159" s="28">
        <f t="shared" si="780"/>
        <v>3361.33665440806</v>
      </c>
      <c r="DY159" s="28">
        <f t="shared" si="781"/>
        <v>92530.137429853843</v>
      </c>
      <c r="DZ159" s="28">
        <f t="shared" si="782"/>
        <v>5329.302039368682</v>
      </c>
      <c r="EA159" s="28">
        <f t="shared" si="783"/>
        <v>2731.8941385430344</v>
      </c>
      <c r="EB159" s="28">
        <f t="shared" si="784"/>
        <v>21273.688131291376</v>
      </c>
      <c r="EC159" s="28">
        <f t="shared" si="785"/>
        <v>14162.503482012969</v>
      </c>
      <c r="ED159" s="28">
        <f t="shared" si="786"/>
        <v>23062.937885384352</v>
      </c>
      <c r="EE159" s="28">
        <f t="shared" si="787"/>
        <v>15816.229223143888</v>
      </c>
      <c r="EF159" s="28">
        <f t="shared" si="788"/>
        <v>28858.096191923265</v>
      </c>
      <c r="EG159" s="28">
        <f t="shared" si="789"/>
        <v>8097.3474947537361</v>
      </c>
      <c r="EH159" s="28">
        <f t="shared" si="790"/>
        <v>9021.8171738688288</v>
      </c>
      <c r="EI159" s="28">
        <f t="shared" si="791"/>
        <v>16385.901298813151</v>
      </c>
      <c r="EJ159" s="28">
        <f t="shared" si="792"/>
        <v>5751.3560811432308</v>
      </c>
      <c r="EK159" s="28">
        <f t="shared" si="793"/>
        <v>10914.587155342619</v>
      </c>
      <c r="EL159" s="28">
        <f t="shared" si="794"/>
        <v>0</v>
      </c>
      <c r="EM159" s="28">
        <f t="shared" si="795"/>
        <v>40834.628176116923</v>
      </c>
      <c r="EN159" s="28">
        <f t="shared" si="796"/>
        <v>0</v>
      </c>
      <c r="EQ159" s="144">
        <v>4.2801462241084554E-2</v>
      </c>
      <c r="ER159" s="144">
        <v>5.283874898828804E-2</v>
      </c>
      <c r="ES159" s="144">
        <v>6.2879235735251532E-2</v>
      </c>
      <c r="ET159" s="144">
        <v>7.9690016072054559E-2</v>
      </c>
      <c r="EU159" s="144">
        <v>6.7640779475747301E-2</v>
      </c>
      <c r="EV159" s="144">
        <v>7.7681278722709857E-2</v>
      </c>
      <c r="EW159" s="144">
        <v>8.032075647594325E-2</v>
      </c>
      <c r="EX159" s="144">
        <v>7.0280257228980694E-2</v>
      </c>
      <c r="EY159" s="144">
        <v>8.032075647594325E-2</v>
      </c>
      <c r="EZ159" s="144">
        <v>0.10743074194269434</v>
      </c>
      <c r="FA159" s="144">
        <v>0.10743074194269434</v>
      </c>
      <c r="FB159" s="144">
        <v>0.17068522469860811</v>
      </c>
      <c r="FC159" s="145">
        <f t="shared" si="797"/>
        <v>0.99999999999999978</v>
      </c>
      <c r="FD159" s="146">
        <f t="shared" si="798"/>
        <v>0.15851944696462411</v>
      </c>
      <c r="FE159" s="146">
        <f t="shared" si="799"/>
        <v>0.22501207427051173</v>
      </c>
      <c r="FF159" s="146">
        <f t="shared" si="800"/>
        <v>0.23092177018086721</v>
      </c>
      <c r="FG159" s="146">
        <f t="shared" si="801"/>
        <v>0.38554670858399676</v>
      </c>
      <c r="FH159" s="145">
        <f t="shared" si="655"/>
        <v>0.99999999999999978</v>
      </c>
      <c r="FJ159" s="52">
        <f t="shared" si="802"/>
        <v>2651.7387823113681</v>
      </c>
      <c r="FK159" s="52">
        <f t="shared" si="803"/>
        <v>5464.059542103596</v>
      </c>
      <c r="FL159" s="52">
        <f t="shared" si="804"/>
        <v>1341.0534928945654</v>
      </c>
      <c r="FM159" s="52">
        <f t="shared" si="805"/>
        <v>1760.5310983800116</v>
      </c>
      <c r="FN159" s="52">
        <f t="shared" si="806"/>
        <v>4107.9206938557863</v>
      </c>
      <c r="FO159" s="52">
        <f t="shared" si="807"/>
        <v>5271.8895119932331</v>
      </c>
      <c r="FP159" s="52">
        <f t="shared" si="808"/>
        <v>8371.632074361678</v>
      </c>
      <c r="FQ159" s="52">
        <f t="shared" si="809"/>
        <v>6844.6058884949225</v>
      </c>
      <c r="FR159" s="52">
        <f t="shared" si="810"/>
        <v>2841.6095730072125</v>
      </c>
      <c r="FS159" s="52">
        <f t="shared" si="811"/>
        <v>1352.5877441180994</v>
      </c>
      <c r="FT159" s="52">
        <f t="shared" si="812"/>
        <v>37233.738454925413</v>
      </c>
      <c r="FU159" s="52">
        <f t="shared" si="813"/>
        <v>2144.4887448868408</v>
      </c>
      <c r="FV159" s="52">
        <f t="shared" si="814"/>
        <v>1099.302720890985</v>
      </c>
      <c r="FW159" s="52">
        <f t="shared" si="815"/>
        <v>8560.4427038988924</v>
      </c>
      <c r="FX159" s="52">
        <f t="shared" si="816"/>
        <v>5698.9318849331612</v>
      </c>
      <c r="FY159" s="52">
        <f t="shared" si="817"/>
        <v>9280.4292858375793</v>
      </c>
      <c r="FZ159" s="52">
        <f t="shared" si="818"/>
        <v>6364.3841735793885</v>
      </c>
      <c r="GA159" s="52">
        <f t="shared" si="819"/>
        <v>11612.376634928416</v>
      </c>
      <c r="GB159" s="52">
        <f t="shared" si="820"/>
        <v>3258.3386037534647</v>
      </c>
      <c r="GC159" s="52">
        <f t="shared" si="821"/>
        <v>3630.3413176559998</v>
      </c>
      <c r="GD159" s="52">
        <f t="shared" si="822"/>
        <v>6593.6178228498638</v>
      </c>
      <c r="GE159" s="52">
        <f t="shared" si="823"/>
        <v>2314.321517665232</v>
      </c>
      <c r="GF159" s="52">
        <f t="shared" si="824"/>
        <v>4391.9840040613399</v>
      </c>
      <c r="GG159" s="52">
        <f t="shared" si="825"/>
        <v>0</v>
      </c>
      <c r="GH159" s="52">
        <f t="shared" si="826"/>
        <v>16431.682775423145</v>
      </c>
      <c r="GI159" s="52">
        <f t="shared" si="827"/>
        <v>0</v>
      </c>
      <c r="GJ159" s="26"/>
      <c r="GL159" s="150">
        <f t="shared" si="828"/>
        <v>3764.0381370028254</v>
      </c>
      <c r="GM159" s="150">
        <f t="shared" si="829"/>
        <v>7756.0160286244782</v>
      </c>
      <c r="GN159" s="150">
        <f t="shared" si="830"/>
        <v>1903.5722993107697</v>
      </c>
      <c r="GO159" s="150">
        <f t="shared" si="831"/>
        <v>2499.0041401837166</v>
      </c>
      <c r="GP159" s="150">
        <f t="shared" si="832"/>
        <v>5831.0306650863358</v>
      </c>
      <c r="GQ159" s="150">
        <f t="shared" si="833"/>
        <v>7483.23828484766</v>
      </c>
      <c r="GR159" s="150">
        <f t="shared" si="834"/>
        <v>11883.200037292881</v>
      </c>
      <c r="GS159" s="150">
        <f t="shared" si="835"/>
        <v>9715.6468687283596</v>
      </c>
      <c r="GT159" s="150">
        <f t="shared" si="836"/>
        <v>4033.5522015288539</v>
      </c>
      <c r="GU159" s="150">
        <f t="shared" si="837"/>
        <v>1919.9447119242441</v>
      </c>
      <c r="GV159" s="150">
        <f t="shared" si="838"/>
        <v>52851.816499575383</v>
      </c>
      <c r="GW159" s="150">
        <f t="shared" si="839"/>
        <v>3044.0168066220867</v>
      </c>
      <c r="GX159" s="150">
        <f t="shared" si="840"/>
        <v>1560.4166568540898</v>
      </c>
      <c r="GY159" s="150">
        <f t="shared" si="841"/>
        <v>12151.209245058859</v>
      </c>
      <c r="GZ159" s="150">
        <f t="shared" si="842"/>
        <v>8089.4080133987463</v>
      </c>
      <c r="HA159" s="150">
        <f t="shared" si="843"/>
        <v>13173.201671547158</v>
      </c>
      <c r="HB159" s="150">
        <f t="shared" si="844"/>
        <v>9033.9911712605226</v>
      </c>
      <c r="HC159" s="150">
        <f t="shared" si="845"/>
        <v>16483.30853954329</v>
      </c>
      <c r="HD159" s="150">
        <f t="shared" si="846"/>
        <v>4625.0825494607388</v>
      </c>
      <c r="HE159" s="150">
        <f t="shared" si="847"/>
        <v>5153.1256627334542</v>
      </c>
      <c r="HF159" s="150">
        <f t="shared" si="848"/>
        <v>9359.379253938223</v>
      </c>
      <c r="HG159" s="150">
        <f t="shared" si="849"/>
        <v>3285.08769864019</v>
      </c>
      <c r="HH159" s="150">
        <f t="shared" si="850"/>
        <v>6234.2472790565034</v>
      </c>
      <c r="HI159" s="150">
        <f t="shared" si="851"/>
        <v>0</v>
      </c>
      <c r="HJ159" s="150">
        <f t="shared" si="852"/>
        <v>23324.122660345343</v>
      </c>
      <c r="HK159" s="150">
        <f t="shared" si="853"/>
        <v>0</v>
      </c>
      <c r="HL159" s="26"/>
      <c r="HN159" s="147">
        <f t="shared" si="854"/>
        <v>3862.8964798574639</v>
      </c>
      <c r="HO159" s="147">
        <f t="shared" si="855"/>
        <v>7959.7193025648339</v>
      </c>
      <c r="HP159" s="147">
        <f t="shared" si="856"/>
        <v>1953.5675427605879</v>
      </c>
      <c r="HQ159" s="147">
        <f t="shared" si="857"/>
        <v>2564.6377493803966</v>
      </c>
      <c r="HR159" s="147">
        <f t="shared" si="858"/>
        <v>5984.1763048762714</v>
      </c>
      <c r="HS159" s="147">
        <f t="shared" si="859"/>
        <v>7679.7773498358501</v>
      </c>
      <c r="HT159" s="147">
        <f t="shared" si="860"/>
        <v>12195.299283033353</v>
      </c>
      <c r="HU159" s="147">
        <f t="shared" si="861"/>
        <v>9970.8177023501812</v>
      </c>
      <c r="HV159" s="147">
        <f t="shared" si="862"/>
        <v>4139.4890363714285</v>
      </c>
      <c r="HW159" s="147">
        <f t="shared" si="863"/>
        <v>1970.3699588757775</v>
      </c>
      <c r="HX159" s="147">
        <f t="shared" si="864"/>
        <v>54239.911626625777</v>
      </c>
      <c r="HY159" s="147">
        <f t="shared" si="865"/>
        <v>3123.9645771204869</v>
      </c>
      <c r="HZ159" s="147">
        <f t="shared" si="866"/>
        <v>1601.3992928542136</v>
      </c>
      <c r="IA159" s="147">
        <f t="shared" si="867"/>
        <v>12470.34745937116</v>
      </c>
      <c r="IB159" s="147">
        <f t="shared" si="868"/>
        <v>8301.8674630036894</v>
      </c>
      <c r="IC159" s="147">
        <f t="shared" si="869"/>
        <v>13519.181398621888</v>
      </c>
      <c r="ID159" s="147">
        <f t="shared" si="870"/>
        <v>9271.2590638928177</v>
      </c>
      <c r="IE159" s="147">
        <f t="shared" si="871"/>
        <v>16916.224601408296</v>
      </c>
      <c r="IF159" s="147">
        <f t="shared" si="872"/>
        <v>4746.5552816073032</v>
      </c>
      <c r="IG159" s="147">
        <f t="shared" si="873"/>
        <v>5288.4668694368438</v>
      </c>
      <c r="IH159" s="147">
        <f t="shared" si="874"/>
        <v>9605.1931085048418</v>
      </c>
      <c r="II159" s="147">
        <f t="shared" si="875"/>
        <v>3371.3669323246609</v>
      </c>
      <c r="IJ159" s="147">
        <f t="shared" si="876"/>
        <v>6397.9829619909788</v>
      </c>
      <c r="IK159" s="147">
        <f t="shared" si="877"/>
        <v>0</v>
      </c>
      <c r="IL159" s="147">
        <f t="shared" si="878"/>
        <v>23936.705219505086</v>
      </c>
      <c r="IM159" s="147">
        <f t="shared" si="879"/>
        <v>0</v>
      </c>
      <c r="IN159" s="26"/>
      <c r="IP159" s="61">
        <f t="shared" si="880"/>
        <v>6449.4872971190707</v>
      </c>
      <c r="IQ159" s="61">
        <f t="shared" si="881"/>
        <v>13289.537733721409</v>
      </c>
      <c r="IR159" s="61">
        <f t="shared" si="882"/>
        <v>3261.674009851653</v>
      </c>
      <c r="IS159" s="61">
        <f t="shared" si="883"/>
        <v>4281.9160887664375</v>
      </c>
      <c r="IT159" s="61">
        <f t="shared" si="884"/>
        <v>9991.1735308642164</v>
      </c>
      <c r="IU159" s="61">
        <f t="shared" si="885"/>
        <v>12822.146987562219</v>
      </c>
      <c r="IV159" s="61">
        <f t="shared" si="886"/>
        <v>20361.256953329263</v>
      </c>
      <c r="IW159" s="61">
        <f t="shared" si="887"/>
        <v>16647.265192975166</v>
      </c>
      <c r="IX159" s="61">
        <f t="shared" si="888"/>
        <v>6911.2858954031053</v>
      </c>
      <c r="IY159" s="61">
        <f t="shared" si="889"/>
        <v>3289.7273035034214</v>
      </c>
      <c r="IZ159" s="61">
        <f t="shared" si="890"/>
        <v>90558.890940223151</v>
      </c>
      <c r="JA159" s="61">
        <f t="shared" si="891"/>
        <v>5215.7674847998942</v>
      </c>
      <c r="JB159" s="61">
        <f t="shared" si="892"/>
        <v>2673.6943251608468</v>
      </c>
      <c r="JC159" s="61">
        <f t="shared" si="893"/>
        <v>20820.477056336505</v>
      </c>
      <c r="JD159" s="61">
        <f t="shared" si="894"/>
        <v>13860.787889139625</v>
      </c>
      <c r="JE159" s="61">
        <f t="shared" si="895"/>
        <v>22571.608934515782</v>
      </c>
      <c r="JF159" s="61">
        <f t="shared" si="896"/>
        <v>15479.282935141749</v>
      </c>
      <c r="JG159" s="61">
        <f t="shared" si="897"/>
        <v>28243.308162899983</v>
      </c>
      <c r="JH159" s="61">
        <f t="shared" si="898"/>
        <v>7924.8429652273035</v>
      </c>
      <c r="JI159" s="61">
        <f t="shared" si="899"/>
        <v>8829.6178977404343</v>
      </c>
      <c r="JJ159" s="61">
        <f t="shared" si="900"/>
        <v>16036.818812696591</v>
      </c>
      <c r="JK159" s="61">
        <f t="shared" si="901"/>
        <v>5628.8301582333634</v>
      </c>
      <c r="JL159" s="61">
        <f t="shared" si="902"/>
        <v>10682.064625782476</v>
      </c>
      <c r="JM159" s="61">
        <f t="shared" si="903"/>
        <v>0</v>
      </c>
      <c r="JN159" s="61">
        <f t="shared" si="904"/>
        <v>39964.694123456866</v>
      </c>
      <c r="JO159" s="61">
        <f t="shared" si="905"/>
        <v>0</v>
      </c>
      <c r="JQ159" s="26">
        <f t="shared" si="769"/>
        <v>1000646.9999999994</v>
      </c>
      <c r="JR159" s="156">
        <f t="shared" si="770"/>
        <v>0.99999999999999944</v>
      </c>
      <c r="JT159" s="157">
        <f t="shared" si="906"/>
        <v>16728.160696290728</v>
      </c>
      <c r="JU159" s="29">
        <f t="shared" si="907"/>
        <v>0.99999999999999978</v>
      </c>
    </row>
    <row r="160" spans="1:281" ht="18.75" x14ac:dyDescent="0.3">
      <c r="A160" t="s">
        <v>234</v>
      </c>
      <c r="B160" s="10" t="s">
        <v>8</v>
      </c>
      <c r="C160" t="s">
        <v>31</v>
      </c>
      <c r="D160" t="s">
        <v>20</v>
      </c>
      <c r="E160" t="s">
        <v>32</v>
      </c>
      <c r="F160" s="114"/>
      <c r="G160" s="17">
        <v>1699998</v>
      </c>
      <c r="H160" s="21">
        <v>1030303</v>
      </c>
      <c r="I160" s="25">
        <f t="shared" si="713"/>
        <v>1.6499981073528855</v>
      </c>
      <c r="J160" s="105">
        <v>1.6717344574351131E-2</v>
      </c>
      <c r="K160" s="105">
        <v>3.4447045368660799E-2</v>
      </c>
      <c r="L160" s="105">
        <v>8.4543973497323028E-3</v>
      </c>
      <c r="M160" s="105">
        <v>1.1098908083180746E-2</v>
      </c>
      <c r="N160" s="105">
        <v>2.5897545482755274E-2</v>
      </c>
      <c r="O160" s="105">
        <v>3.3235548734207934E-2</v>
      </c>
      <c r="P160" s="105">
        <v>5.2777241472784307E-2</v>
      </c>
      <c r="Q160" s="105">
        <v>4.3150417332534503E-2</v>
      </c>
      <c r="R160" s="105">
        <v>1.7914346124368142E-2</v>
      </c>
      <c r="S160" s="105">
        <v>8.5271126765198348E-3</v>
      </c>
      <c r="T160" s="105">
        <v>0.21776543221768674</v>
      </c>
      <c r="U160" s="105">
        <v>1.3519490503073826E-2</v>
      </c>
      <c r="V160" s="105">
        <v>6.9303290728500036E-3</v>
      </c>
      <c r="W160" s="105">
        <v>5.3967559453698896E-2</v>
      </c>
      <c r="X160" s="105">
        <v>3.5927749996227686E-2</v>
      </c>
      <c r="Y160" s="105">
        <v>5.850656754132319E-2</v>
      </c>
      <c r="Z160" s="105">
        <v>4.0122957790184231E-2</v>
      </c>
      <c r="AA160" s="105">
        <v>7.3207852458239533E-2</v>
      </c>
      <c r="AB160" s="105">
        <v>2.0541529030765913E-2</v>
      </c>
      <c r="AC160" s="105">
        <v>2.2886744024183097E-2</v>
      </c>
      <c r="AD160" s="105">
        <v>4.1568114427954654E-2</v>
      </c>
      <c r="AE160" s="105">
        <v>1.4590166469157905E-2</v>
      </c>
      <c r="AF160" s="105">
        <v>2.7688364499060418E-2</v>
      </c>
      <c r="AG160" s="105">
        <v>1.6967053385477632E-2</v>
      </c>
      <c r="AH160" s="105">
        <v>0.1035901819310211</v>
      </c>
      <c r="AJ160" s="8">
        <f t="shared" si="740"/>
        <v>0.99999999999999989</v>
      </c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M160" s="26">
        <f t="shared" si="741"/>
        <v>28419.452341707773</v>
      </c>
      <c r="BN160" s="26">
        <f t="shared" si="742"/>
        <v>58559.908232632624</v>
      </c>
      <c r="BO160" s="26">
        <f t="shared" si="743"/>
        <v>14372.458585750215</v>
      </c>
      <c r="BP160" s="26">
        <f t="shared" si="744"/>
        <v>18868.121543591104</v>
      </c>
      <c r="BQ160" s="26">
        <f t="shared" si="745"/>
        <v>44025.775525593002</v>
      </c>
      <c r="BR160" s="26">
        <f t="shared" si="746"/>
        <v>56500.366377056023</v>
      </c>
      <c r="BS160" s="26">
        <f t="shared" si="747"/>
        <v>89721.204949250372</v>
      </c>
      <c r="BT160" s="26">
        <f t="shared" si="748"/>
        <v>73355.623164473989</v>
      </c>
      <c r="BU160" s="26">
        <f t="shared" si="749"/>
        <v>30454.352582733594</v>
      </c>
      <c r="BV160" s="26">
        <f t="shared" si="750"/>
        <v>14496.074495858365</v>
      </c>
      <c r="BW160" s="26">
        <f t="shared" si="751"/>
        <v>370200.79923920304</v>
      </c>
      <c r="BX160" s="26">
        <f t="shared" si="752"/>
        <v>22983.106816244497</v>
      </c>
      <c r="BY160" s="26">
        <f t="shared" si="753"/>
        <v>11781.545563186861</v>
      </c>
      <c r="BZ160" s="26">
        <f t="shared" si="754"/>
        <v>91744.743136169214</v>
      </c>
      <c r="CA160" s="26">
        <f t="shared" si="755"/>
        <v>61077.10313808707</v>
      </c>
      <c r="CB160" s="26">
        <f t="shared" si="756"/>
        <v>99461.047807114344</v>
      </c>
      <c r="CC160" s="26">
        <f t="shared" si="757"/>
        <v>68208.947997397612</v>
      </c>
      <c r="CD160" s="26">
        <f t="shared" si="758"/>
        <v>124453.2027633023</v>
      </c>
      <c r="CE160" s="26">
        <f t="shared" si="759"/>
        <v>34920.558269243993</v>
      </c>
      <c r="CF160" s="26">
        <f t="shared" si="760"/>
        <v>38907.419067623217</v>
      </c>
      <c r="CG160" s="26">
        <f t="shared" si="761"/>
        <v>70665.711391294055</v>
      </c>
      <c r="CH160" s="26">
        <f t="shared" si="762"/>
        <v>24803.253817235502</v>
      </c>
      <c r="CI160" s="26">
        <f t="shared" si="763"/>
        <v>47070.164271673711</v>
      </c>
      <c r="CJ160" s="26">
        <f t="shared" si="764"/>
        <v>28843.956821205204</v>
      </c>
      <c r="CK160" s="26">
        <f t="shared" si="765"/>
        <v>176103.10210237201</v>
      </c>
      <c r="CL160" s="26">
        <f t="shared" si="766"/>
        <v>0</v>
      </c>
      <c r="CM160" s="110">
        <f t="shared" si="767"/>
        <v>0.99999999999999989</v>
      </c>
      <c r="CN160" s="27">
        <f t="shared" si="933"/>
        <v>17223.930266987692</v>
      </c>
      <c r="CO160" s="27">
        <f t="shared" si="908"/>
        <v>35490.894184467325</v>
      </c>
      <c r="CP160" s="27">
        <f t="shared" si="909"/>
        <v>8710.5909526212399</v>
      </c>
      <c r="CQ160" s="27">
        <f t="shared" si="910"/>
        <v>11435.238294825373</v>
      </c>
      <c r="CR160" s="27">
        <f t="shared" si="911"/>
        <v>26682.318803519207</v>
      </c>
      <c r="CS160" s="27">
        <f t="shared" si="912"/>
        <v>34242.685567500637</v>
      </c>
      <c r="CT160" s="27">
        <f t="shared" si="913"/>
        <v>54376.550221134094</v>
      </c>
      <c r="CU160" s="27">
        <f t="shared" si="914"/>
        <v>44458.004428962297</v>
      </c>
      <c r="CV160" s="27">
        <f t="shared" si="915"/>
        <v>18457.204554974869</v>
      </c>
      <c r="CW160" s="27">
        <f t="shared" si="916"/>
        <v>8785.5097719564146</v>
      </c>
      <c r="CX160" s="27">
        <f t="shared" si="917"/>
        <v>224364.3781101793</v>
      </c>
      <c r="CY160" s="27">
        <f t="shared" si="918"/>
        <v>13929.171623788472</v>
      </c>
      <c r="CZ160" s="27">
        <f t="shared" si="919"/>
        <v>7140.3388347445771</v>
      </c>
      <c r="DA160" s="27">
        <f t="shared" si="920"/>
        <v>55602.938407824331</v>
      </c>
      <c r="DB160" s="27">
        <f t="shared" si="921"/>
        <v>37016.46860436337</v>
      </c>
      <c r="DC160" s="27">
        <f t="shared" si="922"/>
        <v>60279.49205752791</v>
      </c>
      <c r="DD160" s="27">
        <f t="shared" si="923"/>
        <v>41338.803780100185</v>
      </c>
      <c r="DE160" s="27">
        <f t="shared" si="924"/>
        <v>75426.270011281566</v>
      </c>
      <c r="DF160" s="27">
        <f t="shared" si="925"/>
        <v>21163.998984985214</v>
      </c>
      <c r="DG160" s="27">
        <f t="shared" si="926"/>
        <v>23580.281028347916</v>
      </c>
      <c r="DH160" s="27">
        <f t="shared" si="927"/>
        <v>42827.752999464967</v>
      </c>
      <c r="DI160" s="27">
        <f t="shared" si="928"/>
        <v>15032.292283672798</v>
      </c>
      <c r="DJ160" s="27">
        <f t="shared" si="929"/>
        <v>28527.405008475445</v>
      </c>
      <c r="DK160" s="27">
        <f t="shared" si="930"/>
        <v>17481.206004217762</v>
      </c>
      <c r="DL160" s="27">
        <f t="shared" si="931"/>
        <v>106729.27521407683</v>
      </c>
      <c r="DM160" s="27">
        <f t="shared" si="932"/>
        <v>0</v>
      </c>
      <c r="DN160" s="110">
        <f t="shared" si="768"/>
        <v>0.99999999999999989</v>
      </c>
      <c r="DO160" s="28">
        <f t="shared" si="771"/>
        <v>11195.52207472008</v>
      </c>
      <c r="DP160" s="28">
        <f t="shared" si="772"/>
        <v>23069.0140481653</v>
      </c>
      <c r="DQ160" s="28">
        <f t="shared" si="773"/>
        <v>5661.8676331289753</v>
      </c>
      <c r="DR160" s="28">
        <f t="shared" si="774"/>
        <v>7432.883248765731</v>
      </c>
      <c r="DS160" s="28">
        <f t="shared" si="775"/>
        <v>17343.456722073795</v>
      </c>
      <c r="DT160" s="28">
        <f t="shared" si="776"/>
        <v>22257.680809555386</v>
      </c>
      <c r="DU160" s="28">
        <f t="shared" si="777"/>
        <v>35344.654728116278</v>
      </c>
      <c r="DV160" s="28">
        <f t="shared" si="778"/>
        <v>28897.618735511693</v>
      </c>
      <c r="DW160" s="28">
        <f t="shared" si="779"/>
        <v>11997.148027758725</v>
      </c>
      <c r="DX160" s="28">
        <f t="shared" si="780"/>
        <v>5710.5647239019509</v>
      </c>
      <c r="DY160" s="28">
        <f t="shared" si="781"/>
        <v>145836.42112902374</v>
      </c>
      <c r="DZ160" s="28">
        <f t="shared" si="782"/>
        <v>9053.9351924560251</v>
      </c>
      <c r="EA160" s="28">
        <f t="shared" si="783"/>
        <v>4641.2067284422837</v>
      </c>
      <c r="EB160" s="28">
        <f t="shared" si="784"/>
        <v>36141.804728344883</v>
      </c>
      <c r="EC160" s="28">
        <f t="shared" si="785"/>
        <v>24060.6345337237</v>
      </c>
      <c r="ED160" s="28">
        <f t="shared" si="786"/>
        <v>39181.555749586434</v>
      </c>
      <c r="EE160" s="28">
        <f t="shared" si="787"/>
        <v>26870.144217297428</v>
      </c>
      <c r="EF160" s="28">
        <f t="shared" si="788"/>
        <v>49026.93275202073</v>
      </c>
      <c r="EG160" s="28">
        <f t="shared" si="789"/>
        <v>13756.559284258779</v>
      </c>
      <c r="EH160" s="28">
        <f t="shared" si="790"/>
        <v>15327.138039275302</v>
      </c>
      <c r="EI160" s="28">
        <f t="shared" si="791"/>
        <v>27837.958391829088</v>
      </c>
      <c r="EJ160" s="28">
        <f t="shared" si="792"/>
        <v>9770.9615335627041</v>
      </c>
      <c r="EK160" s="28">
        <f t="shared" si="793"/>
        <v>18542.759263198266</v>
      </c>
      <c r="EL160" s="28">
        <f t="shared" si="794"/>
        <v>11362.750816987442</v>
      </c>
      <c r="EM160" s="28">
        <f t="shared" si="795"/>
        <v>69373.826888295182</v>
      </c>
      <c r="EN160" s="28">
        <f t="shared" si="796"/>
        <v>0</v>
      </c>
      <c r="EQ160" s="144">
        <v>4.2800897271055217E-2</v>
      </c>
      <c r="ER160" s="144">
        <v>5.2839460963724945E-2</v>
      </c>
      <c r="ES160" s="144">
        <v>6.2879818784373806E-2</v>
      </c>
      <c r="ET160" s="144">
        <v>7.9690355193275164E-2</v>
      </c>
      <c r="EU160" s="144">
        <v>6.7641215216169059E-2</v>
      </c>
      <c r="EV160" s="144">
        <v>7.7681573036817927E-2</v>
      </c>
      <c r="EW160" s="144">
        <v>8.0321050790051321E-2</v>
      </c>
      <c r="EX160" s="144">
        <v>7.0280692969402453E-2</v>
      </c>
      <c r="EY160" s="144">
        <v>8.0321050790051321E-2</v>
      </c>
      <c r="EZ160" s="144">
        <v>0.10742982455175433</v>
      </c>
      <c r="FA160" s="144">
        <v>0.10742982455175433</v>
      </c>
      <c r="FB160" s="144">
        <v>0.1706842358815702</v>
      </c>
      <c r="FC160" s="145">
        <f t="shared" si="797"/>
        <v>1</v>
      </c>
      <c r="FD160" s="146">
        <f t="shared" si="798"/>
        <v>0.15852017701915397</v>
      </c>
      <c r="FE160" s="146">
        <f t="shared" si="799"/>
        <v>0.22501314344626216</v>
      </c>
      <c r="FF160" s="146">
        <f t="shared" si="800"/>
        <v>0.23092279454950509</v>
      </c>
      <c r="FG160" s="146">
        <f t="shared" si="801"/>
        <v>0.38554388498507886</v>
      </c>
      <c r="FH160" s="145">
        <f t="shared" si="655"/>
        <v>1</v>
      </c>
      <c r="FJ160" s="52">
        <f t="shared" si="802"/>
        <v>4505.0566159949258</v>
      </c>
      <c r="FK160" s="52">
        <f t="shared" si="803"/>
        <v>9282.9270192623353</v>
      </c>
      <c r="FL160" s="52">
        <f t="shared" si="804"/>
        <v>2278.3246792135833</v>
      </c>
      <c r="FM160" s="52">
        <f t="shared" si="805"/>
        <v>2990.9779671089746</v>
      </c>
      <c r="FN160" s="52">
        <f t="shared" si="806"/>
        <v>6978.9737297225392</v>
      </c>
      <c r="FO160" s="52">
        <f t="shared" si="807"/>
        <v>8956.4480797379765</v>
      </c>
      <c r="FP160" s="52">
        <f t="shared" si="808"/>
        <v>14222.621290926962</v>
      </c>
      <c r="FQ160" s="52">
        <f t="shared" si="809"/>
        <v>11628.346369382769</v>
      </c>
      <c r="FR160" s="52">
        <f t="shared" si="810"/>
        <v>4827.6293624186583</v>
      </c>
      <c r="FS160" s="52">
        <f t="shared" si="811"/>
        <v>2297.920295166311</v>
      </c>
      <c r="FT160" s="52">
        <f t="shared" si="812"/>
        <v>58684.296228030747</v>
      </c>
      <c r="FU160" s="52">
        <f t="shared" si="813"/>
        <v>3643.2861609612019</v>
      </c>
      <c r="FV160" s="52">
        <f t="shared" si="814"/>
        <v>1867.6126882356093</v>
      </c>
      <c r="FW160" s="52">
        <f t="shared" si="815"/>
        <v>14543.392922522355</v>
      </c>
      <c r="FX160" s="52">
        <f t="shared" si="816"/>
        <v>9681.9532012666859</v>
      </c>
      <c r="FY160" s="52">
        <f t="shared" si="817"/>
        <v>15766.582904894301</v>
      </c>
      <c r="FZ160" s="52">
        <f t="shared" si="818"/>
        <v>10812.494510837738</v>
      </c>
      <c r="GA160" s="52">
        <f t="shared" si="819"/>
        <v>19728.343732639343</v>
      </c>
      <c r="GB160" s="52">
        <f t="shared" si="820"/>
        <v>5535.6130784482384</v>
      </c>
      <c r="GC160" s="52">
        <f t="shared" si="821"/>
        <v>6167.6109579580389</v>
      </c>
      <c r="GD160" s="52">
        <f t="shared" si="822"/>
        <v>11201.941078932379</v>
      </c>
      <c r="GE160" s="52">
        <f t="shared" si="823"/>
        <v>3931.8161857591781</v>
      </c>
      <c r="GF160" s="52">
        <f t="shared" si="824"/>
        <v>7461.5707726663732</v>
      </c>
      <c r="GG160" s="52">
        <f t="shared" si="825"/>
        <v>4572.3491412302828</v>
      </c>
      <c r="GH160" s="52">
        <f t="shared" si="826"/>
        <v>27915.894918890157</v>
      </c>
      <c r="GI160" s="52">
        <f t="shared" si="827"/>
        <v>0</v>
      </c>
      <c r="GJ160" s="26"/>
      <c r="GL160" s="150">
        <f t="shared" si="828"/>
        <v>6394.7503064289021</v>
      </c>
      <c r="GM160" s="150">
        <f t="shared" si="829"/>
        <v>13176.749031349313</v>
      </c>
      <c r="GN160" s="150">
        <f t="shared" si="830"/>
        <v>3233.9920854308752</v>
      </c>
      <c r="GO160" s="150">
        <f t="shared" si="831"/>
        <v>4245.5753394495741</v>
      </c>
      <c r="GP160" s="150">
        <f t="shared" si="832"/>
        <v>9906.378143673197</v>
      </c>
      <c r="GQ160" s="150">
        <f t="shared" si="833"/>
        <v>12713.325044366875</v>
      </c>
      <c r="GR160" s="150">
        <f t="shared" si="834"/>
        <v>20188.450359417162</v>
      </c>
      <c r="GS160" s="150">
        <f t="shared" si="835"/>
        <v>16505.979357697739</v>
      </c>
      <c r="GT160" s="150">
        <f t="shared" si="836"/>
        <v>6852.6296062616793</v>
      </c>
      <c r="GU160" s="150">
        <f t="shared" si="837"/>
        <v>3261.8072899442809</v>
      </c>
      <c r="GV160" s="150">
        <f t="shared" si="838"/>
        <v>83300.045543131695</v>
      </c>
      <c r="GW160" s="150">
        <f t="shared" si="839"/>
        <v>5171.5011108843892</v>
      </c>
      <c r="GX160" s="150">
        <f t="shared" si="840"/>
        <v>2651.0026018280387</v>
      </c>
      <c r="GY160" s="150">
        <f t="shared" si="841"/>
        <v>20643.77304773932</v>
      </c>
      <c r="GZ160" s="150">
        <f t="shared" si="842"/>
        <v>13743.150969692535</v>
      </c>
      <c r="HA160" s="150">
        <f t="shared" si="843"/>
        <v>22380.043017537759</v>
      </c>
      <c r="HB160" s="150">
        <f t="shared" si="844"/>
        <v>15347.909800057065</v>
      </c>
      <c r="HC160" s="150">
        <f t="shared" si="845"/>
        <v>28003.606365725689</v>
      </c>
      <c r="HD160" s="150">
        <f t="shared" si="846"/>
        <v>7857.5845870609546</v>
      </c>
      <c r="HE160" s="150">
        <f t="shared" si="847"/>
        <v>8754.680667786939</v>
      </c>
      <c r="HF160" s="150">
        <f t="shared" si="848"/>
        <v>15900.713854021411</v>
      </c>
      <c r="HG160" s="150">
        <f t="shared" si="849"/>
        <v>5581.0581091116619</v>
      </c>
      <c r="HH160" s="150">
        <f t="shared" si="850"/>
        <v>10591.40562530124</v>
      </c>
      <c r="HI160" s="150">
        <f t="shared" si="851"/>
        <v>6490.2693937676386</v>
      </c>
      <c r="HJ160" s="150">
        <f t="shared" si="852"/>
        <v>39625.512574692788</v>
      </c>
      <c r="HK160" s="150">
        <f t="shared" si="853"/>
        <v>0</v>
      </c>
      <c r="HL160" s="26"/>
      <c r="HN160" s="147">
        <f t="shared" si="854"/>
        <v>6562.699354313635</v>
      </c>
      <c r="HO160" s="147">
        <f t="shared" si="855"/>
        <v>13522.817657642096</v>
      </c>
      <c r="HP160" s="147">
        <f t="shared" si="856"/>
        <v>3318.9283011684674</v>
      </c>
      <c r="HQ160" s="147">
        <f t="shared" si="857"/>
        <v>4357.0793547457797</v>
      </c>
      <c r="HR160" s="147">
        <f t="shared" si="858"/>
        <v>10166.555116579142</v>
      </c>
      <c r="HS160" s="147">
        <f t="shared" si="859"/>
        <v>13047.222496860673</v>
      </c>
      <c r="HT160" s="147">
        <f t="shared" si="860"/>
        <v>20718.671377229784</v>
      </c>
      <c r="HU160" s="147">
        <f t="shared" si="861"/>
        <v>16939.485497060745</v>
      </c>
      <c r="HV160" s="147">
        <f t="shared" si="862"/>
        <v>7032.6042046007797</v>
      </c>
      <c r="HW160" s="147">
        <f t="shared" si="863"/>
        <v>3347.4740325814219</v>
      </c>
      <c r="HX160" s="147">
        <f t="shared" si="864"/>
        <v>85487.803104777064</v>
      </c>
      <c r="HY160" s="147">
        <f t="shared" si="865"/>
        <v>5307.3232534369581</v>
      </c>
      <c r="HZ160" s="147">
        <f t="shared" si="866"/>
        <v>2720.6274255634326</v>
      </c>
      <c r="IA160" s="147">
        <f t="shared" si="867"/>
        <v>21185.952470230721</v>
      </c>
      <c r="IB160" s="147">
        <f t="shared" si="868"/>
        <v>14104.095339635413</v>
      </c>
      <c r="IC160" s="147">
        <f t="shared" si="869"/>
        <v>22967.823108440771</v>
      </c>
      <c r="ID160" s="147">
        <f t="shared" si="870"/>
        <v>15751.000884840925</v>
      </c>
      <c r="IE160" s="147">
        <f t="shared" si="871"/>
        <v>28739.081372737957</v>
      </c>
      <c r="IF160" s="147">
        <f t="shared" si="872"/>
        <v>8063.9529027626522</v>
      </c>
      <c r="IG160" s="147">
        <f t="shared" si="873"/>
        <v>8984.6099398042534</v>
      </c>
      <c r="IH160" s="147">
        <f t="shared" si="874"/>
        <v>16318.323553306418</v>
      </c>
      <c r="II160" s="147">
        <f t="shared" si="875"/>
        <v>5727.636685396702</v>
      </c>
      <c r="IJ160" s="147">
        <f t="shared" si="876"/>
        <v>10869.573873519164</v>
      </c>
      <c r="IK160" s="147">
        <f t="shared" si="877"/>
        <v>6660.7271150179649</v>
      </c>
      <c r="IL160" s="147">
        <f t="shared" si="878"/>
        <v>40666.220466316568</v>
      </c>
      <c r="IM160" s="147">
        <f t="shared" si="879"/>
        <v>0</v>
      </c>
      <c r="IN160" s="26"/>
      <c r="IP160" s="61">
        <f t="shared" si="880"/>
        <v>10956.946064970311</v>
      </c>
      <c r="IQ160" s="61">
        <f t="shared" si="881"/>
        <v>22577.414524378884</v>
      </c>
      <c r="IR160" s="61">
        <f t="shared" si="882"/>
        <v>5541.2135199372897</v>
      </c>
      <c r="IS160" s="61">
        <f t="shared" si="883"/>
        <v>7274.488882286777</v>
      </c>
      <c r="IT160" s="61">
        <f t="shared" si="884"/>
        <v>16973.868535618127</v>
      </c>
      <c r="IU160" s="61">
        <f t="shared" si="885"/>
        <v>21783.370756090502</v>
      </c>
      <c r="IV160" s="61">
        <f t="shared" si="886"/>
        <v>34591.461921676477</v>
      </c>
      <c r="IW160" s="61">
        <f t="shared" si="887"/>
        <v>28281.811940332747</v>
      </c>
      <c r="IX160" s="61">
        <f t="shared" si="888"/>
        <v>11741.489409452481</v>
      </c>
      <c r="IY160" s="61">
        <f t="shared" si="889"/>
        <v>5588.8728781663522</v>
      </c>
      <c r="IZ160" s="61">
        <f t="shared" si="890"/>
        <v>142728.65436326357</v>
      </c>
      <c r="JA160" s="61">
        <f t="shared" si="891"/>
        <v>8860.9962909619499</v>
      </c>
      <c r="JB160" s="61">
        <f t="shared" si="892"/>
        <v>4542.3028475597812</v>
      </c>
      <c r="JC160" s="61">
        <f t="shared" si="893"/>
        <v>35371.624695676823</v>
      </c>
      <c r="JD160" s="61">
        <f t="shared" si="894"/>
        <v>23547.90362749244</v>
      </c>
      <c r="JE160" s="61">
        <f t="shared" si="895"/>
        <v>38346.598776241524</v>
      </c>
      <c r="JF160" s="61">
        <f t="shared" si="896"/>
        <v>26297.54280166189</v>
      </c>
      <c r="JG160" s="61">
        <f t="shared" si="897"/>
        <v>47982.171292199317</v>
      </c>
      <c r="JH160" s="61">
        <f t="shared" si="898"/>
        <v>13463.40770097215</v>
      </c>
      <c r="JI160" s="61">
        <f t="shared" si="899"/>
        <v>15000.51750207399</v>
      </c>
      <c r="JJ160" s="61">
        <f t="shared" si="900"/>
        <v>27244.732905033852</v>
      </c>
      <c r="JK160" s="61">
        <f t="shared" si="901"/>
        <v>9562.7428369679619</v>
      </c>
      <c r="JL160" s="61">
        <f t="shared" si="902"/>
        <v>18147.614000186939</v>
      </c>
      <c r="JM160" s="61">
        <f t="shared" si="903"/>
        <v>11120.611171189319</v>
      </c>
      <c r="JN160" s="61">
        <f t="shared" si="904"/>
        <v>67895.474142472507</v>
      </c>
      <c r="JO160" s="61">
        <f t="shared" si="905"/>
        <v>0</v>
      </c>
      <c r="JQ160" s="26">
        <f t="shared" si="769"/>
        <v>1699998</v>
      </c>
      <c r="JR160" s="156">
        <f t="shared" si="770"/>
        <v>1</v>
      </c>
      <c r="JT160" s="157">
        <f t="shared" si="906"/>
        <v>28419.452341707773</v>
      </c>
      <c r="JU160" s="29">
        <f t="shared" si="907"/>
        <v>1</v>
      </c>
    </row>
    <row r="161" spans="1:281" ht="18.75" x14ac:dyDescent="0.3">
      <c r="A161" t="s">
        <v>234</v>
      </c>
      <c r="B161" s="10" t="s">
        <v>95</v>
      </c>
      <c r="C161" t="s">
        <v>80</v>
      </c>
      <c r="D161" t="s">
        <v>20</v>
      </c>
      <c r="E161" t="s">
        <v>122</v>
      </c>
      <c r="F161" s="114"/>
      <c r="G161" s="17">
        <v>492916</v>
      </c>
      <c r="H161" s="21">
        <v>318011</v>
      </c>
      <c r="I161" s="25">
        <f t="shared" si="713"/>
        <v>1.5499966982274198</v>
      </c>
      <c r="J161" s="105">
        <v>1.6717344574351131E-2</v>
      </c>
      <c r="K161" s="105">
        <v>3.4447045368660806E-2</v>
      </c>
      <c r="L161" s="105">
        <v>8.4543973497323028E-3</v>
      </c>
      <c r="M161" s="105">
        <v>1.1098908083180748E-2</v>
      </c>
      <c r="N161" s="105">
        <v>2.5897545482755278E-2</v>
      </c>
      <c r="O161" s="105">
        <v>3.3235548734207934E-2</v>
      </c>
      <c r="P161" s="105">
        <v>5.27772414727843E-2</v>
      </c>
      <c r="Q161" s="105">
        <v>4.3150417332534496E-2</v>
      </c>
      <c r="R161" s="105">
        <v>1.7914346124368142E-2</v>
      </c>
      <c r="S161" s="105">
        <v>8.5271126765198348E-3</v>
      </c>
      <c r="T161" s="105">
        <v>0.23473248560316481</v>
      </c>
      <c r="U161" s="105">
        <v>1.3519490503073824E-2</v>
      </c>
      <c r="V161" s="105">
        <v>6.9303290728500036E-3</v>
      </c>
      <c r="W161" s="105">
        <v>5.3967559453698896E-2</v>
      </c>
      <c r="X161" s="105">
        <v>3.5927749996227679E-2</v>
      </c>
      <c r="Y161" s="105">
        <v>5.850656754132319E-2</v>
      </c>
      <c r="Z161" s="105">
        <v>4.0122957790184231E-2</v>
      </c>
      <c r="AA161" s="105">
        <v>7.3207852458239533E-2</v>
      </c>
      <c r="AB161" s="105">
        <v>2.0541529030765913E-2</v>
      </c>
      <c r="AC161" s="105">
        <v>2.2886744024183094E-2</v>
      </c>
      <c r="AD161" s="105">
        <v>4.1568114427954647E-2</v>
      </c>
      <c r="AE161" s="105">
        <v>1.4590166469157903E-2</v>
      </c>
      <c r="AF161" s="105">
        <v>2.7688364499060415E-2</v>
      </c>
      <c r="AG161" s="105">
        <v>0</v>
      </c>
      <c r="AH161" s="105">
        <v>0.10359018193102111</v>
      </c>
      <c r="AJ161" s="8">
        <f t="shared" si="740"/>
        <v>1.0000000000000002</v>
      </c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M161" s="26">
        <f t="shared" si="741"/>
        <v>8240.2466182108619</v>
      </c>
      <c r="BN161" s="26">
        <f t="shared" si="742"/>
        <v>16979.499814938808</v>
      </c>
      <c r="BO161" s="26">
        <f t="shared" si="743"/>
        <v>4167.3077240406474</v>
      </c>
      <c r="BP161" s="26">
        <f t="shared" si="744"/>
        <v>5470.8293767291216</v>
      </c>
      <c r="BQ161" s="26">
        <f t="shared" si="745"/>
        <v>12765.3145291778</v>
      </c>
      <c r="BR161" s="26">
        <f t="shared" si="746"/>
        <v>16382.333739870837</v>
      </c>
      <c r="BS161" s="26">
        <f t="shared" si="747"/>
        <v>26014.746757798945</v>
      </c>
      <c r="BT161" s="26">
        <f t="shared" si="748"/>
        <v>21269.531109883574</v>
      </c>
      <c r="BU161" s="26">
        <f t="shared" si="749"/>
        <v>8830.2678342390464</v>
      </c>
      <c r="BV161" s="26">
        <f t="shared" si="750"/>
        <v>4203.1502720594508</v>
      </c>
      <c r="BW161" s="26">
        <f t="shared" si="751"/>
        <v>115703.39787356959</v>
      </c>
      <c r="BX161" s="26">
        <f t="shared" si="752"/>
        <v>6663.9731808131373</v>
      </c>
      <c r="BY161" s="26">
        <f t="shared" si="753"/>
        <v>3416.0700852729324</v>
      </c>
      <c r="BZ161" s="26">
        <f t="shared" si="754"/>
        <v>26601.473535679444</v>
      </c>
      <c r="CA161" s="26">
        <f t="shared" si="755"/>
        <v>17709.362817140562</v>
      </c>
      <c r="CB161" s="26">
        <f t="shared" si="756"/>
        <v>28838.823246198863</v>
      </c>
      <c r="CC161" s="26">
        <f t="shared" si="757"/>
        <v>19777.247862106451</v>
      </c>
      <c r="CD161" s="26">
        <f t="shared" si="758"/>
        <v>36085.321802305596</v>
      </c>
      <c r="CE161" s="26">
        <f t="shared" si="759"/>
        <v>10125.248323729011</v>
      </c>
      <c r="CF161" s="26">
        <f t="shared" si="760"/>
        <v>11281.242317424234</v>
      </c>
      <c r="CG161" s="26">
        <f t="shared" si="761"/>
        <v>20489.588691369692</v>
      </c>
      <c r="CH161" s="26">
        <f t="shared" si="762"/>
        <v>7191.7264953114372</v>
      </c>
      <c r="CI161" s="26">
        <f t="shared" si="763"/>
        <v>13648.037875418864</v>
      </c>
      <c r="CJ161" s="26">
        <f t="shared" si="764"/>
        <v>0</v>
      </c>
      <c r="CK161" s="26">
        <f t="shared" si="765"/>
        <v>51061.2581167112</v>
      </c>
      <c r="CL161" s="26">
        <f t="shared" si="766"/>
        <v>0</v>
      </c>
      <c r="CM161" s="110">
        <f t="shared" si="767"/>
        <v>1</v>
      </c>
      <c r="CN161" s="27">
        <f t="shared" si="933"/>
        <v>5316.2994654339773</v>
      </c>
      <c r="CO161" s="27">
        <f t="shared" si="908"/>
        <v>10954.539344733192</v>
      </c>
      <c r="CP161" s="27">
        <f t="shared" si="909"/>
        <v>2688.5913555857192</v>
      </c>
      <c r="CQ161" s="27">
        <f t="shared" si="910"/>
        <v>3529.5748584403927</v>
      </c>
      <c r="CR161" s="27">
        <f t="shared" si="911"/>
        <v>8235.7043365164882</v>
      </c>
      <c r="CS161" s="27">
        <f t="shared" si="912"/>
        <v>10569.270088514199</v>
      </c>
      <c r="CT161" s="27">
        <f t="shared" si="913"/>
        <v>16783.743338001608</v>
      </c>
      <c r="CU161" s="27">
        <f t="shared" si="914"/>
        <v>13722.307366336629</v>
      </c>
      <c r="CV161" s="27">
        <f t="shared" si="915"/>
        <v>5696.9591253564367</v>
      </c>
      <c r="CW161" s="27">
        <f t="shared" si="916"/>
        <v>2711.7156293727494</v>
      </c>
      <c r="CX161" s="27">
        <f t="shared" si="917"/>
        <v>74647.512479148048</v>
      </c>
      <c r="CY161" s="27">
        <f t="shared" si="918"/>
        <v>4299.34669437301</v>
      </c>
      <c r="CZ161" s="27">
        <f t="shared" si="919"/>
        <v>2203.9208787861025</v>
      </c>
      <c r="DA161" s="27">
        <f t="shared" si="920"/>
        <v>17162.27754943024</v>
      </c>
      <c r="DB161" s="27">
        <f t="shared" si="921"/>
        <v>11425.41970405036</v>
      </c>
      <c r="DC161" s="27">
        <f t="shared" si="922"/>
        <v>18605.732050383729</v>
      </c>
      <c r="DD161" s="27">
        <f t="shared" si="923"/>
        <v>12759.541929814277</v>
      </c>
      <c r="DE161" s="27">
        <f t="shared" si="924"/>
        <v>23280.902368097213</v>
      </c>
      <c r="DF161" s="27">
        <f t="shared" si="925"/>
        <v>6532.4321886028993</v>
      </c>
      <c r="DG161" s="27">
        <f t="shared" si="926"/>
        <v>7278.2363538744894</v>
      </c>
      <c r="DH161" s="27">
        <f t="shared" si="927"/>
        <v>13219.117637348285</v>
      </c>
      <c r="DI161" s="27">
        <f t="shared" si="928"/>
        <v>4639.8334290233743</v>
      </c>
      <c r="DJ161" s="27">
        <f t="shared" si="929"/>
        <v>8805.204482710702</v>
      </c>
      <c r="DK161" s="27">
        <f t="shared" si="930"/>
        <v>0</v>
      </c>
      <c r="DL161" s="27">
        <f t="shared" si="931"/>
        <v>32942.817346065953</v>
      </c>
      <c r="DM161" s="27">
        <f t="shared" si="932"/>
        <v>0</v>
      </c>
      <c r="DN161" s="110">
        <f t="shared" si="768"/>
        <v>1.0000000000000002</v>
      </c>
      <c r="DO161" s="28">
        <f t="shared" si="771"/>
        <v>2923.9471527768846</v>
      </c>
      <c r="DP161" s="28">
        <f t="shared" si="772"/>
        <v>6024.9604702056167</v>
      </c>
      <c r="DQ161" s="28">
        <f t="shared" si="773"/>
        <v>1478.7163684549282</v>
      </c>
      <c r="DR161" s="28">
        <f t="shared" si="774"/>
        <v>1941.2545182887288</v>
      </c>
      <c r="DS161" s="28">
        <f t="shared" si="775"/>
        <v>4529.6101926613119</v>
      </c>
      <c r="DT161" s="28">
        <f t="shared" si="776"/>
        <v>5813.0636513566387</v>
      </c>
      <c r="DU161" s="28">
        <f t="shared" si="777"/>
        <v>9231.0034197973364</v>
      </c>
      <c r="DV161" s="28">
        <f t="shared" si="778"/>
        <v>7547.2237435469451</v>
      </c>
      <c r="DW161" s="28">
        <f t="shared" si="779"/>
        <v>3133.3087088826096</v>
      </c>
      <c r="DX161" s="28">
        <f t="shared" si="780"/>
        <v>1491.4346426867014</v>
      </c>
      <c r="DY161" s="28">
        <f t="shared" si="781"/>
        <v>41055.885394421537</v>
      </c>
      <c r="DZ161" s="28">
        <f t="shared" si="782"/>
        <v>2364.6264864401273</v>
      </c>
      <c r="EA161" s="28">
        <f t="shared" si="783"/>
        <v>1212.1492064868298</v>
      </c>
      <c r="EB161" s="28">
        <f t="shared" si="784"/>
        <v>9439.195986249204</v>
      </c>
      <c r="EC161" s="28">
        <f t="shared" si="785"/>
        <v>6283.9431130902012</v>
      </c>
      <c r="ED161" s="28">
        <f t="shared" si="786"/>
        <v>10233.091195815134</v>
      </c>
      <c r="EE161" s="28">
        <f t="shared" si="787"/>
        <v>7017.7059322921741</v>
      </c>
      <c r="EF161" s="28">
        <f t="shared" si="788"/>
        <v>12804.419434208383</v>
      </c>
      <c r="EG161" s="28">
        <f t="shared" si="789"/>
        <v>3592.8161351261115</v>
      </c>
      <c r="EH161" s="28">
        <f t="shared" si="790"/>
        <v>4003.0059635497446</v>
      </c>
      <c r="EI161" s="28">
        <f t="shared" si="791"/>
        <v>7270.4710540214073</v>
      </c>
      <c r="EJ161" s="28">
        <f t="shared" si="792"/>
        <v>2551.893066288063</v>
      </c>
      <c r="EK161" s="28">
        <f t="shared" si="793"/>
        <v>4842.8333927081621</v>
      </c>
      <c r="EL161" s="28">
        <f t="shared" si="794"/>
        <v>0</v>
      </c>
      <c r="EM161" s="28">
        <f t="shared" si="795"/>
        <v>18118.440770645248</v>
      </c>
      <c r="EN161" s="28">
        <f t="shared" si="796"/>
        <v>0</v>
      </c>
      <c r="EQ161" s="144">
        <v>4.2797724320001618E-2</v>
      </c>
      <c r="ER161" s="144">
        <v>5.284075221096577E-2</v>
      </c>
      <c r="ES161" s="144">
        <v>6.2883785101928852E-2</v>
      </c>
      <c r="ET161" s="144">
        <v>7.968978495762144E-2</v>
      </c>
      <c r="EU161" s="144">
        <v>6.7640922487882546E-2</v>
      </c>
      <c r="EV161" s="144">
        <v>7.7683955378845648E-2</v>
      </c>
      <c r="EW161" s="144">
        <v>8.0323433132079042E-2</v>
      </c>
      <c r="EX161" s="144">
        <v>7.028040024111594E-2</v>
      </c>
      <c r="EY161" s="144">
        <v>8.0323433132079042E-2</v>
      </c>
      <c r="EZ161" s="144">
        <v>0.10742642744045024</v>
      </c>
      <c r="FA161" s="144">
        <v>0.10742642744045024</v>
      </c>
      <c r="FB161" s="144">
        <v>0.17068295415657964</v>
      </c>
      <c r="FC161" s="145">
        <f t="shared" si="797"/>
        <v>1</v>
      </c>
      <c r="FD161" s="146">
        <f t="shared" si="798"/>
        <v>0.15852226163289623</v>
      </c>
      <c r="FE161" s="146">
        <f t="shared" si="799"/>
        <v>0.22501466282434962</v>
      </c>
      <c r="FF161" s="146">
        <f t="shared" si="800"/>
        <v>0.23092726650527404</v>
      </c>
      <c r="FG161" s="146">
        <f t="shared" si="801"/>
        <v>0.38553580903748008</v>
      </c>
      <c r="FH161" s="145">
        <f t="shared" ref="FH161:FH171" si="934">SUM(FD161:FG161)</f>
        <v>1</v>
      </c>
      <c r="FJ161" s="52">
        <f t="shared" si="802"/>
        <v>1306.2625303316106</v>
      </c>
      <c r="FK161" s="52">
        <f t="shared" si="803"/>
        <v>2691.6287120594429</v>
      </c>
      <c r="FL161" s="52">
        <f t="shared" si="804"/>
        <v>660.61104533516084</v>
      </c>
      <c r="FM161" s="52">
        <f t="shared" si="805"/>
        <v>867.24824580678842</v>
      </c>
      <c r="FN161" s="52">
        <f t="shared" si="806"/>
        <v>2023.5865296205347</v>
      </c>
      <c r="FO161" s="52">
        <f t="shared" si="807"/>
        <v>2596.9645952692281</v>
      </c>
      <c r="FP161" s="52">
        <f t="shared" si="808"/>
        <v>4123.9164918533434</v>
      </c>
      <c r="FQ161" s="52">
        <f t="shared" si="809"/>
        <v>3371.6941754099898</v>
      </c>
      <c r="FR161" s="52">
        <f t="shared" si="810"/>
        <v>1399.79402790779</v>
      </c>
      <c r="FS161" s="52">
        <f t="shared" si="811"/>
        <v>666.29288710978722</v>
      </c>
      <c r="FT161" s="52">
        <f t="shared" si="812"/>
        <v>18341.564309529087</v>
      </c>
      <c r="FU161" s="52">
        <f t="shared" si="813"/>
        <v>1056.3881000834638</v>
      </c>
      <c r="FV161" s="52">
        <f t="shared" si="814"/>
        <v>541.52315581394589</v>
      </c>
      <c r="FW161" s="52">
        <f t="shared" si="815"/>
        <v>4216.9257476435423</v>
      </c>
      <c r="FX161" s="52">
        <f t="shared" si="816"/>
        <v>2807.3282458506405</v>
      </c>
      <c r="FY161" s="52">
        <f t="shared" si="817"/>
        <v>4571.5954838187863</v>
      </c>
      <c r="FZ161" s="52">
        <f t="shared" si="818"/>
        <v>3135.1340599754767</v>
      </c>
      <c r="GA161" s="52">
        <f t="shared" si="819"/>
        <v>5720.3268238523424</v>
      </c>
      <c r="GB161" s="52">
        <f t="shared" si="820"/>
        <v>1605.0772638722142</v>
      </c>
      <c r="GC161" s="52">
        <f t="shared" si="821"/>
        <v>1788.3280461868251</v>
      </c>
      <c r="GD161" s="52">
        <f t="shared" si="822"/>
        <v>3248.0559392837381</v>
      </c>
      <c r="GE161" s="52">
        <f t="shared" si="823"/>
        <v>1140.0487490819914</v>
      </c>
      <c r="GF161" s="52">
        <f t="shared" si="824"/>
        <v>2163.5178308628265</v>
      </c>
      <c r="GG161" s="52">
        <f t="shared" si="825"/>
        <v>0</v>
      </c>
      <c r="GH161" s="52">
        <f t="shared" si="826"/>
        <v>8094.346118482139</v>
      </c>
      <c r="GI161" s="52">
        <f t="shared" si="827"/>
        <v>0</v>
      </c>
      <c r="GJ161" s="26"/>
      <c r="GL161" s="150">
        <f t="shared" si="828"/>
        <v>1854.1763143862042</v>
      </c>
      <c r="GM161" s="150">
        <f t="shared" si="829"/>
        <v>3820.6364257845626</v>
      </c>
      <c r="GN161" s="150">
        <f t="shared" si="830"/>
        <v>937.70534241031407</v>
      </c>
      <c r="GO161" s="150">
        <f t="shared" si="831"/>
        <v>1231.0168275742501</v>
      </c>
      <c r="GP161" s="150">
        <f t="shared" si="832"/>
        <v>2872.3829446297141</v>
      </c>
      <c r="GQ161" s="150">
        <f t="shared" si="833"/>
        <v>3686.2653027530027</v>
      </c>
      <c r="GR161" s="150">
        <f t="shared" si="834"/>
        <v>5853.6994701669719</v>
      </c>
      <c r="GS161" s="150">
        <f t="shared" si="835"/>
        <v>4785.9563711224673</v>
      </c>
      <c r="GT161" s="150">
        <f t="shared" si="836"/>
        <v>1986.939739369999</v>
      </c>
      <c r="GU161" s="150">
        <f t="shared" si="837"/>
        <v>945.77044126753071</v>
      </c>
      <c r="GV161" s="150">
        <f t="shared" si="838"/>
        <v>26034.961060152833</v>
      </c>
      <c r="GW161" s="150">
        <f t="shared" si="839"/>
        <v>1499.4916783511767</v>
      </c>
      <c r="GX161" s="150">
        <f t="shared" si="840"/>
        <v>768.66585842203608</v>
      </c>
      <c r="GY161" s="150">
        <f t="shared" si="841"/>
        <v>5985.7215982617699</v>
      </c>
      <c r="GZ161" s="150">
        <f t="shared" si="842"/>
        <v>3984.8663031329579</v>
      </c>
      <c r="HA161" s="150">
        <f t="shared" si="843"/>
        <v>6489.1580889944526</v>
      </c>
      <c r="HB161" s="150">
        <f t="shared" si="844"/>
        <v>4450.1707592854727</v>
      </c>
      <c r="HC161" s="150">
        <f t="shared" si="845"/>
        <v>8119.7265182539459</v>
      </c>
      <c r="HD161" s="150">
        <f t="shared" si="846"/>
        <v>2278.3293375766943</v>
      </c>
      <c r="HE161" s="150">
        <f t="shared" si="847"/>
        <v>2538.4449362949986</v>
      </c>
      <c r="HF161" s="150">
        <f t="shared" si="848"/>
        <v>4610.4578907981586</v>
      </c>
      <c r="HG161" s="150">
        <f t="shared" si="849"/>
        <v>1618.2439124674447</v>
      </c>
      <c r="HH161" s="150">
        <f t="shared" si="850"/>
        <v>3071.0086407513286</v>
      </c>
      <c r="HI161" s="150">
        <f t="shared" si="851"/>
        <v>0</v>
      </c>
      <c r="HJ161" s="150">
        <f t="shared" si="852"/>
        <v>11489.531778518856</v>
      </c>
      <c r="HK161" s="150">
        <f t="shared" si="853"/>
        <v>0</v>
      </c>
      <c r="HL161" s="26"/>
      <c r="HN161" s="147">
        <f t="shared" si="854"/>
        <v>1902.8976268727629</v>
      </c>
      <c r="HO161" s="147">
        <f t="shared" si="855"/>
        <v>3921.0294788906253</v>
      </c>
      <c r="HP161" s="147">
        <f t="shared" si="856"/>
        <v>962.34498139902155</v>
      </c>
      <c r="HQ161" s="147">
        <f t="shared" si="857"/>
        <v>1263.363673484808</v>
      </c>
      <c r="HR161" s="147">
        <f t="shared" si="858"/>
        <v>2947.8591903030888</v>
      </c>
      <c r="HS161" s="147">
        <f t="shared" si="859"/>
        <v>3783.1275495254954</v>
      </c>
      <c r="HT161" s="147">
        <f t="shared" si="860"/>
        <v>6007.5143576054506</v>
      </c>
      <c r="HU161" s="147">
        <f t="shared" si="861"/>
        <v>4911.7146790543011</v>
      </c>
      <c r="HV161" s="147">
        <f t="shared" si="862"/>
        <v>2039.1496134702693</v>
      </c>
      <c r="HW161" s="147">
        <f t="shared" si="863"/>
        <v>970.62200303758789</v>
      </c>
      <c r="HX161" s="147">
        <f t="shared" si="864"/>
        <v>26719.069396315561</v>
      </c>
      <c r="HY161" s="147">
        <f t="shared" si="865"/>
        <v>1538.8931107096341</v>
      </c>
      <c r="HZ161" s="147">
        <f t="shared" si="866"/>
        <v>788.86372698251671</v>
      </c>
      <c r="IA161" s="147">
        <f t="shared" si="867"/>
        <v>6143.0055686068417</v>
      </c>
      <c r="IB161" s="147">
        <f t="shared" si="868"/>
        <v>4089.574746912409</v>
      </c>
      <c r="IC161" s="147">
        <f t="shared" si="869"/>
        <v>6659.6706214734568</v>
      </c>
      <c r="ID161" s="147">
        <f t="shared" si="870"/>
        <v>4567.1057877935173</v>
      </c>
      <c r="IE161" s="147">
        <f t="shared" si="871"/>
        <v>8333.0847247696001</v>
      </c>
      <c r="IF161" s="147">
        <f t="shared" si="872"/>
        <v>2338.1959180858485</v>
      </c>
      <c r="IG161" s="147">
        <f t="shared" si="873"/>
        <v>2605.1464511464014</v>
      </c>
      <c r="IH161" s="147">
        <f t="shared" si="874"/>
        <v>4731.604708315378</v>
      </c>
      <c r="II161" s="147">
        <f t="shared" si="875"/>
        <v>1660.7657410158247</v>
      </c>
      <c r="IJ161" s="147">
        <f t="shared" si="876"/>
        <v>3151.704079730926</v>
      </c>
      <c r="IK161" s="147">
        <f t="shared" si="877"/>
        <v>0</v>
      </c>
      <c r="IL161" s="147">
        <f t="shared" si="878"/>
        <v>11791.436761212355</v>
      </c>
      <c r="IM161" s="147">
        <f t="shared" si="879"/>
        <v>0</v>
      </c>
      <c r="IN161" s="26"/>
      <c r="IP161" s="61">
        <f t="shared" si="880"/>
        <v>3176.9101466202837</v>
      </c>
      <c r="IQ161" s="61">
        <f t="shared" si="881"/>
        <v>6546.2051982041767</v>
      </c>
      <c r="IR161" s="61">
        <f t="shared" si="882"/>
        <v>1606.6463548961508</v>
      </c>
      <c r="IS161" s="61">
        <f t="shared" si="883"/>
        <v>2109.2006298632746</v>
      </c>
      <c r="IT161" s="61">
        <f t="shared" si="884"/>
        <v>4921.485864624462</v>
      </c>
      <c r="IU161" s="61">
        <f t="shared" si="885"/>
        <v>6315.9762923231101</v>
      </c>
      <c r="IV161" s="61">
        <f t="shared" si="886"/>
        <v>10029.616438173178</v>
      </c>
      <c r="IW161" s="61">
        <f t="shared" si="887"/>
        <v>8200.1658842968154</v>
      </c>
      <c r="IX161" s="61">
        <f t="shared" si="888"/>
        <v>3404.3844534909877</v>
      </c>
      <c r="IY161" s="61">
        <f t="shared" si="889"/>
        <v>1620.4649406445449</v>
      </c>
      <c r="IZ161" s="61">
        <f t="shared" si="890"/>
        <v>44607.803107572101</v>
      </c>
      <c r="JA161" s="61">
        <f t="shared" si="891"/>
        <v>2569.2002916688625</v>
      </c>
      <c r="JB161" s="61">
        <f t="shared" si="892"/>
        <v>1317.0173440544336</v>
      </c>
      <c r="JC161" s="61">
        <f t="shared" si="893"/>
        <v>10255.82062116729</v>
      </c>
      <c r="JD161" s="61">
        <f t="shared" si="894"/>
        <v>6827.5935212445538</v>
      </c>
      <c r="JE161" s="61">
        <f t="shared" si="895"/>
        <v>11118.399051912165</v>
      </c>
      <c r="JF161" s="61">
        <f t="shared" si="896"/>
        <v>7624.8372550519844</v>
      </c>
      <c r="JG161" s="61">
        <f t="shared" si="897"/>
        <v>13912.183735429708</v>
      </c>
      <c r="JH161" s="61">
        <f t="shared" si="898"/>
        <v>3903.6458041942533</v>
      </c>
      <c r="JI161" s="61">
        <f t="shared" si="899"/>
        <v>4349.3228837960087</v>
      </c>
      <c r="JJ161" s="61">
        <f t="shared" si="900"/>
        <v>7899.4701529724171</v>
      </c>
      <c r="JK161" s="61">
        <f t="shared" si="901"/>
        <v>2772.6680927461762</v>
      </c>
      <c r="JL161" s="61">
        <f t="shared" si="902"/>
        <v>5261.8073240737822</v>
      </c>
      <c r="JM161" s="61">
        <f t="shared" si="903"/>
        <v>0</v>
      </c>
      <c r="JN161" s="61">
        <f t="shared" si="904"/>
        <v>19685.943458497848</v>
      </c>
      <c r="JO161" s="61">
        <f t="shared" si="905"/>
        <v>0</v>
      </c>
      <c r="JQ161" s="26">
        <f t="shared" si="769"/>
        <v>492915.99999999988</v>
      </c>
      <c r="JR161" s="156">
        <f t="shared" si="770"/>
        <v>0.99999999999999978</v>
      </c>
      <c r="JT161" s="157">
        <f t="shared" si="906"/>
        <v>8240.2466182108619</v>
      </c>
      <c r="JU161" s="29">
        <f t="shared" si="907"/>
        <v>1</v>
      </c>
    </row>
    <row r="162" spans="1:281" ht="18.75" x14ac:dyDescent="0.3">
      <c r="A162" t="s">
        <v>234</v>
      </c>
      <c r="B162" s="10" t="s">
        <v>96</v>
      </c>
      <c r="C162" t="s">
        <v>80</v>
      </c>
      <c r="D162" t="s">
        <v>20</v>
      </c>
      <c r="E162" t="s">
        <v>123</v>
      </c>
      <c r="F162" s="114"/>
      <c r="G162" s="17">
        <v>2212807</v>
      </c>
      <c r="H162" s="21">
        <v>1427617</v>
      </c>
      <c r="I162" s="25">
        <f t="shared" si="713"/>
        <v>1.5500004553041886</v>
      </c>
      <c r="J162" s="105">
        <v>1.6717344574351131E-2</v>
      </c>
      <c r="K162" s="105">
        <v>3.4447045368660799E-2</v>
      </c>
      <c r="L162" s="105">
        <v>8.4543973497323028E-3</v>
      </c>
      <c r="M162" s="105">
        <v>1.1098908083180746E-2</v>
      </c>
      <c r="N162" s="105">
        <v>2.5897545482755274E-2</v>
      </c>
      <c r="O162" s="105">
        <v>3.3235548734207934E-2</v>
      </c>
      <c r="P162" s="105">
        <v>5.27772414727843E-2</v>
      </c>
      <c r="Q162" s="105">
        <v>4.3150417332534503E-2</v>
      </c>
      <c r="R162" s="105">
        <v>1.7914346124368142E-2</v>
      </c>
      <c r="S162" s="105">
        <v>8.5271126765198348E-3</v>
      </c>
      <c r="T162" s="105">
        <v>0.21238675770097268</v>
      </c>
      <c r="U162" s="105">
        <v>1.3519490503073824E-2</v>
      </c>
      <c r="V162" s="105">
        <v>6.9303290728500036E-3</v>
      </c>
      <c r="W162" s="105">
        <v>5.3967559453698896E-2</v>
      </c>
      <c r="X162" s="105">
        <v>3.5927749996227679E-2</v>
      </c>
      <c r="Y162" s="105">
        <v>5.850656754132319E-2</v>
      </c>
      <c r="Z162" s="105">
        <v>4.0122957790184231E-2</v>
      </c>
      <c r="AA162" s="105">
        <v>7.320785245823952E-2</v>
      </c>
      <c r="AB162" s="105">
        <v>2.054152903076591E-2</v>
      </c>
      <c r="AC162" s="105">
        <v>2.2886744024183097E-2</v>
      </c>
      <c r="AD162" s="105">
        <v>4.1568114427954647E-2</v>
      </c>
      <c r="AE162" s="105">
        <v>1.4590166469157903E-2</v>
      </c>
      <c r="AF162" s="105">
        <v>2.7688364499060415E-2</v>
      </c>
      <c r="AG162" s="105">
        <v>2.2345727902192126E-2</v>
      </c>
      <c r="AH162" s="105">
        <v>0.1035901819310211</v>
      </c>
      <c r="AJ162" s="8">
        <f t="shared" si="740"/>
        <v>1.0000000000000004</v>
      </c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M162" s="26">
        <f t="shared" si="741"/>
        <v>36992.257095536203</v>
      </c>
      <c r="BN162" s="26">
        <f t="shared" si="742"/>
        <v>76224.663121090198</v>
      </c>
      <c r="BO162" s="26">
        <f t="shared" si="743"/>
        <v>18707.949636269088</v>
      </c>
      <c r="BP162" s="26">
        <f t="shared" si="744"/>
        <v>24559.741498818938</v>
      </c>
      <c r="BQ162" s="26">
        <f t="shared" si="745"/>
        <v>57306.269927059249</v>
      </c>
      <c r="BR162" s="26">
        <f t="shared" si="746"/>
        <v>73543.85488789645</v>
      </c>
      <c r="BS162" s="26">
        <f t="shared" si="747"/>
        <v>116785.84937166741</v>
      </c>
      <c r="BT162" s="26">
        <f t="shared" si="748"/>
        <v>95483.545526353671</v>
      </c>
      <c r="BU162" s="26">
        <f t="shared" si="749"/>
        <v>39640.990504424692</v>
      </c>
      <c r="BV162" s="26">
        <f t="shared" si="750"/>
        <v>18868.854620391827</v>
      </c>
      <c r="BW162" s="26">
        <f t="shared" si="751"/>
        <v>469970.90414801624</v>
      </c>
      <c r="BX162" s="26">
        <f t="shared" si="752"/>
        <v>29916.023221635282</v>
      </c>
      <c r="BY162" s="26">
        <f t="shared" si="753"/>
        <v>15335.480684705997</v>
      </c>
      <c r="BZ162" s="26">
        <f t="shared" si="754"/>
        <v>119419.79333206109</v>
      </c>
      <c r="CA162" s="26">
        <f t="shared" si="755"/>
        <v>79501.176685902581</v>
      </c>
      <c r="CB162" s="26">
        <f t="shared" si="756"/>
        <v>129463.74220141275</v>
      </c>
      <c r="CC162" s="26">
        <f t="shared" si="757"/>
        <v>88784.361858824195</v>
      </c>
      <c r="CD162" s="26">
        <f t="shared" si="758"/>
        <v>161994.8483745596</v>
      </c>
      <c r="CE162" s="26">
        <f t="shared" si="759"/>
        <v>45454.439229982017</v>
      </c>
      <c r="CF162" s="26">
        <f t="shared" si="760"/>
        <v>50643.947383920524</v>
      </c>
      <c r="CG162" s="26">
        <f t="shared" si="761"/>
        <v>91982.214582979039</v>
      </c>
      <c r="CH162" s="26">
        <f t="shared" si="762"/>
        <v>32285.222494117894</v>
      </c>
      <c r="CI162" s="26">
        <f t="shared" si="763"/>
        <v>61269.006782072378</v>
      </c>
      <c r="CJ162" s="26">
        <f t="shared" si="764"/>
        <v>49446.783122066052</v>
      </c>
      <c r="CK162" s="26">
        <f t="shared" si="765"/>
        <v>229225.079708237</v>
      </c>
      <c r="CL162" s="26">
        <f t="shared" si="766"/>
        <v>0</v>
      </c>
      <c r="CM162" s="110">
        <f t="shared" si="767"/>
        <v>1</v>
      </c>
      <c r="CN162" s="27">
        <f t="shared" si="933"/>
        <v>23865.965309201438</v>
      </c>
      <c r="CO162" s="27">
        <f t="shared" si="908"/>
        <v>49177.187568071422</v>
      </c>
      <c r="CP162" s="27">
        <f t="shared" si="909"/>
        <v>12069.641381232781</v>
      </c>
      <c r="CQ162" s="27">
        <f t="shared" si="910"/>
        <v>15844.989860986248</v>
      </c>
      <c r="CR162" s="27">
        <f t="shared" si="911"/>
        <v>36971.776189454635</v>
      </c>
      <c r="CS162" s="27">
        <f t="shared" si="912"/>
        <v>47447.634377283728</v>
      </c>
      <c r="CT162" s="27">
        <f t="shared" si="913"/>
        <v>75345.687139651898</v>
      </c>
      <c r="CU162" s="27">
        <f t="shared" si="914"/>
        <v>61602.26934102091</v>
      </c>
      <c r="CV162" s="27">
        <f t="shared" si="915"/>
        <v>25574.825071032075</v>
      </c>
      <c r="CW162" s="27">
        <f t="shared" si="916"/>
        <v>12173.451017915217</v>
      </c>
      <c r="CX162" s="27">
        <f t="shared" si="917"/>
        <v>303206.94586878951</v>
      </c>
      <c r="CY162" s="27">
        <f t="shared" si="918"/>
        <v>19300.654473526745</v>
      </c>
      <c r="CZ162" s="27">
        <f t="shared" si="919"/>
        <v>9893.855599994904</v>
      </c>
      <c r="DA162" s="27">
        <f t="shared" si="920"/>
        <v>77045.005324611251</v>
      </c>
      <c r="DB162" s="27">
        <f t="shared" si="921"/>
        <v>51291.066666364568</v>
      </c>
      <c r="DC162" s="27">
        <f t="shared" si="922"/>
        <v>83524.970433641181</v>
      </c>
      <c r="DD162" s="27">
        <f t="shared" si="923"/>
        <v>57280.21663154944</v>
      </c>
      <c r="DE162" s="27">
        <f t="shared" si="924"/>
        <v>104512.77470287452</v>
      </c>
      <c r="DF162" s="27">
        <f t="shared" si="925"/>
        <v>29325.436050314936</v>
      </c>
      <c r="DG162" s="27">
        <f t="shared" si="926"/>
        <v>32673.504843572202</v>
      </c>
      <c r="DH162" s="27">
        <f t="shared" si="927"/>
        <v>59343.346815293327</v>
      </c>
      <c r="DI162" s="27">
        <f t="shared" si="928"/>
        <v>20829.169684199798</v>
      </c>
      <c r="DJ162" s="27">
        <f t="shared" si="929"/>
        <v>39528.379861055131</v>
      </c>
      <c r="DK162" s="27">
        <f t="shared" si="930"/>
        <v>31901.141030543815</v>
      </c>
      <c r="DL162" s="27">
        <f t="shared" si="931"/>
        <v>147887.10475781854</v>
      </c>
      <c r="DM162" s="27">
        <f t="shared" si="932"/>
        <v>0</v>
      </c>
      <c r="DN162" s="110">
        <f t="shared" si="768"/>
        <v>1.0000000000000002</v>
      </c>
      <c r="DO162" s="28">
        <f t="shared" si="771"/>
        <v>13126.291786334765</v>
      </c>
      <c r="DP162" s="28">
        <f t="shared" si="772"/>
        <v>27047.475553018776</v>
      </c>
      <c r="DQ162" s="28">
        <f t="shared" si="773"/>
        <v>6638.3082550363069</v>
      </c>
      <c r="DR162" s="28">
        <f t="shared" si="774"/>
        <v>8714.7516378326891</v>
      </c>
      <c r="DS162" s="28">
        <f t="shared" si="775"/>
        <v>20334.493737604615</v>
      </c>
      <c r="DT162" s="28">
        <f t="shared" si="776"/>
        <v>26096.220510612722</v>
      </c>
      <c r="DU162" s="28">
        <f t="shared" si="777"/>
        <v>41440.162232015515</v>
      </c>
      <c r="DV162" s="28">
        <f t="shared" si="778"/>
        <v>33881.276185332761</v>
      </c>
      <c r="DW162" s="28">
        <f t="shared" si="779"/>
        <v>14066.165433392616</v>
      </c>
      <c r="DX162" s="28">
        <f t="shared" si="780"/>
        <v>6695.4036024766101</v>
      </c>
      <c r="DY162" s="28">
        <f t="shared" si="781"/>
        <v>166763.95827922673</v>
      </c>
      <c r="DZ162" s="28">
        <f t="shared" si="782"/>
        <v>10615.368748108536</v>
      </c>
      <c r="EA162" s="28">
        <f t="shared" si="783"/>
        <v>5441.6250847110932</v>
      </c>
      <c r="EB162" s="28">
        <f t="shared" si="784"/>
        <v>42374.788007449839</v>
      </c>
      <c r="EC162" s="28">
        <f t="shared" si="785"/>
        <v>28210.110019538013</v>
      </c>
      <c r="ED162" s="28">
        <f t="shared" si="786"/>
        <v>45938.77176777157</v>
      </c>
      <c r="EE162" s="28">
        <f t="shared" si="787"/>
        <v>31504.145227274756</v>
      </c>
      <c r="EF162" s="28">
        <f t="shared" si="788"/>
        <v>57482.073671685081</v>
      </c>
      <c r="EG162" s="28">
        <f t="shared" si="789"/>
        <v>16129.003179667081</v>
      </c>
      <c r="EH162" s="28">
        <f t="shared" si="790"/>
        <v>17970.442540348322</v>
      </c>
      <c r="EI162" s="28">
        <f t="shared" si="791"/>
        <v>32638.867767685711</v>
      </c>
      <c r="EJ162" s="28">
        <f t="shared" si="792"/>
        <v>11456.052809918096</v>
      </c>
      <c r="EK162" s="28">
        <f t="shared" si="793"/>
        <v>21740.626921017247</v>
      </c>
      <c r="EL162" s="28">
        <f t="shared" si="794"/>
        <v>17545.642091522237</v>
      </c>
      <c r="EM162" s="28">
        <f t="shared" si="795"/>
        <v>81337.974950418458</v>
      </c>
      <c r="EN162" s="28">
        <f t="shared" si="796"/>
        <v>0</v>
      </c>
      <c r="EQ162" s="144">
        <v>4.2797724320001618E-2</v>
      </c>
      <c r="ER162" s="144">
        <v>5.284075221096577E-2</v>
      </c>
      <c r="ES162" s="144">
        <v>6.2883785101928852E-2</v>
      </c>
      <c r="ET162" s="144">
        <v>7.968978495762144E-2</v>
      </c>
      <c r="EU162" s="144">
        <v>6.7640922487882546E-2</v>
      </c>
      <c r="EV162" s="144">
        <v>7.7683955378845648E-2</v>
      </c>
      <c r="EW162" s="144">
        <v>8.0323433132079042E-2</v>
      </c>
      <c r="EX162" s="144">
        <v>7.028040024111594E-2</v>
      </c>
      <c r="EY162" s="144">
        <v>8.0323433132079042E-2</v>
      </c>
      <c r="EZ162" s="144">
        <v>0.10742642744045024</v>
      </c>
      <c r="FA162" s="144">
        <v>0.10742642744045024</v>
      </c>
      <c r="FB162" s="144">
        <v>0.17068295415657964</v>
      </c>
      <c r="FC162" s="145">
        <f t="shared" si="797"/>
        <v>1</v>
      </c>
      <c r="FD162" s="146">
        <f t="shared" si="798"/>
        <v>0.15852226163289623</v>
      </c>
      <c r="FE162" s="146">
        <f t="shared" si="799"/>
        <v>0.22501466282434962</v>
      </c>
      <c r="FF162" s="146">
        <f t="shared" si="800"/>
        <v>0.23092726650527404</v>
      </c>
      <c r="FG162" s="146">
        <f t="shared" si="801"/>
        <v>0.38553580903748008</v>
      </c>
      <c r="FH162" s="145">
        <f t="shared" si="934"/>
        <v>1</v>
      </c>
      <c r="FJ162" s="52">
        <f t="shared" si="802"/>
        <v>5864.0962576899519</v>
      </c>
      <c r="FK162" s="52">
        <f t="shared" si="803"/>
        <v>12083.305990160838</v>
      </c>
      <c r="FL162" s="52">
        <f t="shared" si="804"/>
        <v>2965.6264868556941</v>
      </c>
      <c r="FM162" s="52">
        <f t="shared" si="805"/>
        <v>3893.2657675120745</v>
      </c>
      <c r="FN162" s="52">
        <f t="shared" si="806"/>
        <v>9084.3195145826594</v>
      </c>
      <c r="FO162" s="52">
        <f t="shared" si="807"/>
        <v>11658.338206030876</v>
      </c>
      <c r="FP162" s="52">
        <f t="shared" si="808"/>
        <v>18513.156969115473</v>
      </c>
      <c r="FQ162" s="52">
        <f t="shared" si="809"/>
        <v>15136.267585565196</v>
      </c>
      <c r="FR162" s="52">
        <f t="shared" si="810"/>
        <v>6283.9794681295662</v>
      </c>
      <c r="FS162" s="52">
        <f t="shared" si="811"/>
        <v>2991.1335088468363</v>
      </c>
      <c r="FT162" s="52">
        <f t="shared" si="812"/>
        <v>74500.850627200634</v>
      </c>
      <c r="FU162" s="52">
        <f t="shared" si="813"/>
        <v>4742.3556601558676</v>
      </c>
      <c r="FV162" s="52">
        <f t="shared" si="814"/>
        <v>2431.0150813671908</v>
      </c>
      <c r="FW162" s="52">
        <f t="shared" si="815"/>
        <v>18930.695722731387</v>
      </c>
      <c r="FX162" s="52">
        <f t="shared" si="816"/>
        <v>12602.706330725759</v>
      </c>
      <c r="FY162" s="52">
        <f t="shared" si="817"/>
        <v>20522.885213226182</v>
      </c>
      <c r="FZ162" s="52">
        <f t="shared" si="818"/>
        <v>14074.297839494262</v>
      </c>
      <c r="GA162" s="52">
        <f t="shared" si="819"/>
        <v>25679.789737213294</v>
      </c>
      <c r="GB162" s="52">
        <f t="shared" si="820"/>
        <v>7205.5405079917919</v>
      </c>
      <c r="GC162" s="52">
        <f t="shared" si="821"/>
        <v>8028.1930773164804</v>
      </c>
      <c r="GD162" s="52">
        <f t="shared" si="822"/>
        <v>14581.228685696207</v>
      </c>
      <c r="GE162" s="52">
        <f t="shared" si="823"/>
        <v>5117.9264870888237</v>
      </c>
      <c r="GF162" s="52">
        <f t="shared" si="824"/>
        <v>9712.5015230953704</v>
      </c>
      <c r="GG162" s="52">
        <f t="shared" si="825"/>
        <v>7838.4158909812322</v>
      </c>
      <c r="GH162" s="52">
        <f t="shared" si="826"/>
        <v>36337.278058330638</v>
      </c>
      <c r="GI162" s="52">
        <f t="shared" si="827"/>
        <v>0</v>
      </c>
      <c r="GJ162" s="26"/>
      <c r="GL162" s="150">
        <f t="shared" si="828"/>
        <v>8323.8002574637339</v>
      </c>
      <c r="GM162" s="150">
        <f t="shared" si="829"/>
        <v>17151.666871091747</v>
      </c>
      <c r="GN162" s="150">
        <f t="shared" si="830"/>
        <v>4209.5629795400027</v>
      </c>
      <c r="GO162" s="150">
        <f t="shared" si="831"/>
        <v>5526.30195240993</v>
      </c>
      <c r="GP162" s="150">
        <f t="shared" si="832"/>
        <v>12894.751005358403</v>
      </c>
      <c r="GQ162" s="150">
        <f t="shared" si="833"/>
        <v>16548.445710402917</v>
      </c>
      <c r="GR162" s="150">
        <f t="shared" si="834"/>
        <v>26278.528519021027</v>
      </c>
      <c r="GS162" s="150">
        <f t="shared" si="835"/>
        <v>21485.197801885908</v>
      </c>
      <c r="GT162" s="150">
        <f t="shared" si="836"/>
        <v>8919.8041123763669</v>
      </c>
      <c r="GU162" s="150">
        <f t="shared" si="837"/>
        <v>4245.7689602891387</v>
      </c>
      <c r="GV162" s="150">
        <f t="shared" si="838"/>
        <v>105750.34453412061</v>
      </c>
      <c r="GW162" s="150">
        <f t="shared" si="839"/>
        <v>6731.5438782616766</v>
      </c>
      <c r="GX162" s="150">
        <f t="shared" si="840"/>
        <v>3450.7080155184462</v>
      </c>
      <c r="GY162" s="150">
        <f t="shared" si="841"/>
        <v>26871.204531167241</v>
      </c>
      <c r="GZ162" s="150">
        <f t="shared" si="842"/>
        <v>17888.930466117414</v>
      </c>
      <c r="HA162" s="150">
        <f t="shared" si="843"/>
        <v>29131.240299429413</v>
      </c>
      <c r="HB162" s="150">
        <f t="shared" si="844"/>
        <v>19977.783247738374</v>
      </c>
      <c r="HC162" s="150">
        <f t="shared" si="845"/>
        <v>36451.216186283171</v>
      </c>
      <c r="HD162" s="150">
        <f t="shared" si="846"/>
        <v>10227.915317204293</v>
      </c>
      <c r="HE162" s="150">
        <f t="shared" si="847"/>
        <v>11395.63074468698</v>
      </c>
      <c r="HF162" s="150">
        <f t="shared" si="848"/>
        <v>20697.347000226004</v>
      </c>
      <c r="HG162" s="150">
        <f t="shared" si="849"/>
        <v>7264.6484537230453</v>
      </c>
      <c r="HH162" s="150">
        <f t="shared" si="850"/>
        <v>13786.424902650806</v>
      </c>
      <c r="HI162" s="150">
        <f t="shared" si="851"/>
        <v>11126.251231960434</v>
      </c>
      <c r="HJ162" s="150">
        <f t="shared" si="852"/>
        <v>51579.004021433611</v>
      </c>
      <c r="HK162" s="150">
        <f t="shared" si="853"/>
        <v>0</v>
      </c>
      <c r="HL162" s="26"/>
      <c r="HN162" s="147">
        <f t="shared" si="854"/>
        <v>8542.5208129325038</v>
      </c>
      <c r="HO162" s="147">
        <f t="shared" si="855"/>
        <v>17602.353094838731</v>
      </c>
      <c r="HP162" s="147">
        <f t="shared" si="856"/>
        <v>4320.1756714219564</v>
      </c>
      <c r="HQ162" s="147">
        <f t="shared" si="857"/>
        <v>5671.5139703983996</v>
      </c>
      <c r="HR162" s="147">
        <f t="shared" si="858"/>
        <v>13233.580267869182</v>
      </c>
      <c r="HS162" s="147">
        <f t="shared" si="859"/>
        <v>16983.281377522464</v>
      </c>
      <c r="HT162" s="147">
        <f t="shared" si="860"/>
        <v>26969.036961895832</v>
      </c>
      <c r="HU162" s="147">
        <f t="shared" si="861"/>
        <v>22049.754164632741</v>
      </c>
      <c r="HV162" s="147">
        <f t="shared" si="862"/>
        <v>9154.1855787483182</v>
      </c>
      <c r="HW162" s="147">
        <f t="shared" si="863"/>
        <v>4357.3330195724948</v>
      </c>
      <c r="HX162" s="147">
        <f t="shared" si="864"/>
        <v>108529.09623191354</v>
      </c>
      <c r="HY162" s="147">
        <f t="shared" si="865"/>
        <v>6908.4254672805373</v>
      </c>
      <c r="HZ162" s="147">
        <f t="shared" si="866"/>
        <v>3541.3806350635841</v>
      </c>
      <c r="IA162" s="147">
        <f t="shared" si="867"/>
        <v>27577.286440797619</v>
      </c>
      <c r="IB162" s="147">
        <f t="shared" si="868"/>
        <v>18358.989416028304</v>
      </c>
      <c r="IC162" s="147">
        <f t="shared" si="869"/>
        <v>29896.708098115734</v>
      </c>
      <c r="ID162" s="147">
        <f t="shared" si="870"/>
        <v>20502.729992473382</v>
      </c>
      <c r="IE162" s="147">
        <f t="shared" si="871"/>
        <v>37409.027523073382</v>
      </c>
      <c r="IF162" s="147">
        <f t="shared" si="872"/>
        <v>10496.669401909841</v>
      </c>
      <c r="IG162" s="147">
        <f t="shared" si="873"/>
        <v>11695.068334405691</v>
      </c>
      <c r="IH162" s="147">
        <f t="shared" si="874"/>
        <v>21241.201380748906</v>
      </c>
      <c r="II162" s="147">
        <f t="shared" si="875"/>
        <v>7455.5381790812307</v>
      </c>
      <c r="IJ162" s="147">
        <f t="shared" si="876"/>
        <v>14148.68425767707</v>
      </c>
      <c r="IK162" s="147">
        <f t="shared" si="877"/>
        <v>11418.610463857833</v>
      </c>
      <c r="IL162" s="147">
        <f t="shared" si="878"/>
        <v>52934.321071476727</v>
      </c>
      <c r="IM162" s="147">
        <f t="shared" si="879"/>
        <v>0</v>
      </c>
      <c r="IN162" s="26"/>
      <c r="IP162" s="61">
        <f t="shared" si="880"/>
        <v>14261.839767450014</v>
      </c>
      <c r="IQ162" s="61">
        <f t="shared" si="881"/>
        <v>29387.33716499888</v>
      </c>
      <c r="IR162" s="61">
        <f t="shared" si="882"/>
        <v>7212.5844984514342</v>
      </c>
      <c r="IS162" s="61">
        <f t="shared" si="883"/>
        <v>9468.6598084985326</v>
      </c>
      <c r="IT162" s="61">
        <f t="shared" si="884"/>
        <v>22093.619139249004</v>
      </c>
      <c r="IU162" s="61">
        <f t="shared" si="885"/>
        <v>28353.789593940193</v>
      </c>
      <c r="IV162" s="61">
        <f t="shared" si="886"/>
        <v>45025.126921635077</v>
      </c>
      <c r="IW162" s="61">
        <f t="shared" si="887"/>
        <v>36812.325974269821</v>
      </c>
      <c r="IX162" s="61">
        <f t="shared" si="888"/>
        <v>15283.021345170439</v>
      </c>
      <c r="IY162" s="61">
        <f t="shared" si="889"/>
        <v>7274.6191316833574</v>
      </c>
      <c r="IZ162" s="61">
        <f t="shared" si="890"/>
        <v>181190.61275478144</v>
      </c>
      <c r="JA162" s="61">
        <f t="shared" si="891"/>
        <v>11533.6982159372</v>
      </c>
      <c r="JB162" s="61">
        <f t="shared" si="892"/>
        <v>5912.3769527567756</v>
      </c>
      <c r="JC162" s="61">
        <f t="shared" si="893"/>
        <v>46040.606637364843</v>
      </c>
      <c r="JD162" s="61">
        <f t="shared" si="894"/>
        <v>30650.5504730311</v>
      </c>
      <c r="JE162" s="61">
        <f t="shared" si="895"/>
        <v>49912.908590641418</v>
      </c>
      <c r="JF162" s="61">
        <f t="shared" si="896"/>
        <v>34229.550779118174</v>
      </c>
      <c r="JG162" s="61">
        <f t="shared" si="897"/>
        <v>62454.814927989748</v>
      </c>
      <c r="JH162" s="61">
        <f t="shared" si="898"/>
        <v>17524.31400287609</v>
      </c>
      <c r="JI162" s="61">
        <f t="shared" si="899"/>
        <v>19525.055227511373</v>
      </c>
      <c r="JJ162" s="61">
        <f t="shared" si="900"/>
        <v>35462.437516307924</v>
      </c>
      <c r="JK162" s="61">
        <f t="shared" si="901"/>
        <v>12447.109374224792</v>
      </c>
      <c r="JL162" s="61">
        <f t="shared" si="902"/>
        <v>23621.396098649129</v>
      </c>
      <c r="JM162" s="61">
        <f t="shared" si="903"/>
        <v>19063.505535266551</v>
      </c>
      <c r="JN162" s="61">
        <f t="shared" si="904"/>
        <v>88374.476556996015</v>
      </c>
      <c r="JO162" s="61">
        <f t="shared" si="905"/>
        <v>0</v>
      </c>
      <c r="JQ162" s="26">
        <f t="shared" si="769"/>
        <v>2212807.0000000005</v>
      </c>
      <c r="JR162" s="156">
        <f t="shared" si="770"/>
        <v>1.0000000000000002</v>
      </c>
      <c r="JT162" s="157">
        <f t="shared" si="906"/>
        <v>36992.25709553621</v>
      </c>
      <c r="JU162" s="29">
        <f t="shared" si="907"/>
        <v>1.0000000000000002</v>
      </c>
    </row>
    <row r="163" spans="1:281" ht="18.75" x14ac:dyDescent="0.3">
      <c r="A163" t="s">
        <v>234</v>
      </c>
      <c r="B163" s="10" t="s">
        <v>223</v>
      </c>
      <c r="C163" t="s">
        <v>80</v>
      </c>
      <c r="D163" t="s">
        <v>20</v>
      </c>
      <c r="F163" s="114"/>
      <c r="G163" s="17">
        <v>150472</v>
      </c>
      <c r="H163" s="21">
        <v>151992</v>
      </c>
      <c r="I163" s="25">
        <f t="shared" si="713"/>
        <v>0.9899994736565082</v>
      </c>
      <c r="J163" s="105">
        <v>1.6717344574351131E-2</v>
      </c>
      <c r="K163" s="105">
        <v>3.4447045368660799E-2</v>
      </c>
      <c r="L163" s="105">
        <v>8.4543973497323028E-3</v>
      </c>
      <c r="M163" s="105">
        <v>1.1098908083180748E-2</v>
      </c>
      <c r="N163" s="105">
        <v>2.5897545482755278E-2</v>
      </c>
      <c r="O163" s="105">
        <v>3.3235548734207934E-2</v>
      </c>
      <c r="P163" s="105">
        <v>5.27772414727843E-2</v>
      </c>
      <c r="Q163" s="105">
        <v>4.3150417332534503E-2</v>
      </c>
      <c r="R163" s="105">
        <v>1.7914346124368142E-2</v>
      </c>
      <c r="S163" s="105">
        <v>8.5271126765198348E-3</v>
      </c>
      <c r="T163" s="105">
        <v>0.23473248560316456</v>
      </c>
      <c r="U163" s="105">
        <v>1.3519490503073826E-2</v>
      </c>
      <c r="V163" s="105">
        <v>6.9303290728500028E-3</v>
      </c>
      <c r="W163" s="105">
        <v>5.3967559453698889E-2</v>
      </c>
      <c r="X163" s="105">
        <v>3.5927749996227679E-2</v>
      </c>
      <c r="Y163" s="105">
        <v>5.8506567541323183E-2</v>
      </c>
      <c r="Z163" s="105">
        <v>4.0122957790184231E-2</v>
      </c>
      <c r="AA163" s="105">
        <v>7.3207852458239533E-2</v>
      </c>
      <c r="AB163" s="105">
        <v>2.0541529030765913E-2</v>
      </c>
      <c r="AC163" s="105">
        <v>2.2886744024183097E-2</v>
      </c>
      <c r="AD163" s="105">
        <v>4.1568114427954647E-2</v>
      </c>
      <c r="AE163" s="105">
        <v>1.4590166469157905E-2</v>
      </c>
      <c r="AF163" s="105">
        <v>2.7688364499060415E-2</v>
      </c>
      <c r="AG163" s="105">
        <v>0</v>
      </c>
      <c r="AH163" s="105">
        <v>0.10359018193102111</v>
      </c>
      <c r="AJ163" s="8">
        <f t="shared" si="740"/>
        <v>1</v>
      </c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159"/>
      <c r="BG163" s="159"/>
      <c r="BH163" s="159"/>
      <c r="BI163" s="159"/>
      <c r="BJ163" s="159"/>
      <c r="BM163" s="26">
        <f t="shared" si="741"/>
        <v>2515.4922727917633</v>
      </c>
      <c r="BN163" s="26">
        <f t="shared" si="742"/>
        <v>5183.3158107131276</v>
      </c>
      <c r="BO163" s="26">
        <f t="shared" si="743"/>
        <v>1272.1500780089191</v>
      </c>
      <c r="BP163" s="26">
        <f t="shared" si="744"/>
        <v>1670.0748970923735</v>
      </c>
      <c r="BQ163" s="26">
        <f t="shared" si="745"/>
        <v>3896.855463881152</v>
      </c>
      <c r="BR163" s="26">
        <f t="shared" si="746"/>
        <v>5001.019489133736</v>
      </c>
      <c r="BS163" s="26">
        <f t="shared" si="747"/>
        <v>7941.4970788927994</v>
      </c>
      <c r="BT163" s="26">
        <f t="shared" si="748"/>
        <v>6492.9295968611314</v>
      </c>
      <c r="BU163" s="26">
        <f t="shared" si="749"/>
        <v>2695.6074900259232</v>
      </c>
      <c r="BV163" s="26">
        <f t="shared" si="750"/>
        <v>1283.0916986612926</v>
      </c>
      <c r="BW163" s="26">
        <f t="shared" si="751"/>
        <v>35320.66657367938</v>
      </c>
      <c r="BX163" s="26">
        <f t="shared" si="752"/>
        <v>2034.3047749785248</v>
      </c>
      <c r="BY163" s="26">
        <f t="shared" si="753"/>
        <v>1042.8204762498856</v>
      </c>
      <c r="BZ163" s="26">
        <f t="shared" si="754"/>
        <v>8120.6066061169795</v>
      </c>
      <c r="CA163" s="26">
        <f t="shared" si="755"/>
        <v>5406.1203974323716</v>
      </c>
      <c r="CB163" s="26">
        <f t="shared" si="756"/>
        <v>8803.6002310779822</v>
      </c>
      <c r="CC163" s="26">
        <f t="shared" si="757"/>
        <v>6037.3817046046015</v>
      </c>
      <c r="CD163" s="26">
        <f t="shared" si="758"/>
        <v>11015.73197509622</v>
      </c>
      <c r="CE163" s="26">
        <f t="shared" si="759"/>
        <v>3090.9249563174085</v>
      </c>
      <c r="CF163" s="26">
        <f t="shared" si="760"/>
        <v>3443.8141468068789</v>
      </c>
      <c r="CG163" s="26">
        <f t="shared" si="761"/>
        <v>6254.8373142031915</v>
      </c>
      <c r="CH163" s="26">
        <f t="shared" si="762"/>
        <v>2195.4115289471283</v>
      </c>
      <c r="CI163" s="26">
        <f t="shared" si="763"/>
        <v>4166.3235829026189</v>
      </c>
      <c r="CJ163" s="26">
        <f t="shared" si="764"/>
        <v>0</v>
      </c>
      <c r="CK163" s="26">
        <f t="shared" si="765"/>
        <v>15587.421855524608</v>
      </c>
      <c r="CL163" s="26">
        <f t="shared" si="766"/>
        <v>0</v>
      </c>
      <c r="CM163" s="110">
        <f t="shared" si="767"/>
        <v>1</v>
      </c>
      <c r="CN163" s="27">
        <f t="shared" si="933"/>
        <v>2540.9026365447771</v>
      </c>
      <c r="CO163" s="27">
        <f t="shared" si="908"/>
        <v>5235.6753196734917</v>
      </c>
      <c r="CP163" s="27">
        <f t="shared" si="909"/>
        <v>1285.0007619805122</v>
      </c>
      <c r="CQ163" s="27">
        <f t="shared" si="910"/>
        <v>1686.9452373788083</v>
      </c>
      <c r="CR163" s="27">
        <f t="shared" si="911"/>
        <v>3936.2197330149402</v>
      </c>
      <c r="CS163" s="27">
        <f t="shared" si="912"/>
        <v>5051.5375232097322</v>
      </c>
      <c r="CT163" s="27">
        <f t="shared" si="913"/>
        <v>8021.7184859314311</v>
      </c>
      <c r="CU163" s="27">
        <f t="shared" si="914"/>
        <v>6558.5182312065845</v>
      </c>
      <c r="CV163" s="27">
        <f t="shared" si="915"/>
        <v>2722.8372961349628</v>
      </c>
      <c r="CW163" s="27">
        <f t="shared" si="916"/>
        <v>1296.0529099296027</v>
      </c>
      <c r="CX163" s="27">
        <f t="shared" si="917"/>
        <v>35677.459951796191</v>
      </c>
      <c r="CY163" s="27">
        <f t="shared" si="918"/>
        <v>2054.8544005431968</v>
      </c>
      <c r="CZ163" s="27">
        <f t="shared" si="919"/>
        <v>1053.3545764406176</v>
      </c>
      <c r="DA163" s="27">
        <f t="shared" si="920"/>
        <v>8202.6372964866023</v>
      </c>
      <c r="DB163" s="27">
        <f t="shared" si="921"/>
        <v>5460.730577426637</v>
      </c>
      <c r="DC163" s="27">
        <f t="shared" si="922"/>
        <v>8892.5302137407925</v>
      </c>
      <c r="DD163" s="27">
        <f t="shared" si="923"/>
        <v>6098.3686004456813</v>
      </c>
      <c r="DE163" s="27">
        <f t="shared" si="924"/>
        <v>11127.007910832743</v>
      </c>
      <c r="DF163" s="27">
        <f t="shared" si="925"/>
        <v>3122.1480804441726</v>
      </c>
      <c r="DG163" s="27">
        <f t="shared" si="926"/>
        <v>3478.6019977236374</v>
      </c>
      <c r="DH163" s="27">
        <f t="shared" si="927"/>
        <v>6318.0208481336831</v>
      </c>
      <c r="DI163" s="27">
        <f t="shared" si="928"/>
        <v>2217.5885819802484</v>
      </c>
      <c r="DJ163" s="27">
        <f t="shared" si="929"/>
        <v>4208.4098969411907</v>
      </c>
      <c r="DK163" s="27">
        <f t="shared" si="930"/>
        <v>0</v>
      </c>
      <c r="DL163" s="27">
        <f t="shared" si="931"/>
        <v>15744.878932059761</v>
      </c>
      <c r="DM163" s="27">
        <f t="shared" si="932"/>
        <v>0</v>
      </c>
      <c r="DN163" s="110">
        <f t="shared" si="768"/>
        <v>1</v>
      </c>
      <c r="DO163" s="28">
        <f t="shared" si="771"/>
        <v>-25.410363753013826</v>
      </c>
      <c r="DP163" s="28">
        <f t="shared" si="772"/>
        <v>-52.35950896036411</v>
      </c>
      <c r="DQ163" s="28">
        <f t="shared" si="773"/>
        <v>-12.850683971593071</v>
      </c>
      <c r="DR163" s="28">
        <f t="shared" si="774"/>
        <v>-16.870340286434839</v>
      </c>
      <c r="DS163" s="28">
        <f t="shared" si="775"/>
        <v>-39.364269133788184</v>
      </c>
      <c r="DT163" s="28">
        <f t="shared" si="776"/>
        <v>-50.518034075996184</v>
      </c>
      <c r="DU163" s="28">
        <f t="shared" si="777"/>
        <v>-80.221407038631696</v>
      </c>
      <c r="DV163" s="28">
        <f t="shared" si="778"/>
        <v>-65.588634345453102</v>
      </c>
      <c r="DW163" s="28">
        <f t="shared" si="779"/>
        <v>-27.2298061090396</v>
      </c>
      <c r="DX163" s="28">
        <f t="shared" si="780"/>
        <v>-12.96121126831008</v>
      </c>
      <c r="DY163" s="28">
        <f t="shared" si="781"/>
        <v>-356.79337811681035</v>
      </c>
      <c r="DZ163" s="28">
        <f t="shared" si="782"/>
        <v>-20.549625564671942</v>
      </c>
      <c r="EA163" s="28">
        <f t="shared" si="783"/>
        <v>-10.534100190732033</v>
      </c>
      <c r="EB163" s="28">
        <f t="shared" si="784"/>
        <v>-82.030690369622789</v>
      </c>
      <c r="EC163" s="28">
        <f t="shared" si="785"/>
        <v>-54.610179994265309</v>
      </c>
      <c r="ED163" s="28">
        <f t="shared" si="786"/>
        <v>-88.929982662810289</v>
      </c>
      <c r="EE163" s="28">
        <f t="shared" si="787"/>
        <v>-60.986895841079786</v>
      </c>
      <c r="EF163" s="28">
        <f t="shared" si="788"/>
        <v>-111.27593573652302</v>
      </c>
      <c r="EG163" s="28">
        <f t="shared" si="789"/>
        <v>-31.223124126764105</v>
      </c>
      <c r="EH163" s="28">
        <f t="shared" si="790"/>
        <v>-34.787850916758543</v>
      </c>
      <c r="EI163" s="28">
        <f t="shared" si="791"/>
        <v>-63.183533930491649</v>
      </c>
      <c r="EJ163" s="28">
        <f t="shared" si="792"/>
        <v>-22.177053033120046</v>
      </c>
      <c r="EK163" s="28">
        <f t="shared" si="793"/>
        <v>-42.0863140385718</v>
      </c>
      <c r="EL163" s="28">
        <f t="shared" si="794"/>
        <v>0</v>
      </c>
      <c r="EM163" s="28">
        <f t="shared" si="795"/>
        <v>-157.45707653515274</v>
      </c>
      <c r="EN163" s="28">
        <f t="shared" si="796"/>
        <v>0</v>
      </c>
      <c r="EQ163" s="144">
        <v>4.2797724320001618E-2</v>
      </c>
      <c r="ER163" s="144">
        <v>5.284075221096577E-2</v>
      </c>
      <c r="ES163" s="144">
        <v>6.2883785101928852E-2</v>
      </c>
      <c r="ET163" s="144">
        <v>7.968978495762144E-2</v>
      </c>
      <c r="EU163" s="144">
        <v>6.7640922487882546E-2</v>
      </c>
      <c r="EV163" s="144">
        <v>7.7683955378845648E-2</v>
      </c>
      <c r="EW163" s="144">
        <v>8.0323433132079042E-2</v>
      </c>
      <c r="EX163" s="144">
        <v>7.028040024111594E-2</v>
      </c>
      <c r="EY163" s="144">
        <v>8.0323433132079042E-2</v>
      </c>
      <c r="EZ163" s="144">
        <v>0.10742642744045024</v>
      </c>
      <c r="FA163" s="144">
        <v>0.10742642744045024</v>
      </c>
      <c r="FB163" s="144">
        <v>0.17068295415657964</v>
      </c>
      <c r="FC163" s="145">
        <f t="shared" si="797"/>
        <v>1</v>
      </c>
      <c r="FD163" s="146">
        <f t="shared" si="798"/>
        <v>0.15852226163289623</v>
      </c>
      <c r="FE163" s="146">
        <f t="shared" si="799"/>
        <v>0.22501466282434962</v>
      </c>
      <c r="FF163" s="146">
        <f t="shared" si="800"/>
        <v>0.23092726650527404</v>
      </c>
      <c r="FG163" s="146">
        <f t="shared" si="801"/>
        <v>0.38553580903748008</v>
      </c>
      <c r="FH163" s="145">
        <f t="shared" si="934"/>
        <v>1</v>
      </c>
      <c r="FJ163" s="52">
        <f t="shared" si="802"/>
        <v>398.76152420302469</v>
      </c>
      <c r="FK163" s="52">
        <f t="shared" si="803"/>
        <v>821.67094507179411</v>
      </c>
      <c r="FL163" s="52">
        <f t="shared" si="804"/>
        <v>201.66410750243924</v>
      </c>
      <c r="FM163" s="52">
        <f t="shared" si="805"/>
        <v>264.74404978340948</v>
      </c>
      <c r="FN163" s="52">
        <f t="shared" si="806"/>
        <v>617.73834139094924</v>
      </c>
      <c r="FO163" s="52">
        <f t="shared" si="807"/>
        <v>792.77291988767115</v>
      </c>
      <c r="FP163" s="52">
        <f t="shared" si="808"/>
        <v>1258.9040776971256</v>
      </c>
      <c r="FQ163" s="52">
        <f t="shared" si="809"/>
        <v>1029.2738843175957</v>
      </c>
      <c r="FR163" s="52">
        <f t="shared" si="810"/>
        <v>427.31379579348413</v>
      </c>
      <c r="FS163" s="52">
        <f t="shared" si="811"/>
        <v>203.39859795418269</v>
      </c>
      <c r="FT163" s="52">
        <f t="shared" si="812"/>
        <v>5599.111947641095</v>
      </c>
      <c r="FU163" s="52">
        <f t="shared" si="813"/>
        <v>322.48259378019583</v>
      </c>
      <c r="FV163" s="52">
        <f t="shared" si="814"/>
        <v>165.31026037222583</v>
      </c>
      <c r="FW163" s="52">
        <f t="shared" si="815"/>
        <v>1287.2969250327014</v>
      </c>
      <c r="FX163" s="52">
        <f t="shared" si="816"/>
        <v>856.99043206071133</v>
      </c>
      <c r="FY163" s="52">
        <f t="shared" si="817"/>
        <v>1395.5666191423697</v>
      </c>
      <c r="FZ163" s="52">
        <f t="shared" si="818"/>
        <v>957.05940215499163</v>
      </c>
      <c r="GA163" s="52">
        <f t="shared" si="819"/>
        <v>1746.2387462340637</v>
      </c>
      <c r="GB163" s="52">
        <f t="shared" si="820"/>
        <v>489.98041461299658</v>
      </c>
      <c r="GC163" s="52">
        <f t="shared" si="821"/>
        <v>545.92120719518937</v>
      </c>
      <c r="GD163" s="52">
        <f t="shared" si="822"/>
        <v>991.53095719332032</v>
      </c>
      <c r="GE163" s="52">
        <f t="shared" si="823"/>
        <v>348.0216007836334</v>
      </c>
      <c r="GF163" s="52">
        <f t="shared" si="824"/>
        <v>660.45503705619456</v>
      </c>
      <c r="GG163" s="52">
        <f t="shared" si="825"/>
        <v>0</v>
      </c>
      <c r="GH163" s="52">
        <f t="shared" si="826"/>
        <v>2470.953365563797</v>
      </c>
      <c r="GI163" s="52">
        <f t="shared" si="827"/>
        <v>0</v>
      </c>
      <c r="GJ163" s="26"/>
      <c r="GL163" s="150">
        <f t="shared" si="828"/>
        <v>566.02264559949549</v>
      </c>
      <c r="GM163" s="150">
        <f t="shared" si="829"/>
        <v>1166.3220594597349</v>
      </c>
      <c r="GN163" s="150">
        <f t="shared" si="830"/>
        <v>286.25242086514697</v>
      </c>
      <c r="GO163" s="150">
        <f t="shared" si="831"/>
        <v>375.79133986065079</v>
      </c>
      <c r="GP163" s="150">
        <f t="shared" si="832"/>
        <v>876.84961828044197</v>
      </c>
      <c r="GQ163" s="150">
        <f t="shared" si="833"/>
        <v>1125.3027141254288</v>
      </c>
      <c r="GR163" s="150">
        <f t="shared" si="834"/>
        <v>1786.9532875276207</v>
      </c>
      <c r="GS163" s="150">
        <f t="shared" si="835"/>
        <v>1461.0043639799478</v>
      </c>
      <c r="GT163" s="150">
        <f t="shared" si="836"/>
        <v>606.55121047497448</v>
      </c>
      <c r="GU163" s="150">
        <f t="shared" si="837"/>
        <v>288.71444594699278</v>
      </c>
      <c r="GV163" s="150">
        <f t="shared" si="838"/>
        <v>7947.6678798077419</v>
      </c>
      <c r="GW163" s="150">
        <f t="shared" si="839"/>
        <v>457.74840302375719</v>
      </c>
      <c r="GX163" s="150">
        <f t="shared" si="840"/>
        <v>234.64989784969569</v>
      </c>
      <c r="GY163" s="150">
        <f t="shared" si="841"/>
        <v>1827.2555574045982</v>
      </c>
      <c r="GZ163" s="150">
        <f t="shared" si="842"/>
        <v>1216.4563584160842</v>
      </c>
      <c r="HA163" s="150">
        <f t="shared" si="843"/>
        <v>1980.9391376363785</v>
      </c>
      <c r="HB163" s="150">
        <f t="shared" si="844"/>
        <v>1358.4994086035015</v>
      </c>
      <c r="HC163" s="150">
        <f t="shared" si="845"/>
        <v>2478.7012161396829</v>
      </c>
      <c r="HD163" s="150">
        <f t="shared" si="846"/>
        <v>695.50343686112922</v>
      </c>
      <c r="HE163" s="150">
        <f t="shared" si="847"/>
        <v>774.90867907347513</v>
      </c>
      <c r="HF163" s="150">
        <f t="shared" si="848"/>
        <v>1407.4301092765918</v>
      </c>
      <c r="HG163" s="150">
        <f t="shared" si="849"/>
        <v>493.99978494672797</v>
      </c>
      <c r="HH163" s="150">
        <f t="shared" si="850"/>
        <v>937.48389622396905</v>
      </c>
      <c r="HI163" s="150">
        <f t="shared" si="851"/>
        <v>0</v>
      </c>
      <c r="HJ163" s="150">
        <f t="shared" si="852"/>
        <v>3507.3984731217679</v>
      </c>
      <c r="HK163" s="150">
        <f t="shared" si="853"/>
        <v>0</v>
      </c>
      <c r="HL163" s="26"/>
      <c r="HN163" s="147">
        <f t="shared" si="854"/>
        <v>580.89575447094103</v>
      </c>
      <c r="HO163" s="147">
        <f t="shared" si="855"/>
        <v>1196.968951601551</v>
      </c>
      <c r="HP163" s="147">
        <f t="shared" si="856"/>
        <v>293.77414009907079</v>
      </c>
      <c r="HQ163" s="147">
        <f t="shared" si="857"/>
        <v>385.66583084461865</v>
      </c>
      <c r="HR163" s="147">
        <f t="shared" si="858"/>
        <v>899.89018024021607</v>
      </c>
      <c r="HS163" s="147">
        <f t="shared" si="859"/>
        <v>1154.8717603652556</v>
      </c>
      <c r="HT163" s="147">
        <f t="shared" si="860"/>
        <v>1833.9082123883327</v>
      </c>
      <c r="HU163" s="147">
        <f t="shared" si="861"/>
        <v>1499.3944834143319</v>
      </c>
      <c r="HV163" s="147">
        <f t="shared" si="862"/>
        <v>622.48926924282921</v>
      </c>
      <c r="HW163" s="147">
        <f t="shared" si="863"/>
        <v>296.3008586474611</v>
      </c>
      <c r="HX163" s="147">
        <f t="shared" si="864"/>
        <v>8156.5049830039825</v>
      </c>
      <c r="HY163" s="147">
        <f t="shared" si="865"/>
        <v>469.77644092441733</v>
      </c>
      <c r="HZ163" s="147">
        <f t="shared" si="866"/>
        <v>240.81568203611411</v>
      </c>
      <c r="IA163" s="147">
        <f t="shared" si="867"/>
        <v>1875.2694859152646</v>
      </c>
      <c r="IB163" s="147">
        <f t="shared" si="868"/>
        <v>1248.4206057774634</v>
      </c>
      <c r="IC163" s="147">
        <f t="shared" si="869"/>
        <v>2032.9913367680374</v>
      </c>
      <c r="ID163" s="147">
        <f t="shared" si="870"/>
        <v>1394.1960538932924</v>
      </c>
      <c r="IE163" s="147">
        <f t="shared" si="871"/>
        <v>2543.8328735637133</v>
      </c>
      <c r="IF163" s="147">
        <f t="shared" si="872"/>
        <v>713.77885113531272</v>
      </c>
      <c r="IG163" s="147">
        <f t="shared" si="873"/>
        <v>795.27058727430506</v>
      </c>
      <c r="IH163" s="147">
        <f t="shared" si="874"/>
        <v>1444.4124834041329</v>
      </c>
      <c r="II163" s="147">
        <f t="shared" si="875"/>
        <v>506.98038323392467</v>
      </c>
      <c r="IJ163" s="147">
        <f t="shared" si="876"/>
        <v>962.1177163761613</v>
      </c>
      <c r="IK163" s="147">
        <f t="shared" si="877"/>
        <v>0</v>
      </c>
      <c r="IL163" s="147">
        <f t="shared" si="878"/>
        <v>3599.5607209608643</v>
      </c>
      <c r="IM163" s="147">
        <f t="shared" si="879"/>
        <v>0</v>
      </c>
      <c r="IN163" s="26"/>
      <c r="IP163" s="61">
        <f t="shared" si="880"/>
        <v>969.81234851830197</v>
      </c>
      <c r="IQ163" s="61">
        <f t="shared" si="881"/>
        <v>1998.3538545800477</v>
      </c>
      <c r="IR163" s="61">
        <f t="shared" si="882"/>
        <v>490.45940954226199</v>
      </c>
      <c r="IS163" s="61">
        <f t="shared" si="883"/>
        <v>643.87367660369455</v>
      </c>
      <c r="IT163" s="61">
        <f t="shared" si="884"/>
        <v>1502.3773239695447</v>
      </c>
      <c r="IU163" s="61">
        <f t="shared" si="885"/>
        <v>1928.0720947553802</v>
      </c>
      <c r="IV163" s="61">
        <f t="shared" si="886"/>
        <v>3061.7315012797203</v>
      </c>
      <c r="IW163" s="61">
        <f t="shared" si="887"/>
        <v>2503.2568651492556</v>
      </c>
      <c r="IX163" s="61">
        <f t="shared" si="888"/>
        <v>1039.2532145146354</v>
      </c>
      <c r="IY163" s="61">
        <f t="shared" si="889"/>
        <v>494.67779611265604</v>
      </c>
      <c r="IZ163" s="61">
        <f t="shared" si="890"/>
        <v>13617.38176322656</v>
      </c>
      <c r="JA163" s="61">
        <f t="shared" si="891"/>
        <v>784.29733725015444</v>
      </c>
      <c r="JB163" s="61">
        <f t="shared" si="892"/>
        <v>402.04463599184993</v>
      </c>
      <c r="JC163" s="61">
        <f t="shared" si="893"/>
        <v>3130.784637764415</v>
      </c>
      <c r="JD163" s="61">
        <f t="shared" si="894"/>
        <v>2084.2530011781128</v>
      </c>
      <c r="JE163" s="61">
        <f t="shared" si="895"/>
        <v>3394.1031375311964</v>
      </c>
      <c r="JF163" s="61">
        <f t="shared" si="896"/>
        <v>2327.6268399528158</v>
      </c>
      <c r="JG163" s="61">
        <f t="shared" si="897"/>
        <v>4246.9591391587592</v>
      </c>
      <c r="JH163" s="61">
        <f t="shared" si="898"/>
        <v>1191.66225370797</v>
      </c>
      <c r="JI163" s="61">
        <f t="shared" si="899"/>
        <v>1327.7136732639092</v>
      </c>
      <c r="JJ163" s="61">
        <f t="shared" si="900"/>
        <v>2411.4637643291462</v>
      </c>
      <c r="JK163" s="61">
        <f t="shared" si="901"/>
        <v>846.40975998284227</v>
      </c>
      <c r="JL163" s="61">
        <f t="shared" si="902"/>
        <v>1606.266933246294</v>
      </c>
      <c r="JM163" s="61">
        <f t="shared" si="903"/>
        <v>0</v>
      </c>
      <c r="JN163" s="61">
        <f t="shared" si="904"/>
        <v>6009.5092958781788</v>
      </c>
      <c r="JO163" s="61">
        <f t="shared" si="905"/>
        <v>0</v>
      </c>
      <c r="JQ163" s="26">
        <f t="shared" si="769"/>
        <v>150472.00000000006</v>
      </c>
      <c r="JR163" s="156">
        <f t="shared" si="770"/>
        <v>1.0000000000000004</v>
      </c>
      <c r="JT163" s="157">
        <f t="shared" si="906"/>
        <v>2515.4922727917633</v>
      </c>
      <c r="JU163" s="29">
        <f t="shared" si="907"/>
        <v>1</v>
      </c>
    </row>
    <row r="164" spans="1:281" ht="18.75" x14ac:dyDescent="0.3">
      <c r="A164" t="s">
        <v>234</v>
      </c>
      <c r="B164" s="10" t="s">
        <v>109</v>
      </c>
      <c r="C164" t="s">
        <v>85</v>
      </c>
      <c r="D164" t="s">
        <v>20</v>
      </c>
      <c r="E164" t="s">
        <v>85</v>
      </c>
      <c r="F164" s="114"/>
      <c r="G164" s="17">
        <v>299970</v>
      </c>
      <c r="H164" s="21">
        <v>199980</v>
      </c>
      <c r="I164" s="25">
        <f t="shared" si="713"/>
        <v>1.5</v>
      </c>
      <c r="J164" s="105">
        <v>1.6717344574351131E-2</v>
      </c>
      <c r="K164" s="105">
        <v>3.4447045368660799E-2</v>
      </c>
      <c r="L164" s="105">
        <v>8.4543973497323011E-3</v>
      </c>
      <c r="M164" s="105">
        <v>1.1098908083180746E-2</v>
      </c>
      <c r="N164" s="105">
        <v>2.5897545482755274E-2</v>
      </c>
      <c r="O164" s="105">
        <v>3.3235548734207927E-2</v>
      </c>
      <c r="P164" s="105">
        <v>5.27772414727843E-2</v>
      </c>
      <c r="Q164" s="105">
        <v>4.3150417332534489E-2</v>
      </c>
      <c r="R164" s="105">
        <v>1.7914346124368142E-2</v>
      </c>
      <c r="S164" s="105">
        <v>8.5271126765198348E-3</v>
      </c>
      <c r="T164" s="105">
        <v>0.23473248560316462</v>
      </c>
      <c r="U164" s="105">
        <v>1.3519490503073824E-2</v>
      </c>
      <c r="V164" s="105">
        <v>6.9303290728500019E-3</v>
      </c>
      <c r="W164" s="105">
        <v>5.3967559453698889E-2</v>
      </c>
      <c r="X164" s="105">
        <v>3.5927749996227672E-2</v>
      </c>
      <c r="Y164" s="105">
        <v>5.850656754132319E-2</v>
      </c>
      <c r="Z164" s="105">
        <v>4.0122957790184231E-2</v>
      </c>
      <c r="AA164" s="105">
        <v>7.320785245823952E-2</v>
      </c>
      <c r="AB164" s="105">
        <v>2.054152903076591E-2</v>
      </c>
      <c r="AC164" s="105">
        <v>2.2886744024183094E-2</v>
      </c>
      <c r="AD164" s="105">
        <v>4.1568114427954647E-2</v>
      </c>
      <c r="AE164" s="105">
        <v>1.4590166469157902E-2</v>
      </c>
      <c r="AF164" s="105">
        <v>2.7688364499060415E-2</v>
      </c>
      <c r="AG164" s="105">
        <v>0</v>
      </c>
      <c r="AH164" s="105">
        <v>0.1035901819310211</v>
      </c>
      <c r="AJ164" s="8">
        <f t="shared" si="740"/>
        <v>1</v>
      </c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M164" s="26">
        <f t="shared" si="741"/>
        <v>5014.7018519681087</v>
      </c>
      <c r="BN164" s="26">
        <f t="shared" si="742"/>
        <v>10333.08019923718</v>
      </c>
      <c r="BO164" s="26">
        <f t="shared" si="743"/>
        <v>2536.0655729991981</v>
      </c>
      <c r="BP164" s="26">
        <f t="shared" si="744"/>
        <v>3329.3394577117283</v>
      </c>
      <c r="BQ164" s="26">
        <f t="shared" si="745"/>
        <v>7768.4867184620998</v>
      </c>
      <c r="BR164" s="26">
        <f t="shared" si="746"/>
        <v>9969.6675538003528</v>
      </c>
      <c r="BS164" s="26">
        <f t="shared" si="747"/>
        <v>15831.589124591106</v>
      </c>
      <c r="BT164" s="26">
        <f t="shared" si="748"/>
        <v>12943.83068724037</v>
      </c>
      <c r="BU164" s="26">
        <f t="shared" si="749"/>
        <v>5373.7664069267112</v>
      </c>
      <c r="BV164" s="26">
        <f t="shared" si="750"/>
        <v>2557.8779895756547</v>
      </c>
      <c r="BW164" s="26">
        <f t="shared" si="751"/>
        <v>70412.70370638129</v>
      </c>
      <c r="BX164" s="26">
        <f t="shared" si="752"/>
        <v>4055.4415662070551</v>
      </c>
      <c r="BY164" s="26">
        <f t="shared" si="753"/>
        <v>2078.8908119828152</v>
      </c>
      <c r="BZ164" s="26">
        <f t="shared" si="754"/>
        <v>16188.648809326056</v>
      </c>
      <c r="CA164" s="26">
        <f t="shared" si="755"/>
        <v>10777.247166368415</v>
      </c>
      <c r="CB164" s="26">
        <f t="shared" si="756"/>
        <v>17550.215065370718</v>
      </c>
      <c r="CC164" s="26">
        <f t="shared" si="757"/>
        <v>12035.683648321565</v>
      </c>
      <c r="CD164" s="26">
        <f t="shared" si="758"/>
        <v>21960.15950189811</v>
      </c>
      <c r="CE164" s="26">
        <f t="shared" si="759"/>
        <v>6161.8424633588502</v>
      </c>
      <c r="CF164" s="26">
        <f t="shared" si="760"/>
        <v>6865.336604934203</v>
      </c>
      <c r="CG164" s="26">
        <f t="shared" si="761"/>
        <v>12469.187284953556</v>
      </c>
      <c r="CH164" s="26">
        <f t="shared" si="762"/>
        <v>4376.6122357532959</v>
      </c>
      <c r="CI164" s="26">
        <f t="shared" si="763"/>
        <v>8305.6786987831529</v>
      </c>
      <c r="CJ164" s="26">
        <f t="shared" si="764"/>
        <v>0</v>
      </c>
      <c r="CK164" s="26">
        <f t="shared" si="765"/>
        <v>31073.946873848399</v>
      </c>
      <c r="CL164" s="26">
        <f t="shared" si="766"/>
        <v>0</v>
      </c>
      <c r="CM164" s="110">
        <f t="shared" si="767"/>
        <v>1</v>
      </c>
      <c r="CN164" s="27">
        <f t="shared" si="933"/>
        <v>3343.1345679787391</v>
      </c>
      <c r="CO164" s="27">
        <f t="shared" si="908"/>
        <v>6888.7201328247866</v>
      </c>
      <c r="CP164" s="27">
        <f t="shared" si="909"/>
        <v>1690.7103819994657</v>
      </c>
      <c r="CQ164" s="27">
        <f t="shared" si="910"/>
        <v>2219.5596384744858</v>
      </c>
      <c r="CR164" s="27">
        <f t="shared" si="911"/>
        <v>5178.9911456414002</v>
      </c>
      <c r="CS164" s="27">
        <f t="shared" si="912"/>
        <v>6646.445035866901</v>
      </c>
      <c r="CT164" s="27">
        <f t="shared" si="913"/>
        <v>10554.392749727403</v>
      </c>
      <c r="CU164" s="27">
        <f t="shared" si="914"/>
        <v>8629.2204581602473</v>
      </c>
      <c r="CV164" s="27">
        <f t="shared" si="915"/>
        <v>3582.5109379511409</v>
      </c>
      <c r="CW164" s="27">
        <f t="shared" si="916"/>
        <v>1705.2519930504366</v>
      </c>
      <c r="CX164" s="27">
        <f t="shared" si="917"/>
        <v>46941.802470920862</v>
      </c>
      <c r="CY164" s="27">
        <f t="shared" si="918"/>
        <v>2703.6277108047034</v>
      </c>
      <c r="CZ164" s="27">
        <f t="shared" si="919"/>
        <v>1385.9272079885434</v>
      </c>
      <c r="DA164" s="27">
        <f t="shared" si="920"/>
        <v>10792.432539550704</v>
      </c>
      <c r="DB164" s="27">
        <f t="shared" si="921"/>
        <v>7184.8314442456094</v>
      </c>
      <c r="DC164" s="27">
        <f t="shared" si="922"/>
        <v>11700.143376913811</v>
      </c>
      <c r="DD164" s="27">
        <f t="shared" si="923"/>
        <v>8023.7890988810423</v>
      </c>
      <c r="DE164" s="27">
        <f t="shared" si="924"/>
        <v>14640.106334598739</v>
      </c>
      <c r="DF164" s="27">
        <f t="shared" si="925"/>
        <v>4107.8949755725671</v>
      </c>
      <c r="DG164" s="27">
        <f t="shared" si="926"/>
        <v>4576.8910699561347</v>
      </c>
      <c r="DH164" s="27">
        <f t="shared" si="927"/>
        <v>8312.7915233023705</v>
      </c>
      <c r="DI164" s="27">
        <f t="shared" si="928"/>
        <v>2917.7414905021974</v>
      </c>
      <c r="DJ164" s="27">
        <f t="shared" si="929"/>
        <v>5537.1191325221016</v>
      </c>
      <c r="DK164" s="27">
        <f t="shared" si="930"/>
        <v>0</v>
      </c>
      <c r="DL164" s="27">
        <f t="shared" si="931"/>
        <v>20715.964582565601</v>
      </c>
      <c r="DM164" s="27">
        <f t="shared" si="932"/>
        <v>0</v>
      </c>
      <c r="DN164" s="110">
        <f t="shared" si="768"/>
        <v>1</v>
      </c>
      <c r="DO164" s="28">
        <f t="shared" si="771"/>
        <v>1671.5672839893696</v>
      </c>
      <c r="DP164" s="28">
        <f t="shared" si="772"/>
        <v>3444.3600664123933</v>
      </c>
      <c r="DQ164" s="28">
        <f t="shared" si="773"/>
        <v>845.35519099973249</v>
      </c>
      <c r="DR164" s="28">
        <f t="shared" si="774"/>
        <v>1109.7798192372425</v>
      </c>
      <c r="DS164" s="28">
        <f t="shared" si="775"/>
        <v>2589.4955728206996</v>
      </c>
      <c r="DT164" s="28">
        <f t="shared" si="776"/>
        <v>3323.2225179334519</v>
      </c>
      <c r="DU164" s="28">
        <f t="shared" si="777"/>
        <v>5277.1963748637027</v>
      </c>
      <c r="DV164" s="28">
        <f t="shared" si="778"/>
        <v>4314.6102290801227</v>
      </c>
      <c r="DW164" s="28">
        <f t="shared" si="779"/>
        <v>1791.2554689755702</v>
      </c>
      <c r="DX164" s="28">
        <f t="shared" si="780"/>
        <v>852.62599652521817</v>
      </c>
      <c r="DY164" s="28">
        <f t="shared" si="781"/>
        <v>23470.901235460427</v>
      </c>
      <c r="DZ164" s="28">
        <f t="shared" si="782"/>
        <v>1351.8138554023517</v>
      </c>
      <c r="EA164" s="28">
        <f t="shared" si="783"/>
        <v>692.96360399427181</v>
      </c>
      <c r="EB164" s="28">
        <f t="shared" si="784"/>
        <v>5396.216269775352</v>
      </c>
      <c r="EC164" s="28">
        <f t="shared" si="785"/>
        <v>3592.4157221228061</v>
      </c>
      <c r="ED164" s="28">
        <f t="shared" si="786"/>
        <v>5850.0716884569065</v>
      </c>
      <c r="EE164" s="28">
        <f t="shared" si="787"/>
        <v>4011.8945494405225</v>
      </c>
      <c r="EF164" s="28">
        <f t="shared" si="788"/>
        <v>7320.0531672993711</v>
      </c>
      <c r="EG164" s="28">
        <f t="shared" si="789"/>
        <v>2053.9474877862831</v>
      </c>
      <c r="EH164" s="28">
        <f t="shared" si="790"/>
        <v>2288.4455349780683</v>
      </c>
      <c r="EI164" s="28">
        <f t="shared" si="791"/>
        <v>4156.3957616511852</v>
      </c>
      <c r="EJ164" s="28">
        <f t="shared" si="792"/>
        <v>1458.8707452510985</v>
      </c>
      <c r="EK164" s="28">
        <f t="shared" si="793"/>
        <v>2768.5595662610513</v>
      </c>
      <c r="EL164" s="28">
        <f t="shared" si="794"/>
        <v>0</v>
      </c>
      <c r="EM164" s="28">
        <f t="shared" si="795"/>
        <v>10357.982291282799</v>
      </c>
      <c r="EN164" s="28">
        <f t="shared" si="796"/>
        <v>0</v>
      </c>
      <c r="EQ164" s="144">
        <v>4.2837497555213599E-2</v>
      </c>
      <c r="ER164" s="144">
        <v>5.2837497555213601E-2</v>
      </c>
      <c r="ES164" s="144">
        <v>6.2837497555213589E-2</v>
      </c>
      <c r="ET164" s="144">
        <v>7.9736759870528987E-2</v>
      </c>
      <c r="EU164" s="144">
        <v>6.765755194973691E-2</v>
      </c>
      <c r="EV164" s="144">
        <v>7.7657551949736905E-2</v>
      </c>
      <c r="EW164" s="144">
        <v>8.0297029702970299E-2</v>
      </c>
      <c r="EX164" s="144">
        <v>7.0297029702970304E-2</v>
      </c>
      <c r="EY164" s="144">
        <v>8.0297029702970299E-2</v>
      </c>
      <c r="EZ164" s="144">
        <v>0.10742574257425742</v>
      </c>
      <c r="FA164" s="144">
        <v>0.10742574257425742</v>
      </c>
      <c r="FB164" s="144">
        <v>0.17069306930693071</v>
      </c>
      <c r="FC164" s="145">
        <f t="shared" si="797"/>
        <v>1</v>
      </c>
      <c r="FD164" s="146">
        <f t="shared" si="798"/>
        <v>0.1585124926656408</v>
      </c>
      <c r="FE164" s="146">
        <f t="shared" si="799"/>
        <v>0.2250518637700028</v>
      </c>
      <c r="FF164" s="146">
        <f t="shared" si="800"/>
        <v>0.23089108910891093</v>
      </c>
      <c r="FG164" s="146">
        <f t="shared" si="801"/>
        <v>0.38554455445544555</v>
      </c>
      <c r="FH164" s="145">
        <f t="shared" si="934"/>
        <v>1</v>
      </c>
      <c r="FJ164" s="52">
        <f t="shared" si="802"/>
        <v>794.89289053047014</v>
      </c>
      <c r="FK164" s="52">
        <f t="shared" si="803"/>
        <v>1637.9222992950615</v>
      </c>
      <c r="FL164" s="52">
        <f t="shared" si="804"/>
        <v>401.99807553961955</v>
      </c>
      <c r="FM164" s="52">
        <f t="shared" si="805"/>
        <v>527.74189637195889</v>
      </c>
      <c r="FN164" s="52">
        <f t="shared" si="806"/>
        <v>1231.4021939833515</v>
      </c>
      <c r="FO164" s="52">
        <f t="shared" si="807"/>
        <v>1580.3168550006556</v>
      </c>
      <c r="FP164" s="52">
        <f t="shared" si="808"/>
        <v>2509.5046549971862</v>
      </c>
      <c r="FQ164" s="52">
        <f t="shared" si="809"/>
        <v>2051.7588668764856</v>
      </c>
      <c r="FR164" s="52">
        <f t="shared" si="810"/>
        <v>851.8091081648372</v>
      </c>
      <c r="FS164" s="52">
        <f t="shared" si="811"/>
        <v>405.45561606221497</v>
      </c>
      <c r="FT164" s="52">
        <f t="shared" si="812"/>
        <v>11161.293179825703</v>
      </c>
      <c r="FU164" s="52">
        <f t="shared" si="813"/>
        <v>642.83815151933061</v>
      </c>
      <c r="FV164" s="52">
        <f t="shared" si="814"/>
        <v>329.53016458709402</v>
      </c>
      <c r="FW164" s="52">
        <f t="shared" si="815"/>
        <v>2566.1030756549312</v>
      </c>
      <c r="FX164" s="52">
        <f t="shared" si="816"/>
        <v>1708.3283124147715</v>
      </c>
      <c r="FY164" s="52">
        <f t="shared" si="817"/>
        <v>2781.9283368299944</v>
      </c>
      <c r="FZ164" s="52">
        <f t="shared" si="818"/>
        <v>1907.8062160305449</v>
      </c>
      <c r="GA164" s="52">
        <f t="shared" si="819"/>
        <v>3480.9596219809264</v>
      </c>
      <c r="GB164" s="52">
        <f t="shared" si="820"/>
        <v>976.72900828000377</v>
      </c>
      <c r="GC164" s="52">
        <f t="shared" si="821"/>
        <v>1088.2416182367881</v>
      </c>
      <c r="GD164" s="52">
        <f t="shared" si="822"/>
        <v>1976.5219580527021</v>
      </c>
      <c r="GE164" s="52">
        <f t="shared" si="823"/>
        <v>693.74771492019806</v>
      </c>
      <c r="GF164" s="52">
        <f t="shared" si="824"/>
        <v>1316.5538338240335</v>
      </c>
      <c r="GG164" s="52">
        <f t="shared" si="825"/>
        <v>0</v>
      </c>
      <c r="GH164" s="52">
        <f t="shared" si="826"/>
        <v>4925.6087759334059</v>
      </c>
      <c r="GI164" s="52">
        <f t="shared" si="827"/>
        <v>0</v>
      </c>
      <c r="GJ164" s="26"/>
      <c r="GL164" s="150">
        <f t="shared" si="828"/>
        <v>1128.5679980363075</v>
      </c>
      <c r="GM164" s="150">
        <f t="shared" si="829"/>
        <v>2325.4789573232392</v>
      </c>
      <c r="GN164" s="150">
        <f t="shared" si="830"/>
        <v>570.7462838464096</v>
      </c>
      <c r="GO164" s="150">
        <f t="shared" si="831"/>
        <v>749.27405008103483</v>
      </c>
      <c r="GP164" s="150">
        <f t="shared" si="832"/>
        <v>1748.3124146624086</v>
      </c>
      <c r="GQ164" s="150">
        <f t="shared" si="833"/>
        <v>2243.6922641500942</v>
      </c>
      <c r="GR164" s="150">
        <f t="shared" si="834"/>
        <v>3562.9286389301355</v>
      </c>
      <c r="GS164" s="150">
        <f t="shared" si="835"/>
        <v>2913.0332204868014</v>
      </c>
      <c r="GT164" s="150">
        <f t="shared" si="836"/>
        <v>1209.3761453434877</v>
      </c>
      <c r="GU164" s="150">
        <f t="shared" si="837"/>
        <v>575.65520885026888</v>
      </c>
      <c r="GV164" s="150">
        <f t="shared" si="838"/>
        <v>15846.510202206093</v>
      </c>
      <c r="GW164" s="150">
        <f t="shared" si="839"/>
        <v>912.68468288523695</v>
      </c>
      <c r="GX164" s="150">
        <f t="shared" si="840"/>
        <v>467.85825181106702</v>
      </c>
      <c r="GY164" s="150">
        <f t="shared" si="841"/>
        <v>3643.2855864568655</v>
      </c>
      <c r="GZ164" s="150">
        <f t="shared" si="842"/>
        <v>2425.4395611011932</v>
      </c>
      <c r="HA164" s="150">
        <f t="shared" si="843"/>
        <v>3949.7086100260617</v>
      </c>
      <c r="HB164" s="150">
        <f t="shared" si="844"/>
        <v>2708.6530368009153</v>
      </c>
      <c r="HC164" s="150">
        <f t="shared" si="845"/>
        <v>4942.1748245887056</v>
      </c>
      <c r="HD164" s="150">
        <f t="shared" si="846"/>
        <v>1386.7341306360545</v>
      </c>
      <c r="HE164" s="150">
        <f t="shared" si="847"/>
        <v>1545.0567983488659</v>
      </c>
      <c r="HF164" s="150">
        <f t="shared" si="848"/>
        <v>2806.2138381760187</v>
      </c>
      <c r="HG164" s="150">
        <f t="shared" si="849"/>
        <v>984.96474065487814</v>
      </c>
      <c r="HH164" s="150">
        <f t="shared" si="850"/>
        <v>1869.2084710359602</v>
      </c>
      <c r="HI164" s="150">
        <f t="shared" si="851"/>
        <v>0</v>
      </c>
      <c r="HJ164" s="150">
        <f t="shared" si="852"/>
        <v>6993.2496586496345</v>
      </c>
      <c r="HK164" s="150">
        <f t="shared" si="853"/>
        <v>0</v>
      </c>
      <c r="HL164" s="26"/>
      <c r="HN164" s="147">
        <f t="shared" si="854"/>
        <v>1157.8499721573892</v>
      </c>
      <c r="HO164" s="147">
        <f t="shared" si="855"/>
        <v>2385.816141051595</v>
      </c>
      <c r="HP164" s="147">
        <f t="shared" si="856"/>
        <v>585.55494220139906</v>
      </c>
      <c r="HQ164" s="147">
        <f t="shared" si="857"/>
        <v>768.71481340433184</v>
      </c>
      <c r="HR164" s="147">
        <f t="shared" si="858"/>
        <v>1793.6743591538238</v>
      </c>
      <c r="HS164" s="147">
        <f t="shared" si="859"/>
        <v>2301.9073995507351</v>
      </c>
      <c r="HT164" s="147">
        <f t="shared" si="860"/>
        <v>3655.3728553016304</v>
      </c>
      <c r="HU164" s="147">
        <f t="shared" si="861"/>
        <v>2988.615164618272</v>
      </c>
      <c r="HV164" s="147">
        <f t="shared" si="862"/>
        <v>1240.7547783121875</v>
      </c>
      <c r="HW164" s="147">
        <f t="shared" si="863"/>
        <v>590.59123482083442</v>
      </c>
      <c r="HX164" s="147">
        <f t="shared" si="864"/>
        <v>16257.665845869426</v>
      </c>
      <c r="HY164" s="147">
        <f t="shared" si="865"/>
        <v>936.36532003909451</v>
      </c>
      <c r="HZ164" s="147">
        <f t="shared" si="866"/>
        <v>479.99736371722037</v>
      </c>
      <c r="IA164" s="147">
        <f t="shared" si="867"/>
        <v>3737.8147547869671</v>
      </c>
      <c r="IB164" s="147">
        <f t="shared" si="868"/>
        <v>2488.3703358387274</v>
      </c>
      <c r="IC164" s="147">
        <f t="shared" si="869"/>
        <v>4052.1882705390613</v>
      </c>
      <c r="ID164" s="147">
        <f t="shared" si="870"/>
        <v>2778.9321057312768</v>
      </c>
      <c r="IE164" s="147">
        <f t="shared" si="871"/>
        <v>5070.4051443986536</v>
      </c>
      <c r="IF164" s="147">
        <f t="shared" si="872"/>
        <v>1422.7145172824596</v>
      </c>
      <c r="IG164" s="147">
        <f t="shared" si="873"/>
        <v>1585.1450458125312</v>
      </c>
      <c r="IH164" s="147">
        <f t="shared" si="874"/>
        <v>2879.0242325259105</v>
      </c>
      <c r="II164" s="147">
        <f t="shared" si="875"/>
        <v>1010.5207657204642</v>
      </c>
      <c r="IJ164" s="147">
        <f t="shared" si="876"/>
        <v>1917.7072005507243</v>
      </c>
      <c r="IK164" s="147">
        <f t="shared" si="877"/>
        <v>0</v>
      </c>
      <c r="IL164" s="147">
        <f t="shared" si="878"/>
        <v>7174.6974366152954</v>
      </c>
      <c r="IM164" s="147">
        <f t="shared" si="879"/>
        <v>0</v>
      </c>
      <c r="IN164" s="26"/>
      <c r="IP164" s="61">
        <f t="shared" si="880"/>
        <v>1933.3909912439422</v>
      </c>
      <c r="IQ164" s="61">
        <f t="shared" si="881"/>
        <v>3983.8628015672853</v>
      </c>
      <c r="IR164" s="61">
        <f t="shared" si="882"/>
        <v>977.76627141177005</v>
      </c>
      <c r="IS164" s="61">
        <f t="shared" si="883"/>
        <v>1283.6086978544031</v>
      </c>
      <c r="IT164" s="61">
        <f t="shared" si="884"/>
        <v>2995.0977506625168</v>
      </c>
      <c r="IU164" s="61">
        <f t="shared" si="885"/>
        <v>3843.7510350988687</v>
      </c>
      <c r="IV164" s="61">
        <f t="shared" si="886"/>
        <v>6103.7829753621554</v>
      </c>
      <c r="IW164" s="61">
        <f t="shared" si="887"/>
        <v>4990.4234352588119</v>
      </c>
      <c r="IX164" s="61">
        <f t="shared" si="888"/>
        <v>2071.8263751061995</v>
      </c>
      <c r="IY164" s="61">
        <f t="shared" si="889"/>
        <v>986.17592984233659</v>
      </c>
      <c r="IZ164" s="61">
        <f t="shared" si="890"/>
        <v>27147.234478480073</v>
      </c>
      <c r="JA164" s="61">
        <f t="shared" si="891"/>
        <v>1563.5534117633933</v>
      </c>
      <c r="JB164" s="61">
        <f t="shared" si="892"/>
        <v>801.5050318674339</v>
      </c>
      <c r="JC164" s="61">
        <f t="shared" si="893"/>
        <v>6241.445392427293</v>
      </c>
      <c r="JD164" s="61">
        <f t="shared" si="894"/>
        <v>4155.1089570137237</v>
      </c>
      <c r="JE164" s="61">
        <f t="shared" si="895"/>
        <v>6766.3898479756017</v>
      </c>
      <c r="JF164" s="61">
        <f t="shared" si="896"/>
        <v>4640.2922897588287</v>
      </c>
      <c r="JG164" s="61">
        <f t="shared" si="897"/>
        <v>8466.619910929825</v>
      </c>
      <c r="JH164" s="61">
        <f t="shared" si="898"/>
        <v>2375.6648071603331</v>
      </c>
      <c r="JI164" s="61">
        <f t="shared" si="899"/>
        <v>2646.8931425360183</v>
      </c>
      <c r="JJ164" s="61">
        <f t="shared" si="900"/>
        <v>4807.4272561989255</v>
      </c>
      <c r="JK164" s="61">
        <f t="shared" si="901"/>
        <v>1687.3790144577558</v>
      </c>
      <c r="JL164" s="61">
        <f t="shared" si="902"/>
        <v>3202.2091933724355</v>
      </c>
      <c r="JM164" s="61">
        <f t="shared" si="903"/>
        <v>0</v>
      </c>
      <c r="JN164" s="61">
        <f t="shared" si="904"/>
        <v>11980.391002650067</v>
      </c>
      <c r="JO164" s="61">
        <f t="shared" si="905"/>
        <v>0</v>
      </c>
      <c r="JQ164" s="26">
        <f t="shared" si="769"/>
        <v>299970.00000000006</v>
      </c>
      <c r="JR164" s="156">
        <f t="shared" si="770"/>
        <v>1.0000000000000002</v>
      </c>
      <c r="JT164" s="157">
        <f t="shared" si="906"/>
        <v>5014.7018519681087</v>
      </c>
      <c r="JU164" s="29">
        <f t="shared" si="907"/>
        <v>1</v>
      </c>
    </row>
    <row r="165" spans="1:281" ht="18.75" x14ac:dyDescent="0.3">
      <c r="A165" t="s">
        <v>234</v>
      </c>
      <c r="B165" s="10" t="s">
        <v>107</v>
      </c>
      <c r="C165" t="s">
        <v>86</v>
      </c>
      <c r="D165" t="s">
        <v>20</v>
      </c>
      <c r="E165" t="s">
        <v>133</v>
      </c>
      <c r="F165" s="114"/>
      <c r="G165" s="17">
        <v>270418</v>
      </c>
      <c r="H165" s="21">
        <v>191786</v>
      </c>
      <c r="I165" s="25">
        <f t="shared" si="713"/>
        <v>1.4099986443223176</v>
      </c>
      <c r="J165" s="105">
        <v>1.6717344574351131E-2</v>
      </c>
      <c r="K165" s="105">
        <v>3.4447045368660799E-2</v>
      </c>
      <c r="L165" s="105">
        <v>8.4543973497323028E-3</v>
      </c>
      <c r="M165" s="105">
        <v>1.1098908083180748E-2</v>
      </c>
      <c r="N165" s="105">
        <v>2.5897545482755278E-2</v>
      </c>
      <c r="O165" s="105">
        <v>3.3235548734207934E-2</v>
      </c>
      <c r="P165" s="105">
        <v>5.27772414727843E-2</v>
      </c>
      <c r="Q165" s="105">
        <v>4.3150417332534496E-2</v>
      </c>
      <c r="R165" s="105">
        <v>1.7914346124368142E-2</v>
      </c>
      <c r="S165" s="105">
        <v>8.5271126765198348E-3</v>
      </c>
      <c r="T165" s="105">
        <v>0.2347324856031644</v>
      </c>
      <c r="U165" s="105">
        <v>1.3519490503073826E-2</v>
      </c>
      <c r="V165" s="105">
        <v>6.9303290728500036E-3</v>
      </c>
      <c r="W165" s="105">
        <v>5.3967559453698896E-2</v>
      </c>
      <c r="X165" s="105">
        <v>3.5927749996227686E-2</v>
      </c>
      <c r="Y165" s="105">
        <v>5.850656754132319E-2</v>
      </c>
      <c r="Z165" s="105">
        <v>4.0122957790184231E-2</v>
      </c>
      <c r="AA165" s="105">
        <v>7.3207852458239533E-2</v>
      </c>
      <c r="AB165" s="105">
        <v>2.0541529030765917E-2</v>
      </c>
      <c r="AC165" s="105">
        <v>2.2886744024183094E-2</v>
      </c>
      <c r="AD165" s="105">
        <v>4.1568114427954654E-2</v>
      </c>
      <c r="AE165" s="105">
        <v>1.4590166469157903E-2</v>
      </c>
      <c r="AF165" s="105">
        <v>2.7688364499060418E-2</v>
      </c>
      <c r="AG165" s="105">
        <v>0</v>
      </c>
      <c r="AH165" s="105">
        <v>0.10359018193102111</v>
      </c>
      <c r="AJ165" s="8">
        <f t="shared" si="740"/>
        <v>0.99999999999999989</v>
      </c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M165" s="26">
        <f t="shared" si="741"/>
        <v>4520.6708851068843</v>
      </c>
      <c r="BN165" s="26">
        <f t="shared" si="742"/>
        <v>9315.1011145025168</v>
      </c>
      <c r="BO165" s="26">
        <f t="shared" si="743"/>
        <v>2286.22122251991</v>
      </c>
      <c r="BP165" s="26">
        <f t="shared" si="744"/>
        <v>3001.3445260375715</v>
      </c>
      <c r="BQ165" s="26">
        <f t="shared" si="745"/>
        <v>7003.1624543557164</v>
      </c>
      <c r="BR165" s="26">
        <f t="shared" si="746"/>
        <v>8987.4906176070417</v>
      </c>
      <c r="BS165" s="26">
        <f t="shared" si="747"/>
        <v>14271.916084587385</v>
      </c>
      <c r="BT165" s="26">
        <f t="shared" si="748"/>
        <v>11668.649554229314</v>
      </c>
      <c r="BU165" s="26">
        <f t="shared" si="749"/>
        <v>4844.3616502593841</v>
      </c>
      <c r="BV165" s="26">
        <f t="shared" si="750"/>
        <v>2305.8847557591407</v>
      </c>
      <c r="BW165" s="26">
        <f t="shared" si="751"/>
        <v>63475.889291836509</v>
      </c>
      <c r="BX165" s="26">
        <f t="shared" si="752"/>
        <v>3655.913582860218</v>
      </c>
      <c r="BY165" s="26">
        <f t="shared" si="753"/>
        <v>1874.0857272219523</v>
      </c>
      <c r="BZ165" s="26">
        <f t="shared" si="754"/>
        <v>14593.799492350348</v>
      </c>
      <c r="CA165" s="26">
        <f t="shared" si="755"/>
        <v>9715.5102984798978</v>
      </c>
      <c r="CB165" s="26">
        <f t="shared" si="756"/>
        <v>15821.228981389535</v>
      </c>
      <c r="CC165" s="26">
        <f t="shared" si="757"/>
        <v>10849.96999970604</v>
      </c>
      <c r="CD165" s="26">
        <f t="shared" si="758"/>
        <v>19796.721046052218</v>
      </c>
      <c r="CE165" s="26">
        <f t="shared" si="759"/>
        <v>5554.7991974416582</v>
      </c>
      <c r="CF165" s="26">
        <f t="shared" si="760"/>
        <v>6188.9875455315441</v>
      </c>
      <c r="CG165" s="26">
        <f t="shared" si="761"/>
        <v>11240.766367378641</v>
      </c>
      <c r="CH165" s="26">
        <f t="shared" si="762"/>
        <v>3945.4436362567421</v>
      </c>
      <c r="CI165" s="26">
        <f t="shared" si="763"/>
        <v>7487.4321511069202</v>
      </c>
      <c r="CJ165" s="26">
        <f t="shared" si="764"/>
        <v>0</v>
      </c>
      <c r="CK165" s="26">
        <f t="shared" si="765"/>
        <v>28012.649817422865</v>
      </c>
      <c r="CL165" s="26">
        <f t="shared" si="766"/>
        <v>0</v>
      </c>
      <c r="CM165" s="110">
        <f t="shared" si="767"/>
        <v>1</v>
      </c>
      <c r="CN165" s="27">
        <f t="shared" si="933"/>
        <v>3206.1526465365059</v>
      </c>
      <c r="CO165" s="27">
        <f t="shared" si="908"/>
        <v>6606.4610430739804</v>
      </c>
      <c r="CP165" s="27">
        <f t="shared" si="909"/>
        <v>1621.4350501157594</v>
      </c>
      <c r="CQ165" s="27">
        <f t="shared" si="910"/>
        <v>2128.6151856409028</v>
      </c>
      <c r="CR165" s="27">
        <f t="shared" si="911"/>
        <v>4966.786657955704</v>
      </c>
      <c r="CS165" s="27">
        <f t="shared" si="912"/>
        <v>6374.1129495388032</v>
      </c>
      <c r="CT165" s="27">
        <f t="shared" si="913"/>
        <v>10121.93603309941</v>
      </c>
      <c r="CU165" s="27">
        <f t="shared" si="914"/>
        <v>8275.6459385374601</v>
      </c>
      <c r="CV165" s="27">
        <f t="shared" si="915"/>
        <v>3435.7207858080683</v>
      </c>
      <c r="CW165" s="27">
        <f t="shared" si="916"/>
        <v>1635.3808317790331</v>
      </c>
      <c r="CX165" s="27">
        <f t="shared" si="917"/>
        <v>45018.404483888487</v>
      </c>
      <c r="CY165" s="27">
        <f t="shared" si="918"/>
        <v>2592.8490056225169</v>
      </c>
      <c r="CZ165" s="27">
        <f t="shared" si="919"/>
        <v>1329.1400915656109</v>
      </c>
      <c r="DA165" s="27">
        <f t="shared" si="920"/>
        <v>10350.222357387096</v>
      </c>
      <c r="DB165" s="27">
        <f t="shared" si="921"/>
        <v>6890.4394607765225</v>
      </c>
      <c r="DC165" s="27">
        <f t="shared" si="922"/>
        <v>11220.740562480209</v>
      </c>
      <c r="DD165" s="27">
        <f t="shared" si="923"/>
        <v>7695.0215827482734</v>
      </c>
      <c r="DE165" s="27">
        <f t="shared" si="924"/>
        <v>14040.241191555928</v>
      </c>
      <c r="DF165" s="27">
        <f t="shared" si="925"/>
        <v>3939.577686694472</v>
      </c>
      <c r="DG165" s="27">
        <f t="shared" si="926"/>
        <v>4389.3570894219783</v>
      </c>
      <c r="DH165" s="27">
        <f t="shared" si="927"/>
        <v>7972.1823936797109</v>
      </c>
      <c r="DI165" s="27">
        <f t="shared" si="928"/>
        <v>2798.1896664539177</v>
      </c>
      <c r="DJ165" s="27">
        <f t="shared" si="929"/>
        <v>5310.2406738168011</v>
      </c>
      <c r="DK165" s="27">
        <f t="shared" si="930"/>
        <v>0</v>
      </c>
      <c r="DL165" s="27">
        <f t="shared" si="931"/>
        <v>19867.146631822816</v>
      </c>
      <c r="DM165" s="27">
        <f t="shared" si="932"/>
        <v>0</v>
      </c>
      <c r="DN165" s="110">
        <f t="shared" si="768"/>
        <v>0.99999999999999967</v>
      </c>
      <c r="DO165" s="28">
        <f t="shared" si="771"/>
        <v>1314.5182385703783</v>
      </c>
      <c r="DP165" s="28">
        <f t="shared" si="772"/>
        <v>2708.6400714285364</v>
      </c>
      <c r="DQ165" s="28">
        <f t="shared" si="773"/>
        <v>664.78617240415065</v>
      </c>
      <c r="DR165" s="28">
        <f t="shared" si="774"/>
        <v>872.7293403966687</v>
      </c>
      <c r="DS165" s="28">
        <f t="shared" si="775"/>
        <v>2036.3757964000124</v>
      </c>
      <c r="DT165" s="28">
        <f t="shared" si="776"/>
        <v>2613.3776680682386</v>
      </c>
      <c r="DU165" s="28">
        <f t="shared" si="777"/>
        <v>4149.9800514879753</v>
      </c>
      <c r="DV165" s="28">
        <f t="shared" si="778"/>
        <v>3393.0036156918541</v>
      </c>
      <c r="DW165" s="28">
        <f t="shared" si="779"/>
        <v>1408.6408644513158</v>
      </c>
      <c r="DX165" s="28">
        <f t="shared" si="780"/>
        <v>670.50392398010763</v>
      </c>
      <c r="DY165" s="28">
        <f t="shared" si="781"/>
        <v>18457.484807948022</v>
      </c>
      <c r="DZ165" s="28">
        <f t="shared" si="782"/>
        <v>1063.0645772377011</v>
      </c>
      <c r="EA165" s="28">
        <f t="shared" si="783"/>
        <v>544.94563565634144</v>
      </c>
      <c r="EB165" s="28">
        <f t="shared" si="784"/>
        <v>4243.5771349632523</v>
      </c>
      <c r="EC165" s="28">
        <f t="shared" si="785"/>
        <v>2825.0708377033752</v>
      </c>
      <c r="ED165" s="28">
        <f t="shared" si="786"/>
        <v>4600.4884189093264</v>
      </c>
      <c r="EE165" s="28">
        <f t="shared" si="787"/>
        <v>3154.9484169577663</v>
      </c>
      <c r="EF165" s="28">
        <f t="shared" si="788"/>
        <v>5756.4798544962905</v>
      </c>
      <c r="EG165" s="28">
        <f t="shared" si="789"/>
        <v>1615.2215107471861</v>
      </c>
      <c r="EH165" s="28">
        <f t="shared" si="790"/>
        <v>1799.6304561095658</v>
      </c>
      <c r="EI165" s="28">
        <f t="shared" si="791"/>
        <v>3268.5839736989301</v>
      </c>
      <c r="EJ165" s="28">
        <f t="shared" si="792"/>
        <v>1147.2539698028245</v>
      </c>
      <c r="EK165" s="28">
        <f t="shared" si="793"/>
        <v>2177.1914772901191</v>
      </c>
      <c r="EL165" s="28">
        <f t="shared" si="794"/>
        <v>0</v>
      </c>
      <c r="EM165" s="28">
        <f t="shared" si="795"/>
        <v>8145.5031856000496</v>
      </c>
      <c r="EN165" s="28">
        <f t="shared" si="796"/>
        <v>0</v>
      </c>
      <c r="EQ165" s="144">
        <v>4.2803074847381453E-2</v>
      </c>
      <c r="ER165" s="144">
        <v>5.2823540886746179E-2</v>
      </c>
      <c r="ES165" s="144">
        <v>6.2884893397621586E-2</v>
      </c>
      <c r="ET165" s="144">
        <v>7.9691793640402797E-2</v>
      </c>
      <c r="EU165" s="144">
        <v>6.7626363924187305E-2</v>
      </c>
      <c r="EV165" s="144">
        <v>7.7687716435062726E-2</v>
      </c>
      <c r="EW165" s="144">
        <v>8.0327194188296119E-2</v>
      </c>
      <c r="EX165" s="144">
        <v>7.0265841677420698E-2</v>
      </c>
      <c r="EY165" s="144">
        <v>8.0327194188296119E-2</v>
      </c>
      <c r="EZ165" s="144">
        <v>0.10744376619931402</v>
      </c>
      <c r="FA165" s="144">
        <v>0.10744376619931402</v>
      </c>
      <c r="FB165" s="144">
        <v>0.17067485441595695</v>
      </c>
      <c r="FC165" s="145">
        <f t="shared" si="797"/>
        <v>1</v>
      </c>
      <c r="FD165" s="146">
        <f t="shared" si="798"/>
        <v>0.15851150913174922</v>
      </c>
      <c r="FE165" s="146">
        <f t="shared" si="799"/>
        <v>0.22500587399965283</v>
      </c>
      <c r="FF165" s="146">
        <f t="shared" si="800"/>
        <v>0.23092023005401294</v>
      </c>
      <c r="FG165" s="146">
        <f t="shared" si="801"/>
        <v>0.38556238681458499</v>
      </c>
      <c r="FH165" s="145">
        <f t="shared" si="934"/>
        <v>1</v>
      </c>
      <c r="FJ165" s="52">
        <f t="shared" si="802"/>
        <v>716.57836428625274</v>
      </c>
      <c r="FK165" s="52">
        <f t="shared" si="803"/>
        <v>1476.5507353746329</v>
      </c>
      <c r="FL165" s="52">
        <f t="shared" si="804"/>
        <v>362.39237619066358</v>
      </c>
      <c r="FM165" s="52">
        <f t="shared" si="805"/>
        <v>475.74765024653004</v>
      </c>
      <c r="FN165" s="52">
        <f t="shared" si="806"/>
        <v>1110.0818493347294</v>
      </c>
      <c r="FO165" s="52">
        <f t="shared" si="807"/>
        <v>1424.6207011043291</v>
      </c>
      <c r="FP165" s="52">
        <f t="shared" si="808"/>
        <v>2262.2629567696317</v>
      </c>
      <c r="FQ165" s="52">
        <f t="shared" si="809"/>
        <v>1849.6152503704013</v>
      </c>
      <c r="FR165" s="52">
        <f t="shared" si="810"/>
        <v>767.8870759625861</v>
      </c>
      <c r="FS165" s="52">
        <f t="shared" si="811"/>
        <v>365.50927251927635</v>
      </c>
      <c r="FT165" s="52">
        <f t="shared" si="812"/>
        <v>10061.659005128846</v>
      </c>
      <c r="FU165" s="52">
        <f t="shared" si="813"/>
        <v>579.5043792744334</v>
      </c>
      <c r="FV165" s="52">
        <f t="shared" si="814"/>
        <v>297.06415686422338</v>
      </c>
      <c r="FW165" s="52">
        <f t="shared" si="815"/>
        <v>2313.2851814986093</v>
      </c>
      <c r="FX165" s="52">
        <f t="shared" si="816"/>
        <v>1540.0201993971</v>
      </c>
      <c r="FY165" s="52">
        <f t="shared" si="817"/>
        <v>2507.8468821590227</v>
      </c>
      <c r="FZ165" s="52">
        <f t="shared" si="818"/>
        <v>1719.8451186876089</v>
      </c>
      <c r="GA165" s="52">
        <f t="shared" si="819"/>
        <v>3138.008128869998</v>
      </c>
      <c r="GB165" s="52">
        <f t="shared" si="820"/>
        <v>880.49960371030659</v>
      </c>
      <c r="GC165" s="52">
        <f t="shared" si="821"/>
        <v>981.02575583980558</v>
      </c>
      <c r="GD165" s="52">
        <f t="shared" si="822"/>
        <v>1781.790840690599</v>
      </c>
      <c r="GE165" s="52">
        <f t="shared" si="823"/>
        <v>625.39822497731245</v>
      </c>
      <c r="GF165" s="52">
        <f t="shared" si="824"/>
        <v>1186.8441697935373</v>
      </c>
      <c r="GG165" s="52">
        <f t="shared" si="825"/>
        <v>0</v>
      </c>
      <c r="GH165" s="52">
        <f t="shared" si="826"/>
        <v>4440.3273973389178</v>
      </c>
      <c r="GI165" s="52">
        <f t="shared" si="827"/>
        <v>0</v>
      </c>
      <c r="GJ165" s="26"/>
      <c r="GL165" s="150">
        <f t="shared" si="828"/>
        <v>1017.1775035682587</v>
      </c>
      <c r="GM165" s="150">
        <f t="shared" si="829"/>
        <v>2095.9524676637789</v>
      </c>
      <c r="GN165" s="150">
        <f t="shared" si="830"/>
        <v>514.4132043296471</v>
      </c>
      <c r="GO165" s="150">
        <f t="shared" si="831"/>
        <v>675.32014825515751</v>
      </c>
      <c r="GP165" s="150">
        <f t="shared" si="832"/>
        <v>1575.7526888038617</v>
      </c>
      <c r="GQ165" s="150">
        <f t="shared" si="833"/>
        <v>2022.2381814783521</v>
      </c>
      <c r="GR165" s="150">
        <f t="shared" si="834"/>
        <v>3211.2649522622878</v>
      </c>
      <c r="GS165" s="150">
        <f t="shared" si="835"/>
        <v>2625.5146913450262</v>
      </c>
      <c r="GT165" s="150">
        <f t="shared" si="836"/>
        <v>1090.0098270870133</v>
      </c>
      <c r="GU165" s="150">
        <f t="shared" si="837"/>
        <v>518.83761481206147</v>
      </c>
      <c r="GV165" s="150">
        <f t="shared" si="838"/>
        <v>14282.447948014878</v>
      </c>
      <c r="GW165" s="150">
        <f t="shared" si="839"/>
        <v>822.60203097866554</v>
      </c>
      <c r="GX165" s="150">
        <f t="shared" si="840"/>
        <v>421.68029700385034</v>
      </c>
      <c r="GY165" s="150">
        <f t="shared" si="841"/>
        <v>3283.69060975198</v>
      </c>
      <c r="GZ165" s="150">
        <f t="shared" si="842"/>
        <v>2186.0468860620972</v>
      </c>
      <c r="HA165" s="150">
        <f t="shared" si="843"/>
        <v>3559.8694547061896</v>
      </c>
      <c r="HB165" s="150">
        <f t="shared" si="844"/>
        <v>2441.3069826538704</v>
      </c>
      <c r="HC165" s="150">
        <f t="shared" si="845"/>
        <v>4454.3785212943012</v>
      </c>
      <c r="HD165" s="150">
        <f t="shared" si="846"/>
        <v>1249.8624483129304</v>
      </c>
      <c r="HE165" s="150">
        <f t="shared" si="847"/>
        <v>1392.5585518552912</v>
      </c>
      <c r="HF165" s="150">
        <f t="shared" si="848"/>
        <v>2529.2384609179339</v>
      </c>
      <c r="HG165" s="150">
        <f t="shared" si="849"/>
        <v>887.74799369231664</v>
      </c>
      <c r="HH165" s="150">
        <f t="shared" si="850"/>
        <v>1684.7162151729133</v>
      </c>
      <c r="HI165" s="150">
        <f t="shared" si="851"/>
        <v>0</v>
      </c>
      <c r="HJ165" s="150">
        <f t="shared" si="852"/>
        <v>6303.0107552154468</v>
      </c>
      <c r="HK165" s="150">
        <f t="shared" si="853"/>
        <v>0</v>
      </c>
      <c r="HL165" s="26"/>
      <c r="HN165" s="147">
        <f t="shared" si="854"/>
        <v>1043.91436078736</v>
      </c>
      <c r="HO165" s="147">
        <f t="shared" si="855"/>
        <v>2151.0452923373136</v>
      </c>
      <c r="HP165" s="147">
        <f t="shared" si="856"/>
        <v>527.93473065866431</v>
      </c>
      <c r="HQ165" s="147">
        <f t="shared" si="857"/>
        <v>693.07116842394839</v>
      </c>
      <c r="HR165" s="147">
        <f t="shared" si="858"/>
        <v>1617.1718850654479</v>
      </c>
      <c r="HS165" s="147">
        <f t="shared" si="859"/>
        <v>2075.3934010261009</v>
      </c>
      <c r="HT165" s="147">
        <f t="shared" si="860"/>
        <v>3295.6741455644865</v>
      </c>
      <c r="HU165" s="147">
        <f t="shared" si="861"/>
        <v>2694.5272394822887</v>
      </c>
      <c r="HV165" s="147">
        <f t="shared" si="862"/>
        <v>1118.6611067427348</v>
      </c>
      <c r="HW165" s="147">
        <f t="shared" si="863"/>
        <v>532.4754382779422</v>
      </c>
      <c r="HX165" s="147">
        <f t="shared" si="864"/>
        <v>14657.866958153943</v>
      </c>
      <c r="HY165" s="147">
        <f t="shared" si="865"/>
        <v>844.22440561167218</v>
      </c>
      <c r="HZ165" s="147">
        <f t="shared" si="866"/>
        <v>432.76430727103536</v>
      </c>
      <c r="IA165" s="147">
        <f t="shared" si="867"/>
        <v>3370.0035361356795</v>
      </c>
      <c r="IB165" s="147">
        <f t="shared" si="868"/>
        <v>2243.50787321711</v>
      </c>
      <c r="IC165" s="147">
        <f t="shared" si="869"/>
        <v>3653.4418361196881</v>
      </c>
      <c r="ID165" s="147">
        <f t="shared" si="870"/>
        <v>2505.4775684112574</v>
      </c>
      <c r="IE165" s="147">
        <f t="shared" si="871"/>
        <v>4571.4633782694982</v>
      </c>
      <c r="IF165" s="147">
        <f t="shared" si="872"/>
        <v>1282.7155085770742</v>
      </c>
      <c r="IG165" s="147">
        <f t="shared" si="873"/>
        <v>1429.162427815565</v>
      </c>
      <c r="IH165" s="147">
        <f t="shared" si="874"/>
        <v>2595.7203555384872</v>
      </c>
      <c r="II165" s="147">
        <f t="shared" si="875"/>
        <v>911.08275214954824</v>
      </c>
      <c r="IJ165" s="147">
        <f t="shared" si="876"/>
        <v>1728.999554847423</v>
      </c>
      <c r="IK165" s="147">
        <f t="shared" si="877"/>
        <v>0</v>
      </c>
      <c r="IL165" s="147">
        <f t="shared" si="878"/>
        <v>6468.6875402617916</v>
      </c>
      <c r="IM165" s="147">
        <f t="shared" si="879"/>
        <v>0</v>
      </c>
      <c r="IN165" s="26"/>
      <c r="IP165" s="61">
        <f t="shared" si="880"/>
        <v>1743.0006564650128</v>
      </c>
      <c r="IQ165" s="61">
        <f t="shared" si="881"/>
        <v>3591.5526191267913</v>
      </c>
      <c r="IR165" s="61">
        <f t="shared" si="882"/>
        <v>881.48091134093499</v>
      </c>
      <c r="IS165" s="61">
        <f t="shared" si="883"/>
        <v>1157.2055591119354</v>
      </c>
      <c r="IT165" s="61">
        <f t="shared" si="884"/>
        <v>2700.1560311516773</v>
      </c>
      <c r="IU165" s="61">
        <f t="shared" si="885"/>
        <v>3465.2383339982593</v>
      </c>
      <c r="IV165" s="61">
        <f t="shared" si="886"/>
        <v>5502.7140299909788</v>
      </c>
      <c r="IW165" s="61">
        <f t="shared" si="887"/>
        <v>4498.9923730315977</v>
      </c>
      <c r="IX165" s="61">
        <f t="shared" si="888"/>
        <v>1867.8036404670499</v>
      </c>
      <c r="IY165" s="61">
        <f t="shared" si="889"/>
        <v>889.06243014986069</v>
      </c>
      <c r="IZ165" s="61">
        <f t="shared" si="890"/>
        <v>24473.915380538841</v>
      </c>
      <c r="JA165" s="61">
        <f t="shared" si="891"/>
        <v>1409.5827669954467</v>
      </c>
      <c r="JB165" s="61">
        <f t="shared" si="892"/>
        <v>722.57696608284323</v>
      </c>
      <c r="JC165" s="61">
        <f t="shared" si="893"/>
        <v>5626.8201649640787</v>
      </c>
      <c r="JD165" s="61">
        <f t="shared" si="894"/>
        <v>3745.9353398035905</v>
      </c>
      <c r="JE165" s="61">
        <f t="shared" si="895"/>
        <v>6100.0708084046346</v>
      </c>
      <c r="JF165" s="61">
        <f t="shared" si="896"/>
        <v>4183.3403299533029</v>
      </c>
      <c r="JG165" s="61">
        <f t="shared" si="897"/>
        <v>7632.8710176184213</v>
      </c>
      <c r="JH165" s="61">
        <f t="shared" si="898"/>
        <v>2141.7216368413469</v>
      </c>
      <c r="JI165" s="61">
        <f t="shared" si="899"/>
        <v>2386.2408100208822</v>
      </c>
      <c r="JJ165" s="61">
        <f t="shared" si="900"/>
        <v>4334.0167102316209</v>
      </c>
      <c r="JK165" s="61">
        <f t="shared" si="901"/>
        <v>1521.2146654375647</v>
      </c>
      <c r="JL165" s="61">
        <f t="shared" si="902"/>
        <v>2886.8722112930463</v>
      </c>
      <c r="JM165" s="61">
        <f t="shared" si="903"/>
        <v>0</v>
      </c>
      <c r="JN165" s="61">
        <f t="shared" si="904"/>
        <v>10800.624124606709</v>
      </c>
      <c r="JO165" s="61">
        <f t="shared" si="905"/>
        <v>0</v>
      </c>
      <c r="JQ165" s="26">
        <f t="shared" si="769"/>
        <v>270417.99999999988</v>
      </c>
      <c r="JR165" s="156">
        <f t="shared" si="770"/>
        <v>0.99999999999999956</v>
      </c>
      <c r="JT165" s="157">
        <f t="shared" si="906"/>
        <v>4520.6708851068843</v>
      </c>
      <c r="JU165" s="29">
        <f t="shared" si="907"/>
        <v>1</v>
      </c>
    </row>
    <row r="166" spans="1:281" ht="18.75" x14ac:dyDescent="0.3">
      <c r="A166" t="s">
        <v>234</v>
      </c>
      <c r="B166" s="10" t="s">
        <v>108</v>
      </c>
      <c r="C166" t="s">
        <v>86</v>
      </c>
      <c r="D166" t="s">
        <v>20</v>
      </c>
      <c r="E166" t="s">
        <v>134</v>
      </c>
      <c r="F166" s="114"/>
      <c r="G166" s="17">
        <v>132309</v>
      </c>
      <c r="H166" s="21">
        <v>98007</v>
      </c>
      <c r="I166" s="25">
        <f t="shared" si="713"/>
        <v>1.3499954084912302</v>
      </c>
      <c r="J166" s="105">
        <v>1.6717344574351135E-2</v>
      </c>
      <c r="K166" s="105">
        <v>3.4447045368660806E-2</v>
      </c>
      <c r="L166" s="105">
        <v>8.4543973497323045E-3</v>
      </c>
      <c r="M166" s="105">
        <v>1.109890808318075E-2</v>
      </c>
      <c r="N166" s="105">
        <v>2.5897545482755281E-2</v>
      </c>
      <c r="O166" s="105">
        <v>3.3235548734207941E-2</v>
      </c>
      <c r="P166" s="105">
        <v>5.2777241472784314E-2</v>
      </c>
      <c r="Q166" s="105">
        <v>4.315041733253451E-2</v>
      </c>
      <c r="R166" s="105">
        <v>1.7914346124368149E-2</v>
      </c>
      <c r="S166" s="105">
        <v>8.5271126765198383E-3</v>
      </c>
      <c r="T166" s="105">
        <v>0.23473248560316462</v>
      </c>
      <c r="U166" s="105">
        <v>1.3519490503073829E-2</v>
      </c>
      <c r="V166" s="105">
        <v>6.9303290728500054E-3</v>
      </c>
      <c r="W166" s="105">
        <v>5.396755945369891E-2</v>
      </c>
      <c r="X166" s="105">
        <v>3.5927749996227692E-2</v>
      </c>
      <c r="Y166" s="105">
        <v>5.8506567541323211E-2</v>
      </c>
      <c r="Z166" s="105">
        <v>4.0122957790184245E-2</v>
      </c>
      <c r="AA166" s="105">
        <v>7.3207852458239547E-2</v>
      </c>
      <c r="AB166" s="105">
        <v>2.054152903076592E-2</v>
      </c>
      <c r="AC166" s="105">
        <v>2.2886744024183104E-2</v>
      </c>
      <c r="AD166" s="105">
        <v>4.1568114427954661E-2</v>
      </c>
      <c r="AE166" s="105">
        <v>1.4590166469157909E-2</v>
      </c>
      <c r="AF166" s="105">
        <v>2.7688364499060425E-2</v>
      </c>
      <c r="AG166" s="105">
        <v>0</v>
      </c>
      <c r="AH166" s="105">
        <v>0.10359018193102112</v>
      </c>
      <c r="AJ166" s="8">
        <f t="shared" si="740"/>
        <v>1.0000000000000004</v>
      </c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159"/>
      <c r="BG166" s="159"/>
      <c r="BH166" s="159"/>
      <c r="BI166" s="159"/>
      <c r="BJ166" s="159"/>
      <c r="BM166" s="26">
        <f t="shared" si="741"/>
        <v>2211.8551432878244</v>
      </c>
      <c r="BN166" s="26">
        <f t="shared" si="742"/>
        <v>4557.6541256821429</v>
      </c>
      <c r="BO166" s="26">
        <f t="shared" si="743"/>
        <v>1118.5928589457315</v>
      </c>
      <c r="BP166" s="26">
        <f t="shared" si="744"/>
        <v>1468.4854295775617</v>
      </c>
      <c r="BQ166" s="26">
        <f t="shared" si="745"/>
        <v>3426.4783452778684</v>
      </c>
      <c r="BR166" s="26">
        <f t="shared" si="746"/>
        <v>4397.3622174743186</v>
      </c>
      <c r="BS166" s="26">
        <f t="shared" si="747"/>
        <v>6982.9040420226202</v>
      </c>
      <c r="BT166" s="26">
        <f t="shared" si="748"/>
        <v>5709.1885668503082</v>
      </c>
      <c r="BU166" s="26">
        <f t="shared" si="749"/>
        <v>2370.2292213690253</v>
      </c>
      <c r="BV166" s="26">
        <f t="shared" si="750"/>
        <v>1128.2137511176634</v>
      </c>
      <c r="BW166" s="26">
        <f t="shared" si="751"/>
        <v>31057.220437669108</v>
      </c>
      <c r="BX166" s="26">
        <f t="shared" si="752"/>
        <v>1788.7502689711953</v>
      </c>
      <c r="BY166" s="26">
        <f t="shared" si="753"/>
        <v>916.94490929971141</v>
      </c>
      <c r="BZ166" s="26">
        <f t="shared" si="754"/>
        <v>7140.3938237594493</v>
      </c>
      <c r="CA166" s="26">
        <f t="shared" si="755"/>
        <v>4753.5646742508898</v>
      </c>
      <c r="CB166" s="26">
        <f t="shared" si="756"/>
        <v>7740.9454448249326</v>
      </c>
      <c r="CC166" s="26">
        <f t="shared" si="757"/>
        <v>5308.6284222614877</v>
      </c>
      <c r="CD166" s="26">
        <f t="shared" si="758"/>
        <v>9686.0577508972165</v>
      </c>
      <c r="CE166" s="26">
        <f t="shared" si="759"/>
        <v>2717.8291645316081</v>
      </c>
      <c r="CF166" s="26">
        <f t="shared" si="760"/>
        <v>3028.1222150956423</v>
      </c>
      <c r="CG166" s="26">
        <f t="shared" si="761"/>
        <v>5499.8356518482533</v>
      </c>
      <c r="CH166" s="26">
        <f t="shared" si="762"/>
        <v>1930.4103353678138</v>
      </c>
      <c r="CI166" s="26">
        <f t="shared" si="763"/>
        <v>3663.4198185061859</v>
      </c>
      <c r="CJ166" s="26">
        <f t="shared" si="764"/>
        <v>0</v>
      </c>
      <c r="CK166" s="26">
        <f t="shared" si="765"/>
        <v>13705.913381111473</v>
      </c>
      <c r="CL166" s="26">
        <f t="shared" si="766"/>
        <v>0</v>
      </c>
      <c r="CM166" s="110">
        <f t="shared" si="767"/>
        <v>1</v>
      </c>
      <c r="CN166" s="27">
        <f t="shared" si="933"/>
        <v>1638.4167896984316</v>
      </c>
      <c r="CO166" s="27">
        <f t="shared" si="908"/>
        <v>3376.0515754463395</v>
      </c>
      <c r="CP166" s="27">
        <f t="shared" si="909"/>
        <v>828.59012105521401</v>
      </c>
      <c r="CQ166" s="27">
        <f t="shared" si="910"/>
        <v>1087.7706845082957</v>
      </c>
      <c r="CR166" s="27">
        <f t="shared" si="911"/>
        <v>2538.1407401283968</v>
      </c>
      <c r="CS166" s="27">
        <f t="shared" si="912"/>
        <v>3257.3164247935179</v>
      </c>
      <c r="CT166" s="27">
        <f t="shared" si="913"/>
        <v>5172.5391050231719</v>
      </c>
      <c r="CU166" s="27">
        <f t="shared" si="914"/>
        <v>4229.0429515097094</v>
      </c>
      <c r="CV166" s="27">
        <f t="shared" si="915"/>
        <v>1755.7313206109491</v>
      </c>
      <c r="CW166" s="27">
        <f t="shared" si="916"/>
        <v>835.71673208767982</v>
      </c>
      <c r="CX166" s="27">
        <f t="shared" si="917"/>
        <v>23005.426716509355</v>
      </c>
      <c r="CY166" s="27">
        <f t="shared" si="918"/>
        <v>1325.0047057347567</v>
      </c>
      <c r="CZ166" s="27">
        <f t="shared" si="919"/>
        <v>679.2207614428105</v>
      </c>
      <c r="DA166" s="27">
        <f t="shared" si="920"/>
        <v>5289.1985993786693</v>
      </c>
      <c r="DB166" s="27">
        <f t="shared" si="921"/>
        <v>3521.1709938802874</v>
      </c>
      <c r="DC166" s="27">
        <f t="shared" si="922"/>
        <v>5734.0531650224639</v>
      </c>
      <c r="DD166" s="27">
        <f t="shared" si="923"/>
        <v>3932.3307241425873</v>
      </c>
      <c r="DE166" s="27">
        <f t="shared" si="924"/>
        <v>7174.8819958746835</v>
      </c>
      <c r="DF166" s="27">
        <f t="shared" si="925"/>
        <v>2013.2136357182756</v>
      </c>
      <c r="DG166" s="27">
        <f t="shared" si="926"/>
        <v>2243.0611215781137</v>
      </c>
      <c r="DH166" s="27">
        <f t="shared" si="927"/>
        <v>4073.9661907405525</v>
      </c>
      <c r="DI166" s="27">
        <f t="shared" si="928"/>
        <v>1429.9384451427591</v>
      </c>
      <c r="DJ166" s="27">
        <f t="shared" si="929"/>
        <v>2713.6535394594152</v>
      </c>
      <c r="DK166" s="27">
        <f t="shared" si="930"/>
        <v>0</v>
      </c>
      <c r="DL166" s="27">
        <f t="shared" si="931"/>
        <v>10152.562960513587</v>
      </c>
      <c r="DM166" s="27">
        <f t="shared" si="932"/>
        <v>0</v>
      </c>
      <c r="DN166" s="110">
        <f t="shared" si="768"/>
        <v>1.0000000000000004</v>
      </c>
      <c r="DO166" s="28">
        <f t="shared" si="771"/>
        <v>573.43835358939282</v>
      </c>
      <c r="DP166" s="28">
        <f t="shared" si="772"/>
        <v>1181.6025502358034</v>
      </c>
      <c r="DQ166" s="28">
        <f t="shared" si="773"/>
        <v>290.00273789051744</v>
      </c>
      <c r="DR166" s="28">
        <f t="shared" si="774"/>
        <v>380.71474506926597</v>
      </c>
      <c r="DS166" s="28">
        <f t="shared" si="775"/>
        <v>888.33760514947153</v>
      </c>
      <c r="DT166" s="28">
        <f t="shared" si="776"/>
        <v>1140.0457926808008</v>
      </c>
      <c r="DU166" s="28">
        <f t="shared" si="777"/>
        <v>1810.3649369994482</v>
      </c>
      <c r="DV166" s="28">
        <f t="shared" si="778"/>
        <v>1480.1456153405989</v>
      </c>
      <c r="DW166" s="28">
        <f t="shared" si="779"/>
        <v>614.49790075807618</v>
      </c>
      <c r="DX166" s="28">
        <f t="shared" si="780"/>
        <v>292.49701902998356</v>
      </c>
      <c r="DY166" s="28">
        <f t="shared" si="781"/>
        <v>8051.7937211597527</v>
      </c>
      <c r="DZ166" s="28">
        <f t="shared" si="782"/>
        <v>463.74556323643856</v>
      </c>
      <c r="EA166" s="28">
        <f t="shared" si="783"/>
        <v>237.72414785690091</v>
      </c>
      <c r="EB166" s="28">
        <f t="shared" si="784"/>
        <v>1851.19522438078</v>
      </c>
      <c r="EC166" s="28">
        <f t="shared" si="785"/>
        <v>1232.3936803706024</v>
      </c>
      <c r="ED166" s="28">
        <f t="shared" si="786"/>
        <v>2006.8922798024687</v>
      </c>
      <c r="EE166" s="28">
        <f t="shared" si="787"/>
        <v>1376.2976981189004</v>
      </c>
      <c r="EF166" s="28">
        <f t="shared" si="788"/>
        <v>2511.1757550225329</v>
      </c>
      <c r="EG166" s="28">
        <f t="shared" si="789"/>
        <v>704.6155288133325</v>
      </c>
      <c r="EH166" s="28">
        <f t="shared" si="790"/>
        <v>785.06109351752866</v>
      </c>
      <c r="EI166" s="28">
        <f t="shared" si="791"/>
        <v>1425.8694611077008</v>
      </c>
      <c r="EJ166" s="28">
        <f t="shared" si="792"/>
        <v>500.47189022505472</v>
      </c>
      <c r="EK166" s="28">
        <f t="shared" si="793"/>
        <v>949.76627904677071</v>
      </c>
      <c r="EL166" s="28">
        <f t="shared" si="794"/>
        <v>0</v>
      </c>
      <c r="EM166" s="28">
        <f t="shared" si="795"/>
        <v>3553.3504205978861</v>
      </c>
      <c r="EN166" s="28">
        <f t="shared" si="796"/>
        <v>0</v>
      </c>
      <c r="EQ166" s="144">
        <v>4.2803074847381453E-2</v>
      </c>
      <c r="ER166" s="144">
        <v>5.2823540886746179E-2</v>
      </c>
      <c r="ES166" s="144">
        <v>6.2884893397621586E-2</v>
      </c>
      <c r="ET166" s="144">
        <v>7.9691793640402797E-2</v>
      </c>
      <c r="EU166" s="144">
        <v>6.7626363924187305E-2</v>
      </c>
      <c r="EV166" s="144">
        <v>7.7687716435062726E-2</v>
      </c>
      <c r="EW166" s="144">
        <v>8.0327194188296119E-2</v>
      </c>
      <c r="EX166" s="144">
        <v>7.0265841677420698E-2</v>
      </c>
      <c r="EY166" s="144">
        <v>8.0327194188296119E-2</v>
      </c>
      <c r="EZ166" s="144">
        <v>0.10744376619931402</v>
      </c>
      <c r="FA166" s="144">
        <v>0.10744376619931402</v>
      </c>
      <c r="FB166" s="144">
        <v>0.17067485441595695</v>
      </c>
      <c r="FC166" s="145">
        <f t="shared" si="797"/>
        <v>1</v>
      </c>
      <c r="FD166" s="146">
        <f t="shared" si="798"/>
        <v>0.15851150913174922</v>
      </c>
      <c r="FE166" s="146">
        <f t="shared" si="799"/>
        <v>0.22500587399965283</v>
      </c>
      <c r="FF166" s="146">
        <f t="shared" si="800"/>
        <v>0.23092023005401294</v>
      </c>
      <c r="FG166" s="146">
        <f t="shared" si="801"/>
        <v>0.38556238681458499</v>
      </c>
      <c r="FH166" s="145">
        <f t="shared" si="934"/>
        <v>1</v>
      </c>
      <c r="FJ166" s="52">
        <f t="shared" si="802"/>
        <v>350.60449674337445</v>
      </c>
      <c r="FK166" s="52">
        <f t="shared" si="803"/>
        <v>722.44063356241952</v>
      </c>
      <c r="FL166" s="52">
        <f t="shared" si="804"/>
        <v>177.30984217548578</v>
      </c>
      <c r="FM166" s="52">
        <f t="shared" si="805"/>
        <v>232.77184158032435</v>
      </c>
      <c r="FN166" s="52">
        <f t="shared" si="806"/>
        <v>543.13625351725375</v>
      </c>
      <c r="FO166" s="52">
        <f t="shared" si="807"/>
        <v>697.03252129078942</v>
      </c>
      <c r="FP166" s="52">
        <f t="shared" si="808"/>
        <v>1106.870657823197</v>
      </c>
      <c r="FQ166" s="52">
        <f t="shared" si="809"/>
        <v>904.97209564917091</v>
      </c>
      <c r="FR166" s="52">
        <f t="shared" si="810"/>
        <v>375.70861086737506</v>
      </c>
      <c r="FS166" s="52">
        <f t="shared" si="811"/>
        <v>178.83486431285255</v>
      </c>
      <c r="FT166" s="52">
        <f t="shared" si="812"/>
        <v>4922.9268810123349</v>
      </c>
      <c r="FU166" s="52">
        <f t="shared" si="813"/>
        <v>283.53750459444649</v>
      </c>
      <c r="FV166" s="52">
        <f t="shared" si="814"/>
        <v>145.34632136377218</v>
      </c>
      <c r="FW166" s="52">
        <f t="shared" si="815"/>
        <v>1131.8346007991317</v>
      </c>
      <c r="FX166" s="52">
        <f t="shared" si="816"/>
        <v>753.49471027088043</v>
      </c>
      <c r="FY166" s="52">
        <f t="shared" si="817"/>
        <v>1227.0289445657397</v>
      </c>
      <c r="FZ166" s="52">
        <f t="shared" si="818"/>
        <v>841.4787026323653</v>
      </c>
      <c r="GA166" s="52">
        <f t="shared" si="819"/>
        <v>1535.3516316319945</v>
      </c>
      <c r="GB166" s="52">
        <f t="shared" si="820"/>
        <v>430.80720243218633</v>
      </c>
      <c r="GC166" s="52">
        <f t="shared" si="821"/>
        <v>479.99222215018557</v>
      </c>
      <c r="GD166" s="52">
        <f t="shared" si="822"/>
        <v>871.78724915106432</v>
      </c>
      <c r="GE166" s="52">
        <f t="shared" si="823"/>
        <v>305.99225550267829</v>
      </c>
      <c r="GF166" s="52">
        <f t="shared" si="824"/>
        <v>580.69420401457432</v>
      </c>
      <c r="GG166" s="52">
        <f t="shared" si="825"/>
        <v>0</v>
      </c>
      <c r="GH166" s="52">
        <f t="shared" si="826"/>
        <v>2172.545014069015</v>
      </c>
      <c r="GI166" s="52">
        <f t="shared" si="827"/>
        <v>0</v>
      </c>
      <c r="GJ166" s="26"/>
      <c r="GL166" s="150">
        <f t="shared" si="828"/>
        <v>497.68039967610429</v>
      </c>
      <c r="GM166" s="150">
        <f t="shared" si="829"/>
        <v>1025.4989499372341</v>
      </c>
      <c r="GN166" s="150">
        <f t="shared" si="830"/>
        <v>251.68996387685468</v>
      </c>
      <c r="GO166" s="150">
        <f t="shared" si="831"/>
        <v>330.41784753785493</v>
      </c>
      <c r="GP166" s="150">
        <f t="shared" si="832"/>
        <v>770.97775482013094</v>
      </c>
      <c r="GQ166" s="150">
        <f t="shared" si="833"/>
        <v>989.43232903586045</v>
      </c>
      <c r="GR166" s="150">
        <f t="shared" si="834"/>
        <v>1571.1944270310082</v>
      </c>
      <c r="GS166" s="150">
        <f t="shared" si="835"/>
        <v>1284.600963312979</v>
      </c>
      <c r="GT166" s="150">
        <f t="shared" si="836"/>
        <v>533.31549753365414</v>
      </c>
      <c r="GU166" s="150">
        <f t="shared" si="837"/>
        <v>253.85472112865665</v>
      </c>
      <c r="GV166" s="150">
        <f t="shared" si="838"/>
        <v>6988.0570285776175</v>
      </c>
      <c r="GW166" s="150">
        <f t="shared" si="839"/>
        <v>402.4793176369779</v>
      </c>
      <c r="GX166" s="150">
        <f t="shared" si="840"/>
        <v>206.31799072651395</v>
      </c>
      <c r="GY166" s="150">
        <f t="shared" si="841"/>
        <v>1606.6305530167178</v>
      </c>
      <c r="GZ166" s="150">
        <f t="shared" si="842"/>
        <v>1069.5799741436965</v>
      </c>
      <c r="HA166" s="150">
        <f t="shared" si="843"/>
        <v>1741.7581953964652</v>
      </c>
      <c r="HB166" s="150">
        <f t="shared" si="844"/>
        <v>1194.4725778903442</v>
      </c>
      <c r="HC166" s="150">
        <f t="shared" si="845"/>
        <v>2179.4198898517398</v>
      </c>
      <c r="HD166" s="150">
        <f t="shared" si="846"/>
        <v>611.52752654718074</v>
      </c>
      <c r="HE166" s="150">
        <f t="shared" si="847"/>
        <v>681.34528558535976</v>
      </c>
      <c r="HF166" s="150">
        <f t="shared" si="848"/>
        <v>1237.4953276985666</v>
      </c>
      <c r="HG166" s="150">
        <f t="shared" si="849"/>
        <v>434.3536646873979</v>
      </c>
      <c r="HH166" s="150">
        <f t="shared" si="850"/>
        <v>824.29097809063387</v>
      </c>
      <c r="HI166" s="150">
        <f t="shared" si="851"/>
        <v>0</v>
      </c>
      <c r="HJ166" s="150">
        <f t="shared" si="852"/>
        <v>3083.9110192805238</v>
      </c>
      <c r="HK166" s="150">
        <f t="shared" si="853"/>
        <v>0</v>
      </c>
      <c r="HL166" s="26"/>
      <c r="HN166" s="147">
        <f t="shared" si="854"/>
        <v>510.76209853417618</v>
      </c>
      <c r="HO166" s="147">
        <f t="shared" si="855"/>
        <v>1052.4545392091416</v>
      </c>
      <c r="HP166" s="147">
        <f t="shared" si="856"/>
        <v>258.30572032452437</v>
      </c>
      <c r="HQ166" s="147">
        <f t="shared" si="857"/>
        <v>339.10299322901659</v>
      </c>
      <c r="HR166" s="147">
        <f t="shared" si="858"/>
        <v>791.24316776665898</v>
      </c>
      <c r="HS166" s="147">
        <f t="shared" si="859"/>
        <v>1015.4398948899941</v>
      </c>
      <c r="HT166" s="147">
        <f t="shared" si="860"/>
        <v>1612.4938078289604</v>
      </c>
      <c r="HU166" s="147">
        <f t="shared" si="861"/>
        <v>1318.3671372788135</v>
      </c>
      <c r="HV166" s="147">
        <f t="shared" si="862"/>
        <v>547.33387707927932</v>
      </c>
      <c r="HW166" s="147">
        <f t="shared" si="863"/>
        <v>260.52737895819172</v>
      </c>
      <c r="HX166" s="147">
        <f t="shared" si="864"/>
        <v>7171.7404883047429</v>
      </c>
      <c r="HY166" s="147">
        <f t="shared" si="865"/>
        <v>413.05862362000596</v>
      </c>
      <c r="HZ166" s="147">
        <f t="shared" si="866"/>
        <v>211.74112940234539</v>
      </c>
      <c r="IA166" s="147">
        <f t="shared" si="867"/>
        <v>1648.8613844587851</v>
      </c>
      <c r="IB166" s="147">
        <f t="shared" si="868"/>
        <v>1097.6942481546446</v>
      </c>
      <c r="IC166" s="147">
        <f t="shared" si="869"/>
        <v>1787.5409029545369</v>
      </c>
      <c r="ID166" s="147">
        <f t="shared" si="870"/>
        <v>1225.8696965398944</v>
      </c>
      <c r="IE166" s="147">
        <f t="shared" si="871"/>
        <v>2236.7066841536403</v>
      </c>
      <c r="IF166" s="147">
        <f t="shared" si="872"/>
        <v>627.60173592114472</v>
      </c>
      <c r="IG166" s="147">
        <f t="shared" si="873"/>
        <v>699.25467854155295</v>
      </c>
      <c r="IH166" s="147">
        <f t="shared" si="874"/>
        <v>1270.0233139840609</v>
      </c>
      <c r="II166" s="147">
        <f t="shared" si="875"/>
        <v>445.7707987417798</v>
      </c>
      <c r="IJ166" s="147">
        <f t="shared" si="876"/>
        <v>845.95774727387879</v>
      </c>
      <c r="IK166" s="147">
        <f t="shared" si="877"/>
        <v>0</v>
      </c>
      <c r="IL166" s="147">
        <f t="shared" si="878"/>
        <v>3164.9726710666359</v>
      </c>
      <c r="IM166" s="147">
        <f t="shared" si="879"/>
        <v>0</v>
      </c>
      <c r="IN166" s="26"/>
      <c r="IP166" s="61">
        <f t="shared" si="880"/>
        <v>852.80814833416946</v>
      </c>
      <c r="IQ166" s="61">
        <f t="shared" si="881"/>
        <v>1757.2600029733476</v>
      </c>
      <c r="IR166" s="61">
        <f t="shared" si="882"/>
        <v>431.28733256886659</v>
      </c>
      <c r="IS166" s="61">
        <f t="shared" si="883"/>
        <v>566.19274723036585</v>
      </c>
      <c r="IT166" s="61">
        <f t="shared" si="884"/>
        <v>1321.1211691738247</v>
      </c>
      <c r="IU166" s="61">
        <f t="shared" si="885"/>
        <v>1695.4574722576745</v>
      </c>
      <c r="IV166" s="61">
        <f t="shared" si="886"/>
        <v>2692.3451493394546</v>
      </c>
      <c r="IW166" s="61">
        <f t="shared" si="887"/>
        <v>2201.2483706093449</v>
      </c>
      <c r="IX166" s="61">
        <f t="shared" si="888"/>
        <v>913.87123588871668</v>
      </c>
      <c r="IY166" s="61">
        <f t="shared" si="889"/>
        <v>434.99678671796244</v>
      </c>
      <c r="IZ166" s="61">
        <f t="shared" si="890"/>
        <v>11974.496039774411</v>
      </c>
      <c r="JA166" s="61">
        <f t="shared" si="891"/>
        <v>689.67482311976494</v>
      </c>
      <c r="JB166" s="61">
        <f t="shared" si="892"/>
        <v>353.53946780707986</v>
      </c>
      <c r="JC166" s="61">
        <f t="shared" si="893"/>
        <v>2753.0672854848144</v>
      </c>
      <c r="JD166" s="61">
        <f t="shared" si="894"/>
        <v>1832.7957416816682</v>
      </c>
      <c r="JE166" s="61">
        <f t="shared" si="895"/>
        <v>2984.6174019081905</v>
      </c>
      <c r="JF166" s="61">
        <f t="shared" si="896"/>
        <v>2046.8074451988837</v>
      </c>
      <c r="JG166" s="61">
        <f t="shared" si="897"/>
        <v>3734.5795452598418</v>
      </c>
      <c r="JH166" s="61">
        <f t="shared" si="898"/>
        <v>1047.8926996310963</v>
      </c>
      <c r="JI166" s="61">
        <f t="shared" si="899"/>
        <v>1167.530028818544</v>
      </c>
      <c r="JJ166" s="61">
        <f t="shared" si="900"/>
        <v>2120.5297610145612</v>
      </c>
      <c r="JK166" s="61">
        <f t="shared" si="901"/>
        <v>744.2936164359578</v>
      </c>
      <c r="JL166" s="61">
        <f t="shared" si="902"/>
        <v>1412.4768891270987</v>
      </c>
      <c r="JM166" s="61">
        <f t="shared" si="903"/>
        <v>0</v>
      </c>
      <c r="JN166" s="61">
        <f t="shared" si="904"/>
        <v>5284.4846766952987</v>
      </c>
      <c r="JO166" s="61">
        <f t="shared" si="905"/>
        <v>0</v>
      </c>
      <c r="JQ166" s="26">
        <f t="shared" si="769"/>
        <v>132308.99999999997</v>
      </c>
      <c r="JR166" s="156">
        <f t="shared" si="770"/>
        <v>0.99999999999999978</v>
      </c>
      <c r="JT166" s="157">
        <f t="shared" si="906"/>
        <v>2211.8551432878244</v>
      </c>
      <c r="JU166" s="29">
        <f t="shared" si="907"/>
        <v>1</v>
      </c>
    </row>
    <row r="167" spans="1:281" ht="18.75" x14ac:dyDescent="0.3">
      <c r="A167" t="s">
        <v>234</v>
      </c>
      <c r="B167" s="10" t="s">
        <v>98</v>
      </c>
      <c r="C167" t="s">
        <v>26</v>
      </c>
      <c r="D167" t="s">
        <v>20</v>
      </c>
      <c r="E167" t="s">
        <v>125</v>
      </c>
      <c r="F167" s="114"/>
      <c r="G167" s="17">
        <v>100000</v>
      </c>
      <c r="H167" s="21">
        <v>70000</v>
      </c>
      <c r="I167" s="25">
        <f t="shared" si="713"/>
        <v>1.4285714285714286</v>
      </c>
      <c r="J167" s="105">
        <v>1.6717344574351131E-2</v>
      </c>
      <c r="K167" s="105">
        <v>3.4447045368660799E-2</v>
      </c>
      <c r="L167" s="105">
        <v>8.4543973497323011E-3</v>
      </c>
      <c r="M167" s="105">
        <v>1.1098908083180746E-2</v>
      </c>
      <c r="N167" s="105">
        <v>2.5897545482755274E-2</v>
      </c>
      <c r="O167" s="105">
        <v>3.3235548734207934E-2</v>
      </c>
      <c r="P167" s="105">
        <v>5.2777241472784293E-2</v>
      </c>
      <c r="Q167" s="105">
        <v>4.3150417332534489E-2</v>
      </c>
      <c r="R167" s="105">
        <v>1.7914346124368138E-2</v>
      </c>
      <c r="S167" s="105">
        <v>8.5271126765198348E-3</v>
      </c>
      <c r="T167" s="105">
        <v>0.23473248560316462</v>
      </c>
      <c r="U167" s="105">
        <v>1.3519490503073824E-2</v>
      </c>
      <c r="V167" s="105">
        <v>6.9303290728500028E-3</v>
      </c>
      <c r="W167" s="105">
        <v>5.3967559453698889E-2</v>
      </c>
      <c r="X167" s="105">
        <v>3.5927749996227679E-2</v>
      </c>
      <c r="Y167" s="105">
        <v>5.8506567541323183E-2</v>
      </c>
      <c r="Z167" s="105">
        <v>4.0122957790184224E-2</v>
      </c>
      <c r="AA167" s="105">
        <v>7.320785245823952E-2</v>
      </c>
      <c r="AB167" s="105">
        <v>2.054152903076591E-2</v>
      </c>
      <c r="AC167" s="105">
        <v>2.288674402418309E-2</v>
      </c>
      <c r="AD167" s="105">
        <v>4.1568114427954647E-2</v>
      </c>
      <c r="AE167" s="105">
        <v>1.4590166469157903E-2</v>
      </c>
      <c r="AF167" s="105">
        <v>2.7688364499060415E-2</v>
      </c>
      <c r="AG167" s="105">
        <v>0</v>
      </c>
      <c r="AH167" s="105">
        <v>0.1035901819310211</v>
      </c>
      <c r="AJ167" s="8">
        <f t="shared" si="740"/>
        <v>1</v>
      </c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159"/>
      <c r="BG167" s="159"/>
      <c r="BH167" s="159"/>
      <c r="BI167" s="159"/>
      <c r="BJ167" s="159"/>
      <c r="BM167" s="26">
        <f t="shared" si="741"/>
        <v>1671.7344574351132</v>
      </c>
      <c r="BN167" s="26">
        <f t="shared" si="742"/>
        <v>3444.7045368660797</v>
      </c>
      <c r="BO167" s="26">
        <f t="shared" si="743"/>
        <v>845.43973497323009</v>
      </c>
      <c r="BP167" s="26">
        <f t="shared" si="744"/>
        <v>1109.8908083180747</v>
      </c>
      <c r="BQ167" s="26">
        <f t="shared" si="745"/>
        <v>2589.7545482755272</v>
      </c>
      <c r="BR167" s="26">
        <f t="shared" si="746"/>
        <v>3323.5548734207932</v>
      </c>
      <c r="BS167" s="26">
        <f t="shared" si="747"/>
        <v>5277.724147278429</v>
      </c>
      <c r="BT167" s="26">
        <f t="shared" si="748"/>
        <v>4315.0417332534489</v>
      </c>
      <c r="BU167" s="26">
        <f t="shared" si="749"/>
        <v>1791.4346124368139</v>
      </c>
      <c r="BV167" s="26">
        <f t="shared" si="750"/>
        <v>852.71126765198346</v>
      </c>
      <c r="BW167" s="26">
        <f t="shared" si="751"/>
        <v>23473.24856031646</v>
      </c>
      <c r="BX167" s="26">
        <f t="shared" si="752"/>
        <v>1351.9490503073823</v>
      </c>
      <c r="BY167" s="26">
        <f t="shared" si="753"/>
        <v>693.03290728500031</v>
      </c>
      <c r="BZ167" s="26">
        <f t="shared" si="754"/>
        <v>5396.7559453698887</v>
      </c>
      <c r="CA167" s="26">
        <f t="shared" si="755"/>
        <v>3592.7749996227681</v>
      </c>
      <c r="CB167" s="26">
        <f t="shared" si="756"/>
        <v>5850.6567541323184</v>
      </c>
      <c r="CC167" s="26">
        <f t="shared" si="757"/>
        <v>4012.2957790184223</v>
      </c>
      <c r="CD167" s="26">
        <f t="shared" si="758"/>
        <v>7320.7852458239522</v>
      </c>
      <c r="CE167" s="26">
        <f t="shared" si="759"/>
        <v>2054.152903076591</v>
      </c>
      <c r="CF167" s="26">
        <f t="shared" si="760"/>
        <v>2288.674402418309</v>
      </c>
      <c r="CG167" s="26">
        <f t="shared" si="761"/>
        <v>4156.8114427954652</v>
      </c>
      <c r="CH167" s="26">
        <f t="shared" si="762"/>
        <v>1459.0166469157903</v>
      </c>
      <c r="CI167" s="26">
        <f t="shared" si="763"/>
        <v>2768.8364499060413</v>
      </c>
      <c r="CJ167" s="26">
        <f t="shared" si="764"/>
        <v>0</v>
      </c>
      <c r="CK167" s="26">
        <f t="shared" si="765"/>
        <v>10359.018193102109</v>
      </c>
      <c r="CL167" s="26">
        <f t="shared" si="766"/>
        <v>0</v>
      </c>
      <c r="CM167" s="110">
        <f t="shared" si="767"/>
        <v>0.99999999999999989</v>
      </c>
      <c r="CN167" s="27">
        <f t="shared" si="933"/>
        <v>1170.2141202045791</v>
      </c>
      <c r="CO167" s="27">
        <f t="shared" si="908"/>
        <v>2411.2931758062559</v>
      </c>
      <c r="CP167" s="27">
        <f t="shared" si="909"/>
        <v>591.80781448126106</v>
      </c>
      <c r="CQ167" s="27">
        <f t="shared" si="910"/>
        <v>776.92356582265222</v>
      </c>
      <c r="CR167" s="27">
        <f t="shared" si="911"/>
        <v>1812.8281837928691</v>
      </c>
      <c r="CS167" s="27">
        <f t="shared" si="912"/>
        <v>2326.4884113945554</v>
      </c>
      <c r="CT167" s="27">
        <f t="shared" si="913"/>
        <v>3694.4069030949004</v>
      </c>
      <c r="CU167" s="27">
        <f t="shared" si="914"/>
        <v>3020.5292132774143</v>
      </c>
      <c r="CV167" s="27">
        <f t="shared" si="915"/>
        <v>1254.0042287057697</v>
      </c>
      <c r="CW167" s="27">
        <f t="shared" si="916"/>
        <v>596.89788735638842</v>
      </c>
      <c r="CX167" s="27">
        <f t="shared" si="917"/>
        <v>16431.273992221522</v>
      </c>
      <c r="CY167" s="27">
        <f t="shared" si="918"/>
        <v>946.36433521516767</v>
      </c>
      <c r="CZ167" s="27">
        <f t="shared" si="919"/>
        <v>485.12303509950021</v>
      </c>
      <c r="DA167" s="27">
        <f t="shared" si="920"/>
        <v>3777.7291617589221</v>
      </c>
      <c r="DB167" s="27">
        <f t="shared" si="921"/>
        <v>2514.9424997359374</v>
      </c>
      <c r="DC167" s="27">
        <f t="shared" si="922"/>
        <v>4095.4597278926226</v>
      </c>
      <c r="DD167" s="27">
        <f t="shared" si="923"/>
        <v>2808.6070453128955</v>
      </c>
      <c r="DE167" s="27">
        <f t="shared" si="924"/>
        <v>5124.549672076766</v>
      </c>
      <c r="DF167" s="27">
        <f t="shared" si="925"/>
        <v>1437.9070321536137</v>
      </c>
      <c r="DG167" s="27">
        <f t="shared" si="926"/>
        <v>1602.0720816928163</v>
      </c>
      <c r="DH167" s="27">
        <f t="shared" si="927"/>
        <v>2909.7680099568252</v>
      </c>
      <c r="DI167" s="27">
        <f t="shared" si="928"/>
        <v>1021.3116528410533</v>
      </c>
      <c r="DJ167" s="27">
        <f t="shared" si="929"/>
        <v>1938.1855149342291</v>
      </c>
      <c r="DK167" s="27">
        <f t="shared" si="930"/>
        <v>0</v>
      </c>
      <c r="DL167" s="27">
        <f t="shared" si="931"/>
        <v>7251.3127351714766</v>
      </c>
      <c r="DM167" s="27">
        <f t="shared" si="932"/>
        <v>0</v>
      </c>
      <c r="DN167" s="110">
        <f t="shared" si="768"/>
        <v>1</v>
      </c>
      <c r="DO167" s="28">
        <f t="shared" si="771"/>
        <v>501.5203372305341</v>
      </c>
      <c r="DP167" s="28">
        <f t="shared" si="772"/>
        <v>1033.4113610598238</v>
      </c>
      <c r="DQ167" s="28">
        <f t="shared" si="773"/>
        <v>253.63192049196903</v>
      </c>
      <c r="DR167" s="28">
        <f t="shared" si="774"/>
        <v>332.96724249542251</v>
      </c>
      <c r="DS167" s="28">
        <f t="shared" si="775"/>
        <v>776.92636448265807</v>
      </c>
      <c r="DT167" s="28">
        <f t="shared" si="776"/>
        <v>997.06646202623779</v>
      </c>
      <c r="DU167" s="28">
        <f t="shared" si="777"/>
        <v>1583.3172441835286</v>
      </c>
      <c r="DV167" s="28">
        <f t="shared" si="778"/>
        <v>1294.5125199760346</v>
      </c>
      <c r="DW167" s="28">
        <f t="shared" si="779"/>
        <v>537.43038373104423</v>
      </c>
      <c r="DX167" s="28">
        <f t="shared" si="780"/>
        <v>255.81338029559504</v>
      </c>
      <c r="DY167" s="28">
        <f t="shared" si="781"/>
        <v>7041.9745680949381</v>
      </c>
      <c r="DZ167" s="28">
        <f t="shared" si="782"/>
        <v>405.58471509221465</v>
      </c>
      <c r="EA167" s="28">
        <f t="shared" si="783"/>
        <v>207.90987218550009</v>
      </c>
      <c r="EB167" s="28">
        <f t="shared" si="784"/>
        <v>1619.0267836109665</v>
      </c>
      <c r="EC167" s="28">
        <f t="shared" si="785"/>
        <v>1077.8324998868306</v>
      </c>
      <c r="ED167" s="28">
        <f t="shared" si="786"/>
        <v>1755.1970262396958</v>
      </c>
      <c r="EE167" s="28">
        <f t="shared" si="787"/>
        <v>1203.6887337055268</v>
      </c>
      <c r="EF167" s="28">
        <f t="shared" si="788"/>
        <v>2196.2355737471862</v>
      </c>
      <c r="EG167" s="28">
        <f t="shared" si="789"/>
        <v>616.24587092297725</v>
      </c>
      <c r="EH167" s="28">
        <f t="shared" si="790"/>
        <v>686.60232072549275</v>
      </c>
      <c r="EI167" s="28">
        <f t="shared" si="791"/>
        <v>1247.04343283864</v>
      </c>
      <c r="EJ167" s="28">
        <f t="shared" si="792"/>
        <v>437.70499407473699</v>
      </c>
      <c r="EK167" s="28">
        <f t="shared" si="793"/>
        <v>830.65093497181215</v>
      </c>
      <c r="EL167" s="28">
        <f t="shared" si="794"/>
        <v>0</v>
      </c>
      <c r="EM167" s="28">
        <f t="shared" si="795"/>
        <v>3107.7054579306323</v>
      </c>
      <c r="EN167" s="28">
        <f t="shared" si="796"/>
        <v>0</v>
      </c>
      <c r="EQ167" s="144">
        <v>4.2794743375799964E-2</v>
      </c>
      <c r="ER167" s="144">
        <v>5.2836726589981287E-2</v>
      </c>
      <c r="ES167" s="144">
        <v>6.2878776473816081E-2</v>
      </c>
      <c r="ET167" s="144">
        <v>7.9694744153241348E-2</v>
      </c>
      <c r="EU167" s="144">
        <v>6.764180418153061E-2</v>
      </c>
      <c r="EV167" s="144">
        <v>7.7683787395711953E-2</v>
      </c>
      <c r="EW167" s="144">
        <v>8.0323265148945347E-2</v>
      </c>
      <c r="EX167" s="144">
        <v>7.0281281934764003E-2</v>
      </c>
      <c r="EY167" s="144">
        <v>8.0323265148945347E-2</v>
      </c>
      <c r="EZ167" s="144">
        <v>0.10743287965967542</v>
      </c>
      <c r="FA167" s="144">
        <v>0.10743287965967542</v>
      </c>
      <c r="FB167" s="144">
        <v>0.17067584627791324</v>
      </c>
      <c r="FC167" s="145">
        <f t="shared" si="797"/>
        <v>1</v>
      </c>
      <c r="FD167" s="146">
        <f t="shared" si="798"/>
        <v>0.15851024643959732</v>
      </c>
      <c r="FE167" s="146">
        <f t="shared" si="799"/>
        <v>0.22502033573048391</v>
      </c>
      <c r="FF167" s="146">
        <f t="shared" si="800"/>
        <v>0.23092781223265468</v>
      </c>
      <c r="FG167" s="146">
        <f t="shared" si="801"/>
        <v>0.38554160559726408</v>
      </c>
      <c r="FH167" s="145">
        <f t="shared" si="934"/>
        <v>1</v>
      </c>
      <c r="FJ167" s="52">
        <f t="shared" si="802"/>
        <v>264.98704082960631</v>
      </c>
      <c r="FK167" s="52">
        <f t="shared" si="803"/>
        <v>546.02096505024122</v>
      </c>
      <c r="FL167" s="52">
        <f t="shared" si="804"/>
        <v>134.01086074043454</v>
      </c>
      <c r="FM167" s="52">
        <f t="shared" si="805"/>
        <v>175.92906554754191</v>
      </c>
      <c r="FN167" s="52">
        <f t="shared" si="806"/>
        <v>410.50263166522188</v>
      </c>
      <c r="FO167" s="52">
        <f t="shared" si="807"/>
        <v>526.81750204145465</v>
      </c>
      <c r="FP167" s="52">
        <f t="shared" si="808"/>
        <v>836.57335522531741</v>
      </c>
      <c r="FQ167" s="52">
        <f t="shared" si="809"/>
        <v>683.97832853515138</v>
      </c>
      <c r="FR167" s="52">
        <f t="shared" si="810"/>
        <v>283.96074189778392</v>
      </c>
      <c r="FS167" s="52">
        <f t="shared" si="811"/>
        <v>135.16347317733732</v>
      </c>
      <c r="FT167" s="52">
        <f t="shared" si="812"/>
        <v>3720.750414033685</v>
      </c>
      <c r="FU167" s="52">
        <f t="shared" si="813"/>
        <v>214.29777713800274</v>
      </c>
      <c r="FV167" s="52">
        <f t="shared" si="814"/>
        <v>109.852816924496</v>
      </c>
      <c r="FW167" s="52">
        <f t="shared" si="815"/>
        <v>855.44111487494308</v>
      </c>
      <c r="FX167" s="52">
        <f t="shared" si="816"/>
        <v>569.49165059222912</v>
      </c>
      <c r="FY167" s="52">
        <f t="shared" si="817"/>
        <v>927.38904393100836</v>
      </c>
      <c r="FZ167" s="52">
        <f t="shared" si="818"/>
        <v>635.98999272076628</v>
      </c>
      <c r="GA167" s="52">
        <f t="shared" si="819"/>
        <v>1160.4194734469227</v>
      </c>
      <c r="GB167" s="52">
        <f t="shared" si="820"/>
        <v>325.6042828912847</v>
      </c>
      <c r="GC167" s="52">
        <f t="shared" si="821"/>
        <v>362.77834354732431</v>
      </c>
      <c r="GD167" s="52">
        <f t="shared" si="822"/>
        <v>658.89720620044727</v>
      </c>
      <c r="GE167" s="52">
        <f t="shared" si="823"/>
        <v>231.26908826209686</v>
      </c>
      <c r="GF167" s="52">
        <f t="shared" si="824"/>
        <v>438.88894802554637</v>
      </c>
      <c r="GG167" s="52">
        <f t="shared" si="825"/>
        <v>0</v>
      </c>
      <c r="GH167" s="52">
        <f t="shared" si="826"/>
        <v>1642.0105266608875</v>
      </c>
      <c r="GI167" s="52">
        <f t="shared" si="827"/>
        <v>0</v>
      </c>
      <c r="GJ167" s="26"/>
      <c r="GL167" s="150">
        <f t="shared" si="828"/>
        <v>376.17424886426755</v>
      </c>
      <c r="GM167" s="150">
        <f t="shared" si="829"/>
        <v>775.12857137792639</v>
      </c>
      <c r="GN167" s="150">
        <f t="shared" si="830"/>
        <v>190.24113300356757</v>
      </c>
      <c r="GO167" s="150">
        <f t="shared" si="831"/>
        <v>249.74800231191134</v>
      </c>
      <c r="GP167" s="150">
        <f t="shared" si="832"/>
        <v>582.74743791250683</v>
      </c>
      <c r="GQ167" s="150">
        <f t="shared" si="833"/>
        <v>747.86743343583282</v>
      </c>
      <c r="GR167" s="150">
        <f t="shared" si="834"/>
        <v>1187.595259513474</v>
      </c>
      <c r="GS167" s="150">
        <f t="shared" si="835"/>
        <v>970.97213950774028</v>
      </c>
      <c r="GT167" s="150">
        <f t="shared" si="836"/>
        <v>403.10921792974119</v>
      </c>
      <c r="GU167" s="150">
        <f t="shared" si="837"/>
        <v>191.87737572821584</v>
      </c>
      <c r="GV167" s="150">
        <f t="shared" si="838"/>
        <v>5281.958271727508</v>
      </c>
      <c r="GW167" s="150">
        <f t="shared" si="839"/>
        <v>304.21602919067607</v>
      </c>
      <c r="GX167" s="150">
        <f t="shared" si="840"/>
        <v>155.94649746954408</v>
      </c>
      <c r="GY167" s="150">
        <f t="shared" si="841"/>
        <v>1214.3798346826175</v>
      </c>
      <c r="GZ167" s="150">
        <f t="shared" si="842"/>
        <v>808.4474366192045</v>
      </c>
      <c r="HA167" s="150">
        <f t="shared" si="843"/>
        <v>1316.5167470586775</v>
      </c>
      <c r="HB167" s="150">
        <f t="shared" si="844"/>
        <v>902.84814324472882</v>
      </c>
      <c r="HC167" s="150">
        <f t="shared" si="845"/>
        <v>1647.3255538260789</v>
      </c>
      <c r="HD167" s="150">
        <f t="shared" si="846"/>
        <v>462.2261758920427</v>
      </c>
      <c r="HE167" s="150">
        <f t="shared" si="847"/>
        <v>514.99828240993259</v>
      </c>
      <c r="HF167" s="150">
        <f t="shared" si="848"/>
        <v>935.36710642615276</v>
      </c>
      <c r="HG167" s="150">
        <f t="shared" si="849"/>
        <v>328.30841572535604</v>
      </c>
      <c r="HH167" s="150">
        <f t="shared" si="850"/>
        <v>623.04450754065863</v>
      </c>
      <c r="HI167" s="150">
        <f t="shared" si="851"/>
        <v>0</v>
      </c>
      <c r="HJ167" s="150">
        <f t="shared" si="852"/>
        <v>2330.9897516500273</v>
      </c>
      <c r="HK167" s="150">
        <f t="shared" si="853"/>
        <v>0</v>
      </c>
      <c r="HL167" s="26"/>
      <c r="HN167" s="147">
        <f t="shared" si="854"/>
        <v>386.04998088943466</v>
      </c>
      <c r="HO167" s="147">
        <f t="shared" si="855"/>
        <v>795.47808248638376</v>
      </c>
      <c r="HP167" s="147">
        <f t="shared" si="856"/>
        <v>195.23554837192341</v>
      </c>
      <c r="HQ167" s="147">
        <f t="shared" si="857"/>
        <v>256.30465618202567</v>
      </c>
      <c r="HR167" s="147">
        <f t="shared" si="858"/>
        <v>598.04635205283444</v>
      </c>
      <c r="HS167" s="147">
        <f t="shared" si="859"/>
        <v>767.50125575424136</v>
      </c>
      <c r="HT167" s="147">
        <f t="shared" si="860"/>
        <v>1218.7732908984606</v>
      </c>
      <c r="HU167" s="147">
        <f t="shared" si="861"/>
        <v>996.46314715282131</v>
      </c>
      <c r="HV167" s="147">
        <f t="shared" si="862"/>
        <v>413.69207580788708</v>
      </c>
      <c r="HW167" s="147">
        <f t="shared" si="863"/>
        <v>196.91474750500618</v>
      </c>
      <c r="HX167" s="147">
        <f t="shared" si="864"/>
        <v>5420.6259360271915</v>
      </c>
      <c r="HY167" s="147">
        <f t="shared" si="865"/>
        <v>312.202636437499</v>
      </c>
      <c r="HZ167" s="147">
        <f t="shared" si="866"/>
        <v>160.04057308456134</v>
      </c>
      <c r="IA167" s="147">
        <f t="shared" si="867"/>
        <v>1246.2610436178404</v>
      </c>
      <c r="IB167" s="147">
        <f t="shared" si="868"/>
        <v>829.67167050706257</v>
      </c>
      <c r="IC167" s="147">
        <f t="shared" si="869"/>
        <v>1351.0793643559809</v>
      </c>
      <c r="ID167" s="147">
        <f t="shared" si="870"/>
        <v>926.55068627903916</v>
      </c>
      <c r="IE167" s="147">
        <f t="shared" si="871"/>
        <v>1690.5729206432225</v>
      </c>
      <c r="IF167" s="147">
        <f t="shared" si="872"/>
        <v>474.36103589883351</v>
      </c>
      <c r="IG167" s="147">
        <f t="shared" si="873"/>
        <v>528.51857266333843</v>
      </c>
      <c r="IH167" s="147">
        <f t="shared" si="874"/>
        <v>959.92337234842159</v>
      </c>
      <c r="II167" s="147">
        <f t="shared" si="875"/>
        <v>336.92752228328703</v>
      </c>
      <c r="IJ167" s="147">
        <f t="shared" si="876"/>
        <v>639.40134380683253</v>
      </c>
      <c r="IK167" s="147">
        <f t="shared" si="877"/>
        <v>0</v>
      </c>
      <c r="IL167" s="147">
        <f t="shared" si="878"/>
        <v>2392.1854082113377</v>
      </c>
      <c r="IM167" s="147">
        <f t="shared" si="879"/>
        <v>0</v>
      </c>
      <c r="IN167" s="26"/>
      <c r="IP167" s="61">
        <f t="shared" si="880"/>
        <v>644.52318685180467</v>
      </c>
      <c r="IQ167" s="61">
        <f t="shared" si="881"/>
        <v>1328.0769179515282</v>
      </c>
      <c r="IR167" s="61">
        <f t="shared" si="882"/>
        <v>325.95219285730457</v>
      </c>
      <c r="IS167" s="61">
        <f t="shared" si="883"/>
        <v>427.90908427659582</v>
      </c>
      <c r="IT167" s="61">
        <f t="shared" si="884"/>
        <v>998.45812664496407</v>
      </c>
      <c r="IU167" s="61">
        <f t="shared" si="885"/>
        <v>1281.3686821892645</v>
      </c>
      <c r="IV167" s="61">
        <f t="shared" si="886"/>
        <v>2034.7822416411771</v>
      </c>
      <c r="IW167" s="61">
        <f t="shared" si="887"/>
        <v>1663.6281180577359</v>
      </c>
      <c r="IX167" s="61">
        <f t="shared" si="888"/>
        <v>690.67257680140176</v>
      </c>
      <c r="IY167" s="61">
        <f t="shared" si="889"/>
        <v>328.75567124142412</v>
      </c>
      <c r="IZ167" s="61">
        <f t="shared" si="890"/>
        <v>9049.913938528076</v>
      </c>
      <c r="JA167" s="61">
        <f t="shared" si="891"/>
        <v>521.23260754120452</v>
      </c>
      <c r="JB167" s="61">
        <f t="shared" si="892"/>
        <v>267.19301980639887</v>
      </c>
      <c r="JC167" s="61">
        <f t="shared" si="893"/>
        <v>2080.6739521944878</v>
      </c>
      <c r="JD167" s="61">
        <f t="shared" si="894"/>
        <v>1385.1642419042719</v>
      </c>
      <c r="JE167" s="61">
        <f t="shared" si="895"/>
        <v>2255.6715987866514</v>
      </c>
      <c r="JF167" s="61">
        <f t="shared" si="896"/>
        <v>1546.9069567738879</v>
      </c>
      <c r="JG167" s="61">
        <f t="shared" si="897"/>
        <v>2822.4672979077282</v>
      </c>
      <c r="JH167" s="61">
        <f t="shared" si="898"/>
        <v>791.96140839443012</v>
      </c>
      <c r="JI167" s="61">
        <f t="shared" si="899"/>
        <v>882.37920379771379</v>
      </c>
      <c r="JJ167" s="61">
        <f t="shared" si="900"/>
        <v>1602.6237578204434</v>
      </c>
      <c r="JK167" s="61">
        <f t="shared" si="901"/>
        <v>562.51162064505036</v>
      </c>
      <c r="JL167" s="61">
        <f t="shared" si="902"/>
        <v>1067.5016505330038</v>
      </c>
      <c r="JM167" s="61">
        <f t="shared" si="903"/>
        <v>0</v>
      </c>
      <c r="JN167" s="61">
        <f t="shared" si="904"/>
        <v>3993.8325065798563</v>
      </c>
      <c r="JO167" s="61">
        <f t="shared" si="905"/>
        <v>0</v>
      </c>
      <c r="JQ167" s="26">
        <f t="shared" si="769"/>
        <v>100000.00000000003</v>
      </c>
      <c r="JR167" s="156">
        <f t="shared" si="770"/>
        <v>1.0000000000000002</v>
      </c>
      <c r="JT167" s="157">
        <f t="shared" si="906"/>
        <v>1671.7344574351132</v>
      </c>
      <c r="JU167" s="29">
        <f t="shared" si="907"/>
        <v>1</v>
      </c>
    </row>
    <row r="168" spans="1:281" ht="18.75" x14ac:dyDescent="0.3">
      <c r="A168" t="s">
        <v>234</v>
      </c>
      <c r="B168" s="10" t="s">
        <v>6</v>
      </c>
      <c r="C168" t="s">
        <v>26</v>
      </c>
      <c r="D168" t="s">
        <v>20</v>
      </c>
      <c r="E168" t="s">
        <v>27</v>
      </c>
      <c r="F168" s="114"/>
      <c r="G168" s="17">
        <v>1620696</v>
      </c>
      <c r="H168" s="21">
        <v>953344</v>
      </c>
      <c r="I168" s="25">
        <f t="shared" si="713"/>
        <v>1.7000117481203008</v>
      </c>
      <c r="J168" s="105">
        <v>1.6717344574351131E-2</v>
      </c>
      <c r="K168" s="105">
        <v>3.4447045368660799E-2</v>
      </c>
      <c r="L168" s="105">
        <v>8.4543973497323028E-3</v>
      </c>
      <c r="M168" s="105">
        <v>1.1098908083180746E-2</v>
      </c>
      <c r="N168" s="105">
        <v>2.5897545482755278E-2</v>
      </c>
      <c r="O168" s="105">
        <v>3.3235548734207934E-2</v>
      </c>
      <c r="P168" s="105">
        <v>5.2777241472784293E-2</v>
      </c>
      <c r="Q168" s="105">
        <v>4.3150417332534496E-2</v>
      </c>
      <c r="R168" s="105">
        <v>1.7914346124368142E-2</v>
      </c>
      <c r="S168" s="105">
        <v>8.5271126765198348E-3</v>
      </c>
      <c r="T168" s="105">
        <v>0.23473248560316479</v>
      </c>
      <c r="U168" s="105">
        <v>1.3519490503073824E-2</v>
      </c>
      <c r="V168" s="105">
        <v>6.9303290728500028E-3</v>
      </c>
      <c r="W168" s="105">
        <v>5.3967559453698889E-2</v>
      </c>
      <c r="X168" s="105">
        <v>3.5927749996227679E-2</v>
      </c>
      <c r="Y168" s="105">
        <v>5.850656754132319E-2</v>
      </c>
      <c r="Z168" s="105">
        <v>4.0122957790184231E-2</v>
      </c>
      <c r="AA168" s="105">
        <v>7.3207852458239533E-2</v>
      </c>
      <c r="AB168" s="105">
        <v>2.0541529030765913E-2</v>
      </c>
      <c r="AC168" s="105">
        <v>2.2886744024183094E-2</v>
      </c>
      <c r="AD168" s="105">
        <v>4.1568114427954647E-2</v>
      </c>
      <c r="AE168" s="105">
        <v>1.4590166469157903E-2</v>
      </c>
      <c r="AF168" s="105">
        <v>2.7688364499060418E-2</v>
      </c>
      <c r="AG168" s="105">
        <v>0</v>
      </c>
      <c r="AH168" s="105">
        <v>0.10359018193102111</v>
      </c>
      <c r="AJ168" s="8">
        <f t="shared" si="740"/>
        <v>1.0000000000000002</v>
      </c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M168" s="26">
        <f t="shared" si="741"/>
        <v>27093.733482272582</v>
      </c>
      <c r="BN168" s="26">
        <f t="shared" si="742"/>
        <v>55828.188640807079</v>
      </c>
      <c r="BO168" s="26">
        <f t="shared" si="743"/>
        <v>13702.007967121745</v>
      </c>
      <c r="BP168" s="26">
        <f t="shared" si="744"/>
        <v>17987.955934778704</v>
      </c>
      <c r="BQ168" s="26">
        <f t="shared" si="745"/>
        <v>41972.048373719546</v>
      </c>
      <c r="BR168" s="26">
        <f t="shared" si="746"/>
        <v>53864.720891335863</v>
      </c>
      <c r="BS168" s="26">
        <f t="shared" si="747"/>
        <v>85535.864145975618</v>
      </c>
      <c r="BT168" s="26">
        <f t="shared" si="748"/>
        <v>69933.70876916933</v>
      </c>
      <c r="BU168" s="26">
        <f t="shared" si="749"/>
        <v>29033.709106378948</v>
      </c>
      <c r="BV168" s="26">
        <f t="shared" si="750"/>
        <v>13819.85740638499</v>
      </c>
      <c r="BW168" s="26">
        <f t="shared" si="751"/>
        <v>380430.00048710674</v>
      </c>
      <c r="BX168" s="26">
        <f t="shared" si="752"/>
        <v>21910.984180369735</v>
      </c>
      <c r="BY168" s="26">
        <f t="shared" si="753"/>
        <v>11231.956607051708</v>
      </c>
      <c r="BZ168" s="26">
        <f t="shared" si="754"/>
        <v>87465.007736371976</v>
      </c>
      <c r="CA168" s="26">
        <f t="shared" si="755"/>
        <v>58227.960707886217</v>
      </c>
      <c r="CB168" s="26">
        <f t="shared" si="756"/>
        <v>94821.359987952324</v>
      </c>
      <c r="CC168" s="26">
        <f t="shared" si="757"/>
        <v>65027.117198720422</v>
      </c>
      <c r="CD168" s="26">
        <f t="shared" si="758"/>
        <v>118647.67364765897</v>
      </c>
      <c r="CE168" s="26">
        <f t="shared" si="759"/>
        <v>33291.573934046195</v>
      </c>
      <c r="CF168" s="26">
        <f t="shared" si="760"/>
        <v>37092.454493017445</v>
      </c>
      <c r="CG168" s="26">
        <f t="shared" si="761"/>
        <v>67369.276780928383</v>
      </c>
      <c r="CH168" s="26">
        <f t="shared" si="762"/>
        <v>23646.224435898337</v>
      </c>
      <c r="CI168" s="26">
        <f t="shared" si="763"/>
        <v>44874.421590169222</v>
      </c>
      <c r="CJ168" s="26">
        <f t="shared" si="764"/>
        <v>0</v>
      </c>
      <c r="CK168" s="26">
        <f t="shared" si="765"/>
        <v>167888.19349487819</v>
      </c>
      <c r="CL168" s="26">
        <f t="shared" si="766"/>
        <v>0</v>
      </c>
      <c r="CM168" s="110">
        <f t="shared" si="767"/>
        <v>1</v>
      </c>
      <c r="CN168" s="27">
        <f t="shared" si="933"/>
        <v>15937.380145890205</v>
      </c>
      <c r="CO168" s="27">
        <f t="shared" si="908"/>
        <v>32839.88401994056</v>
      </c>
      <c r="CP168" s="27">
        <f t="shared" si="909"/>
        <v>8059.9489869831923</v>
      </c>
      <c r="CQ168" s="27">
        <f t="shared" si="910"/>
        <v>10581.077427651866</v>
      </c>
      <c r="CR168" s="27">
        <f t="shared" si="911"/>
        <v>24689.269600711847</v>
      </c>
      <c r="CS168" s="27">
        <f t="shared" si="912"/>
        <v>31684.910972464728</v>
      </c>
      <c r="CT168" s="27">
        <f t="shared" si="913"/>
        <v>50314.866494630071</v>
      </c>
      <c r="CU168" s="27">
        <f t="shared" si="914"/>
        <v>41137.191461467766</v>
      </c>
      <c r="CV168" s="27">
        <f t="shared" si="915"/>
        <v>17078.534391589623</v>
      </c>
      <c r="CW168" s="27">
        <f t="shared" si="916"/>
        <v>8129.2717074841257</v>
      </c>
      <c r="CX168" s="27">
        <f t="shared" si="917"/>
        <v>223780.80675486353</v>
      </c>
      <c r="CY168" s="27">
        <f t="shared" si="918"/>
        <v>12888.725154162412</v>
      </c>
      <c r="CZ168" s="27">
        <f t="shared" si="919"/>
        <v>6606.9876396271129</v>
      </c>
      <c r="DA168" s="27">
        <f t="shared" si="920"/>
        <v>51449.648999827114</v>
      </c>
      <c r="DB168" s="27">
        <f t="shared" si="921"/>
        <v>34251.504892403682</v>
      </c>
      <c r="DC168" s="27">
        <f t="shared" si="922"/>
        <v>55776.885126115216</v>
      </c>
      <c r="DD168" s="27">
        <f t="shared" si="923"/>
        <v>38250.981071525399</v>
      </c>
      <c r="DE168" s="27">
        <f t="shared" si="924"/>
        <v>69792.266893947904</v>
      </c>
      <c r="DF168" s="27">
        <f t="shared" si="925"/>
        <v>19583.1434523065</v>
      </c>
      <c r="DG168" s="27">
        <f t="shared" si="926"/>
        <v>21818.940094990809</v>
      </c>
      <c r="DH168" s="27">
        <f t="shared" si="927"/>
        <v>39628.712481203998</v>
      </c>
      <c r="DI168" s="27">
        <f t="shared" si="928"/>
        <v>13909.447662372871</v>
      </c>
      <c r="DJ168" s="27">
        <f t="shared" si="929"/>
        <v>26396.536164992256</v>
      </c>
      <c r="DK168" s="27">
        <f t="shared" si="930"/>
        <v>0</v>
      </c>
      <c r="DL168" s="27">
        <f t="shared" si="931"/>
        <v>98757.078402847386</v>
      </c>
      <c r="DM168" s="27">
        <f t="shared" si="932"/>
        <v>0</v>
      </c>
      <c r="DN168" s="110">
        <f t="shared" si="768"/>
        <v>1</v>
      </c>
      <c r="DO168" s="28">
        <f t="shared" si="771"/>
        <v>11156.353336382377</v>
      </c>
      <c r="DP168" s="28">
        <f t="shared" si="772"/>
        <v>22988.304620866518</v>
      </c>
      <c r="DQ168" s="28">
        <f t="shared" si="773"/>
        <v>5642.0589801385522</v>
      </c>
      <c r="DR168" s="28">
        <f t="shared" si="774"/>
        <v>7406.8785071268376</v>
      </c>
      <c r="DS168" s="28">
        <f t="shared" si="775"/>
        <v>17282.7787730077</v>
      </c>
      <c r="DT168" s="28">
        <f t="shared" si="776"/>
        <v>22179.809918871135</v>
      </c>
      <c r="DU168" s="28">
        <f t="shared" si="777"/>
        <v>35220.997651345548</v>
      </c>
      <c r="DV168" s="28">
        <f t="shared" si="778"/>
        <v>28796.517307701564</v>
      </c>
      <c r="DW168" s="28">
        <f t="shared" si="779"/>
        <v>11955.174714789326</v>
      </c>
      <c r="DX168" s="28">
        <f t="shared" si="780"/>
        <v>5690.5856989008644</v>
      </c>
      <c r="DY168" s="28">
        <f t="shared" si="781"/>
        <v>156649.19373224321</v>
      </c>
      <c r="DZ168" s="28">
        <f t="shared" si="782"/>
        <v>9022.2590262073227</v>
      </c>
      <c r="EA168" s="28">
        <f t="shared" si="783"/>
        <v>4624.9689674245956</v>
      </c>
      <c r="EB168" s="28">
        <f t="shared" si="784"/>
        <v>36015.358736544862</v>
      </c>
      <c r="EC168" s="28">
        <f t="shared" si="785"/>
        <v>23976.455815482535</v>
      </c>
      <c r="ED168" s="28">
        <f t="shared" si="786"/>
        <v>39044.474861837109</v>
      </c>
      <c r="EE168" s="28">
        <f t="shared" si="787"/>
        <v>26776.136127195023</v>
      </c>
      <c r="EF168" s="28">
        <f t="shared" si="788"/>
        <v>48855.406753711068</v>
      </c>
      <c r="EG168" s="28">
        <f t="shared" si="789"/>
        <v>13708.430481739695</v>
      </c>
      <c r="EH168" s="28">
        <f t="shared" si="790"/>
        <v>15273.514398026637</v>
      </c>
      <c r="EI168" s="28">
        <f t="shared" si="791"/>
        <v>27740.564299724385</v>
      </c>
      <c r="EJ168" s="28">
        <f t="shared" si="792"/>
        <v>9736.7767735254656</v>
      </c>
      <c r="EK168" s="28">
        <f t="shared" si="793"/>
        <v>18477.885425176966</v>
      </c>
      <c r="EL168" s="28">
        <f t="shared" si="794"/>
        <v>0</v>
      </c>
      <c r="EM168" s="28">
        <f t="shared" si="795"/>
        <v>69131.115092030799</v>
      </c>
      <c r="EN168" s="28">
        <f t="shared" si="796"/>
        <v>0</v>
      </c>
      <c r="EQ168" s="144">
        <v>4.2800197430898065E-2</v>
      </c>
      <c r="ER168" s="144">
        <v>5.284023401893307E-2</v>
      </c>
      <c r="ES168" s="144">
        <v>6.2880463937668246E-2</v>
      </c>
      <c r="ET168" s="144">
        <v>7.9689934253508427E-2</v>
      </c>
      <c r="EU168" s="144">
        <v>6.7641738349936628E-2</v>
      </c>
      <c r="EV168" s="144">
        <v>7.768177493797164E-2</v>
      </c>
      <c r="EW168" s="144">
        <v>8.0321252691205033E-2</v>
      </c>
      <c r="EX168" s="144">
        <v>7.0281216103170022E-2</v>
      </c>
      <c r="EY168" s="144">
        <v>8.0321252691205033E-2</v>
      </c>
      <c r="EZ168" s="144">
        <v>0.10742969680752949</v>
      </c>
      <c r="FA168" s="144">
        <v>0.10742969680752949</v>
      </c>
      <c r="FB168" s="144">
        <v>0.17068254197044505</v>
      </c>
      <c r="FC168" s="145">
        <f t="shared" si="797"/>
        <v>1.0000000000000002</v>
      </c>
      <c r="FD168" s="146">
        <f t="shared" si="798"/>
        <v>0.15852089538749939</v>
      </c>
      <c r="FE168" s="146">
        <f t="shared" si="799"/>
        <v>0.22501344754141667</v>
      </c>
      <c r="FF168" s="146">
        <f t="shared" si="800"/>
        <v>0.2309237214855801</v>
      </c>
      <c r="FG168" s="146">
        <f t="shared" si="801"/>
        <v>0.38554193558550404</v>
      </c>
      <c r="FH168" s="145">
        <f t="shared" si="934"/>
        <v>1.0000000000000002</v>
      </c>
      <c r="FJ168" s="52">
        <f t="shared" si="802"/>
        <v>4294.9228910001211</v>
      </c>
      <c r="FK168" s="52">
        <f t="shared" si="803"/>
        <v>8849.9344512029602</v>
      </c>
      <c r="FL168" s="52">
        <f t="shared" si="804"/>
        <v>2172.0545715547892</v>
      </c>
      <c r="FM168" s="52">
        <f t="shared" si="805"/>
        <v>2851.4668809720038</v>
      </c>
      <c r="FN168" s="52">
        <f t="shared" si="806"/>
        <v>6653.4466894494599</v>
      </c>
      <c r="FO168" s="52">
        <f t="shared" si="807"/>
        <v>8538.6837854923051</v>
      </c>
      <c r="FP168" s="52">
        <f t="shared" si="808"/>
        <v>13559.221772163561</v>
      </c>
      <c r="FQ168" s="52">
        <f t="shared" si="809"/>
        <v>11085.954131857339</v>
      </c>
      <c r="FR168" s="52">
        <f t="shared" si="810"/>
        <v>4602.449563963386</v>
      </c>
      <c r="FS168" s="52">
        <f t="shared" si="811"/>
        <v>2190.7361701877135</v>
      </c>
      <c r="FT168" s="52">
        <f t="shared" si="812"/>
        <v>60306.104309482987</v>
      </c>
      <c r="FU168" s="52">
        <f t="shared" si="813"/>
        <v>3473.3488310935445</v>
      </c>
      <c r="FV168" s="52">
        <f t="shared" si="814"/>
        <v>1780.4998183033765</v>
      </c>
      <c r="FW168" s="52">
        <f t="shared" si="815"/>
        <v>13865.031341444246</v>
      </c>
      <c r="FX168" s="52">
        <f t="shared" si="816"/>
        <v>9230.3484680022557</v>
      </c>
      <c r="FY168" s="52">
        <f t="shared" si="817"/>
        <v>15031.16688715061</v>
      </c>
      <c r="FZ168" s="52">
        <f t="shared" si="818"/>
        <v>10308.156842809023</v>
      </c>
      <c r="GA168" s="52">
        <f t="shared" si="819"/>
        <v>18808.135462270715</v>
      </c>
      <c r="GB168" s="52">
        <f t="shared" si="820"/>
        <v>5277.410108884138</v>
      </c>
      <c r="GC168" s="52">
        <f t="shared" si="821"/>
        <v>5879.9290983532001</v>
      </c>
      <c r="GD168" s="52">
        <f t="shared" si="822"/>
        <v>10679.43807692104</v>
      </c>
      <c r="GE168" s="52">
        <f t="shared" si="823"/>
        <v>3748.4206701123721</v>
      </c>
      <c r="GF168" s="52">
        <f t="shared" si="824"/>
        <v>7113.5334904697593</v>
      </c>
      <c r="GG168" s="52">
        <f t="shared" si="825"/>
        <v>0</v>
      </c>
      <c r="GH168" s="52">
        <f t="shared" si="826"/>
        <v>26613.78675779784</v>
      </c>
      <c r="GI168" s="52">
        <f t="shared" si="827"/>
        <v>0</v>
      </c>
      <c r="GJ168" s="26"/>
      <c r="GL168" s="150">
        <f t="shared" si="828"/>
        <v>6096.4543776144665</v>
      </c>
      <c r="GM168" s="150">
        <f t="shared" si="829"/>
        <v>12562.093196060558</v>
      </c>
      <c r="GN168" s="150">
        <f t="shared" si="830"/>
        <v>3083.1360509220217</v>
      </c>
      <c r="GO168" s="150">
        <f t="shared" si="831"/>
        <v>4047.5319791076422</v>
      </c>
      <c r="GP168" s="150">
        <f t="shared" si="832"/>
        <v>9444.275304945746</v>
      </c>
      <c r="GQ168" s="150">
        <f t="shared" si="833"/>
        <v>12120.286548615653</v>
      </c>
      <c r="GR168" s="150">
        <f t="shared" si="834"/>
        <v>19246.719679920228</v>
      </c>
      <c r="GS168" s="150">
        <f t="shared" si="835"/>
        <v>15736.024909508194</v>
      </c>
      <c r="GT168" s="150">
        <f t="shared" si="836"/>
        <v>6532.9749809409504</v>
      </c>
      <c r="GU168" s="150">
        <f t="shared" si="837"/>
        <v>3109.6537595414675</v>
      </c>
      <c r="GV168" s="150">
        <f t="shared" si="838"/>
        <v>85601.865957786707</v>
      </c>
      <c r="GW168" s="150">
        <f t="shared" si="839"/>
        <v>4930.2660894504361</v>
      </c>
      <c r="GX168" s="150">
        <f t="shared" si="840"/>
        <v>2527.341278788298</v>
      </c>
      <c r="GY168" s="150">
        <f t="shared" si="841"/>
        <v>19680.802929997739</v>
      </c>
      <c r="GZ168" s="150">
        <f t="shared" si="842"/>
        <v>13102.074182187625</v>
      </c>
      <c r="HA168" s="150">
        <f t="shared" si="843"/>
        <v>21336.081111454896</v>
      </c>
      <c r="HB168" s="150">
        <f t="shared" si="844"/>
        <v>14631.975824563831</v>
      </c>
      <c r="HC168" s="150">
        <f t="shared" si="845"/>
        <v>26697.322090228638</v>
      </c>
      <c r="HD168" s="150">
        <f t="shared" si="846"/>
        <v>7491.0518249796978</v>
      </c>
      <c r="HE168" s="150">
        <f t="shared" si="847"/>
        <v>8346.301063246965</v>
      </c>
      <c r="HF168" s="150">
        <f t="shared" si="848"/>
        <v>15158.993226848608</v>
      </c>
      <c r="HG168" s="150">
        <f t="shared" si="849"/>
        <v>5320.7184816595754</v>
      </c>
      <c r="HH168" s="150">
        <f t="shared" si="850"/>
        <v>10097.348308430957</v>
      </c>
      <c r="HI168" s="150">
        <f t="shared" si="851"/>
        <v>0</v>
      </c>
      <c r="HJ168" s="150">
        <f t="shared" si="852"/>
        <v>37777.101219782984</v>
      </c>
      <c r="HK168" s="150">
        <f t="shared" si="853"/>
        <v>0</v>
      </c>
      <c r="HL168" s="26"/>
      <c r="HN168" s="147">
        <f t="shared" si="854"/>
        <v>6256.5857646648501</v>
      </c>
      <c r="HO168" s="147">
        <f t="shared" si="855"/>
        <v>12892.05308473416</v>
      </c>
      <c r="HP168" s="147">
        <f t="shared" si="856"/>
        <v>3164.1186715928216</v>
      </c>
      <c r="HQ168" s="147">
        <f t="shared" si="857"/>
        <v>4153.8457263777254</v>
      </c>
      <c r="HR168" s="147">
        <f t="shared" si="858"/>
        <v>9692.3416088321082</v>
      </c>
      <c r="HS168" s="147">
        <f t="shared" si="859"/>
        <v>12438.641805009351</v>
      </c>
      <c r="HT168" s="147">
        <f t="shared" si="860"/>
        <v>19752.260069073691</v>
      </c>
      <c r="HU168" s="147">
        <f t="shared" si="861"/>
        <v>16149.35228626533</v>
      </c>
      <c r="HV168" s="147">
        <f t="shared" si="862"/>
        <v>6704.5721553748035</v>
      </c>
      <c r="HW168" s="147">
        <f t="shared" si="863"/>
        <v>3191.332902682479</v>
      </c>
      <c r="HX168" s="147">
        <f t="shared" si="864"/>
        <v>87850.31147724374</v>
      </c>
      <c r="HY168" s="147">
        <f t="shared" si="865"/>
        <v>5059.7660083426526</v>
      </c>
      <c r="HZ168" s="147">
        <f t="shared" si="866"/>
        <v>2593.7252192649298</v>
      </c>
      <c r="IA168" s="147">
        <f t="shared" si="867"/>
        <v>20197.745086248073</v>
      </c>
      <c r="IB168" s="147">
        <f t="shared" si="868"/>
        <v>13446.217381181219</v>
      </c>
      <c r="IC168" s="147">
        <f t="shared" si="869"/>
        <v>21896.501324741832</v>
      </c>
      <c r="ID168" s="147">
        <f t="shared" si="870"/>
        <v>15016.30390100749</v>
      </c>
      <c r="IE168" s="147">
        <f t="shared" si="871"/>
        <v>27398.562344324004</v>
      </c>
      <c r="IF168" s="147">
        <f t="shared" si="872"/>
        <v>7687.8141469622815</v>
      </c>
      <c r="IG168" s="147">
        <f t="shared" si="873"/>
        <v>8565.5276305621155</v>
      </c>
      <c r="IH168" s="147">
        <f t="shared" si="874"/>
        <v>15557.164108044064</v>
      </c>
      <c r="II168" s="147">
        <f t="shared" si="875"/>
        <v>5460.4741458209064</v>
      </c>
      <c r="IJ168" s="147">
        <f t="shared" si="876"/>
        <v>10362.56843311474</v>
      </c>
      <c r="IK168" s="147">
        <f t="shared" si="877"/>
        <v>0</v>
      </c>
      <c r="IL168" s="147">
        <f t="shared" si="878"/>
        <v>38769.366435328433</v>
      </c>
      <c r="IM168" s="147">
        <f t="shared" si="879"/>
        <v>0</v>
      </c>
      <c r="IN168" s="26"/>
      <c r="IP168" s="61">
        <f t="shared" si="880"/>
        <v>10445.770448993149</v>
      </c>
      <c r="IQ168" s="61">
        <f t="shared" si="881"/>
        <v>21524.107908809412</v>
      </c>
      <c r="IR168" s="61">
        <f t="shared" si="882"/>
        <v>5282.6986730521148</v>
      </c>
      <c r="IS168" s="61">
        <f t="shared" si="883"/>
        <v>6935.1113483213358</v>
      </c>
      <c r="IT168" s="61">
        <f t="shared" si="884"/>
        <v>16181.984770492241</v>
      </c>
      <c r="IU168" s="61">
        <f t="shared" si="885"/>
        <v>20767.108752218566</v>
      </c>
      <c r="IV168" s="61">
        <f t="shared" si="886"/>
        <v>32977.662624818156</v>
      </c>
      <c r="IW168" s="61">
        <f t="shared" si="887"/>
        <v>26962.37744153848</v>
      </c>
      <c r="IX168" s="61">
        <f t="shared" si="888"/>
        <v>11193.712406099814</v>
      </c>
      <c r="IY168" s="61">
        <f t="shared" si="889"/>
        <v>5328.1345739733324</v>
      </c>
      <c r="IZ168" s="61">
        <f t="shared" si="890"/>
        <v>146671.71874259337</v>
      </c>
      <c r="JA168" s="61">
        <f t="shared" si="891"/>
        <v>8447.6032514831059</v>
      </c>
      <c r="JB168" s="61">
        <f t="shared" si="892"/>
        <v>4330.3902906951062</v>
      </c>
      <c r="JC168" s="61">
        <f t="shared" si="893"/>
        <v>33721.428378681936</v>
      </c>
      <c r="JD168" s="61">
        <f t="shared" si="894"/>
        <v>22449.320676515126</v>
      </c>
      <c r="JE168" s="61">
        <f t="shared" si="895"/>
        <v>36557.610664605003</v>
      </c>
      <c r="JF168" s="61">
        <f t="shared" si="896"/>
        <v>25070.680630340092</v>
      </c>
      <c r="JG168" s="61">
        <f t="shared" si="897"/>
        <v>45743.653750835641</v>
      </c>
      <c r="JH168" s="61">
        <f t="shared" si="898"/>
        <v>12835.297853220083</v>
      </c>
      <c r="JI168" s="61">
        <f t="shared" si="899"/>
        <v>14300.696700855171</v>
      </c>
      <c r="JJ168" s="61">
        <f t="shared" si="900"/>
        <v>25973.681369114682</v>
      </c>
      <c r="JK168" s="61">
        <f t="shared" si="901"/>
        <v>9116.6111383054886</v>
      </c>
      <c r="JL168" s="61">
        <f t="shared" si="902"/>
        <v>17300.971358153773</v>
      </c>
      <c r="JM168" s="61">
        <f t="shared" si="903"/>
        <v>0</v>
      </c>
      <c r="JN168" s="61">
        <f t="shared" si="904"/>
        <v>64727.939081968965</v>
      </c>
      <c r="JO168" s="61">
        <f t="shared" si="905"/>
        <v>0</v>
      </c>
      <c r="JQ168" s="26">
        <f t="shared" si="769"/>
        <v>1620696.0000000005</v>
      </c>
      <c r="JR168" s="156">
        <f t="shared" si="770"/>
        <v>1.0000000000000002</v>
      </c>
      <c r="JT168" s="157">
        <f t="shared" si="906"/>
        <v>27093.73348227259</v>
      </c>
      <c r="JU168" s="29">
        <f t="shared" si="907"/>
        <v>1.0000000000000002</v>
      </c>
    </row>
    <row r="169" spans="1:281" ht="18.75" x14ac:dyDescent="0.3">
      <c r="A169" t="s">
        <v>234</v>
      </c>
      <c r="B169" s="10" t="s">
        <v>99</v>
      </c>
      <c r="C169" t="s">
        <v>26</v>
      </c>
      <c r="D169" t="s">
        <v>20</v>
      </c>
      <c r="E169" t="s">
        <v>126</v>
      </c>
      <c r="F169" s="114"/>
      <c r="G169" s="17">
        <v>922780</v>
      </c>
      <c r="H169" s="21">
        <v>576716</v>
      </c>
      <c r="I169" s="25">
        <f t="shared" si="713"/>
        <v>1.6000596480763496</v>
      </c>
      <c r="J169" s="105">
        <v>1.6717344574351131E-2</v>
      </c>
      <c r="K169" s="105">
        <v>3.4447045368660799E-2</v>
      </c>
      <c r="L169" s="105">
        <v>8.4543973497323028E-3</v>
      </c>
      <c r="M169" s="105">
        <v>1.1098908083180746E-2</v>
      </c>
      <c r="N169" s="105">
        <v>2.5897545482755278E-2</v>
      </c>
      <c r="O169" s="105">
        <v>3.3235548734207934E-2</v>
      </c>
      <c r="P169" s="105">
        <v>5.27772414727843E-2</v>
      </c>
      <c r="Q169" s="105">
        <v>4.3150417332534503E-2</v>
      </c>
      <c r="R169" s="105">
        <v>1.7914346124368142E-2</v>
      </c>
      <c r="S169" s="105">
        <v>8.5271126765198348E-3</v>
      </c>
      <c r="T169" s="105">
        <v>0.2179873028666014</v>
      </c>
      <c r="U169" s="105">
        <v>1.3519490503073826E-2</v>
      </c>
      <c r="V169" s="105">
        <v>6.9303290728500036E-3</v>
      </c>
      <c r="W169" s="105">
        <v>5.3967559453698896E-2</v>
      </c>
      <c r="X169" s="105">
        <v>3.5927749996227679E-2</v>
      </c>
      <c r="Y169" s="105">
        <v>5.850656754132319E-2</v>
      </c>
      <c r="Z169" s="105">
        <v>4.0122957790184238E-2</v>
      </c>
      <c r="AA169" s="105">
        <v>7.3207852458239533E-2</v>
      </c>
      <c r="AB169" s="105">
        <v>2.0541529030765913E-2</v>
      </c>
      <c r="AC169" s="105">
        <v>2.2886744024183097E-2</v>
      </c>
      <c r="AD169" s="105">
        <v>4.1568114427954654E-2</v>
      </c>
      <c r="AE169" s="105">
        <v>1.4590166469157903E-2</v>
      </c>
      <c r="AF169" s="105">
        <v>2.7688364499060418E-2</v>
      </c>
      <c r="AG169" s="105">
        <v>1.6745182736563041E-2</v>
      </c>
      <c r="AH169" s="105">
        <v>0.10359018193102111</v>
      </c>
      <c r="AJ169" s="8">
        <f t="shared" si="740"/>
        <v>0.99999999999999989</v>
      </c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159"/>
      <c r="BG169" s="159"/>
      <c r="BH169" s="159"/>
      <c r="BI169" s="159"/>
      <c r="BJ169" s="159"/>
      <c r="BM169" s="26">
        <f t="shared" si="741"/>
        <v>15426.431226319737</v>
      </c>
      <c r="BN169" s="26">
        <f t="shared" si="742"/>
        <v>31787.044525292811</v>
      </c>
      <c r="BO169" s="26">
        <f t="shared" si="743"/>
        <v>7801.5487863859744</v>
      </c>
      <c r="BP169" s="26">
        <f t="shared" si="744"/>
        <v>10241.85040099753</v>
      </c>
      <c r="BQ169" s="26">
        <f t="shared" si="745"/>
        <v>23897.737020576915</v>
      </c>
      <c r="BR169" s="26">
        <f t="shared" si="746"/>
        <v>30669.099660952397</v>
      </c>
      <c r="BS169" s="26">
        <f t="shared" si="747"/>
        <v>48701.782886255896</v>
      </c>
      <c r="BT169" s="26">
        <f t="shared" si="748"/>
        <v>39818.342106116186</v>
      </c>
      <c r="BU169" s="26">
        <f t="shared" si="749"/>
        <v>16531.000316644433</v>
      </c>
      <c r="BV169" s="26">
        <f t="shared" si="750"/>
        <v>7868.6490356389731</v>
      </c>
      <c r="BW169" s="26">
        <f t="shared" si="751"/>
        <v>201154.32333924243</v>
      </c>
      <c r="BX169" s="26">
        <f t="shared" si="752"/>
        <v>12475.515446426465</v>
      </c>
      <c r="BY169" s="26">
        <f t="shared" si="753"/>
        <v>6395.1690618445264</v>
      </c>
      <c r="BZ169" s="26">
        <f t="shared" si="754"/>
        <v>49800.184512684267</v>
      </c>
      <c r="CA169" s="26">
        <f t="shared" si="755"/>
        <v>33153.409141518976</v>
      </c>
      <c r="CB169" s="26">
        <f t="shared" si="756"/>
        <v>53988.690395782214</v>
      </c>
      <c r="CC169" s="26">
        <f t="shared" si="757"/>
        <v>37024.662989626209</v>
      </c>
      <c r="CD169" s="26">
        <f t="shared" si="758"/>
        <v>67554.742091414271</v>
      </c>
      <c r="CE169" s="26">
        <f t="shared" si="759"/>
        <v>18955.312159010169</v>
      </c>
      <c r="CF169" s="26">
        <f t="shared" si="760"/>
        <v>21119.429650635677</v>
      </c>
      <c r="CG169" s="26">
        <f t="shared" si="761"/>
        <v>38358.224631827994</v>
      </c>
      <c r="CH169" s="26">
        <f t="shared" si="762"/>
        <v>13463.513814409531</v>
      </c>
      <c r="CI169" s="26">
        <f t="shared" si="763"/>
        <v>25550.268992442972</v>
      </c>
      <c r="CJ169" s="26">
        <f t="shared" si="764"/>
        <v>15452.119725645642</v>
      </c>
      <c r="CK169" s="26">
        <f t="shared" si="765"/>
        <v>95590.948082307659</v>
      </c>
      <c r="CL169" s="26">
        <f t="shared" si="766"/>
        <v>0</v>
      </c>
      <c r="CM169" s="110">
        <f t="shared" si="767"/>
        <v>1</v>
      </c>
      <c r="CN169" s="27">
        <f t="shared" si="933"/>
        <v>9641.1600935414863</v>
      </c>
      <c r="CO169" s="27">
        <f t="shared" si="908"/>
        <v>19866.162216832581</v>
      </c>
      <c r="CP169" s="27">
        <f t="shared" si="909"/>
        <v>4875.7862219482149</v>
      </c>
      <c r="CQ169" s="27">
        <f t="shared" si="910"/>
        <v>6400.9178740996676</v>
      </c>
      <c r="CR169" s="27">
        <f t="shared" si="911"/>
        <v>14935.528840632693</v>
      </c>
      <c r="CS169" s="27">
        <f t="shared" si="912"/>
        <v>19167.472723797462</v>
      </c>
      <c r="CT169" s="27">
        <f t="shared" si="913"/>
        <v>30437.479593218271</v>
      </c>
      <c r="CU169" s="27">
        <f t="shared" si="914"/>
        <v>24885.536082349969</v>
      </c>
      <c r="CV169" s="27">
        <f t="shared" si="915"/>
        <v>10331.490039461098</v>
      </c>
      <c r="CW169" s="27">
        <f t="shared" si="916"/>
        <v>4917.7223143518131</v>
      </c>
      <c r="CX169" s="27">
        <f t="shared" si="917"/>
        <v>125716.76536001489</v>
      </c>
      <c r="CY169" s="27">
        <f t="shared" si="918"/>
        <v>7796.9064849707247</v>
      </c>
      <c r="CZ169" s="27">
        <f t="shared" si="919"/>
        <v>3996.8316615777626</v>
      </c>
      <c r="DA169" s="27">
        <f t="shared" si="920"/>
        <v>31123.955017899414</v>
      </c>
      <c r="DB169" s="27">
        <f t="shared" si="921"/>
        <v>20720.108266824442</v>
      </c>
      <c r="DC169" s="27">
        <f t="shared" si="922"/>
        <v>33741.673606161748</v>
      </c>
      <c r="DD169" s="27">
        <f t="shared" si="923"/>
        <v>23139.551724923895</v>
      </c>
      <c r="DE169" s="27">
        <f t="shared" si="924"/>
        <v>42220.139838306073</v>
      </c>
      <c r="DF169" s="27">
        <f t="shared" si="925"/>
        <v>11846.628456507195</v>
      </c>
      <c r="DG169" s="27">
        <f t="shared" si="926"/>
        <v>13199.151466650779</v>
      </c>
      <c r="DH169" s="27">
        <f t="shared" si="927"/>
        <v>23972.996680432298</v>
      </c>
      <c r="DI169" s="27">
        <f t="shared" si="928"/>
        <v>8414.3824454268688</v>
      </c>
      <c r="DJ169" s="27">
        <f t="shared" si="929"/>
        <v>15968.322820440128</v>
      </c>
      <c r="DK169" s="27">
        <f t="shared" si="930"/>
        <v>9657.21480709969</v>
      </c>
      <c r="DL169" s="27">
        <f t="shared" si="931"/>
        <v>59742.115362530771</v>
      </c>
      <c r="DM169" s="27">
        <f t="shared" si="932"/>
        <v>0</v>
      </c>
      <c r="DN169" s="110">
        <f t="shared" si="768"/>
        <v>0.99999999999999956</v>
      </c>
      <c r="DO169" s="28">
        <f t="shared" si="771"/>
        <v>5785.2711327782508</v>
      </c>
      <c r="DP169" s="28">
        <f t="shared" si="772"/>
        <v>11920.88230846023</v>
      </c>
      <c r="DQ169" s="28">
        <f t="shared" si="773"/>
        <v>2925.7625644377595</v>
      </c>
      <c r="DR169" s="28">
        <f t="shared" si="774"/>
        <v>3840.9325268978619</v>
      </c>
      <c r="DS169" s="28">
        <f t="shared" si="775"/>
        <v>8962.2081799442221</v>
      </c>
      <c r="DT169" s="28">
        <f t="shared" si="776"/>
        <v>11501.626937154935</v>
      </c>
      <c r="DU169" s="28">
        <f t="shared" si="777"/>
        <v>18264.303293037625</v>
      </c>
      <c r="DV169" s="28">
        <f t="shared" si="778"/>
        <v>14932.806023766218</v>
      </c>
      <c r="DW169" s="28">
        <f t="shared" si="779"/>
        <v>6199.5102771833353</v>
      </c>
      <c r="DX169" s="28">
        <f t="shared" si="780"/>
        <v>2950.92672128716</v>
      </c>
      <c r="DY169" s="28">
        <f t="shared" si="781"/>
        <v>75437.557979227538</v>
      </c>
      <c r="DZ169" s="28">
        <f t="shared" si="782"/>
        <v>4678.6089614557404</v>
      </c>
      <c r="EA169" s="28">
        <f t="shared" si="783"/>
        <v>2398.3374002667638</v>
      </c>
      <c r="EB169" s="28">
        <f t="shared" si="784"/>
        <v>18676.229494784853</v>
      </c>
      <c r="EC169" s="28">
        <f t="shared" si="785"/>
        <v>12433.300874694534</v>
      </c>
      <c r="ED169" s="28">
        <f t="shared" si="786"/>
        <v>20247.016789620466</v>
      </c>
      <c r="EE169" s="28">
        <f t="shared" si="787"/>
        <v>13885.111264702315</v>
      </c>
      <c r="EF169" s="28">
        <f t="shared" si="788"/>
        <v>25334.602253108198</v>
      </c>
      <c r="EG169" s="28">
        <f t="shared" si="789"/>
        <v>7108.6837025029745</v>
      </c>
      <c r="EH169" s="28">
        <f t="shared" si="790"/>
        <v>7920.2781839848976</v>
      </c>
      <c r="EI169" s="28">
        <f t="shared" si="791"/>
        <v>14385.227951395696</v>
      </c>
      <c r="EJ169" s="28">
        <f t="shared" si="792"/>
        <v>5049.131368982662</v>
      </c>
      <c r="EK169" s="28">
        <f t="shared" si="793"/>
        <v>9581.9461720028448</v>
      </c>
      <c r="EL169" s="28">
        <f t="shared" si="794"/>
        <v>5794.9049185459517</v>
      </c>
      <c r="EM169" s="28">
        <f t="shared" si="795"/>
        <v>35848.832719776889</v>
      </c>
      <c r="EN169" s="28">
        <f t="shared" si="796"/>
        <v>0</v>
      </c>
      <c r="EQ169" s="144">
        <v>4.2800221411937033E-2</v>
      </c>
      <c r="ER169" s="144">
        <v>5.2840257329064333E-2</v>
      </c>
      <c r="ES169" s="144">
        <v>6.2880293246191626E-2</v>
      </c>
      <c r="ET169" s="144">
        <v>7.9689848178925646E-2</v>
      </c>
      <c r="EU169" s="144">
        <v>6.7641673651949355E-2</v>
      </c>
      <c r="EV169" s="144">
        <v>7.7681709569076648E-2</v>
      </c>
      <c r="EW169" s="144">
        <v>8.0321187322310056E-2</v>
      </c>
      <c r="EX169" s="144">
        <v>7.0281151405182749E-2</v>
      </c>
      <c r="EY169" s="144">
        <v>8.0321187322310056E-2</v>
      </c>
      <c r="EZ169" s="144">
        <v>0.10742987286036354</v>
      </c>
      <c r="FA169" s="144">
        <v>0.10742987286036354</v>
      </c>
      <c r="FB169" s="144">
        <v>0.17068272484232544</v>
      </c>
      <c r="FC169" s="145">
        <f t="shared" si="797"/>
        <v>1</v>
      </c>
      <c r="FD169" s="146">
        <f t="shared" si="798"/>
        <v>0.158520771987193</v>
      </c>
      <c r="FE169" s="146">
        <f t="shared" si="799"/>
        <v>0.22501323139995166</v>
      </c>
      <c r="FF169" s="146">
        <f t="shared" si="800"/>
        <v>0.23092352604980285</v>
      </c>
      <c r="FG169" s="146">
        <f t="shared" si="801"/>
        <v>0.38554247056305252</v>
      </c>
      <c r="FH169" s="145">
        <f t="shared" si="934"/>
        <v>1</v>
      </c>
      <c r="FJ169" s="52">
        <f t="shared" si="802"/>
        <v>2445.4097870035453</v>
      </c>
      <c r="FK169" s="52">
        <f t="shared" si="803"/>
        <v>5038.9068373406935</v>
      </c>
      <c r="FL169" s="52">
        <f t="shared" si="804"/>
        <v>1236.7075363136532</v>
      </c>
      <c r="FM169" s="52">
        <f t="shared" si="805"/>
        <v>1623.5460321434705</v>
      </c>
      <c r="FN169" s="52">
        <f t="shared" si="806"/>
        <v>3788.2877212487742</v>
      </c>
      <c r="FO169" s="52">
        <f t="shared" si="807"/>
        <v>4861.6893544063332</v>
      </c>
      <c r="FP169" s="52">
        <f t="shared" si="808"/>
        <v>7720.2442202819493</v>
      </c>
      <c r="FQ169" s="52">
        <f t="shared" si="809"/>
        <v>6312.0343299116903</v>
      </c>
      <c r="FR169" s="52">
        <f t="shared" si="810"/>
        <v>2620.5069319150075</v>
      </c>
      <c r="FS169" s="52">
        <f t="shared" si="811"/>
        <v>1247.3443196257717</v>
      </c>
      <c r="FT169" s="52">
        <f t="shared" si="812"/>
        <v>31887.138624298143</v>
      </c>
      <c r="FU169" s="52">
        <f t="shared" si="813"/>
        <v>1977.6283395056739</v>
      </c>
      <c r="FV169" s="52">
        <f t="shared" si="814"/>
        <v>1013.7671366722071</v>
      </c>
      <c r="FW169" s="52">
        <f t="shared" si="815"/>
        <v>7894.3636940553624</v>
      </c>
      <c r="FX169" s="52">
        <f t="shared" si="816"/>
        <v>5255.50401112085</v>
      </c>
      <c r="FY169" s="52">
        <f t="shared" si="817"/>
        <v>8558.3288801169492</v>
      </c>
      <c r="FZ169" s="52">
        <f t="shared" si="818"/>
        <v>5869.1781596811998</v>
      </c>
      <c r="GA169" s="52">
        <f t="shared" si="819"/>
        <v>10708.82986772671</v>
      </c>
      <c r="GB169" s="52">
        <f t="shared" si="820"/>
        <v>3004.8107167045182</v>
      </c>
      <c r="GC169" s="52">
        <f t="shared" si="821"/>
        <v>3347.8682921479813</v>
      </c>
      <c r="GD169" s="52">
        <f t="shared" si="822"/>
        <v>6080.5753806955354</v>
      </c>
      <c r="GE169" s="52">
        <f t="shared" si="823"/>
        <v>2134.2466035204361</v>
      </c>
      <c r="GF169" s="52">
        <f t="shared" si="824"/>
        <v>4050.2483651624998</v>
      </c>
      <c r="GG169" s="52">
        <f t="shared" si="825"/>
        <v>2449.48194774788</v>
      </c>
      <c r="GH169" s="52">
        <f t="shared" si="826"/>
        <v>15153.150884995097</v>
      </c>
      <c r="GI169" s="52">
        <f t="shared" si="827"/>
        <v>0</v>
      </c>
      <c r="GJ169" s="26"/>
      <c r="GL169" s="150">
        <f t="shared" si="828"/>
        <v>3471.1511392033231</v>
      </c>
      <c r="GM169" s="150">
        <f t="shared" si="829"/>
        <v>7152.5056052902783</v>
      </c>
      <c r="GN169" s="150">
        <f t="shared" si="830"/>
        <v>1755.4517023490794</v>
      </c>
      <c r="GO169" s="150">
        <f t="shared" si="831"/>
        <v>2304.5518542433447</v>
      </c>
      <c r="GP169" s="150">
        <f t="shared" si="832"/>
        <v>5377.3070301462649</v>
      </c>
      <c r="GQ169" s="150">
        <f t="shared" si="833"/>
        <v>6900.9532188380608</v>
      </c>
      <c r="GR169" s="150">
        <f t="shared" si="834"/>
        <v>10958.545542175303</v>
      </c>
      <c r="GS169" s="150">
        <f t="shared" si="835"/>
        <v>8959.6538262859594</v>
      </c>
      <c r="GT169" s="150">
        <f t="shared" si="836"/>
        <v>3719.6937995217882</v>
      </c>
      <c r="GU169" s="150">
        <f t="shared" si="837"/>
        <v>1770.5501462612388</v>
      </c>
      <c r="GV169" s="150">
        <f t="shared" si="838"/>
        <v>45262.384304633655</v>
      </c>
      <c r="GW169" s="150">
        <f t="shared" si="839"/>
        <v>2807.1560439804293</v>
      </c>
      <c r="GX169" s="150">
        <f t="shared" si="840"/>
        <v>1438.9976559546342</v>
      </c>
      <c r="GY169" s="150">
        <f t="shared" si="841"/>
        <v>11205.700441512914</v>
      </c>
      <c r="GZ169" s="150">
        <f t="shared" si="842"/>
        <v>7459.9557228578824</v>
      </c>
      <c r="HA169" s="150">
        <f t="shared" si="843"/>
        <v>12148.169685006491</v>
      </c>
      <c r="HB169" s="150">
        <f t="shared" si="844"/>
        <v>8331.0390607899881</v>
      </c>
      <c r="HC169" s="150">
        <f t="shared" si="845"/>
        <v>15200.710814379454</v>
      </c>
      <c r="HD169" s="150">
        <f t="shared" si="846"/>
        <v>4265.1960410936726</v>
      </c>
      <c r="HE169" s="150">
        <f t="shared" si="847"/>
        <v>4752.1511110134861</v>
      </c>
      <c r="HF169" s="150">
        <f t="shared" si="848"/>
        <v>8631.1080751728387</v>
      </c>
      <c r="HG169" s="150">
        <f t="shared" si="849"/>
        <v>3029.4687493781776</v>
      </c>
      <c r="HH169" s="150">
        <f t="shared" si="850"/>
        <v>5749.1485891275806</v>
      </c>
      <c r="HI169" s="150">
        <f t="shared" si="851"/>
        <v>3476.9313914464606</v>
      </c>
      <c r="HJ169" s="150">
        <f t="shared" si="852"/>
        <v>21509.22812058506</v>
      </c>
      <c r="HK169" s="150">
        <f t="shared" si="853"/>
        <v>0</v>
      </c>
      <c r="HL169" s="26"/>
      <c r="HN169" s="147">
        <f t="shared" si="854"/>
        <v>3562.325893146538</v>
      </c>
      <c r="HO169" s="147">
        <f t="shared" si="855"/>
        <v>7340.3764044826976</v>
      </c>
      <c r="HP169" s="147">
        <f t="shared" si="856"/>
        <v>1801.5611544018093</v>
      </c>
      <c r="HQ169" s="147">
        <f t="shared" si="857"/>
        <v>2365.0842078729365</v>
      </c>
      <c r="HR169" s="147">
        <f t="shared" si="858"/>
        <v>5518.5496974025309</v>
      </c>
      <c r="HS169" s="147">
        <f t="shared" si="859"/>
        <v>7082.2166344799407</v>
      </c>
      <c r="HT169" s="147">
        <f t="shared" si="860"/>
        <v>11246.387429006156</v>
      </c>
      <c r="HU169" s="147">
        <f t="shared" si="861"/>
        <v>9194.9919606016829</v>
      </c>
      <c r="HV169" s="147">
        <f t="shared" si="862"/>
        <v>3817.3968822499396</v>
      </c>
      <c r="HW169" s="147">
        <f t="shared" si="863"/>
        <v>1817.0561805581324</v>
      </c>
      <c r="HX169" s="147">
        <f t="shared" si="864"/>
        <v>46451.265625660017</v>
      </c>
      <c r="HY169" s="147">
        <f t="shared" si="865"/>
        <v>2880.8900161775796</v>
      </c>
      <c r="HZ169" s="147">
        <f t="shared" si="866"/>
        <v>1476.7949894457477</v>
      </c>
      <c r="IA169" s="147">
        <f t="shared" si="867"/>
        <v>11500.034205599834</v>
      </c>
      <c r="IB169" s="147">
        <f t="shared" si="868"/>
        <v>7655.9021395313293</v>
      </c>
      <c r="IC169" s="147">
        <f t="shared" si="869"/>
        <v>12467.258753005155</v>
      </c>
      <c r="ID169" s="147">
        <f t="shared" si="870"/>
        <v>8549.8657283701195</v>
      </c>
      <c r="IE169" s="147">
        <f t="shared" si="871"/>
        <v>15599.979245134416</v>
      </c>
      <c r="IF169" s="147">
        <f t="shared" si="872"/>
        <v>4377.227521133329</v>
      </c>
      <c r="IG169" s="147">
        <f t="shared" si="873"/>
        <v>4876.9731630855467</v>
      </c>
      <c r="IH169" s="147">
        <f t="shared" si="874"/>
        <v>8857.8164849921213</v>
      </c>
      <c r="II169" s="147">
        <f t="shared" si="875"/>
        <v>3109.0420830436797</v>
      </c>
      <c r="IJ169" s="147">
        <f t="shared" si="876"/>
        <v>5900.1582072558749</v>
      </c>
      <c r="IK169" s="147">
        <f t="shared" si="877"/>
        <v>3568.2579719898035</v>
      </c>
      <c r="IL169" s="147">
        <f t="shared" si="878"/>
        <v>22074.198789610124</v>
      </c>
      <c r="IM169" s="147">
        <f t="shared" si="879"/>
        <v>0</v>
      </c>
      <c r="IN169" s="26"/>
      <c r="IP169" s="61">
        <f t="shared" si="880"/>
        <v>5947.5444069663317</v>
      </c>
      <c r="IQ169" s="61">
        <f t="shared" si="881"/>
        <v>12255.255678179143</v>
      </c>
      <c r="IR169" s="61">
        <f t="shared" si="882"/>
        <v>3007.8283933214325</v>
      </c>
      <c r="IS169" s="61">
        <f t="shared" si="883"/>
        <v>3948.6683067377776</v>
      </c>
      <c r="IT169" s="61">
        <f t="shared" si="884"/>
        <v>9213.5925717793452</v>
      </c>
      <c r="IU169" s="61">
        <f t="shared" si="885"/>
        <v>11824.240453228063</v>
      </c>
      <c r="IV169" s="61">
        <f t="shared" si="886"/>
        <v>18776.605694792488</v>
      </c>
      <c r="IW169" s="61">
        <f t="shared" si="887"/>
        <v>15351.661989316854</v>
      </c>
      <c r="IX169" s="61">
        <f t="shared" si="888"/>
        <v>6373.4027029576982</v>
      </c>
      <c r="IY169" s="61">
        <f t="shared" si="889"/>
        <v>3033.6983891938303</v>
      </c>
      <c r="IZ169" s="61">
        <f t="shared" si="890"/>
        <v>77553.534784650619</v>
      </c>
      <c r="JA169" s="61">
        <f t="shared" si="891"/>
        <v>4809.8410467627828</v>
      </c>
      <c r="JB169" s="61">
        <f t="shared" si="892"/>
        <v>2465.6092797719375</v>
      </c>
      <c r="JC169" s="61">
        <f t="shared" si="893"/>
        <v>19200.086171516159</v>
      </c>
      <c r="JD169" s="61">
        <f t="shared" si="894"/>
        <v>12782.047268008917</v>
      </c>
      <c r="JE169" s="61">
        <f t="shared" si="895"/>
        <v>20814.933077653619</v>
      </c>
      <c r="JF169" s="61">
        <f t="shared" si="896"/>
        <v>14274.580040784904</v>
      </c>
      <c r="JG169" s="61">
        <f t="shared" si="897"/>
        <v>26045.222164173691</v>
      </c>
      <c r="JH169" s="61">
        <f t="shared" si="898"/>
        <v>7308.0778800786493</v>
      </c>
      <c r="JI169" s="61">
        <f t="shared" si="899"/>
        <v>8142.4370843886636</v>
      </c>
      <c r="JJ169" s="61">
        <f t="shared" si="900"/>
        <v>14788.7246909675</v>
      </c>
      <c r="JK169" s="61">
        <f t="shared" si="901"/>
        <v>5190.7563784672375</v>
      </c>
      <c r="JL169" s="61">
        <f t="shared" si="902"/>
        <v>9850.7138308970189</v>
      </c>
      <c r="JM169" s="61">
        <f t="shared" si="903"/>
        <v>5957.448414461498</v>
      </c>
      <c r="JN169" s="61">
        <f t="shared" si="904"/>
        <v>36854.370287117381</v>
      </c>
      <c r="JO169" s="61">
        <f t="shared" si="905"/>
        <v>0</v>
      </c>
      <c r="JQ169" s="26">
        <f t="shared" si="769"/>
        <v>922780.00000000012</v>
      </c>
      <c r="JR169" s="156">
        <f t="shared" si="770"/>
        <v>1.0000000000000002</v>
      </c>
      <c r="JT169" s="157">
        <f t="shared" si="906"/>
        <v>15426.431226319739</v>
      </c>
      <c r="JU169" s="29">
        <f t="shared" si="907"/>
        <v>1.0000000000000002</v>
      </c>
    </row>
    <row r="170" spans="1:281" ht="18.75" x14ac:dyDescent="0.3">
      <c r="A170" t="s">
        <v>234</v>
      </c>
      <c r="B170" s="10" t="s">
        <v>2</v>
      </c>
      <c r="C170" t="s">
        <v>19</v>
      </c>
      <c r="D170" t="s">
        <v>20</v>
      </c>
      <c r="E170" t="s">
        <v>21</v>
      </c>
      <c r="F170" s="114"/>
      <c r="G170" s="17">
        <v>583333</v>
      </c>
      <c r="H170" s="21">
        <v>388889</v>
      </c>
      <c r="I170" s="25">
        <f t="shared" si="713"/>
        <v>1.4999987142860816</v>
      </c>
      <c r="J170" s="105">
        <v>1.6717344574351128E-2</v>
      </c>
      <c r="K170" s="105">
        <v>3.4447045368660799E-2</v>
      </c>
      <c r="L170" s="105">
        <v>8.4543973497323011E-3</v>
      </c>
      <c r="M170" s="105">
        <v>1.1098908083180746E-2</v>
      </c>
      <c r="N170" s="105">
        <v>2.5897545482755274E-2</v>
      </c>
      <c r="O170" s="105">
        <v>3.3235548734207934E-2</v>
      </c>
      <c r="P170" s="105">
        <v>5.27772414727843E-2</v>
      </c>
      <c r="Q170" s="105">
        <v>4.3150417332534496E-2</v>
      </c>
      <c r="R170" s="105">
        <v>1.7914346124368138E-2</v>
      </c>
      <c r="S170" s="105">
        <v>8.5271126765198348E-3</v>
      </c>
      <c r="T170" s="105">
        <v>0.23473248560316479</v>
      </c>
      <c r="U170" s="105">
        <v>1.3519490503073824E-2</v>
      </c>
      <c r="V170" s="105">
        <v>6.9303290728500036E-3</v>
      </c>
      <c r="W170" s="105">
        <v>5.3967559453698889E-2</v>
      </c>
      <c r="X170" s="105">
        <v>3.5927749996227679E-2</v>
      </c>
      <c r="Y170" s="105">
        <v>5.8506567541323183E-2</v>
      </c>
      <c r="Z170" s="105">
        <v>4.0122957790184231E-2</v>
      </c>
      <c r="AA170" s="105">
        <v>7.3207852458239533E-2</v>
      </c>
      <c r="AB170" s="105">
        <v>2.0541529030765913E-2</v>
      </c>
      <c r="AC170" s="105">
        <v>2.2886744024183094E-2</v>
      </c>
      <c r="AD170" s="105">
        <v>4.1568114427954647E-2</v>
      </c>
      <c r="AE170" s="105">
        <v>1.4590166469157905E-2</v>
      </c>
      <c r="AF170" s="105">
        <v>2.7688364499060415E-2</v>
      </c>
      <c r="AG170" s="105">
        <v>0</v>
      </c>
      <c r="AH170" s="105">
        <v>0.1035901819310211</v>
      </c>
      <c r="AJ170" s="8">
        <f t="shared" si="740"/>
        <v>1.0000000000000002</v>
      </c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159"/>
      <c r="BG170" s="159"/>
      <c r="BH170" s="159"/>
      <c r="BI170" s="159"/>
      <c r="BJ170" s="159"/>
      <c r="BM170" s="26">
        <f t="shared" si="741"/>
        <v>9751.7787625899655</v>
      </c>
      <c r="BN170" s="26">
        <f t="shared" si="742"/>
        <v>20094.098316037009</v>
      </c>
      <c r="BO170" s="26">
        <f t="shared" si="743"/>
        <v>4931.7289692113927</v>
      </c>
      <c r="BP170" s="26">
        <f t="shared" si="744"/>
        <v>6474.3593488860743</v>
      </c>
      <c r="BQ170" s="26">
        <f t="shared" si="745"/>
        <v>15106.892899092083</v>
      </c>
      <c r="BR170" s="26">
        <f t="shared" si="746"/>
        <v>19387.392349771715</v>
      </c>
      <c r="BS170" s="26">
        <f t="shared" si="747"/>
        <v>30786.706600043683</v>
      </c>
      <c r="BT170" s="26">
        <f t="shared" si="748"/>
        <v>25171.062393839344</v>
      </c>
      <c r="BU170" s="26">
        <f t="shared" si="749"/>
        <v>10450.02926776604</v>
      </c>
      <c r="BV170" s="26">
        <f t="shared" si="750"/>
        <v>4974.1462189323447</v>
      </c>
      <c r="BW170" s="26">
        <f t="shared" si="751"/>
        <v>136927.20502435093</v>
      </c>
      <c r="BX170" s="26">
        <f t="shared" si="752"/>
        <v>7886.3649536295634</v>
      </c>
      <c r="BY170" s="26">
        <f t="shared" si="753"/>
        <v>4042.6896490528111</v>
      </c>
      <c r="BZ170" s="26">
        <f t="shared" si="754"/>
        <v>31481.058358804534</v>
      </c>
      <c r="CA170" s="26">
        <f t="shared" si="755"/>
        <v>20957.842188549479</v>
      </c>
      <c r="CB170" s="26">
        <f t="shared" si="756"/>
        <v>34128.811563582676</v>
      </c>
      <c r="CC170" s="26">
        <f t="shared" si="757"/>
        <v>23405.045336621537</v>
      </c>
      <c r="CD170" s="26">
        <f t="shared" si="758"/>
        <v>42704.556198022241</v>
      </c>
      <c r="CE170" s="26">
        <f t="shared" si="759"/>
        <v>11982.551754103773</v>
      </c>
      <c r="CF170" s="26">
        <f t="shared" si="760"/>
        <v>13350.593051858796</v>
      </c>
      <c r="CG170" s="26">
        <f t="shared" si="761"/>
        <v>24248.052893602067</v>
      </c>
      <c r="CH170" s="26">
        <f t="shared" si="762"/>
        <v>8510.9255769532883</v>
      </c>
      <c r="CI170" s="26">
        <f t="shared" si="763"/>
        <v>16151.536728330409</v>
      </c>
      <c r="CJ170" s="26">
        <f t="shared" si="764"/>
        <v>0</v>
      </c>
      <c r="CK170" s="26">
        <f t="shared" si="765"/>
        <v>60427.571596368332</v>
      </c>
      <c r="CL170" s="26">
        <f t="shared" si="766"/>
        <v>0</v>
      </c>
      <c r="CM170" s="110">
        <f t="shared" si="767"/>
        <v>1</v>
      </c>
      <c r="CN170" s="27">
        <f t="shared" si="933"/>
        <v>6501.1914141748357</v>
      </c>
      <c r="CO170" s="27">
        <f t="shared" si="908"/>
        <v>13396.07702637313</v>
      </c>
      <c r="CP170" s="27">
        <f t="shared" si="909"/>
        <v>3287.8221309400446</v>
      </c>
      <c r="CQ170" s="27">
        <f t="shared" si="910"/>
        <v>4316.2432655600769</v>
      </c>
      <c r="CR170" s="27">
        <f t="shared" si="911"/>
        <v>10071.270565243216</v>
      </c>
      <c r="CS170" s="27">
        <f t="shared" si="912"/>
        <v>12924.93931169739</v>
      </c>
      <c r="CT170" s="27">
        <f t="shared" si="913"/>
        <v>20524.488659109615</v>
      </c>
      <c r="CU170" s="27">
        <f t="shared" si="914"/>
        <v>16780.722646032009</v>
      </c>
      <c r="CV170" s="27">
        <f t="shared" si="915"/>
        <v>6966.6921499594009</v>
      </c>
      <c r="CW170" s="27">
        <f t="shared" si="916"/>
        <v>3316.1003216591221</v>
      </c>
      <c r="CX170" s="27">
        <f t="shared" si="917"/>
        <v>91284.881593729151</v>
      </c>
      <c r="CY170" s="27">
        <f t="shared" si="918"/>
        <v>5257.5811422498764</v>
      </c>
      <c r="CZ170" s="27">
        <f t="shared" si="919"/>
        <v>2695.1287428115652</v>
      </c>
      <c r="DA170" s="27">
        <f t="shared" si="920"/>
        <v>20987.390228389508</v>
      </c>
      <c r="DB170" s="27">
        <f t="shared" si="921"/>
        <v>13971.906768282986</v>
      </c>
      <c r="DC170" s="27">
        <f t="shared" si="922"/>
        <v>22752.560544577631</v>
      </c>
      <c r="DD170" s="27">
        <f t="shared" si="923"/>
        <v>15603.376932066956</v>
      </c>
      <c r="DE170" s="27">
        <f t="shared" si="924"/>
        <v>28469.728534632315</v>
      </c>
      <c r="DF170" s="27">
        <f t="shared" si="925"/>
        <v>7988.3746832455254</v>
      </c>
      <c r="DG170" s="27">
        <f t="shared" si="926"/>
        <v>8900.4029968205396</v>
      </c>
      <c r="DH170" s="27">
        <f t="shared" si="927"/>
        <v>16165.382451772855</v>
      </c>
      <c r="DI170" s="27">
        <f t="shared" si="928"/>
        <v>5673.9552480243483</v>
      </c>
      <c r="DJ170" s="27">
        <f t="shared" si="929"/>
        <v>10767.700381675106</v>
      </c>
      <c r="DK170" s="27">
        <f t="shared" si="930"/>
        <v>0</v>
      </c>
      <c r="DL170" s="27">
        <f t="shared" si="931"/>
        <v>40285.082260972864</v>
      </c>
      <c r="DM170" s="27">
        <f t="shared" si="932"/>
        <v>0</v>
      </c>
      <c r="DN170" s="110">
        <f t="shared" si="768"/>
        <v>1.0000000000000002</v>
      </c>
      <c r="DO170" s="28">
        <f t="shared" si="771"/>
        <v>3250.5873484151298</v>
      </c>
      <c r="DP170" s="28">
        <f t="shared" si="772"/>
        <v>6698.0212896638786</v>
      </c>
      <c r="DQ170" s="28">
        <f t="shared" si="773"/>
        <v>1643.9068382713481</v>
      </c>
      <c r="DR170" s="28">
        <f t="shared" si="774"/>
        <v>2158.1160833259974</v>
      </c>
      <c r="DS170" s="28">
        <f t="shared" si="775"/>
        <v>5035.6223338488671</v>
      </c>
      <c r="DT170" s="28">
        <f t="shared" si="776"/>
        <v>6462.4530380743254</v>
      </c>
      <c r="DU170" s="28">
        <f t="shared" si="777"/>
        <v>10262.217940934068</v>
      </c>
      <c r="DV170" s="28">
        <f t="shared" si="778"/>
        <v>8390.3397478073348</v>
      </c>
      <c r="DW170" s="28">
        <f t="shared" si="779"/>
        <v>3483.3371178066391</v>
      </c>
      <c r="DX170" s="28">
        <f t="shared" si="780"/>
        <v>1658.0458972732226</v>
      </c>
      <c r="DY170" s="28">
        <f t="shared" si="781"/>
        <v>45642.323430621778</v>
      </c>
      <c r="DZ170" s="28">
        <f t="shared" si="782"/>
        <v>2628.783811379687</v>
      </c>
      <c r="EA170" s="28">
        <f t="shared" si="783"/>
        <v>1347.5609062412459</v>
      </c>
      <c r="EB170" s="28">
        <f t="shared" si="784"/>
        <v>10493.668130415026</v>
      </c>
      <c r="EC170" s="28">
        <f t="shared" si="785"/>
        <v>6985.9354202664927</v>
      </c>
      <c r="ED170" s="28">
        <f t="shared" si="786"/>
        <v>11376.251019005045</v>
      </c>
      <c r="EE170" s="28">
        <f t="shared" si="787"/>
        <v>7801.6684045545808</v>
      </c>
      <c r="EF170" s="28">
        <f t="shared" si="788"/>
        <v>14234.827663389926</v>
      </c>
      <c r="EG170" s="28">
        <f t="shared" si="789"/>
        <v>3994.177070858248</v>
      </c>
      <c r="EH170" s="28">
        <f t="shared" si="790"/>
        <v>4450.1900550382561</v>
      </c>
      <c r="EI170" s="28">
        <f t="shared" si="791"/>
        <v>8082.670441829212</v>
      </c>
      <c r="EJ170" s="28">
        <f t="shared" si="792"/>
        <v>2836.97032892894</v>
      </c>
      <c r="EK170" s="28">
        <f t="shared" si="793"/>
        <v>5383.8363466553037</v>
      </c>
      <c r="EL170" s="28">
        <f t="shared" si="794"/>
        <v>0</v>
      </c>
      <c r="EM170" s="28">
        <f t="shared" si="795"/>
        <v>20142.489335395469</v>
      </c>
      <c r="EN170" s="28">
        <f t="shared" si="796"/>
        <v>0</v>
      </c>
      <c r="EQ170" s="144">
        <v>4.2762183908160646E-2</v>
      </c>
      <c r="ER170" s="144">
        <v>5.282352581639483E-2</v>
      </c>
      <c r="ES170" s="144">
        <v>6.2884884395120716E-2</v>
      </c>
      <c r="ET170" s="144">
        <v>7.9691813161466993E-2</v>
      </c>
      <c r="EU170" s="144">
        <v>6.7667270796888113E-2</v>
      </c>
      <c r="EV170" s="144">
        <v>7.7728612705122282E-2</v>
      </c>
      <c r="EW170" s="144">
        <v>8.0368090458355676E-2</v>
      </c>
      <c r="EX170" s="144">
        <v>7.0306748550121506E-2</v>
      </c>
      <c r="EY170" s="144">
        <v>8.0368090458355676E-2</v>
      </c>
      <c r="EZ170" s="144">
        <v>0.10736196753678466</v>
      </c>
      <c r="FA170" s="144">
        <v>0.10748466235577754</v>
      </c>
      <c r="FB170" s="144">
        <v>0.17055214985745146</v>
      </c>
      <c r="FC170" s="145">
        <f t="shared" si="797"/>
        <v>1</v>
      </c>
      <c r="FD170" s="146">
        <f t="shared" si="798"/>
        <v>0.15847059411967618</v>
      </c>
      <c r="FE170" s="146">
        <f t="shared" si="799"/>
        <v>0.22508769666347739</v>
      </c>
      <c r="FF170" s="146">
        <f t="shared" si="800"/>
        <v>0.23104292946683286</v>
      </c>
      <c r="FG170" s="146">
        <f t="shared" si="801"/>
        <v>0.38539877975001369</v>
      </c>
      <c r="FH170" s="145">
        <f t="shared" si="934"/>
        <v>1</v>
      </c>
      <c r="FJ170" s="52">
        <f t="shared" si="802"/>
        <v>1545.3701742312724</v>
      </c>
      <c r="FK170" s="52">
        <f t="shared" si="803"/>
        <v>3184.3236984415694</v>
      </c>
      <c r="FL170" s="52">
        <f t="shared" si="804"/>
        <v>781.53401978814759</v>
      </c>
      <c r="FM170" s="52">
        <f t="shared" si="805"/>
        <v>1025.995572562256</v>
      </c>
      <c r="FN170" s="52">
        <f t="shared" si="806"/>
        <v>2393.9982930214396</v>
      </c>
      <c r="FO170" s="52">
        <f t="shared" si="807"/>
        <v>3072.3315840995883</v>
      </c>
      <c r="FP170" s="52">
        <f t="shared" si="808"/>
        <v>4878.7876858970785</v>
      </c>
      <c r="FQ170" s="52">
        <f t="shared" si="809"/>
        <v>3988.8732121751591</v>
      </c>
      <c r="FR170" s="52">
        <f t="shared" si="810"/>
        <v>1656.0223466308889</v>
      </c>
      <c r="FS170" s="52">
        <f t="shared" si="811"/>
        <v>788.25590655234953</v>
      </c>
      <c r="FT170" s="52">
        <f t="shared" si="812"/>
        <v>21698.935531355601</v>
      </c>
      <c r="FU170" s="52">
        <f t="shared" si="813"/>
        <v>1249.7569396462693</v>
      </c>
      <c r="FV170" s="52">
        <f t="shared" si="814"/>
        <v>640.64743052686413</v>
      </c>
      <c r="FW170" s="52">
        <f t="shared" si="815"/>
        <v>4988.8220216359523</v>
      </c>
      <c r="FX170" s="52">
        <f t="shared" si="816"/>
        <v>3321.2017030858506</v>
      </c>
      <c r="FY170" s="52">
        <f t="shared" si="817"/>
        <v>5408.413045079421</v>
      </c>
      <c r="FZ170" s="52">
        <f t="shared" si="818"/>
        <v>3709.0114398923711</v>
      </c>
      <c r="GA170" s="52">
        <f t="shared" si="819"/>
        <v>6767.4163923176839</v>
      </c>
      <c r="GB170" s="52">
        <f t="shared" si="820"/>
        <v>1898.8820955425929</v>
      </c>
      <c r="GC170" s="52">
        <f t="shared" si="821"/>
        <v>2115.6764127780839</v>
      </c>
      <c r="GD170" s="52">
        <f t="shared" si="822"/>
        <v>3842.6033482944526</v>
      </c>
      <c r="GE170" s="52">
        <f t="shared" si="823"/>
        <v>1348.7314326881353</v>
      </c>
      <c r="GF170" s="52">
        <f t="shared" si="824"/>
        <v>2559.543621284291</v>
      </c>
      <c r="GG170" s="52">
        <f t="shared" si="825"/>
        <v>0</v>
      </c>
      <c r="GH170" s="52">
        <f t="shared" si="826"/>
        <v>9575.9931720857585</v>
      </c>
      <c r="GI170" s="52">
        <f t="shared" si="827"/>
        <v>0</v>
      </c>
      <c r="GJ170" s="26"/>
      <c r="GL170" s="150">
        <f t="shared" si="828"/>
        <v>2195.005420043191</v>
      </c>
      <c r="GM170" s="150">
        <f t="shared" si="829"/>
        <v>4522.9343064862296</v>
      </c>
      <c r="GN170" s="150">
        <f t="shared" si="830"/>
        <v>1110.071514248338</v>
      </c>
      <c r="GO170" s="150">
        <f t="shared" si="831"/>
        <v>1457.2986332124176</v>
      </c>
      <c r="GP170" s="150">
        <f t="shared" si="832"/>
        <v>3400.3757263984794</v>
      </c>
      <c r="GQ170" s="150">
        <f t="shared" si="833"/>
        <v>4363.863488321238</v>
      </c>
      <c r="GR170" s="150">
        <f t="shared" si="834"/>
        <v>6929.7088764581094</v>
      </c>
      <c r="GS170" s="150">
        <f t="shared" si="835"/>
        <v>5665.696456801973</v>
      </c>
      <c r="GT170" s="150">
        <f t="shared" si="836"/>
        <v>2352.173017947383</v>
      </c>
      <c r="GU170" s="150">
        <f t="shared" si="837"/>
        <v>1119.6191152868266</v>
      </c>
      <c r="GV170" s="150">
        <f t="shared" si="838"/>
        <v>30820.629189498879</v>
      </c>
      <c r="GW170" s="150">
        <f t="shared" si="839"/>
        <v>1775.12372246005</v>
      </c>
      <c r="GX170" s="150">
        <f t="shared" si="840"/>
        <v>909.959701430579</v>
      </c>
      <c r="GY170" s="150">
        <f t="shared" si="841"/>
        <v>7085.9989145118243</v>
      </c>
      <c r="GZ170" s="150">
        <f t="shared" si="842"/>
        <v>4717.3524252572543</v>
      </c>
      <c r="HA170" s="150">
        <f t="shared" si="843"/>
        <v>7681.9755847086772</v>
      </c>
      <c r="HB170" s="150">
        <f t="shared" si="844"/>
        <v>5268.1877451244045</v>
      </c>
      <c r="HC170" s="150">
        <f t="shared" si="845"/>
        <v>9612.2701916488531</v>
      </c>
      <c r="HD170" s="150">
        <f t="shared" si="846"/>
        <v>2697.1249744821289</v>
      </c>
      <c r="HE170" s="150">
        <f t="shared" si="847"/>
        <v>3005.0542391343215</v>
      </c>
      <c r="HF170" s="150">
        <f t="shared" si="848"/>
        <v>5457.9383743950575</v>
      </c>
      <c r="HG170" s="150">
        <f t="shared" si="849"/>
        <v>1915.7046345906931</v>
      </c>
      <c r="HH170" s="150">
        <f t="shared" si="850"/>
        <v>3635.5121997554493</v>
      </c>
      <c r="HI170" s="150">
        <f t="shared" si="851"/>
        <v>0</v>
      </c>
      <c r="HJ170" s="150">
        <f t="shared" si="852"/>
        <v>13601.502905593918</v>
      </c>
      <c r="HK170" s="150">
        <f t="shared" si="853"/>
        <v>0</v>
      </c>
      <c r="HL170" s="26"/>
      <c r="HN170" s="147">
        <f t="shared" si="854"/>
        <v>2253.0795328212321</v>
      </c>
      <c r="HO170" s="147">
        <f t="shared" si="855"/>
        <v>4642.5993399317431</v>
      </c>
      <c r="HP170" s="147">
        <f t="shared" si="856"/>
        <v>1139.4411083830441</v>
      </c>
      <c r="HQ170" s="147">
        <f t="shared" si="857"/>
        <v>1495.8549503876152</v>
      </c>
      <c r="HR170" s="147">
        <f t="shared" si="858"/>
        <v>3490.3407905479303</v>
      </c>
      <c r="HS170" s="147">
        <f t="shared" si="859"/>
        <v>4479.3199232141214</v>
      </c>
      <c r="HT170" s="147">
        <f t="shared" si="860"/>
        <v>7113.0508815099702</v>
      </c>
      <c r="HU170" s="147">
        <f t="shared" si="861"/>
        <v>5815.5959932650721</v>
      </c>
      <c r="HV170" s="147">
        <f t="shared" si="862"/>
        <v>2414.4053750388084</v>
      </c>
      <c r="HW170" s="147">
        <f t="shared" si="863"/>
        <v>1149.241314018499</v>
      </c>
      <c r="HX170" s="147">
        <f t="shared" si="864"/>
        <v>31636.062572531675</v>
      </c>
      <c r="HY170" s="147">
        <f t="shared" si="865"/>
        <v>1822.0888617311377</v>
      </c>
      <c r="HZ170" s="147">
        <f t="shared" si="866"/>
        <v>934.0348594424039</v>
      </c>
      <c r="IA170" s="147">
        <f t="shared" si="867"/>
        <v>7273.475945934525</v>
      </c>
      <c r="IB170" s="147">
        <f t="shared" si="868"/>
        <v>4842.1612545460512</v>
      </c>
      <c r="IC170" s="147">
        <f t="shared" si="869"/>
        <v>7885.2206028716619</v>
      </c>
      <c r="ID170" s="147">
        <f t="shared" si="870"/>
        <v>5407.5702388770751</v>
      </c>
      <c r="IE170" s="147">
        <f t="shared" si="871"/>
        <v>9866.585765572052</v>
      </c>
      <c r="IF170" s="147">
        <f t="shared" si="872"/>
        <v>2768.4838597560724</v>
      </c>
      <c r="IG170" s="147">
        <f t="shared" si="873"/>
        <v>3084.5601288210005</v>
      </c>
      <c r="IH170" s="147">
        <f t="shared" si="874"/>
        <v>5602.3411744045352</v>
      </c>
      <c r="II170" s="147">
        <f t="shared" si="875"/>
        <v>1966.3891777734823</v>
      </c>
      <c r="IJ170" s="147">
        <f t="shared" si="876"/>
        <v>3731.698361104603</v>
      </c>
      <c r="IK170" s="147">
        <f t="shared" si="877"/>
        <v>0</v>
      </c>
      <c r="IL170" s="147">
        <f t="shared" si="878"/>
        <v>13961.363162191721</v>
      </c>
      <c r="IM170" s="147">
        <f t="shared" si="879"/>
        <v>0</v>
      </c>
      <c r="IN170" s="26"/>
      <c r="IP170" s="61">
        <f t="shared" si="880"/>
        <v>3758.323635494271</v>
      </c>
      <c r="IQ170" s="61">
        <f t="shared" si="881"/>
        <v>7744.2409711774681</v>
      </c>
      <c r="IR170" s="61">
        <f t="shared" si="882"/>
        <v>1900.6823267918635</v>
      </c>
      <c r="IS170" s="61">
        <f t="shared" si="883"/>
        <v>2495.2101927237863</v>
      </c>
      <c r="IT170" s="61">
        <f t="shared" si="884"/>
        <v>5822.1780891242352</v>
      </c>
      <c r="IU170" s="61">
        <f t="shared" si="885"/>
        <v>7471.8773541367691</v>
      </c>
      <c r="IV170" s="61">
        <f t="shared" si="886"/>
        <v>11865.159156178528</v>
      </c>
      <c r="IW170" s="61">
        <f t="shared" si="887"/>
        <v>9700.8967315971422</v>
      </c>
      <c r="IX170" s="61">
        <f t="shared" si="888"/>
        <v>4027.428528148961</v>
      </c>
      <c r="IY170" s="61">
        <f t="shared" si="889"/>
        <v>1917.0298830746701</v>
      </c>
      <c r="IZ170" s="61">
        <f t="shared" si="890"/>
        <v>52771.577730964789</v>
      </c>
      <c r="JA170" s="61">
        <f t="shared" si="891"/>
        <v>3039.3954297921068</v>
      </c>
      <c r="JB170" s="61">
        <f t="shared" si="892"/>
        <v>1558.0476576529645</v>
      </c>
      <c r="JC170" s="61">
        <f t="shared" si="893"/>
        <v>12132.761476722237</v>
      </c>
      <c r="JD170" s="61">
        <f t="shared" si="894"/>
        <v>8077.1268056603258</v>
      </c>
      <c r="JE170" s="61">
        <f t="shared" si="895"/>
        <v>13153.202330922921</v>
      </c>
      <c r="JF170" s="61">
        <f t="shared" si="896"/>
        <v>9020.2759127276895</v>
      </c>
      <c r="JG170" s="61">
        <f t="shared" si="897"/>
        <v>16458.283848483654</v>
      </c>
      <c r="JH170" s="61">
        <f t="shared" si="898"/>
        <v>4618.0608243229799</v>
      </c>
      <c r="JI170" s="61">
        <f t="shared" si="899"/>
        <v>5145.3022711253907</v>
      </c>
      <c r="JJ170" s="61">
        <f t="shared" si="900"/>
        <v>9345.1699965080261</v>
      </c>
      <c r="JK170" s="61">
        <f t="shared" si="901"/>
        <v>3280.1003319009787</v>
      </c>
      <c r="JL170" s="61">
        <f t="shared" si="902"/>
        <v>6224.7825461860684</v>
      </c>
      <c r="JM170" s="61">
        <f t="shared" si="903"/>
        <v>0</v>
      </c>
      <c r="JN170" s="61">
        <f t="shared" si="904"/>
        <v>23288.712356496941</v>
      </c>
      <c r="JO170" s="61">
        <f t="shared" si="905"/>
        <v>0</v>
      </c>
      <c r="JQ170" s="26">
        <f t="shared" si="769"/>
        <v>583333.00000000023</v>
      </c>
      <c r="JR170" s="156">
        <f t="shared" si="770"/>
        <v>1.0000000000000004</v>
      </c>
      <c r="JT170" s="157">
        <f t="shared" si="906"/>
        <v>9751.7787625899655</v>
      </c>
      <c r="JU170" s="29">
        <f t="shared" si="907"/>
        <v>1</v>
      </c>
    </row>
    <row r="171" spans="1:281" ht="18.75" x14ac:dyDescent="0.3">
      <c r="A171" t="s">
        <v>234</v>
      </c>
      <c r="B171" s="10" t="s">
        <v>3</v>
      </c>
      <c r="C171" t="s">
        <v>19</v>
      </c>
      <c r="D171" t="s">
        <v>20</v>
      </c>
      <c r="E171" t="s">
        <v>22</v>
      </c>
      <c r="F171" s="114"/>
      <c r="G171" s="17">
        <v>393046</v>
      </c>
      <c r="H171" s="21">
        <v>280748</v>
      </c>
      <c r="I171" s="25">
        <f t="shared" si="713"/>
        <v>1.3999957257041902</v>
      </c>
      <c r="J171" s="105">
        <v>1.6717344574351131E-2</v>
      </c>
      <c r="K171" s="105">
        <v>3.4447045368660799E-2</v>
      </c>
      <c r="L171" s="105">
        <v>8.4543973497323028E-3</v>
      </c>
      <c r="M171" s="105">
        <v>1.1098908083180746E-2</v>
      </c>
      <c r="N171" s="105">
        <v>2.5897545482755278E-2</v>
      </c>
      <c r="O171" s="105">
        <v>3.3235548734207934E-2</v>
      </c>
      <c r="P171" s="105">
        <v>5.2777241472784293E-2</v>
      </c>
      <c r="Q171" s="105">
        <v>4.3150417332534503E-2</v>
      </c>
      <c r="R171" s="105">
        <v>1.7914346124368142E-2</v>
      </c>
      <c r="S171" s="105">
        <v>8.5271126765198348E-3</v>
      </c>
      <c r="T171" s="105">
        <v>0.23473248560316484</v>
      </c>
      <c r="U171" s="105">
        <v>1.3519490503073826E-2</v>
      </c>
      <c r="V171" s="105">
        <v>6.9303290728500028E-3</v>
      </c>
      <c r="W171" s="105">
        <v>5.3967559453698896E-2</v>
      </c>
      <c r="X171" s="105">
        <v>3.5927749996227679E-2</v>
      </c>
      <c r="Y171" s="105">
        <v>5.850656754132319E-2</v>
      </c>
      <c r="Z171" s="105">
        <v>4.0122957790184231E-2</v>
      </c>
      <c r="AA171" s="105">
        <v>7.3207852458239533E-2</v>
      </c>
      <c r="AB171" s="105">
        <v>2.0541529030765913E-2</v>
      </c>
      <c r="AC171" s="105">
        <v>2.2886744024183094E-2</v>
      </c>
      <c r="AD171" s="105">
        <v>4.1568114427954647E-2</v>
      </c>
      <c r="AE171" s="105">
        <v>1.4590166469157903E-2</v>
      </c>
      <c r="AF171" s="105">
        <v>2.7688364499060415E-2</v>
      </c>
      <c r="AG171" s="105">
        <v>0</v>
      </c>
      <c r="AH171" s="105">
        <v>0.10359018193102111</v>
      </c>
      <c r="AJ171" s="8">
        <f t="shared" si="740"/>
        <v>1.0000000000000004</v>
      </c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159"/>
      <c r="BG171" s="159"/>
      <c r="BH171" s="159"/>
      <c r="BI171" s="159"/>
      <c r="BJ171" s="159"/>
      <c r="BM171" s="26">
        <f t="shared" si="741"/>
        <v>6570.685415570415</v>
      </c>
      <c r="BN171" s="26">
        <f t="shared" si="742"/>
        <v>13539.273393970652</v>
      </c>
      <c r="BO171" s="26">
        <f t="shared" si="743"/>
        <v>3322.9670607228827</v>
      </c>
      <c r="BP171" s="26">
        <f t="shared" si="744"/>
        <v>4362.3814264618595</v>
      </c>
      <c r="BQ171" s="26">
        <f t="shared" si="745"/>
        <v>10178.92666181503</v>
      </c>
      <c r="BR171" s="26">
        <f t="shared" si="746"/>
        <v>13063.099487785492</v>
      </c>
      <c r="BS171" s="26">
        <f t="shared" si="747"/>
        <v>20743.883651911976</v>
      </c>
      <c r="BT171" s="26">
        <f t="shared" si="748"/>
        <v>16960.098930883356</v>
      </c>
      <c r="BU171" s="26">
        <f t="shared" si="749"/>
        <v>7041.1620867984011</v>
      </c>
      <c r="BV171" s="26">
        <f t="shared" si="750"/>
        <v>3351.547529055415</v>
      </c>
      <c r="BW171" s="26">
        <f t="shared" si="751"/>
        <v>92260.664536381533</v>
      </c>
      <c r="BX171" s="26">
        <f t="shared" si="752"/>
        <v>5313.781664271155</v>
      </c>
      <c r="BY171" s="26">
        <f t="shared" si="753"/>
        <v>2723.9381207674023</v>
      </c>
      <c r="BZ171" s="26">
        <f t="shared" si="754"/>
        <v>21211.733373038536</v>
      </c>
      <c r="CA171" s="26">
        <f t="shared" si="755"/>
        <v>14121.258425017304</v>
      </c>
      <c r="CB171" s="26">
        <f t="shared" si="756"/>
        <v>22995.772345846915</v>
      </c>
      <c r="CC171" s="26">
        <f t="shared" si="757"/>
        <v>15770.168067600751</v>
      </c>
      <c r="CD171" s="26">
        <f t="shared" si="758"/>
        <v>28774.053577301216</v>
      </c>
      <c r="CE171" s="26">
        <f t="shared" si="759"/>
        <v>8073.7658194264195</v>
      </c>
      <c r="CF171" s="26">
        <f t="shared" si="760"/>
        <v>8995.543191729068</v>
      </c>
      <c r="CG171" s="26">
        <f t="shared" si="761"/>
        <v>16338.181103449862</v>
      </c>
      <c r="CH171" s="26">
        <f t="shared" si="762"/>
        <v>5734.6065700366371</v>
      </c>
      <c r="CI171" s="26">
        <f t="shared" si="763"/>
        <v>10882.800912897699</v>
      </c>
      <c r="CJ171" s="26">
        <f t="shared" si="764"/>
        <v>0</v>
      </c>
      <c r="CK171" s="26">
        <f t="shared" si="765"/>
        <v>40715.706647260122</v>
      </c>
      <c r="CL171" s="26">
        <f t="shared" si="766"/>
        <v>0</v>
      </c>
      <c r="CM171" s="110">
        <f t="shared" si="767"/>
        <v>1</v>
      </c>
      <c r="CN171" s="27">
        <f t="shared" si="933"/>
        <v>4693.3610545599313</v>
      </c>
      <c r="CO171" s="27">
        <f t="shared" si="908"/>
        <v>9670.9390931607813</v>
      </c>
      <c r="CP171" s="27">
        <f t="shared" si="909"/>
        <v>2373.5551471426447</v>
      </c>
      <c r="CQ171" s="27">
        <f t="shared" si="910"/>
        <v>3115.996246536828</v>
      </c>
      <c r="CR171" s="27">
        <f t="shared" si="911"/>
        <v>7270.6840991925783</v>
      </c>
      <c r="CS171" s="27">
        <f t="shared" si="912"/>
        <v>9330.8138360314097</v>
      </c>
      <c r="CT171" s="27">
        <f t="shared" si="913"/>
        <v>14817.104989001245</v>
      </c>
      <c r="CU171" s="27">
        <f t="shared" si="914"/>
        <v>12114.393365274396</v>
      </c>
      <c r="CV171" s="27">
        <f t="shared" si="915"/>
        <v>5029.4168457241067</v>
      </c>
      <c r="CW171" s="27">
        <f t="shared" si="916"/>
        <v>2393.9698297075906</v>
      </c>
      <c r="CX171" s="27">
        <f t="shared" si="917"/>
        <v>65900.675868117323</v>
      </c>
      <c r="CY171" s="27">
        <f t="shared" si="918"/>
        <v>3795.5699197569706</v>
      </c>
      <c r="CZ171" s="27">
        <f t="shared" si="919"/>
        <v>1945.6760265444925</v>
      </c>
      <c r="DA171" s="27">
        <f t="shared" si="920"/>
        <v>15151.284381507057</v>
      </c>
      <c r="DB171" s="27">
        <f t="shared" si="921"/>
        <v>10086.643955940928</v>
      </c>
      <c r="DC171" s="27">
        <f t="shared" si="922"/>
        <v>16425.601824091402</v>
      </c>
      <c r="DD171" s="27">
        <f t="shared" si="923"/>
        <v>11264.440153678643</v>
      </c>
      <c r="DE171" s="27">
        <f t="shared" si="924"/>
        <v>20552.958161945833</v>
      </c>
      <c r="DF171" s="27">
        <f t="shared" si="925"/>
        <v>5766.9931923294689</v>
      </c>
      <c r="DG171" s="27">
        <f t="shared" si="926"/>
        <v>6425.4076113013552</v>
      </c>
      <c r="DH171" s="27">
        <f t="shared" si="927"/>
        <v>11670.164989419411</v>
      </c>
      <c r="DI171" s="27">
        <f t="shared" si="928"/>
        <v>4096.1600558831433</v>
      </c>
      <c r="DJ171" s="27">
        <f t="shared" si="929"/>
        <v>7773.4529563822134</v>
      </c>
      <c r="DK171" s="27">
        <f t="shared" si="930"/>
        <v>0</v>
      </c>
      <c r="DL171" s="27">
        <f t="shared" si="931"/>
        <v>29082.736396770313</v>
      </c>
      <c r="DM171" s="27">
        <f t="shared" si="932"/>
        <v>0</v>
      </c>
      <c r="DN171" s="110">
        <f t="shared" si="768"/>
        <v>1.0000000000000002</v>
      </c>
      <c r="DO171" s="28">
        <f t="shared" si="771"/>
        <v>1877.3243610104837</v>
      </c>
      <c r="DP171" s="28">
        <f t="shared" si="772"/>
        <v>3868.3343008098709</v>
      </c>
      <c r="DQ171" s="28">
        <f t="shared" si="773"/>
        <v>949.41191358023798</v>
      </c>
      <c r="DR171" s="28">
        <f t="shared" si="774"/>
        <v>1246.3851799250315</v>
      </c>
      <c r="DS171" s="28">
        <f t="shared" si="775"/>
        <v>2908.2425626224522</v>
      </c>
      <c r="DT171" s="28">
        <f t="shared" si="776"/>
        <v>3732.2856517540822</v>
      </c>
      <c r="DU171" s="28">
        <f t="shared" si="777"/>
        <v>5926.7786629107304</v>
      </c>
      <c r="DV171" s="28">
        <f t="shared" si="778"/>
        <v>4845.7055656089597</v>
      </c>
      <c r="DW171" s="28">
        <f t="shared" si="779"/>
        <v>2011.7452410742944</v>
      </c>
      <c r="DX171" s="28">
        <f t="shared" si="780"/>
        <v>957.57769934782436</v>
      </c>
      <c r="DY171" s="28">
        <f t="shared" si="781"/>
        <v>26359.98866826421</v>
      </c>
      <c r="DZ171" s="28">
        <f t="shared" si="782"/>
        <v>1518.2117445141844</v>
      </c>
      <c r="EA171" s="28">
        <f t="shared" si="783"/>
        <v>778.26209422290981</v>
      </c>
      <c r="EB171" s="28">
        <f t="shared" si="784"/>
        <v>6060.4489915314789</v>
      </c>
      <c r="EC171" s="28">
        <f t="shared" si="785"/>
        <v>4034.6144690763758</v>
      </c>
      <c r="ED171" s="28">
        <f t="shared" si="786"/>
        <v>6570.1705217555136</v>
      </c>
      <c r="EE171" s="28">
        <f t="shared" si="787"/>
        <v>4505.7279139221082</v>
      </c>
      <c r="EF171" s="28">
        <f t="shared" si="788"/>
        <v>8221.095415355383</v>
      </c>
      <c r="EG171" s="28">
        <f t="shared" si="789"/>
        <v>2306.7726270969506</v>
      </c>
      <c r="EH171" s="28">
        <f t="shared" si="790"/>
        <v>2570.1355804277127</v>
      </c>
      <c r="EI171" s="28">
        <f t="shared" si="791"/>
        <v>4668.0161140304517</v>
      </c>
      <c r="EJ171" s="28">
        <f t="shared" si="792"/>
        <v>1638.4465141534938</v>
      </c>
      <c r="EK171" s="28">
        <f t="shared" si="793"/>
        <v>3109.3479565154857</v>
      </c>
      <c r="EL171" s="28">
        <f t="shared" si="794"/>
        <v>0</v>
      </c>
      <c r="EM171" s="28">
        <f t="shared" si="795"/>
        <v>11632.970250489809</v>
      </c>
      <c r="EN171" s="28">
        <f t="shared" si="796"/>
        <v>0</v>
      </c>
      <c r="EQ171" s="144">
        <v>4.2807427368348867E-2</v>
      </c>
      <c r="ER171" s="144">
        <v>5.2814425268978678E-2</v>
      </c>
      <c r="ES171" s="144">
        <v>6.2891402175906594E-2</v>
      </c>
      <c r="ET171" s="144">
        <v>7.9655833653344638E-2</v>
      </c>
      <c r="EU171" s="144">
        <v>6.7619444570069617E-2</v>
      </c>
      <c r="EV171" s="144">
        <v>7.769642147699754E-2</v>
      </c>
      <c r="EW171" s="144">
        <v>8.0335899230230934E-2</v>
      </c>
      <c r="EX171" s="144">
        <v>7.0258922323303011E-2</v>
      </c>
      <c r="EY171" s="144">
        <v>8.0335899230230934E-2</v>
      </c>
      <c r="EZ171" s="144">
        <v>0.10741777466759972</v>
      </c>
      <c r="FA171" s="144">
        <v>0.10741777466759972</v>
      </c>
      <c r="FB171" s="144">
        <v>0.17074877536738978</v>
      </c>
      <c r="FC171" s="145">
        <f t="shared" si="797"/>
        <v>1</v>
      </c>
      <c r="FD171" s="146">
        <f t="shared" si="798"/>
        <v>0.15851325481323414</v>
      </c>
      <c r="FE171" s="146">
        <f t="shared" si="799"/>
        <v>0.22497169970041178</v>
      </c>
      <c r="FF171" s="146">
        <f t="shared" si="800"/>
        <v>0.23093072078376486</v>
      </c>
      <c r="FG171" s="146">
        <f t="shared" si="801"/>
        <v>0.38558432470258919</v>
      </c>
      <c r="FH171" s="145">
        <f t="shared" si="934"/>
        <v>1</v>
      </c>
      <c r="FJ171" s="52">
        <f t="shared" si="802"/>
        <v>1041.5407315759144</v>
      </c>
      <c r="FK171" s="52">
        <f t="shared" si="803"/>
        <v>2146.1542934845115</v>
      </c>
      <c r="FL171" s="52">
        <f t="shared" si="804"/>
        <v>526.73432443235004</v>
      </c>
      <c r="FM171" s="52">
        <f t="shared" si="805"/>
        <v>691.49527864526851</v>
      </c>
      <c r="FN171" s="52">
        <f t="shared" si="806"/>
        <v>1613.4947956695087</v>
      </c>
      <c r="FO171" s="52">
        <f t="shared" si="807"/>
        <v>2070.6744177579699</v>
      </c>
      <c r="FP171" s="52">
        <f t="shared" si="808"/>
        <v>3288.1805151316048</v>
      </c>
      <c r="FQ171" s="52">
        <f t="shared" si="809"/>
        <v>2688.4004834887733</v>
      </c>
      <c r="FR171" s="52">
        <f t="shared" si="810"/>
        <v>1116.1175200459584</v>
      </c>
      <c r="FS171" s="52">
        <f t="shared" si="811"/>
        <v>531.26470749182624</v>
      </c>
      <c r="FT171" s="52">
        <f t="shared" si="812"/>
        <v>14624.538226893761</v>
      </c>
      <c r="FU171" s="52">
        <f t="shared" si="813"/>
        <v>842.30482697050502</v>
      </c>
      <c r="FV171" s="52">
        <f t="shared" si="814"/>
        <v>431.78029743268542</v>
      </c>
      <c r="FW171" s="52">
        <f t="shared" si="815"/>
        <v>3362.3408971908398</v>
      </c>
      <c r="FX171" s="52">
        <f t="shared" si="816"/>
        <v>2238.4066350082971</v>
      </c>
      <c r="FY171" s="52">
        <f t="shared" si="817"/>
        <v>3645.1347214843549</v>
      </c>
      <c r="FZ171" s="52">
        <f t="shared" si="818"/>
        <v>2499.7806693471261</v>
      </c>
      <c r="GA171" s="52">
        <f t="shared" si="819"/>
        <v>4561.0688867083991</v>
      </c>
      <c r="GB171" s="52">
        <f t="shared" si="820"/>
        <v>1279.7988986371201</v>
      </c>
      <c r="GC171" s="52">
        <f t="shared" si="821"/>
        <v>1425.9128301340033</v>
      </c>
      <c r="GD171" s="52">
        <f t="shared" si="822"/>
        <v>2589.8182644359149</v>
      </c>
      <c r="GE171" s="52">
        <f t="shared" si="823"/>
        <v>909.01115248986412</v>
      </c>
      <c r="GF171" s="52">
        <f t="shared" si="824"/>
        <v>1725.0681941878502</v>
      </c>
      <c r="GG171" s="52">
        <f t="shared" si="825"/>
        <v>0</v>
      </c>
      <c r="GH171" s="52">
        <f t="shared" si="826"/>
        <v>6453.9791826780347</v>
      </c>
      <c r="GI171" s="52">
        <f t="shared" si="827"/>
        <v>0</v>
      </c>
      <c r="GJ171" s="26"/>
      <c r="GL171" s="150">
        <f t="shared" si="828"/>
        <v>1478.2182661375828</v>
      </c>
      <c r="GM171" s="150">
        <f t="shared" si="829"/>
        <v>3045.9533481501408</v>
      </c>
      <c r="GN171" s="150">
        <f t="shared" si="830"/>
        <v>747.57354769930839</v>
      </c>
      <c r="GO171" s="150">
        <f t="shared" si="831"/>
        <v>981.41236425263139</v>
      </c>
      <c r="GP171" s="150">
        <f t="shared" si="832"/>
        <v>2289.9704322343659</v>
      </c>
      <c r="GQ171" s="150">
        <f t="shared" si="833"/>
        <v>2938.8276951226808</v>
      </c>
      <c r="GR171" s="150">
        <f t="shared" si="834"/>
        <v>4666.7867635582224</v>
      </c>
      <c r="GS171" s="150">
        <f t="shared" si="835"/>
        <v>3815.5422835679651</v>
      </c>
      <c r="GT171" s="150">
        <f t="shared" si="836"/>
        <v>1584.0622025331347</v>
      </c>
      <c r="GU171" s="150">
        <f t="shared" si="837"/>
        <v>754.00334423831191</v>
      </c>
      <c r="GV171" s="150">
        <f t="shared" si="838"/>
        <v>20756.038516239256</v>
      </c>
      <c r="GW171" s="150">
        <f t="shared" si="839"/>
        <v>1195.4504928479646</v>
      </c>
      <c r="GX171" s="150">
        <f t="shared" si="840"/>
        <v>612.80898890778803</v>
      </c>
      <c r="GY171" s="150">
        <f t="shared" si="841"/>
        <v>4772.0397105244283</v>
      </c>
      <c r="GZ171" s="150">
        <f t="shared" si="842"/>
        <v>3176.8835097849028</v>
      </c>
      <c r="HA171" s="150">
        <f t="shared" si="843"/>
        <v>5173.3979905689057</v>
      </c>
      <c r="HB171" s="150">
        <f t="shared" si="844"/>
        <v>3547.8415147292994</v>
      </c>
      <c r="HC171" s="150">
        <f t="shared" si="845"/>
        <v>6473.3477405561689</v>
      </c>
      <c r="HD171" s="150">
        <f t="shared" si="846"/>
        <v>1816.3688193794494</v>
      </c>
      <c r="HE171" s="150">
        <f t="shared" si="847"/>
        <v>2023.7426415717557</v>
      </c>
      <c r="HF171" s="150">
        <f t="shared" si="848"/>
        <v>3675.6283728562648</v>
      </c>
      <c r="HG171" s="150">
        <f t="shared" si="849"/>
        <v>1290.1241871742907</v>
      </c>
      <c r="HH171" s="150">
        <f t="shared" si="850"/>
        <v>2448.3222188757882</v>
      </c>
      <c r="HI171" s="150">
        <f t="shared" si="851"/>
        <v>0</v>
      </c>
      <c r="HJ171" s="150">
        <f t="shared" si="852"/>
        <v>9159.8817289374638</v>
      </c>
      <c r="HK171" s="150">
        <f t="shared" si="853"/>
        <v>0</v>
      </c>
      <c r="HL171" s="26"/>
      <c r="HN171" s="147">
        <f t="shared" si="854"/>
        <v>1517.3731190610474</v>
      </c>
      <c r="HO171" s="147">
        <f t="shared" si="855"/>
        <v>3126.6341637580931</v>
      </c>
      <c r="HP171" s="147">
        <f t="shared" si="856"/>
        <v>767.37517847344384</v>
      </c>
      <c r="HQ171" s="147">
        <f t="shared" si="857"/>
        <v>1007.4078871465456</v>
      </c>
      <c r="HR171" s="147">
        <f t="shared" si="858"/>
        <v>2350.6268708180264</v>
      </c>
      <c r="HS171" s="147">
        <f t="shared" si="859"/>
        <v>3016.6709803843332</v>
      </c>
      <c r="HT171" s="147">
        <f t="shared" si="860"/>
        <v>4790.4000035905892</v>
      </c>
      <c r="HU171" s="147">
        <f t="shared" si="861"/>
        <v>3916.6078706728531</v>
      </c>
      <c r="HV171" s="147">
        <f t="shared" si="862"/>
        <v>1626.0206358596727</v>
      </c>
      <c r="HW171" s="147">
        <f t="shared" si="863"/>
        <v>773.97528662581306</v>
      </c>
      <c r="HX171" s="147">
        <f t="shared" si="864"/>
        <v>21305.821761375722</v>
      </c>
      <c r="HY171" s="147">
        <f t="shared" si="865"/>
        <v>1227.1154298176914</v>
      </c>
      <c r="HZ171" s="147">
        <f t="shared" si="866"/>
        <v>629.04099359919019</v>
      </c>
      <c r="IA171" s="147">
        <f t="shared" si="867"/>
        <v>4898.4408769088295</v>
      </c>
      <c r="IB171" s="147">
        <f t="shared" si="868"/>
        <v>3261.0323864630582</v>
      </c>
      <c r="IC171" s="147">
        <f t="shared" si="869"/>
        <v>5310.4302828057953</v>
      </c>
      <c r="ID171" s="147">
        <f t="shared" si="870"/>
        <v>3641.8162787321539</v>
      </c>
      <c r="IE171" s="147">
        <f t="shared" si="871"/>
        <v>6644.8129324768379</v>
      </c>
      <c r="IF171" s="147">
        <f t="shared" si="872"/>
        <v>1864.4805601194671</v>
      </c>
      <c r="IG171" s="147">
        <f t="shared" si="873"/>
        <v>2077.3472731074826</v>
      </c>
      <c r="IH171" s="147">
        <f t="shared" si="874"/>
        <v>3772.9879385153636</v>
      </c>
      <c r="II171" s="147">
        <f t="shared" si="875"/>
        <v>1324.2968286298742</v>
      </c>
      <c r="IJ171" s="147">
        <f t="shared" si="876"/>
        <v>2513.17305896168</v>
      </c>
      <c r="IK171" s="147">
        <f t="shared" si="877"/>
        <v>0</v>
      </c>
      <c r="IL171" s="147">
        <f t="shared" si="878"/>
        <v>9402.5074832721057</v>
      </c>
      <c r="IM171" s="147">
        <f t="shared" si="879"/>
        <v>0</v>
      </c>
      <c r="IN171" s="26"/>
      <c r="IP171" s="61">
        <f t="shared" si="880"/>
        <v>2533.55329879587</v>
      </c>
      <c r="IQ171" s="61">
        <f t="shared" si="881"/>
        <v>5220.5315885779064</v>
      </c>
      <c r="IR171" s="61">
        <f t="shared" si="882"/>
        <v>1281.2840101177803</v>
      </c>
      <c r="IS171" s="61">
        <f t="shared" si="883"/>
        <v>1682.0658964174138</v>
      </c>
      <c r="IT171" s="61">
        <f t="shared" si="884"/>
        <v>3924.834563093129</v>
      </c>
      <c r="IU171" s="61">
        <f t="shared" si="885"/>
        <v>5036.9263945205075</v>
      </c>
      <c r="IV171" s="61">
        <f t="shared" si="886"/>
        <v>7998.5163696315585</v>
      </c>
      <c r="IW171" s="61">
        <f t="shared" si="887"/>
        <v>6539.5482931537636</v>
      </c>
      <c r="IX171" s="61">
        <f t="shared" si="888"/>
        <v>2714.9617283596353</v>
      </c>
      <c r="IY171" s="61">
        <f t="shared" si="889"/>
        <v>1292.3041906994636</v>
      </c>
      <c r="IZ171" s="61">
        <f t="shared" si="890"/>
        <v>35574.266031872794</v>
      </c>
      <c r="JA171" s="61">
        <f t="shared" si="891"/>
        <v>2048.9109146349938</v>
      </c>
      <c r="JB171" s="61">
        <f t="shared" si="892"/>
        <v>1050.3078408277386</v>
      </c>
      <c r="JC171" s="61">
        <f t="shared" si="893"/>
        <v>8178.9118884144382</v>
      </c>
      <c r="JD171" s="61">
        <f t="shared" si="894"/>
        <v>5444.935893761045</v>
      </c>
      <c r="JE171" s="61">
        <f t="shared" si="895"/>
        <v>8866.8093509878581</v>
      </c>
      <c r="JF171" s="61">
        <f t="shared" si="896"/>
        <v>6080.7296047921718</v>
      </c>
      <c r="JG171" s="61">
        <f t="shared" si="897"/>
        <v>11094.824017559809</v>
      </c>
      <c r="JH171" s="61">
        <f t="shared" si="898"/>
        <v>3113.1175412903826</v>
      </c>
      <c r="JI171" s="61">
        <f t="shared" si="899"/>
        <v>3468.5404469158266</v>
      </c>
      <c r="JJ171" s="61">
        <f t="shared" si="900"/>
        <v>6299.7465276423191</v>
      </c>
      <c r="JK171" s="61">
        <f t="shared" si="901"/>
        <v>2211.1744017426081</v>
      </c>
      <c r="JL171" s="61">
        <f t="shared" si="902"/>
        <v>4196.2374408723808</v>
      </c>
      <c r="JM171" s="61">
        <f t="shared" si="903"/>
        <v>0</v>
      </c>
      <c r="JN171" s="61">
        <f t="shared" si="904"/>
        <v>15699.338252372516</v>
      </c>
      <c r="JO171" s="61">
        <f t="shared" si="905"/>
        <v>0</v>
      </c>
      <c r="JQ171" s="26">
        <f t="shared" si="769"/>
        <v>393046</v>
      </c>
      <c r="JR171" s="156">
        <f t="shared" si="770"/>
        <v>1</v>
      </c>
      <c r="JT171" s="157">
        <f t="shared" si="906"/>
        <v>6570.685415570415</v>
      </c>
      <c r="JU171" s="29">
        <f t="shared" si="907"/>
        <v>1</v>
      </c>
    </row>
    <row r="172" spans="1:281" ht="18.75" x14ac:dyDescent="0.3">
      <c r="A172" t="s">
        <v>234</v>
      </c>
      <c r="B172" s="10" t="s">
        <v>4</v>
      </c>
      <c r="C172" t="s">
        <v>19</v>
      </c>
      <c r="D172" t="s">
        <v>20</v>
      </c>
      <c r="E172" t="s">
        <v>23</v>
      </c>
      <c r="F172" s="114"/>
      <c r="G172" s="17">
        <v>2131845</v>
      </c>
      <c r="H172" s="21">
        <v>1470238</v>
      </c>
      <c r="I172" s="25">
        <f t="shared" si="713"/>
        <v>1.4499999319838013</v>
      </c>
      <c r="J172" s="105">
        <v>1.6717344574351135E-2</v>
      </c>
      <c r="K172" s="105">
        <v>3.4447045368660806E-2</v>
      </c>
      <c r="L172" s="105">
        <v>8.4543973497323028E-3</v>
      </c>
      <c r="M172" s="105">
        <v>1.1098908083180748E-2</v>
      </c>
      <c r="N172" s="105">
        <v>2.5897545482755278E-2</v>
      </c>
      <c r="O172" s="105">
        <v>3.3235548734207934E-2</v>
      </c>
      <c r="P172" s="105">
        <v>5.2777241472784307E-2</v>
      </c>
      <c r="Q172" s="105">
        <v>4.3150417332534503E-2</v>
      </c>
      <c r="R172" s="105">
        <v>1.7914346124368142E-2</v>
      </c>
      <c r="S172" s="105">
        <v>8.5271126765198348E-3</v>
      </c>
      <c r="T172" s="105">
        <v>0.23473248560316456</v>
      </c>
      <c r="U172" s="105">
        <v>1.3519490503073826E-2</v>
      </c>
      <c r="V172" s="105">
        <v>6.9303290728500036E-3</v>
      </c>
      <c r="W172" s="105">
        <v>5.3967559453698896E-2</v>
      </c>
      <c r="X172" s="105">
        <v>3.5927749996227679E-2</v>
      </c>
      <c r="Y172" s="105">
        <v>5.850656754132319E-2</v>
      </c>
      <c r="Z172" s="105">
        <v>4.0122957790184231E-2</v>
      </c>
      <c r="AA172" s="105">
        <v>7.3207852458239533E-2</v>
      </c>
      <c r="AB172" s="105">
        <v>2.0541529030765913E-2</v>
      </c>
      <c r="AC172" s="105">
        <v>2.2886744024183094E-2</v>
      </c>
      <c r="AD172" s="105">
        <v>4.1568114427954654E-2</v>
      </c>
      <c r="AE172" s="105">
        <v>1.4590166469157905E-2</v>
      </c>
      <c r="AF172" s="105">
        <v>2.7688364499060415E-2</v>
      </c>
      <c r="AG172" s="105">
        <v>0</v>
      </c>
      <c r="AH172" s="105">
        <v>0.10359018193102111</v>
      </c>
      <c r="AJ172" s="8">
        <f t="shared" si="740"/>
        <v>1</v>
      </c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9"/>
      <c r="BG172" s="159"/>
      <c r="BH172" s="159"/>
      <c r="BI172" s="159"/>
      <c r="BJ172" s="159"/>
      <c r="BM172" s="26">
        <f t="shared" si="741"/>
        <v>35638.787444107598</v>
      </c>
      <c r="BN172" s="26">
        <f t="shared" si="742"/>
        <v>73435.761433952692</v>
      </c>
      <c r="BO172" s="26">
        <f t="shared" si="743"/>
        <v>18023.464718040061</v>
      </c>
      <c r="BP172" s="26">
        <f t="shared" si="744"/>
        <v>23661.15170258846</v>
      </c>
      <c r="BQ172" s="26">
        <f t="shared" si="745"/>
        <v>55209.552849684427</v>
      </c>
      <c r="BR172" s="26">
        <f t="shared" si="746"/>
        <v>70853.038391277514</v>
      </c>
      <c r="BS172" s="26">
        <f t="shared" si="747"/>
        <v>112512.89834754786</v>
      </c>
      <c r="BT172" s="26">
        <f t="shared" si="748"/>
        <v>91990.001438277017</v>
      </c>
      <c r="BU172" s="26">
        <f t="shared" si="749"/>
        <v>38190.609213503601</v>
      </c>
      <c r="BV172" s="26">
        <f t="shared" si="750"/>
        <v>18178.482523875427</v>
      </c>
      <c r="BW172" s="26">
        <f t="shared" si="751"/>
        <v>500413.27577067836</v>
      </c>
      <c r="BX172" s="26">
        <f t="shared" si="752"/>
        <v>28821.458231525419</v>
      </c>
      <c r="BY172" s="26">
        <f t="shared" si="753"/>
        <v>14774.387382309917</v>
      </c>
      <c r="BZ172" s="26">
        <f t="shared" si="754"/>
        <v>115050.47178357073</v>
      </c>
      <c r="CA172" s="26">
        <f t="shared" si="755"/>
        <v>76592.394190708001</v>
      </c>
      <c r="CB172" s="26">
        <f t="shared" si="756"/>
        <v>124726.93348013214</v>
      </c>
      <c r="CC172" s="26">
        <f t="shared" si="757"/>
        <v>85535.926950215304</v>
      </c>
      <c r="CD172" s="26">
        <f t="shared" si="758"/>
        <v>156067.79422383566</v>
      </c>
      <c r="CE172" s="26">
        <f t="shared" si="759"/>
        <v>43791.355956593157</v>
      </c>
      <c r="CF172" s="26">
        <f t="shared" si="760"/>
        <v>48790.99081423461</v>
      </c>
      <c r="CG172" s="26">
        <f t="shared" si="761"/>
        <v>88616.776902662983</v>
      </c>
      <c r="CH172" s="26">
        <f t="shared" si="762"/>
        <v>31103.973436441935</v>
      </c>
      <c r="CI172" s="26">
        <f t="shared" si="763"/>
        <v>59027.301415499453</v>
      </c>
      <c r="CJ172" s="26">
        <f t="shared" si="764"/>
        <v>0</v>
      </c>
      <c r="CK172" s="26">
        <f t="shared" si="765"/>
        <v>220838.21139873771</v>
      </c>
      <c r="CL172" s="26">
        <f t="shared" si="766"/>
        <v>0</v>
      </c>
      <c r="CM172" s="110">
        <f t="shared" si="767"/>
        <v>1</v>
      </c>
      <c r="CN172" s="27">
        <f t="shared" si="933"/>
        <v>24578.475252304863</v>
      </c>
      <c r="CO172" s="27">
        <f t="shared" si="908"/>
        <v>50645.355088729128</v>
      </c>
      <c r="CP172" s="27">
        <f t="shared" si="909"/>
        <v>12429.976250675722</v>
      </c>
      <c r="CQ172" s="27">
        <f t="shared" si="910"/>
        <v>16318.036422399497</v>
      </c>
      <c r="CR172" s="27">
        <f t="shared" si="911"/>
        <v>38075.555475475157</v>
      </c>
      <c r="CS172" s="27">
        <f t="shared" si="912"/>
        <v>48864.166699884401</v>
      </c>
      <c r="CT172" s="27">
        <f t="shared" si="913"/>
        <v>77595.105948463461</v>
      </c>
      <c r="CU172" s="27">
        <f t="shared" si="914"/>
        <v>63441.383278150861</v>
      </c>
      <c r="CV172" s="27">
        <f t="shared" si="915"/>
        <v>26338.352417198766</v>
      </c>
      <c r="CW172" s="27">
        <f t="shared" si="916"/>
        <v>12536.885087301169</v>
      </c>
      <c r="CX172" s="27">
        <f t="shared" si="917"/>
        <v>345112.62016822549</v>
      </c>
      <c r="CY172" s="27">
        <f t="shared" si="918"/>
        <v>19876.868678258255</v>
      </c>
      <c r="CZ172" s="27">
        <f t="shared" si="919"/>
        <v>10189.233155408843</v>
      </c>
      <c r="DA172" s="27">
        <f t="shared" si="920"/>
        <v>79345.156676087354</v>
      </c>
      <c r="DB172" s="27">
        <f t="shared" si="921"/>
        <v>52822.343298953791</v>
      </c>
      <c r="DC172" s="27">
        <f t="shared" si="922"/>
        <v>86018.578848819918</v>
      </c>
      <c r="DD172" s="27">
        <f t="shared" si="923"/>
        <v>58990.297215524886</v>
      </c>
      <c r="DE172" s="27">
        <f t="shared" si="924"/>
        <v>107632.96658249717</v>
      </c>
      <c r="DF172" s="27">
        <f t="shared" si="925"/>
        <v>30200.936559135214</v>
      </c>
      <c r="DG172" s="27">
        <f t="shared" si="926"/>
        <v>33648.960760626906</v>
      </c>
      <c r="DH172" s="27">
        <f t="shared" si="927"/>
        <v>61115.021420327197</v>
      </c>
      <c r="DI172" s="27">
        <f t="shared" si="928"/>
        <v>21451.017169281778</v>
      </c>
      <c r="DJ172" s="27">
        <f t="shared" si="929"/>
        <v>40708.485644369583</v>
      </c>
      <c r="DK172" s="27">
        <f t="shared" si="930"/>
        <v>0</v>
      </c>
      <c r="DL172" s="27">
        <f t="shared" si="931"/>
        <v>152302.22190190063</v>
      </c>
      <c r="DM172" s="27">
        <f t="shared" si="932"/>
        <v>0</v>
      </c>
      <c r="DN172" s="110">
        <f t="shared" si="768"/>
        <v>1.0000000000000002</v>
      </c>
      <c r="DO172" s="28">
        <f t="shared" si="771"/>
        <v>11060.312191802735</v>
      </c>
      <c r="DP172" s="28">
        <f t="shared" si="772"/>
        <v>22790.406345223564</v>
      </c>
      <c r="DQ172" s="28">
        <f t="shared" si="773"/>
        <v>5593.4884673643392</v>
      </c>
      <c r="DR172" s="28">
        <f t="shared" si="774"/>
        <v>7343.1152801889639</v>
      </c>
      <c r="DS172" s="28">
        <f t="shared" si="775"/>
        <v>17133.99737420927</v>
      </c>
      <c r="DT172" s="28">
        <f t="shared" si="776"/>
        <v>21988.871691393113</v>
      </c>
      <c r="DU172" s="28">
        <f t="shared" si="777"/>
        <v>34917.792399084399</v>
      </c>
      <c r="DV172" s="28">
        <f t="shared" si="778"/>
        <v>28548.618160126156</v>
      </c>
      <c r="DW172" s="28">
        <f t="shared" si="779"/>
        <v>11852.256796304835</v>
      </c>
      <c r="DX172" s="28">
        <f t="shared" si="780"/>
        <v>5641.5974365742586</v>
      </c>
      <c r="DY172" s="28">
        <f t="shared" si="781"/>
        <v>155300.65560245287</v>
      </c>
      <c r="DZ172" s="28">
        <f t="shared" si="782"/>
        <v>8944.5895532671639</v>
      </c>
      <c r="EA172" s="28">
        <f t="shared" si="783"/>
        <v>4585.1542269010733</v>
      </c>
      <c r="EB172" s="28">
        <f t="shared" si="784"/>
        <v>35705.315107483373</v>
      </c>
      <c r="EC172" s="28">
        <f t="shared" si="785"/>
        <v>23770.05089175421</v>
      </c>
      <c r="ED172" s="28">
        <f t="shared" si="786"/>
        <v>38708.354631312221</v>
      </c>
      <c r="EE172" s="28">
        <f t="shared" si="787"/>
        <v>26545.629734690418</v>
      </c>
      <c r="EF172" s="28">
        <f t="shared" si="788"/>
        <v>48434.827641338488</v>
      </c>
      <c r="EG172" s="28">
        <f t="shared" si="789"/>
        <v>13590.419397457943</v>
      </c>
      <c r="EH172" s="28">
        <f t="shared" si="790"/>
        <v>15142.030053607705</v>
      </c>
      <c r="EI172" s="28">
        <f t="shared" si="791"/>
        <v>27501.755482335786</v>
      </c>
      <c r="EJ172" s="28">
        <f t="shared" si="792"/>
        <v>9652.9562671601561</v>
      </c>
      <c r="EK172" s="28">
        <f t="shared" si="793"/>
        <v>18318.81577112987</v>
      </c>
      <c r="EL172" s="28">
        <f t="shared" si="794"/>
        <v>0</v>
      </c>
      <c r="EM172" s="28">
        <f t="shared" si="795"/>
        <v>68535.989496837079</v>
      </c>
      <c r="EN172" s="28">
        <f t="shared" si="796"/>
        <v>0</v>
      </c>
      <c r="EQ172" s="144">
        <v>0.02</v>
      </c>
      <c r="ER172" s="144">
        <v>0.02</v>
      </c>
      <c r="ES172" s="144">
        <v>0.02</v>
      </c>
      <c r="ET172" s="144">
        <v>0.05</v>
      </c>
      <c r="EU172" s="144">
        <v>0.05</v>
      </c>
      <c r="EV172" s="144">
        <v>0.05</v>
      </c>
      <c r="EW172" s="144">
        <v>0.12</v>
      </c>
      <c r="EX172" s="144">
        <v>0.12</v>
      </c>
      <c r="EY172" s="144">
        <v>0.12</v>
      </c>
      <c r="EZ172" s="144">
        <v>0.14000000000000001</v>
      </c>
      <c r="FA172" s="144">
        <v>0.15</v>
      </c>
      <c r="FB172" s="144">
        <v>0.14000000000000001</v>
      </c>
      <c r="FC172" s="145">
        <f t="shared" si="797"/>
        <v>1</v>
      </c>
      <c r="FD172" s="146">
        <f t="shared" ref="FD172:FD191" si="935">SUM(EQ172:ES172)</f>
        <v>0.06</v>
      </c>
      <c r="FE172" s="146">
        <f t="shared" ref="FE172:FE191" si="936">SUM(ET172:EV172)</f>
        <v>0.15000000000000002</v>
      </c>
      <c r="FF172" s="146">
        <f t="shared" ref="FF172:FF191" si="937">SUM(EW172:EY172)</f>
        <v>0.36</v>
      </c>
      <c r="FG172" s="146">
        <f t="shared" ref="FG172:FG191" si="938">SUM(EZ172:FB172)</f>
        <v>0.43000000000000005</v>
      </c>
      <c r="FH172" s="145">
        <f t="shared" ref="FH172:FH191" si="939">SUM(FD172:FG172)</f>
        <v>1</v>
      </c>
      <c r="FJ172" s="52">
        <f t="shared" si="802"/>
        <v>2138.3272466464559</v>
      </c>
      <c r="FK172" s="52">
        <f t="shared" si="803"/>
        <v>4406.1456860371618</v>
      </c>
      <c r="FL172" s="52">
        <f t="shared" si="804"/>
        <v>1081.4078830824037</v>
      </c>
      <c r="FM172" s="52">
        <f t="shared" si="805"/>
        <v>1419.6691021553077</v>
      </c>
      <c r="FN172" s="52">
        <f t="shared" si="806"/>
        <v>3312.5731709810657</v>
      </c>
      <c r="FO172" s="52">
        <f t="shared" si="807"/>
        <v>4251.1823034766503</v>
      </c>
      <c r="FP172" s="52">
        <f t="shared" si="808"/>
        <v>6750.7739008528715</v>
      </c>
      <c r="FQ172" s="52">
        <f t="shared" si="809"/>
        <v>5519.4000862966204</v>
      </c>
      <c r="FR172" s="52">
        <f t="shared" si="810"/>
        <v>2291.4365528102162</v>
      </c>
      <c r="FS172" s="52">
        <f t="shared" si="811"/>
        <v>1090.7089514325255</v>
      </c>
      <c r="FT172" s="52">
        <f t="shared" si="812"/>
        <v>30024.796546240701</v>
      </c>
      <c r="FU172" s="52">
        <f t="shared" si="813"/>
        <v>1729.2874938915252</v>
      </c>
      <c r="FV172" s="52">
        <f t="shared" si="814"/>
        <v>886.46324293859493</v>
      </c>
      <c r="FW172" s="52">
        <f t="shared" si="815"/>
        <v>6903.0283070142432</v>
      </c>
      <c r="FX172" s="52">
        <f t="shared" si="816"/>
        <v>4595.54365144248</v>
      </c>
      <c r="FY172" s="52">
        <f t="shared" si="817"/>
        <v>7483.6160088079278</v>
      </c>
      <c r="FZ172" s="52">
        <f t="shared" si="818"/>
        <v>5132.1556170129179</v>
      </c>
      <c r="GA172" s="52">
        <f t="shared" si="819"/>
        <v>9364.0676534301401</v>
      </c>
      <c r="GB172" s="52">
        <f t="shared" si="820"/>
        <v>2627.4813573955894</v>
      </c>
      <c r="GC172" s="52">
        <f t="shared" si="821"/>
        <v>2927.4594488540765</v>
      </c>
      <c r="GD172" s="52">
        <f t="shared" si="822"/>
        <v>5317.006614159779</v>
      </c>
      <c r="GE172" s="52">
        <f t="shared" si="823"/>
        <v>1866.2384061865159</v>
      </c>
      <c r="GF172" s="52">
        <f t="shared" si="824"/>
        <v>3541.6380849299671</v>
      </c>
      <c r="GG172" s="52">
        <f t="shared" si="825"/>
        <v>0</v>
      </c>
      <c r="GH172" s="52">
        <f t="shared" si="826"/>
        <v>13250.292683924263</v>
      </c>
      <c r="GI172" s="52">
        <f t="shared" si="827"/>
        <v>0</v>
      </c>
      <c r="GJ172" s="26"/>
      <c r="GL172" s="150">
        <f t="shared" si="828"/>
        <v>5345.8181166161403</v>
      </c>
      <c r="GM172" s="150">
        <f t="shared" si="829"/>
        <v>11015.364215092904</v>
      </c>
      <c r="GN172" s="150">
        <f t="shared" si="830"/>
        <v>2703.5197077060093</v>
      </c>
      <c r="GO172" s="150">
        <f t="shared" si="831"/>
        <v>3549.1727553882697</v>
      </c>
      <c r="GP172" s="150">
        <f t="shared" si="832"/>
        <v>8281.4329274526644</v>
      </c>
      <c r="GQ172" s="150">
        <f t="shared" si="833"/>
        <v>10627.955758691629</v>
      </c>
      <c r="GR172" s="150">
        <f t="shared" si="834"/>
        <v>16876.93475213218</v>
      </c>
      <c r="GS172" s="150">
        <f t="shared" si="835"/>
        <v>13798.500215741555</v>
      </c>
      <c r="GT172" s="150">
        <f t="shared" si="836"/>
        <v>5728.591382025541</v>
      </c>
      <c r="GU172" s="150">
        <f t="shared" si="837"/>
        <v>2726.7723785813146</v>
      </c>
      <c r="GV172" s="150">
        <f t="shared" si="838"/>
        <v>75061.99136560176</v>
      </c>
      <c r="GW172" s="150">
        <f t="shared" si="839"/>
        <v>4323.2187347288136</v>
      </c>
      <c r="GX172" s="150">
        <f t="shared" si="840"/>
        <v>2216.1581073464877</v>
      </c>
      <c r="GY172" s="150">
        <f t="shared" si="841"/>
        <v>17257.570767535613</v>
      </c>
      <c r="GZ172" s="150">
        <f t="shared" si="842"/>
        <v>11488.859128606202</v>
      </c>
      <c r="HA172" s="150">
        <f t="shared" si="843"/>
        <v>18709.040022019824</v>
      </c>
      <c r="HB172" s="150">
        <f t="shared" si="844"/>
        <v>12830.389042532297</v>
      </c>
      <c r="HC172" s="150">
        <f t="shared" si="845"/>
        <v>23410.169133575353</v>
      </c>
      <c r="HD172" s="150">
        <f t="shared" si="846"/>
        <v>6568.7033934889741</v>
      </c>
      <c r="HE172" s="150">
        <f t="shared" si="847"/>
        <v>7318.6486221351925</v>
      </c>
      <c r="HF172" s="150">
        <f t="shared" si="848"/>
        <v>13292.516535399449</v>
      </c>
      <c r="HG172" s="150">
        <f t="shared" si="849"/>
        <v>4665.5960154662907</v>
      </c>
      <c r="HH172" s="150">
        <f t="shared" si="850"/>
        <v>8854.095212324919</v>
      </c>
      <c r="HI172" s="150">
        <f t="shared" si="851"/>
        <v>0</v>
      </c>
      <c r="HJ172" s="150">
        <f t="shared" si="852"/>
        <v>33125.731709810658</v>
      </c>
      <c r="HK172" s="150">
        <f t="shared" si="853"/>
        <v>0</v>
      </c>
      <c r="HL172" s="26"/>
      <c r="HN172" s="147">
        <f t="shared" si="854"/>
        <v>12829.963479878736</v>
      </c>
      <c r="HO172" s="147">
        <f t="shared" si="855"/>
        <v>26436.874116222967</v>
      </c>
      <c r="HP172" s="147">
        <f t="shared" si="856"/>
        <v>6488.4472984944214</v>
      </c>
      <c r="HQ172" s="147">
        <f t="shared" si="857"/>
        <v>8518.0146129318455</v>
      </c>
      <c r="HR172" s="147">
        <f t="shared" si="858"/>
        <v>19875.439025886393</v>
      </c>
      <c r="HS172" s="147">
        <f t="shared" si="859"/>
        <v>25507.093820859904</v>
      </c>
      <c r="HT172" s="147">
        <f t="shared" si="860"/>
        <v>40504.643405117225</v>
      </c>
      <c r="HU172" s="147">
        <f t="shared" si="861"/>
        <v>33116.400517779723</v>
      </c>
      <c r="HV172" s="147">
        <f t="shared" si="862"/>
        <v>13748.619316861295</v>
      </c>
      <c r="HW172" s="147">
        <f t="shared" si="863"/>
        <v>6544.2537085951535</v>
      </c>
      <c r="HX172" s="147">
        <f t="shared" si="864"/>
        <v>180148.77927744421</v>
      </c>
      <c r="HY172" s="147">
        <f t="shared" si="865"/>
        <v>10375.72496334915</v>
      </c>
      <c r="HZ172" s="147">
        <f t="shared" si="866"/>
        <v>5318.77945763157</v>
      </c>
      <c r="IA172" s="147">
        <f t="shared" si="867"/>
        <v>41418.169842085459</v>
      </c>
      <c r="IB172" s="147">
        <f t="shared" si="868"/>
        <v>27573.26190865488</v>
      </c>
      <c r="IC172" s="147">
        <f t="shared" si="869"/>
        <v>44901.696052847568</v>
      </c>
      <c r="ID172" s="147">
        <f t="shared" si="870"/>
        <v>30792.933702077509</v>
      </c>
      <c r="IE172" s="147">
        <f t="shared" si="871"/>
        <v>56184.405920580837</v>
      </c>
      <c r="IF172" s="147">
        <f t="shared" si="872"/>
        <v>15764.888144373535</v>
      </c>
      <c r="IG172" s="147">
        <f t="shared" si="873"/>
        <v>17564.756693124458</v>
      </c>
      <c r="IH172" s="147">
        <f t="shared" si="874"/>
        <v>31902.039684958672</v>
      </c>
      <c r="II172" s="147">
        <f t="shared" si="875"/>
        <v>11197.430437119096</v>
      </c>
      <c r="IJ172" s="147">
        <f t="shared" si="876"/>
        <v>21249.828509579802</v>
      </c>
      <c r="IK172" s="147">
        <f t="shared" si="877"/>
        <v>0</v>
      </c>
      <c r="IL172" s="147">
        <f t="shared" si="878"/>
        <v>79501.756103545573</v>
      </c>
      <c r="IM172" s="147">
        <f t="shared" si="879"/>
        <v>0</v>
      </c>
      <c r="IN172" s="26"/>
      <c r="IP172" s="61">
        <f t="shared" si="880"/>
        <v>15324.678600966268</v>
      </c>
      <c r="IQ172" s="61">
        <f t="shared" si="881"/>
        <v>31577.377416599662</v>
      </c>
      <c r="IR172" s="61">
        <f t="shared" si="882"/>
        <v>7750.0898287572272</v>
      </c>
      <c r="IS172" s="61">
        <f t="shared" si="883"/>
        <v>10174.29523211304</v>
      </c>
      <c r="IT172" s="61">
        <f t="shared" si="884"/>
        <v>23740.107725364305</v>
      </c>
      <c r="IU172" s="61">
        <f t="shared" si="885"/>
        <v>30466.806508249334</v>
      </c>
      <c r="IV172" s="61">
        <f t="shared" si="886"/>
        <v>48380.546289445585</v>
      </c>
      <c r="IW172" s="61">
        <f t="shared" si="887"/>
        <v>39555.700618459123</v>
      </c>
      <c r="IX172" s="61">
        <f t="shared" si="888"/>
        <v>16421.961961806552</v>
      </c>
      <c r="IY172" s="61">
        <f t="shared" si="889"/>
        <v>7816.7474852664345</v>
      </c>
      <c r="IZ172" s="61">
        <f t="shared" si="890"/>
        <v>215177.70858139172</v>
      </c>
      <c r="JA172" s="61">
        <f t="shared" si="891"/>
        <v>12393.227039555932</v>
      </c>
      <c r="JB172" s="61">
        <f t="shared" si="892"/>
        <v>6352.9865743932651</v>
      </c>
      <c r="JC172" s="61">
        <f t="shared" si="893"/>
        <v>49471.702866935419</v>
      </c>
      <c r="JD172" s="61">
        <f t="shared" si="894"/>
        <v>32934.729502004448</v>
      </c>
      <c r="JE172" s="61">
        <f t="shared" si="895"/>
        <v>53632.581396456822</v>
      </c>
      <c r="JF172" s="61">
        <f t="shared" si="896"/>
        <v>36780.448588592582</v>
      </c>
      <c r="JG172" s="61">
        <f t="shared" si="897"/>
        <v>67109.151516249345</v>
      </c>
      <c r="JH172" s="61">
        <f t="shared" si="898"/>
        <v>18830.28306133506</v>
      </c>
      <c r="JI172" s="61">
        <f t="shared" si="899"/>
        <v>20980.126050120885</v>
      </c>
      <c r="JJ172" s="61">
        <f t="shared" si="900"/>
        <v>38105.214068145084</v>
      </c>
      <c r="JK172" s="61">
        <f t="shared" si="901"/>
        <v>13374.708577670033</v>
      </c>
      <c r="JL172" s="61">
        <f t="shared" si="902"/>
        <v>25381.739608664768</v>
      </c>
      <c r="JM172" s="61">
        <f t="shared" si="903"/>
        <v>0</v>
      </c>
      <c r="JN172" s="61">
        <f t="shared" si="904"/>
        <v>94960.430901457221</v>
      </c>
      <c r="JO172" s="61">
        <f t="shared" si="905"/>
        <v>0</v>
      </c>
      <c r="JQ172" s="26">
        <f t="shared" si="769"/>
        <v>2131845</v>
      </c>
      <c r="JR172" s="156">
        <f t="shared" si="770"/>
        <v>1</v>
      </c>
      <c r="JT172" s="157">
        <f t="shared" si="906"/>
        <v>35638.787444107598</v>
      </c>
      <c r="JU172" s="29">
        <f t="shared" si="907"/>
        <v>1</v>
      </c>
    </row>
    <row r="173" spans="1:281" ht="18.75" x14ac:dyDescent="0.3">
      <c r="A173" t="s">
        <v>234</v>
      </c>
      <c r="B173" s="10" t="s">
        <v>0</v>
      </c>
      <c r="C173" t="s">
        <v>13</v>
      </c>
      <c r="D173" t="s">
        <v>14</v>
      </c>
      <c r="E173" t="s">
        <v>15</v>
      </c>
      <c r="F173" s="114"/>
      <c r="G173" s="17">
        <v>1199250</v>
      </c>
      <c r="H173" s="21">
        <v>585000</v>
      </c>
      <c r="I173" s="25">
        <f t="shared" si="713"/>
        <v>2.0499999999999998</v>
      </c>
      <c r="J173" s="105">
        <v>1.6717344574351131E-2</v>
      </c>
      <c r="K173" s="105">
        <v>3.4447045368660806E-2</v>
      </c>
      <c r="L173" s="105">
        <v>8.4543973497323028E-3</v>
      </c>
      <c r="M173" s="105">
        <v>1.1098908083180748E-2</v>
      </c>
      <c r="N173" s="105">
        <v>2.5897545482755278E-2</v>
      </c>
      <c r="O173" s="105">
        <v>3.3235548734207934E-2</v>
      </c>
      <c r="P173" s="105">
        <v>5.2777241472784307E-2</v>
      </c>
      <c r="Q173" s="105">
        <v>4.3150417332534496E-2</v>
      </c>
      <c r="R173" s="105">
        <v>1.7914346124368142E-2</v>
      </c>
      <c r="S173" s="105">
        <v>8.5271126765198348E-3</v>
      </c>
      <c r="T173" s="105">
        <v>0.22700159393304778</v>
      </c>
      <c r="U173" s="105">
        <v>1.3519490503073826E-2</v>
      </c>
      <c r="V173" s="105">
        <v>6.9303290728500028E-3</v>
      </c>
      <c r="W173" s="105">
        <v>5.3967559453698896E-2</v>
      </c>
      <c r="X173" s="105">
        <v>3.5927749996227679E-2</v>
      </c>
      <c r="Y173" s="105">
        <v>5.8506567541323197E-2</v>
      </c>
      <c r="Z173" s="105">
        <v>4.0122957790184231E-2</v>
      </c>
      <c r="AA173" s="105">
        <v>7.3207852458239533E-2</v>
      </c>
      <c r="AB173" s="105">
        <v>2.0541529030765913E-2</v>
      </c>
      <c r="AC173" s="105">
        <v>2.2886744024183097E-2</v>
      </c>
      <c r="AD173" s="105">
        <v>4.1568114427954647E-2</v>
      </c>
      <c r="AE173" s="105">
        <v>1.4590166469157905E-2</v>
      </c>
      <c r="AF173" s="105">
        <v>2.7688364499060418E-2</v>
      </c>
      <c r="AG173" s="105">
        <v>7.7308916701166446E-3</v>
      </c>
      <c r="AH173" s="105">
        <v>0.10359018193102111</v>
      </c>
      <c r="AJ173" s="8">
        <f t="shared" si="740"/>
        <v>1</v>
      </c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159"/>
      <c r="BG173" s="159"/>
      <c r="BH173" s="159"/>
      <c r="BI173" s="159"/>
      <c r="BJ173" s="159"/>
      <c r="BM173" s="26">
        <f t="shared" si="741"/>
        <v>20048.275480790595</v>
      </c>
      <c r="BN173" s="26">
        <f t="shared" si="742"/>
        <v>41310.619158366469</v>
      </c>
      <c r="BO173" s="26">
        <f t="shared" si="743"/>
        <v>10138.936021666465</v>
      </c>
      <c r="BP173" s="26">
        <f t="shared" si="744"/>
        <v>13310.365518754512</v>
      </c>
      <c r="BQ173" s="26">
        <f t="shared" si="745"/>
        <v>31057.631420194266</v>
      </c>
      <c r="BR173" s="26">
        <f t="shared" si="746"/>
        <v>39857.731819498862</v>
      </c>
      <c r="BS173" s="26">
        <f t="shared" si="747"/>
        <v>63293.106836236584</v>
      </c>
      <c r="BT173" s="26">
        <f t="shared" si="748"/>
        <v>51748.137986041998</v>
      </c>
      <c r="BU173" s="26">
        <f t="shared" si="749"/>
        <v>21483.779589648493</v>
      </c>
      <c r="BV173" s="26">
        <f t="shared" si="750"/>
        <v>10226.139877316413</v>
      </c>
      <c r="BW173" s="26">
        <f t="shared" si="751"/>
        <v>272231.66152420756</v>
      </c>
      <c r="BX173" s="26">
        <f t="shared" si="752"/>
        <v>16213.248985811286</v>
      </c>
      <c r="BY173" s="26">
        <f t="shared" si="753"/>
        <v>8311.1971406153662</v>
      </c>
      <c r="BZ173" s="26">
        <f t="shared" si="754"/>
        <v>64720.595674848402</v>
      </c>
      <c r="CA173" s="26">
        <f t="shared" si="755"/>
        <v>43086.354182976043</v>
      </c>
      <c r="CB173" s="26">
        <f t="shared" si="756"/>
        <v>70164.001123931841</v>
      </c>
      <c r="CC173" s="26">
        <f t="shared" si="757"/>
        <v>48117.457129878436</v>
      </c>
      <c r="CD173" s="26">
        <f t="shared" si="758"/>
        <v>87794.51706054376</v>
      </c>
      <c r="CE173" s="26">
        <f t="shared" si="759"/>
        <v>24634.428690146022</v>
      </c>
      <c r="CF173" s="26">
        <f t="shared" si="760"/>
        <v>27446.927771001578</v>
      </c>
      <c r="CG173" s="26">
        <f t="shared" si="761"/>
        <v>49850.561227724611</v>
      </c>
      <c r="CH173" s="26">
        <f t="shared" si="762"/>
        <v>17497.257138137618</v>
      </c>
      <c r="CI173" s="26">
        <f t="shared" si="763"/>
        <v>33205.271125498206</v>
      </c>
      <c r="CJ173" s="26">
        <f t="shared" si="764"/>
        <v>9271.2718353873861</v>
      </c>
      <c r="CK173" s="26">
        <f t="shared" si="765"/>
        <v>124230.52568077706</v>
      </c>
      <c r="CL173" s="26">
        <f t="shared" si="766"/>
        <v>0</v>
      </c>
      <c r="CM173" s="110">
        <f t="shared" si="767"/>
        <v>1</v>
      </c>
      <c r="CN173" s="27">
        <f t="shared" si="933"/>
        <v>9779.6465759954117</v>
      </c>
      <c r="CO173" s="27">
        <f t="shared" si="908"/>
        <v>20151.52154066657</v>
      </c>
      <c r="CP173" s="27">
        <f t="shared" si="909"/>
        <v>4945.8224495933973</v>
      </c>
      <c r="CQ173" s="27">
        <f t="shared" si="910"/>
        <v>6492.8612286607377</v>
      </c>
      <c r="CR173" s="27">
        <f t="shared" si="911"/>
        <v>15150.064107411838</v>
      </c>
      <c r="CS173" s="27">
        <f t="shared" si="912"/>
        <v>19442.796009511643</v>
      </c>
      <c r="CT173" s="27">
        <f t="shared" si="913"/>
        <v>30874.68626157882</v>
      </c>
      <c r="CU173" s="27">
        <f t="shared" si="914"/>
        <v>25242.994139532679</v>
      </c>
      <c r="CV173" s="27">
        <f t="shared" si="915"/>
        <v>10479.892482755364</v>
      </c>
      <c r="CW173" s="27">
        <f t="shared" si="916"/>
        <v>4988.3609157641031</v>
      </c>
      <c r="CX173" s="27">
        <f t="shared" si="917"/>
        <v>132795.93245083294</v>
      </c>
      <c r="CY173" s="27">
        <f t="shared" si="918"/>
        <v>7908.901944298188</v>
      </c>
      <c r="CZ173" s="27">
        <f t="shared" si="919"/>
        <v>4054.2425076172517</v>
      </c>
      <c r="DA173" s="27">
        <f t="shared" si="920"/>
        <v>31571.022280413854</v>
      </c>
      <c r="DB173" s="27">
        <f t="shared" si="921"/>
        <v>21017.733747793191</v>
      </c>
      <c r="DC173" s="27">
        <f t="shared" si="922"/>
        <v>34226.342011674067</v>
      </c>
      <c r="DD173" s="27">
        <f t="shared" si="923"/>
        <v>23471.930307257775</v>
      </c>
      <c r="DE173" s="27">
        <f t="shared" si="924"/>
        <v>42826.593688070127</v>
      </c>
      <c r="DF173" s="27">
        <f t="shared" si="925"/>
        <v>12016.794482998059</v>
      </c>
      <c r="DG173" s="27">
        <f t="shared" si="926"/>
        <v>13388.745254147112</v>
      </c>
      <c r="DH173" s="27">
        <f t="shared" si="927"/>
        <v>24317.346940353469</v>
      </c>
      <c r="DI173" s="27">
        <f t="shared" si="928"/>
        <v>8535.2473844573742</v>
      </c>
      <c r="DJ173" s="27">
        <f t="shared" si="929"/>
        <v>16197.693231950345</v>
      </c>
      <c r="DK173" s="27">
        <f t="shared" si="930"/>
        <v>4522.5716270182375</v>
      </c>
      <c r="DL173" s="27">
        <f t="shared" si="931"/>
        <v>60600.25642964735</v>
      </c>
      <c r="DM173" s="27">
        <f t="shared" si="932"/>
        <v>0</v>
      </c>
      <c r="DN173" s="110">
        <f t="shared" si="768"/>
        <v>0.99999999999999978</v>
      </c>
      <c r="DO173" s="28">
        <f t="shared" si="771"/>
        <v>10268.628904795183</v>
      </c>
      <c r="DP173" s="28">
        <f t="shared" si="772"/>
        <v>21159.097617699899</v>
      </c>
      <c r="DQ173" s="28">
        <f t="shared" si="773"/>
        <v>5193.1135720730672</v>
      </c>
      <c r="DR173" s="28">
        <f t="shared" si="774"/>
        <v>6817.5042900937742</v>
      </c>
      <c r="DS173" s="28">
        <f t="shared" si="775"/>
        <v>15907.567312782428</v>
      </c>
      <c r="DT173" s="28">
        <f t="shared" si="776"/>
        <v>20414.935809987219</v>
      </c>
      <c r="DU173" s="28">
        <f t="shared" si="777"/>
        <v>32418.420574657765</v>
      </c>
      <c r="DV173" s="28">
        <f t="shared" si="778"/>
        <v>26505.14384650932</v>
      </c>
      <c r="DW173" s="28">
        <f t="shared" si="779"/>
        <v>11003.887106893129</v>
      </c>
      <c r="DX173" s="28">
        <f t="shared" si="780"/>
        <v>5237.7789615523097</v>
      </c>
      <c r="DY173" s="28">
        <f t="shared" si="781"/>
        <v>139435.72907337462</v>
      </c>
      <c r="DZ173" s="28">
        <f t="shared" si="782"/>
        <v>8304.3470415130978</v>
      </c>
      <c r="EA173" s="28">
        <f t="shared" si="783"/>
        <v>4256.9546329981149</v>
      </c>
      <c r="EB173" s="28">
        <f t="shared" si="784"/>
        <v>33149.573394434548</v>
      </c>
      <c r="EC173" s="28">
        <f t="shared" si="785"/>
        <v>22068.620435182853</v>
      </c>
      <c r="ED173" s="28">
        <f t="shared" si="786"/>
        <v>35937.659112257774</v>
      </c>
      <c r="EE173" s="28">
        <f t="shared" si="787"/>
        <v>24645.526822620661</v>
      </c>
      <c r="EF173" s="28">
        <f t="shared" si="788"/>
        <v>44967.923372473633</v>
      </c>
      <c r="EG173" s="28">
        <f t="shared" si="789"/>
        <v>12617.634207147963</v>
      </c>
      <c r="EH173" s="28">
        <f t="shared" si="790"/>
        <v>14058.182516854466</v>
      </c>
      <c r="EI173" s="28">
        <f t="shared" si="791"/>
        <v>25533.214287371142</v>
      </c>
      <c r="EJ173" s="28">
        <f t="shared" si="792"/>
        <v>8962.0097536802441</v>
      </c>
      <c r="EK173" s="28">
        <f t="shared" si="793"/>
        <v>17007.577893547859</v>
      </c>
      <c r="EL173" s="28">
        <f t="shared" si="794"/>
        <v>4748.7002083691486</v>
      </c>
      <c r="EM173" s="28">
        <f t="shared" si="795"/>
        <v>63630.269251129714</v>
      </c>
      <c r="EN173" s="28">
        <f t="shared" si="796"/>
        <v>0</v>
      </c>
      <c r="EQ173" s="144">
        <v>4.1460484013090521E-2</v>
      </c>
      <c r="ER173" s="144">
        <v>5.1500665749205622E-2</v>
      </c>
      <c r="ES173" s="144">
        <v>6.1540764916527789E-2</v>
      </c>
      <c r="ET173" s="144">
        <v>8.1029476286824664E-2</v>
      </c>
      <c r="EU173" s="144">
        <v>6.8981285726417499E-2</v>
      </c>
      <c r="EV173" s="144">
        <v>7.9021467462532607E-2</v>
      </c>
      <c r="EW173" s="144">
        <v>8.032129792564531E-2</v>
      </c>
      <c r="EX173" s="144">
        <v>7.0281116189530202E-2</v>
      </c>
      <c r="EY173" s="144">
        <v>8.032129792564531E-2</v>
      </c>
      <c r="EZ173" s="144">
        <v>0.10742967852143219</v>
      </c>
      <c r="FA173" s="144">
        <v>0.10742967852143219</v>
      </c>
      <c r="FB173" s="144">
        <v>0.17068278676171605</v>
      </c>
      <c r="FC173" s="145">
        <f t="shared" si="797"/>
        <v>1</v>
      </c>
      <c r="FD173" s="146">
        <f t="shared" si="935"/>
        <v>0.15450191467882393</v>
      </c>
      <c r="FE173" s="146">
        <f t="shared" si="936"/>
        <v>0.22903222947577476</v>
      </c>
      <c r="FF173" s="146">
        <f t="shared" si="937"/>
        <v>0.23092371204082079</v>
      </c>
      <c r="FG173" s="146">
        <f t="shared" si="938"/>
        <v>0.38554214380458041</v>
      </c>
      <c r="FH173" s="145">
        <f t="shared" si="939"/>
        <v>0.99999999999999989</v>
      </c>
      <c r="FJ173" s="52">
        <f t="shared" si="802"/>
        <v>3097.4969477906661</v>
      </c>
      <c r="FK173" s="52">
        <f t="shared" si="803"/>
        <v>6382.5697565353257</v>
      </c>
      <c r="FL173" s="52">
        <f t="shared" si="804"/>
        <v>1566.4850281535666</v>
      </c>
      <c r="FM173" s="52">
        <f t="shared" si="805"/>
        <v>2056.4769577225698</v>
      </c>
      <c r="FN173" s="52">
        <f t="shared" si="806"/>
        <v>4798.4635198092155</v>
      </c>
      <c r="FO173" s="52">
        <f t="shared" si="807"/>
        <v>6158.0958808676587</v>
      </c>
      <c r="FP173" s="52">
        <f t="shared" si="808"/>
        <v>9778.9061921699122</v>
      </c>
      <c r="FQ173" s="52">
        <f t="shared" si="809"/>
        <v>7995.1863999074685</v>
      </c>
      <c r="FR173" s="52">
        <f t="shared" si="810"/>
        <v>3319.2850811385306</v>
      </c>
      <c r="FS173" s="52">
        <f t="shared" si="811"/>
        <v>1579.9581908188595</v>
      </c>
      <c r="FT173" s="52">
        <f t="shared" si="812"/>
        <v>42060.312941687596</v>
      </c>
      <c r="FU173" s="52">
        <f t="shared" si="813"/>
        <v>2504.978011472344</v>
      </c>
      <c r="FV173" s="52">
        <f t="shared" si="814"/>
        <v>1284.0958714982407</v>
      </c>
      <c r="FW173" s="52">
        <f t="shared" si="815"/>
        <v>9999.455950918089</v>
      </c>
      <c r="FX173" s="52">
        <f t="shared" si="816"/>
        <v>6656.924217799753</v>
      </c>
      <c r="FY173" s="52">
        <f t="shared" si="817"/>
        <v>10840.472515174624</v>
      </c>
      <c r="FZ173" s="52">
        <f t="shared" si="818"/>
        <v>7434.239256042446</v>
      </c>
      <c r="GA173" s="52">
        <f t="shared" si="819"/>
        <v>13564.420984156684</v>
      </c>
      <c r="GB173" s="52">
        <f t="shared" si="820"/>
        <v>3806.0663996465132</v>
      </c>
      <c r="GC173" s="52">
        <f t="shared" si="821"/>
        <v>4240.6028926711288</v>
      </c>
      <c r="GD173" s="52">
        <f t="shared" si="822"/>
        <v>7702.0071574973963</v>
      </c>
      <c r="GE173" s="52">
        <f t="shared" si="823"/>
        <v>2703.3597294699812</v>
      </c>
      <c r="GF173" s="52">
        <f t="shared" si="824"/>
        <v>5130.2779663189394</v>
      </c>
      <c r="GG173" s="52">
        <f t="shared" si="825"/>
        <v>1432.4292500752053</v>
      </c>
      <c r="GH173" s="52">
        <f t="shared" si="826"/>
        <v>19193.854079236862</v>
      </c>
      <c r="GI173" s="52">
        <f t="shared" si="827"/>
        <v>0</v>
      </c>
      <c r="GJ173" s="26"/>
      <c r="GL173" s="150">
        <f t="shared" si="828"/>
        <v>4591.7012305099797</v>
      </c>
      <c r="GM173" s="150">
        <f t="shared" si="829"/>
        <v>9461.4632068653264</v>
      </c>
      <c r="GN173" s="150">
        <f t="shared" si="830"/>
        <v>2322.1431215545126</v>
      </c>
      <c r="GO173" s="150">
        <f t="shared" si="831"/>
        <v>3048.5026898978231</v>
      </c>
      <c r="GP173" s="150">
        <f t="shared" si="832"/>
        <v>7113.1985664039657</v>
      </c>
      <c r="GQ173" s="150">
        <f t="shared" si="833"/>
        <v>9128.705180467352</v>
      </c>
      <c r="GR173" s="150">
        <f t="shared" si="834"/>
        <v>14496.161369151665</v>
      </c>
      <c r="GS173" s="150">
        <f t="shared" si="835"/>
        <v>11851.991414163227</v>
      </c>
      <c r="GT173" s="150">
        <f t="shared" si="836"/>
        <v>4920.4779369833395</v>
      </c>
      <c r="GU173" s="150">
        <f t="shared" si="837"/>
        <v>2342.1156150329039</v>
      </c>
      <c r="GV173" s="150">
        <f t="shared" si="838"/>
        <v>62349.824372783747</v>
      </c>
      <c r="GW173" s="150">
        <f t="shared" si="839"/>
        <v>3713.3565622662027</v>
      </c>
      <c r="GX173" s="150">
        <f t="shared" si="840"/>
        <v>1903.5320107278214</v>
      </c>
      <c r="GY173" s="150">
        <f t="shared" si="841"/>
        <v>14823.102320410715</v>
      </c>
      <c r="GZ173" s="150">
        <f t="shared" si="842"/>
        <v>9868.1637585098761</v>
      </c>
      <c r="HA173" s="150">
        <f t="shared" si="843"/>
        <v>16069.817606354876</v>
      </c>
      <c r="HB173" s="150">
        <f t="shared" si="844"/>
        <v>11020.448483161072</v>
      </c>
      <c r="HC173" s="150">
        <f t="shared" si="845"/>
        <v>20107.773978125279</v>
      </c>
      <c r="HD173" s="150">
        <f t="shared" si="846"/>
        <v>5642.0781247661334</v>
      </c>
      <c r="HE173" s="150">
        <f t="shared" si="847"/>
        <v>6286.2310596530479</v>
      </c>
      <c r="HF173" s="150">
        <f t="shared" si="848"/>
        <v>11417.385178604383</v>
      </c>
      <c r="HG173" s="150">
        <f t="shared" si="849"/>
        <v>4007.435812058573</v>
      </c>
      <c r="HH173" s="150">
        <f t="shared" si="850"/>
        <v>7605.0772762204224</v>
      </c>
      <c r="HI173" s="150">
        <f t="shared" si="851"/>
        <v>2123.4200585347312</v>
      </c>
      <c r="HJ173" s="150">
        <f t="shared" si="852"/>
        <v>28452.794265615863</v>
      </c>
      <c r="HK173" s="150">
        <f t="shared" si="853"/>
        <v>0</v>
      </c>
      <c r="HL173" s="26"/>
      <c r="HN173" s="147">
        <f t="shared" si="854"/>
        <v>4629.6221940411351</v>
      </c>
      <c r="HO173" s="147">
        <f t="shared" si="855"/>
        <v>9539.6015227546341</v>
      </c>
      <c r="HP173" s="147">
        <f t="shared" si="856"/>
        <v>2341.3207422676119</v>
      </c>
      <c r="HQ173" s="147">
        <f t="shared" si="857"/>
        <v>3073.6790142109371</v>
      </c>
      <c r="HR173" s="147">
        <f t="shared" si="858"/>
        <v>7171.9435347468889</v>
      </c>
      <c r="HS173" s="147">
        <f t="shared" si="859"/>
        <v>9204.0953852862149</v>
      </c>
      <c r="HT173" s="147">
        <f t="shared" si="860"/>
        <v>14615.879177220004</v>
      </c>
      <c r="HU173" s="147">
        <f t="shared" si="861"/>
        <v>11949.872114937423</v>
      </c>
      <c r="HV173" s="147">
        <f t="shared" si="862"/>
        <v>4961.1141315084515</v>
      </c>
      <c r="HW173" s="147">
        <f t="shared" si="863"/>
        <v>2361.4581803185697</v>
      </c>
      <c r="HX173" s="147">
        <f t="shared" si="864"/>
        <v>62864.745814210299</v>
      </c>
      <c r="HY173" s="147">
        <f t="shared" si="865"/>
        <v>3744.0236400456151</v>
      </c>
      <c r="HZ173" s="147">
        <f t="shared" si="866"/>
        <v>1919.2524952139561</v>
      </c>
      <c r="IA173" s="147">
        <f t="shared" si="867"/>
        <v>14945.520198729084</v>
      </c>
      <c r="IB173" s="147">
        <f t="shared" si="868"/>
        <v>9949.6608462383738</v>
      </c>
      <c r="IC173" s="147">
        <f t="shared" si="869"/>
        <v>16202.531591174664</v>
      </c>
      <c r="ID173" s="147">
        <f t="shared" si="870"/>
        <v>11111.461814396587</v>
      </c>
      <c r="IE173" s="147">
        <f t="shared" si="871"/>
        <v>20273.835776451935</v>
      </c>
      <c r="IF173" s="147">
        <f t="shared" si="872"/>
        <v>5688.6737171334144</v>
      </c>
      <c r="IG173" s="147">
        <f t="shared" si="873"/>
        <v>6338.1464449959758</v>
      </c>
      <c r="IH173" s="147">
        <f t="shared" si="874"/>
        <v>11511.676646024383</v>
      </c>
      <c r="II173" s="147">
        <f t="shared" si="875"/>
        <v>4040.5315688714877</v>
      </c>
      <c r="IJ173" s="147">
        <f t="shared" si="876"/>
        <v>7667.8844676219287</v>
      </c>
      <c r="IK173" s="147">
        <f t="shared" si="877"/>
        <v>2140.956507567169</v>
      </c>
      <c r="IL173" s="147">
        <f t="shared" si="878"/>
        <v>28687.774138987555</v>
      </c>
      <c r="IM173" s="147">
        <f t="shared" si="879"/>
        <v>0</v>
      </c>
      <c r="IN173" s="26"/>
      <c r="IP173" s="61">
        <f t="shared" si="880"/>
        <v>7729.4551084488112</v>
      </c>
      <c r="IQ173" s="61">
        <f t="shared" si="881"/>
        <v>15926.98467221118</v>
      </c>
      <c r="IR173" s="61">
        <f t="shared" si="882"/>
        <v>3908.9871296907722</v>
      </c>
      <c r="IS173" s="61">
        <f t="shared" si="883"/>
        <v>5131.7068569231806</v>
      </c>
      <c r="IT173" s="61">
        <f t="shared" si="884"/>
        <v>11974.025799234192</v>
      </c>
      <c r="IU173" s="61">
        <f t="shared" si="885"/>
        <v>15366.835372877631</v>
      </c>
      <c r="IV173" s="61">
        <f t="shared" si="886"/>
        <v>24402.160097694996</v>
      </c>
      <c r="IW173" s="61">
        <f t="shared" si="887"/>
        <v>19951.088057033874</v>
      </c>
      <c r="IX173" s="61">
        <f t="shared" si="888"/>
        <v>8282.9024400181679</v>
      </c>
      <c r="IY173" s="61">
        <f t="shared" si="889"/>
        <v>3942.6078911460786</v>
      </c>
      <c r="IZ173" s="61">
        <f t="shared" si="890"/>
        <v>104956.77839552589</v>
      </c>
      <c r="JA173" s="61">
        <f t="shared" si="891"/>
        <v>6250.8907720271218</v>
      </c>
      <c r="JB173" s="61">
        <f t="shared" si="892"/>
        <v>3204.3167631753468</v>
      </c>
      <c r="JC173" s="61">
        <f t="shared" si="893"/>
        <v>24952.517204790507</v>
      </c>
      <c r="JD173" s="61">
        <f t="shared" si="894"/>
        <v>16611.605360428035</v>
      </c>
      <c r="JE173" s="61">
        <f t="shared" si="895"/>
        <v>27051.179411227669</v>
      </c>
      <c r="JF173" s="61">
        <f t="shared" si="896"/>
        <v>18551.307576278326</v>
      </c>
      <c r="JG173" s="61">
        <f t="shared" si="897"/>
        <v>33848.486321809847</v>
      </c>
      <c r="JH173" s="61">
        <f t="shared" si="898"/>
        <v>9497.6104485999585</v>
      </c>
      <c r="JI173" s="61">
        <f t="shared" si="899"/>
        <v>10581.947373681422</v>
      </c>
      <c r="JJ173" s="61">
        <f t="shared" si="900"/>
        <v>19219.492245598442</v>
      </c>
      <c r="JK173" s="61">
        <f t="shared" si="901"/>
        <v>6745.9300277375751</v>
      </c>
      <c r="JL173" s="61">
        <f t="shared" si="902"/>
        <v>12802.031415336911</v>
      </c>
      <c r="JM173" s="61">
        <f t="shared" si="903"/>
        <v>3574.4660192102797</v>
      </c>
      <c r="JN173" s="61">
        <f t="shared" si="904"/>
        <v>47896.103196936769</v>
      </c>
      <c r="JO173" s="61">
        <f t="shared" si="905"/>
        <v>0</v>
      </c>
      <c r="JQ173" s="26">
        <f t="shared" si="769"/>
        <v>1199250</v>
      </c>
      <c r="JR173" s="156">
        <f t="shared" si="770"/>
        <v>1</v>
      </c>
      <c r="JT173" s="157">
        <f t="shared" si="906"/>
        <v>20048.275480790591</v>
      </c>
      <c r="JU173" s="29">
        <f t="shared" si="907"/>
        <v>0.99999999999999978</v>
      </c>
    </row>
    <row r="174" spans="1:281" ht="18.75" x14ac:dyDescent="0.3">
      <c r="A174" t="s">
        <v>234</v>
      </c>
      <c r="B174" s="10" t="s">
        <v>111</v>
      </c>
      <c r="C174" t="s">
        <v>77</v>
      </c>
      <c r="D174" t="s">
        <v>136</v>
      </c>
      <c r="E174" t="s">
        <v>137</v>
      </c>
      <c r="F174" s="114"/>
      <c r="G174" s="17">
        <v>54804</v>
      </c>
      <c r="H174" s="21">
        <v>40597</v>
      </c>
      <c r="I174" s="25">
        <f t="shared" si="713"/>
        <v>1.3499519668941056</v>
      </c>
      <c r="J174" s="105">
        <v>0.15000066650241825</v>
      </c>
      <c r="K174" s="105">
        <v>3.4620638721371222E-2</v>
      </c>
      <c r="L174" s="105">
        <v>0</v>
      </c>
      <c r="M174" s="105">
        <v>1.1826015946448311E-3</v>
      </c>
      <c r="N174" s="105">
        <v>0</v>
      </c>
      <c r="O174" s="105">
        <v>2.9773029205960503E-4</v>
      </c>
      <c r="P174" s="105">
        <v>9.6170732135835418E-3</v>
      </c>
      <c r="Q174" s="105">
        <v>0</v>
      </c>
      <c r="R174" s="105">
        <v>9.0984909072064444E-3</v>
      </c>
      <c r="S174" s="105">
        <v>4.8994925039118715E-3</v>
      </c>
      <c r="T174" s="105">
        <v>0.22225098753441677</v>
      </c>
      <c r="U174" s="105">
        <v>5.8900369867466454E-2</v>
      </c>
      <c r="V174" s="105">
        <v>0</v>
      </c>
      <c r="W174" s="105">
        <v>0.13336005540483767</v>
      </c>
      <c r="X174" s="105">
        <v>0.18491380569499005</v>
      </c>
      <c r="Y174" s="105">
        <v>6.1768749240295989E-2</v>
      </c>
      <c r="Z174" s="105">
        <v>4.5723744813592976E-3</v>
      </c>
      <c r="AA174" s="105">
        <v>4.3757107597307441E-3</v>
      </c>
      <c r="AB174" s="105">
        <v>0</v>
      </c>
      <c r="AC174" s="105">
        <v>8.0320233708380068E-2</v>
      </c>
      <c r="AD174" s="105">
        <v>3.1011130656124698E-2</v>
      </c>
      <c r="AE174" s="105">
        <v>8.809888917202538E-3</v>
      </c>
      <c r="AF174" s="105">
        <v>0</v>
      </c>
      <c r="AG174" s="105">
        <v>0</v>
      </c>
      <c r="AH174" s="105">
        <v>0</v>
      </c>
      <c r="AJ174" s="8">
        <f t="shared" si="740"/>
        <v>1</v>
      </c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159"/>
      <c r="BG174" s="159"/>
      <c r="BH174" s="159"/>
      <c r="BI174" s="159"/>
      <c r="BJ174" s="159"/>
      <c r="BM174" s="26">
        <f t="shared" si="741"/>
        <v>8220.636526998529</v>
      </c>
      <c r="BN174" s="26">
        <f t="shared" si="742"/>
        <v>1897.3494844860284</v>
      </c>
      <c r="BO174" s="26">
        <f t="shared" si="743"/>
        <v>0</v>
      </c>
      <c r="BP174" s="26">
        <f t="shared" si="744"/>
        <v>64.811297792915326</v>
      </c>
      <c r="BQ174" s="26">
        <f t="shared" si="745"/>
        <v>0</v>
      </c>
      <c r="BR174" s="26">
        <f t="shared" si="746"/>
        <v>16.316810926034595</v>
      </c>
      <c r="BS174" s="26">
        <f t="shared" si="747"/>
        <v>527.05408039723238</v>
      </c>
      <c r="BT174" s="26">
        <f t="shared" si="748"/>
        <v>0</v>
      </c>
      <c r="BU174" s="26">
        <f t="shared" si="749"/>
        <v>498.63369567854198</v>
      </c>
      <c r="BV174" s="26">
        <f t="shared" si="750"/>
        <v>268.51178718438621</v>
      </c>
      <c r="BW174" s="26">
        <f t="shared" si="751"/>
        <v>12180.243120836176</v>
      </c>
      <c r="BX174" s="26">
        <f t="shared" si="752"/>
        <v>3227.9758702166314</v>
      </c>
      <c r="BY174" s="26">
        <f t="shared" si="753"/>
        <v>0</v>
      </c>
      <c r="BZ174" s="26">
        <f t="shared" si="754"/>
        <v>7308.6644764067232</v>
      </c>
      <c r="CA174" s="26">
        <f t="shared" si="755"/>
        <v>10134.016207308236</v>
      </c>
      <c r="CB174" s="26">
        <f t="shared" si="756"/>
        <v>3385.1745333651816</v>
      </c>
      <c r="CC174" s="26">
        <f t="shared" si="757"/>
        <v>250.58441107641494</v>
      </c>
      <c r="CD174" s="26">
        <f t="shared" si="758"/>
        <v>239.80645247628371</v>
      </c>
      <c r="CE174" s="26">
        <f t="shared" si="759"/>
        <v>0</v>
      </c>
      <c r="CF174" s="26">
        <f t="shared" si="760"/>
        <v>4401.8700881540608</v>
      </c>
      <c r="CG174" s="26">
        <f t="shared" si="761"/>
        <v>1699.5340044782579</v>
      </c>
      <c r="CH174" s="26">
        <f t="shared" si="762"/>
        <v>482.81715221836788</v>
      </c>
      <c r="CI174" s="26">
        <f t="shared" si="763"/>
        <v>0</v>
      </c>
      <c r="CJ174" s="26">
        <f t="shared" si="764"/>
        <v>0</v>
      </c>
      <c r="CK174" s="26">
        <f t="shared" si="765"/>
        <v>0</v>
      </c>
      <c r="CL174" s="26">
        <f t="shared" si="766"/>
        <v>0</v>
      </c>
      <c r="CM174" s="110">
        <f t="shared" si="767"/>
        <v>1.0000000000000002</v>
      </c>
      <c r="CN174" s="27">
        <f t="shared" si="933"/>
        <v>6089.5770579986738</v>
      </c>
      <c r="CO174" s="27">
        <f t="shared" si="908"/>
        <v>1405.4940701715075</v>
      </c>
      <c r="CP174" s="27">
        <f t="shared" si="909"/>
        <v>0</v>
      </c>
      <c r="CQ174" s="27">
        <f t="shared" si="910"/>
        <v>48.010076937796207</v>
      </c>
      <c r="CR174" s="27">
        <f t="shared" si="911"/>
        <v>0</v>
      </c>
      <c r="CS174" s="27">
        <f t="shared" si="912"/>
        <v>12.086956666743784</v>
      </c>
      <c r="CT174" s="27">
        <f t="shared" si="913"/>
        <v>390.42432125185104</v>
      </c>
      <c r="CU174" s="27">
        <f t="shared" si="914"/>
        <v>0</v>
      </c>
      <c r="CV174" s="27">
        <f t="shared" si="915"/>
        <v>369.37143535986002</v>
      </c>
      <c r="CW174" s="27">
        <f t="shared" si="916"/>
        <v>198.90469718131024</v>
      </c>
      <c r="CX174" s="27">
        <f t="shared" si="917"/>
        <v>9022.7233409347173</v>
      </c>
      <c r="CY174" s="27">
        <f t="shared" si="918"/>
        <v>2391.1783155095354</v>
      </c>
      <c r="CZ174" s="27">
        <f t="shared" si="919"/>
        <v>0</v>
      </c>
      <c r="DA174" s="27">
        <f t="shared" si="920"/>
        <v>5414.0181692701944</v>
      </c>
      <c r="DB174" s="27">
        <f t="shared" si="921"/>
        <v>7506.9457697995113</v>
      </c>
      <c r="DC174" s="27">
        <f t="shared" si="922"/>
        <v>2507.6259129082964</v>
      </c>
      <c r="DD174" s="27">
        <f t="shared" si="923"/>
        <v>185.6246868197434</v>
      </c>
      <c r="DE174" s="27">
        <f t="shared" si="924"/>
        <v>177.64072971278901</v>
      </c>
      <c r="DF174" s="27">
        <f t="shared" si="925"/>
        <v>0</v>
      </c>
      <c r="DG174" s="27">
        <f t="shared" si="926"/>
        <v>3260.7605278591054</v>
      </c>
      <c r="DH174" s="27">
        <f t="shared" si="927"/>
        <v>1258.9588712466943</v>
      </c>
      <c r="DI174" s="27">
        <f t="shared" si="928"/>
        <v>357.65506037167142</v>
      </c>
      <c r="DJ174" s="27">
        <f t="shared" si="929"/>
        <v>0</v>
      </c>
      <c r="DK174" s="27">
        <f t="shared" si="930"/>
        <v>0</v>
      </c>
      <c r="DL174" s="27">
        <f t="shared" si="931"/>
        <v>0</v>
      </c>
      <c r="DM174" s="27">
        <f t="shared" si="932"/>
        <v>0</v>
      </c>
      <c r="DN174" s="110">
        <f t="shared" si="768"/>
        <v>1</v>
      </c>
      <c r="DO174" s="28">
        <f t="shared" si="771"/>
        <v>2131.0594689998552</v>
      </c>
      <c r="DP174" s="28">
        <f t="shared" si="772"/>
        <v>491.85541431452089</v>
      </c>
      <c r="DQ174" s="28">
        <f t="shared" si="773"/>
        <v>0</v>
      </c>
      <c r="DR174" s="28">
        <f t="shared" si="774"/>
        <v>16.801220855119119</v>
      </c>
      <c r="DS174" s="28">
        <f t="shared" si="775"/>
        <v>0</v>
      </c>
      <c r="DT174" s="28">
        <f t="shared" si="776"/>
        <v>4.2298542592908106</v>
      </c>
      <c r="DU174" s="28">
        <f t="shared" si="777"/>
        <v>136.62975914538134</v>
      </c>
      <c r="DV174" s="28">
        <f t="shared" si="778"/>
        <v>0</v>
      </c>
      <c r="DW174" s="28">
        <f t="shared" si="779"/>
        <v>129.26226031868197</v>
      </c>
      <c r="DX174" s="28">
        <f t="shared" si="780"/>
        <v>69.607090003075967</v>
      </c>
      <c r="DY174" s="28">
        <f t="shared" si="781"/>
        <v>3157.5197799014586</v>
      </c>
      <c r="DZ174" s="28">
        <f t="shared" si="782"/>
        <v>836.79755470709597</v>
      </c>
      <c r="EA174" s="28">
        <f t="shared" si="783"/>
        <v>0</v>
      </c>
      <c r="EB174" s="28">
        <f t="shared" si="784"/>
        <v>1894.6463071365288</v>
      </c>
      <c r="EC174" s="28">
        <f t="shared" si="785"/>
        <v>2627.0704375087244</v>
      </c>
      <c r="ED174" s="28">
        <f t="shared" si="786"/>
        <v>877.54862045688515</v>
      </c>
      <c r="EE174" s="28">
        <f t="shared" si="787"/>
        <v>64.959724256671535</v>
      </c>
      <c r="EF174" s="28">
        <f t="shared" si="788"/>
        <v>62.165722763494699</v>
      </c>
      <c r="EG174" s="28">
        <f t="shared" si="789"/>
        <v>0</v>
      </c>
      <c r="EH174" s="28">
        <f t="shared" si="790"/>
        <v>1141.1095602949554</v>
      </c>
      <c r="EI174" s="28">
        <f t="shared" si="791"/>
        <v>440.57513323156354</v>
      </c>
      <c r="EJ174" s="28">
        <f t="shared" si="792"/>
        <v>125.16209184669646</v>
      </c>
      <c r="EK174" s="28">
        <f t="shared" si="793"/>
        <v>0</v>
      </c>
      <c r="EL174" s="28">
        <f t="shared" si="794"/>
        <v>0</v>
      </c>
      <c r="EM174" s="28">
        <f t="shared" si="795"/>
        <v>0</v>
      </c>
      <c r="EN174" s="28">
        <f t="shared" si="796"/>
        <v>0</v>
      </c>
      <c r="EQ174" s="144">
        <v>3.9999770666070397E-2</v>
      </c>
      <c r="ER174" s="144">
        <v>6.0000222667245591E-2</v>
      </c>
      <c r="ES174" s="144">
        <v>6.0000222667245591E-2</v>
      </c>
      <c r="ET174" s="144">
        <v>6.0000222667245591E-2</v>
      </c>
      <c r="EU174" s="144">
        <v>6.9999848666273193E-2</v>
      </c>
      <c r="EV174" s="144">
        <v>6.9999848666273193E-2</v>
      </c>
      <c r="EW174" s="144">
        <v>8.00001413337008E-2</v>
      </c>
      <c r="EX174" s="144">
        <v>8.00001413337008E-2</v>
      </c>
      <c r="EY174" s="144">
        <v>9.9999993333315981E-2</v>
      </c>
      <c r="EZ174" s="144">
        <v>0.11999991199977116</v>
      </c>
      <c r="FA174" s="144">
        <v>0.13999976399938638</v>
      </c>
      <c r="FB174" s="144">
        <v>0.11999991199977116</v>
      </c>
      <c r="FC174" s="145">
        <f t="shared" si="797"/>
        <v>0.99999999999999978</v>
      </c>
      <c r="FD174" s="146">
        <f t="shared" si="935"/>
        <v>0.16000021600056158</v>
      </c>
      <c r="FE174" s="146">
        <f t="shared" si="936"/>
        <v>0.199999919999792</v>
      </c>
      <c r="FF174" s="146">
        <f t="shared" si="937"/>
        <v>0.26000027600071757</v>
      </c>
      <c r="FG174" s="146">
        <f t="shared" si="938"/>
        <v>0.37999958799892869</v>
      </c>
      <c r="FH174" s="145">
        <f t="shared" si="939"/>
        <v>0.99999999999999978</v>
      </c>
      <c r="FJ174" s="52">
        <f t="shared" si="802"/>
        <v>1315.303619981871</v>
      </c>
      <c r="FK174" s="52">
        <f t="shared" si="803"/>
        <v>303.57632734631869</v>
      </c>
      <c r="FL174" s="52">
        <f t="shared" si="804"/>
        <v>0</v>
      </c>
      <c r="FM174" s="52">
        <f t="shared" si="805"/>
        <v>10.369821646143173</v>
      </c>
      <c r="FN174" s="52">
        <f t="shared" si="806"/>
        <v>0</v>
      </c>
      <c r="FO174" s="52">
        <f t="shared" si="807"/>
        <v>2.6106932726058583</v>
      </c>
      <c r="FP174" s="52">
        <f t="shared" si="808"/>
        <v>84.328766707534527</v>
      </c>
      <c r="FQ174" s="52">
        <f t="shared" si="809"/>
        <v>0</v>
      </c>
      <c r="FR174" s="52">
        <f t="shared" si="810"/>
        <v>79.781499013725011</v>
      </c>
      <c r="FS174" s="52">
        <f t="shared" si="811"/>
        <v>42.961943948198616</v>
      </c>
      <c r="FT174" s="52">
        <f t="shared" si="812"/>
        <v>1948.8415302731423</v>
      </c>
      <c r="FU174" s="52">
        <f t="shared" si="813"/>
        <v>516.47683647926181</v>
      </c>
      <c r="FV174" s="52">
        <f t="shared" si="814"/>
        <v>0</v>
      </c>
      <c r="FW174" s="52">
        <f t="shared" si="815"/>
        <v>1169.3878949007071</v>
      </c>
      <c r="FX174" s="52">
        <f t="shared" si="816"/>
        <v>1621.4447821225094</v>
      </c>
      <c r="FY174" s="52">
        <f t="shared" si="817"/>
        <v>541.6286565380293</v>
      </c>
      <c r="FZ174" s="52">
        <f t="shared" si="818"/>
        <v>40.093559898599906</v>
      </c>
      <c r="GA174" s="52">
        <f t="shared" si="819"/>
        <v>38.369084194533798</v>
      </c>
      <c r="GB174" s="52">
        <f t="shared" si="820"/>
        <v>0</v>
      </c>
      <c r="GC174" s="52">
        <f t="shared" si="821"/>
        <v>704.30016491106073</v>
      </c>
      <c r="GD174" s="52">
        <f t="shared" si="822"/>
        <v>271.92580781682068</v>
      </c>
      <c r="GE174" s="52">
        <f t="shared" si="823"/>
        <v>77.250848643714875</v>
      </c>
      <c r="GF174" s="52">
        <f t="shared" si="824"/>
        <v>0</v>
      </c>
      <c r="GG174" s="52">
        <f t="shared" si="825"/>
        <v>0</v>
      </c>
      <c r="GH174" s="52">
        <f t="shared" si="826"/>
        <v>0</v>
      </c>
      <c r="GI174" s="52">
        <f t="shared" si="827"/>
        <v>0</v>
      </c>
      <c r="GJ174" s="26"/>
      <c r="GL174" s="150">
        <f t="shared" si="828"/>
        <v>1644.1266477470738</v>
      </c>
      <c r="GM174" s="150">
        <f t="shared" si="829"/>
        <v>379.46974510885224</v>
      </c>
      <c r="GN174" s="150">
        <f t="shared" si="830"/>
        <v>0</v>
      </c>
      <c r="GO174" s="150">
        <f t="shared" si="831"/>
        <v>12.962254373665761</v>
      </c>
      <c r="GP174" s="150">
        <f t="shared" si="832"/>
        <v>0</v>
      </c>
      <c r="GQ174" s="150">
        <f t="shared" si="833"/>
        <v>3.2633608798586509</v>
      </c>
      <c r="GR174" s="150">
        <f t="shared" si="834"/>
        <v>105.41077391501041</v>
      </c>
      <c r="GS174" s="150">
        <f t="shared" si="835"/>
        <v>0</v>
      </c>
      <c r="GT174" s="150">
        <f t="shared" si="836"/>
        <v>99.726699244909028</v>
      </c>
      <c r="GU174" s="150">
        <f t="shared" si="837"/>
        <v>53.702335955878418</v>
      </c>
      <c r="GV174" s="150">
        <f t="shared" si="838"/>
        <v>2436.0476497452519</v>
      </c>
      <c r="GW174" s="150">
        <f t="shared" si="839"/>
        <v>645.59491580458518</v>
      </c>
      <c r="GX174" s="150">
        <f t="shared" si="840"/>
        <v>0</v>
      </c>
      <c r="GY174" s="150">
        <f t="shared" si="841"/>
        <v>1461.7323105866662</v>
      </c>
      <c r="GZ174" s="150">
        <f t="shared" si="842"/>
        <v>2026.8024307382427</v>
      </c>
      <c r="HA174" s="150">
        <f t="shared" si="843"/>
        <v>677.03463585836948</v>
      </c>
      <c r="HB174" s="150">
        <f t="shared" si="844"/>
        <v>50.116862168477979</v>
      </c>
      <c r="HC174" s="150">
        <f t="shared" si="845"/>
        <v>47.961271310690663</v>
      </c>
      <c r="HD174" s="150">
        <f t="shared" si="846"/>
        <v>0</v>
      </c>
      <c r="HE174" s="150">
        <f t="shared" si="847"/>
        <v>880.37366548028956</v>
      </c>
      <c r="HF174" s="150">
        <f t="shared" si="848"/>
        <v>339.90666493257771</v>
      </c>
      <c r="HG174" s="150">
        <f t="shared" si="849"/>
        <v>96.563391818200969</v>
      </c>
      <c r="HH174" s="150">
        <f t="shared" si="850"/>
        <v>0</v>
      </c>
      <c r="HI174" s="150">
        <f t="shared" si="851"/>
        <v>0</v>
      </c>
      <c r="HJ174" s="150">
        <f t="shared" si="852"/>
        <v>0</v>
      </c>
      <c r="HK174" s="150">
        <f t="shared" si="853"/>
        <v>0</v>
      </c>
      <c r="HL174" s="26"/>
      <c r="HN174" s="147">
        <f t="shared" si="854"/>
        <v>2137.367765921198</v>
      </c>
      <c r="HO174" s="147">
        <f t="shared" si="855"/>
        <v>493.31138963618656</v>
      </c>
      <c r="HP174" s="147">
        <f t="shared" si="856"/>
        <v>0</v>
      </c>
      <c r="HQ174" s="147">
        <f t="shared" si="857"/>
        <v>16.850955314122682</v>
      </c>
      <c r="HR174" s="147">
        <f t="shared" si="858"/>
        <v>0</v>
      </c>
      <c r="HS174" s="147">
        <f t="shared" si="859"/>
        <v>4.2423753442205188</v>
      </c>
      <c r="HT174" s="147">
        <f t="shared" si="860"/>
        <v>137.0342063705848</v>
      </c>
      <c r="HU174" s="147">
        <f t="shared" si="861"/>
        <v>0</v>
      </c>
      <c r="HV174" s="147">
        <f t="shared" si="862"/>
        <v>129.64489849967873</v>
      </c>
      <c r="HW174" s="147">
        <f t="shared" si="863"/>
        <v>69.813138777386357</v>
      </c>
      <c r="HX174" s="147">
        <f t="shared" si="864"/>
        <v>3166.8665731732472</v>
      </c>
      <c r="HY174" s="147">
        <f t="shared" si="865"/>
        <v>839.27461717998062</v>
      </c>
      <c r="HZ174" s="147">
        <f t="shared" si="866"/>
        <v>0</v>
      </c>
      <c r="IA174" s="147">
        <f t="shared" si="867"/>
        <v>1900.254781062388</v>
      </c>
      <c r="IB174" s="147">
        <f t="shared" si="868"/>
        <v>2634.8470108958863</v>
      </c>
      <c r="IC174" s="147">
        <f t="shared" si="869"/>
        <v>880.14631298554752</v>
      </c>
      <c r="ID174" s="147">
        <f t="shared" si="870"/>
        <v>65.152016041345149</v>
      </c>
      <c r="IE174" s="147">
        <f t="shared" si="871"/>
        <v>62.349743830586725</v>
      </c>
      <c r="IF174" s="147">
        <f t="shared" si="872"/>
        <v>0</v>
      </c>
      <c r="IG174" s="147">
        <f t="shared" si="873"/>
        <v>1144.4874378393588</v>
      </c>
      <c r="IH174" s="147">
        <f t="shared" si="874"/>
        <v>441.87931023695182</v>
      </c>
      <c r="II174" s="147">
        <f t="shared" si="875"/>
        <v>125.53259283465611</v>
      </c>
      <c r="IJ174" s="147">
        <f t="shared" si="876"/>
        <v>0</v>
      </c>
      <c r="IK174" s="147">
        <f t="shared" si="877"/>
        <v>0</v>
      </c>
      <c r="IL174" s="147">
        <f t="shared" si="878"/>
        <v>0</v>
      </c>
      <c r="IM174" s="147">
        <f t="shared" si="879"/>
        <v>0</v>
      </c>
      <c r="IN174" s="26"/>
      <c r="IP174" s="61">
        <f t="shared" si="880"/>
        <v>3123.8384933483849</v>
      </c>
      <c r="IQ174" s="61">
        <f t="shared" si="881"/>
        <v>720.99202239467047</v>
      </c>
      <c r="IR174" s="61">
        <f t="shared" si="882"/>
        <v>0</v>
      </c>
      <c r="IS174" s="61">
        <f t="shared" si="883"/>
        <v>24.628266458983699</v>
      </c>
      <c r="IT174" s="61">
        <f t="shared" si="884"/>
        <v>0</v>
      </c>
      <c r="IU174" s="61">
        <f t="shared" si="885"/>
        <v>6.200381429349564</v>
      </c>
      <c r="IV174" s="61">
        <f t="shared" si="886"/>
        <v>200.28033340410255</v>
      </c>
      <c r="IW174" s="61">
        <f t="shared" si="887"/>
        <v>0</v>
      </c>
      <c r="IX174" s="61">
        <f t="shared" si="888"/>
        <v>189.48059892022914</v>
      </c>
      <c r="IY174" s="61">
        <f t="shared" si="889"/>
        <v>102.03436850292277</v>
      </c>
      <c r="IZ174" s="61">
        <f t="shared" si="890"/>
        <v>4628.4873676445322</v>
      </c>
      <c r="JA174" s="61">
        <f t="shared" si="891"/>
        <v>1226.6295007528033</v>
      </c>
      <c r="JB174" s="61">
        <f t="shared" si="892"/>
        <v>0</v>
      </c>
      <c r="JC174" s="61">
        <f t="shared" si="893"/>
        <v>2777.2894898569607</v>
      </c>
      <c r="JD174" s="61">
        <f t="shared" si="894"/>
        <v>3850.9219835515955</v>
      </c>
      <c r="JE174" s="61">
        <f t="shared" si="895"/>
        <v>1286.3649279832346</v>
      </c>
      <c r="JF174" s="61">
        <f t="shared" si="896"/>
        <v>95.22197296799186</v>
      </c>
      <c r="JG174" s="61">
        <f t="shared" si="897"/>
        <v>91.126353140472489</v>
      </c>
      <c r="JH174" s="61">
        <f t="shared" si="898"/>
        <v>0</v>
      </c>
      <c r="JI174" s="61">
        <f t="shared" si="899"/>
        <v>1672.708819923351</v>
      </c>
      <c r="JJ174" s="61">
        <f t="shared" si="900"/>
        <v>645.82222149190738</v>
      </c>
      <c r="JK174" s="61">
        <f t="shared" si="901"/>
        <v>183.47031892179584</v>
      </c>
      <c r="JL174" s="61">
        <f t="shared" si="902"/>
        <v>0</v>
      </c>
      <c r="JM174" s="61">
        <f t="shared" si="903"/>
        <v>0</v>
      </c>
      <c r="JN174" s="61">
        <f t="shared" si="904"/>
        <v>0</v>
      </c>
      <c r="JO174" s="61">
        <f t="shared" si="905"/>
        <v>0</v>
      </c>
      <c r="JQ174" s="26">
        <f t="shared" si="769"/>
        <v>54803.999999999985</v>
      </c>
      <c r="JR174" s="156">
        <f t="shared" si="770"/>
        <v>0.99999999999999978</v>
      </c>
      <c r="JT174" s="157">
        <f t="shared" si="906"/>
        <v>8220.6365269985272</v>
      </c>
      <c r="JU174" s="29">
        <f t="shared" si="907"/>
        <v>0.99999999999999978</v>
      </c>
    </row>
    <row r="175" spans="1:281" ht="18.75" x14ac:dyDescent="0.3">
      <c r="A175" t="s">
        <v>234</v>
      </c>
      <c r="B175" s="10" t="s">
        <v>112</v>
      </c>
      <c r="C175" t="s">
        <v>78</v>
      </c>
      <c r="D175" t="s">
        <v>136</v>
      </c>
      <c r="E175" t="s">
        <v>138</v>
      </c>
      <c r="F175" s="114"/>
      <c r="G175" s="17">
        <v>138853</v>
      </c>
      <c r="H175" s="21">
        <v>107638</v>
      </c>
      <c r="I175" s="25">
        <f t="shared" si="713"/>
        <v>1.2899998141920139</v>
      </c>
      <c r="J175" s="105">
        <v>0.11000054172415269</v>
      </c>
      <c r="K175" s="105">
        <v>1.50947063046765E-2</v>
      </c>
      <c r="L175" s="105">
        <v>0</v>
      </c>
      <c r="M175" s="105">
        <v>3.3978170671085377E-2</v>
      </c>
      <c r="N175" s="105">
        <v>3.3180668337609215E-2</v>
      </c>
      <c r="O175" s="105">
        <v>0</v>
      </c>
      <c r="P175" s="105">
        <v>5.8476755021739393E-2</v>
      </c>
      <c r="Q175" s="105">
        <v>3.6713794263788929E-2</v>
      </c>
      <c r="R175" s="105">
        <v>1.3962237008883846E-2</v>
      </c>
      <c r="S175" s="105">
        <v>0</v>
      </c>
      <c r="T175" s="105">
        <v>8.6050423776030241E-2</v>
      </c>
      <c r="U175" s="105">
        <v>9.607986941832844E-2</v>
      </c>
      <c r="V175" s="105">
        <v>0</v>
      </c>
      <c r="W175" s="105">
        <v>0.14347724565594069</v>
      </c>
      <c r="X175" s="105">
        <v>6.7245594375207857E-2</v>
      </c>
      <c r="Y175" s="105">
        <v>0</v>
      </c>
      <c r="Z175" s="105">
        <v>9.4867325189457799E-3</v>
      </c>
      <c r="AA175" s="105">
        <v>2.9403041247658621E-2</v>
      </c>
      <c r="AB175" s="105">
        <v>0</v>
      </c>
      <c r="AC175" s="105">
        <v>7.963188086544791E-2</v>
      </c>
      <c r="AD175" s="105">
        <v>0.17571646350216033</v>
      </c>
      <c r="AE175" s="105">
        <v>0</v>
      </c>
      <c r="AF175" s="105">
        <v>0</v>
      </c>
      <c r="AG175" s="105">
        <v>0</v>
      </c>
      <c r="AH175" s="105">
        <v>1.150187530834417E-2</v>
      </c>
      <c r="AJ175" s="8">
        <f t="shared" si="740"/>
        <v>0.99999999999999978</v>
      </c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M175" s="26">
        <f t="shared" si="741"/>
        <v>15273.905220023773</v>
      </c>
      <c r="BN175" s="26">
        <f t="shared" si="742"/>
        <v>2095.9452545232461</v>
      </c>
      <c r="BO175" s="26">
        <f t="shared" si="743"/>
        <v>0</v>
      </c>
      <c r="BP175" s="26">
        <f t="shared" si="744"/>
        <v>4717.9709321922182</v>
      </c>
      <c r="BQ175" s="26">
        <f t="shared" si="745"/>
        <v>4607.2353406820521</v>
      </c>
      <c r="BR175" s="26">
        <f t="shared" si="746"/>
        <v>0</v>
      </c>
      <c r="BS175" s="26">
        <f t="shared" si="747"/>
        <v>8119.6728650335799</v>
      </c>
      <c r="BT175" s="26">
        <f t="shared" si="748"/>
        <v>5097.8204749098841</v>
      </c>
      <c r="BU175" s="26">
        <f t="shared" si="749"/>
        <v>1938.6984953945487</v>
      </c>
      <c r="BV175" s="26">
        <f t="shared" si="750"/>
        <v>0</v>
      </c>
      <c r="BW175" s="26">
        <f t="shared" si="751"/>
        <v>11948.359492573127</v>
      </c>
      <c r="BX175" s="26">
        <f t="shared" si="752"/>
        <v>13340.978108343159</v>
      </c>
      <c r="BY175" s="26">
        <f t="shared" si="753"/>
        <v>0</v>
      </c>
      <c r="BZ175" s="26">
        <f t="shared" si="754"/>
        <v>19922.245991064334</v>
      </c>
      <c r="CA175" s="26">
        <f t="shared" si="755"/>
        <v>9337.2525157807358</v>
      </c>
      <c r="CB175" s="26">
        <f t="shared" si="756"/>
        <v>0</v>
      </c>
      <c r="CC175" s="26">
        <f t="shared" si="757"/>
        <v>1317.2612704531784</v>
      </c>
      <c r="CD175" s="26">
        <f t="shared" si="758"/>
        <v>4082.7004863611423</v>
      </c>
      <c r="CE175" s="26">
        <f t="shared" si="759"/>
        <v>0</v>
      </c>
      <c r="CF175" s="26">
        <f t="shared" si="760"/>
        <v>11057.125553810039</v>
      </c>
      <c r="CG175" s="26">
        <f t="shared" si="761"/>
        <v>24398.758106665467</v>
      </c>
      <c r="CH175" s="26">
        <f t="shared" si="762"/>
        <v>0</v>
      </c>
      <c r="CI175" s="26">
        <f t="shared" si="763"/>
        <v>0</v>
      </c>
      <c r="CJ175" s="26">
        <f t="shared" si="764"/>
        <v>0</v>
      </c>
      <c r="CK175" s="26">
        <f t="shared" si="765"/>
        <v>1597.069892189513</v>
      </c>
      <c r="CL175" s="26">
        <f t="shared" si="766"/>
        <v>0</v>
      </c>
      <c r="CM175" s="110">
        <f t="shared" si="767"/>
        <v>1</v>
      </c>
      <c r="CN175" s="27">
        <f t="shared" si="933"/>
        <v>11840.238310104347</v>
      </c>
      <c r="CO175" s="27">
        <f t="shared" si="908"/>
        <v>1624.7639972227691</v>
      </c>
      <c r="CP175" s="27">
        <f t="shared" si="909"/>
        <v>0</v>
      </c>
      <c r="CQ175" s="27">
        <f t="shared" si="910"/>
        <v>3657.3423346942877</v>
      </c>
      <c r="CR175" s="27">
        <f t="shared" si="911"/>
        <v>3571.5007785235807</v>
      </c>
      <c r="CS175" s="27">
        <f t="shared" si="912"/>
        <v>0</v>
      </c>
      <c r="CT175" s="27">
        <f t="shared" si="913"/>
        <v>6294.320957029985</v>
      </c>
      <c r="CU175" s="27">
        <f t="shared" si="914"/>
        <v>3951.799386965713</v>
      </c>
      <c r="CV175" s="27">
        <f t="shared" si="915"/>
        <v>1502.8672671622394</v>
      </c>
      <c r="CW175" s="27">
        <f t="shared" si="916"/>
        <v>0</v>
      </c>
      <c r="CX175" s="27">
        <f t="shared" si="917"/>
        <v>9262.2955144043426</v>
      </c>
      <c r="CY175" s="27">
        <f t="shared" si="918"/>
        <v>10341.844984450037</v>
      </c>
      <c r="CZ175" s="27">
        <f t="shared" si="919"/>
        <v>0</v>
      </c>
      <c r="DA175" s="27">
        <f t="shared" si="920"/>
        <v>15443.603767914145</v>
      </c>
      <c r="DB175" s="27">
        <f t="shared" si="921"/>
        <v>7238.1812873586232</v>
      </c>
      <c r="DC175" s="27">
        <f t="shared" si="922"/>
        <v>0</v>
      </c>
      <c r="DD175" s="27">
        <f t="shared" si="923"/>
        <v>1021.1329148742858</v>
      </c>
      <c r="DE175" s="27">
        <f t="shared" si="924"/>
        <v>3164.8845538154787</v>
      </c>
      <c r="DF175" s="27">
        <f t="shared" si="925"/>
        <v>0</v>
      </c>
      <c r="DG175" s="27">
        <f t="shared" si="926"/>
        <v>8571.4163925950816</v>
      </c>
      <c r="DH175" s="27">
        <f t="shared" si="927"/>
        <v>18913.768698445532</v>
      </c>
      <c r="DI175" s="27">
        <f t="shared" si="928"/>
        <v>0</v>
      </c>
      <c r="DJ175" s="27">
        <f t="shared" si="929"/>
        <v>0</v>
      </c>
      <c r="DK175" s="27">
        <f t="shared" si="930"/>
        <v>0</v>
      </c>
      <c r="DL175" s="27">
        <f t="shared" si="931"/>
        <v>1238.0388544395498</v>
      </c>
      <c r="DM175" s="27">
        <f t="shared" si="932"/>
        <v>0</v>
      </c>
      <c r="DN175" s="110">
        <f t="shared" si="768"/>
        <v>1</v>
      </c>
      <c r="DO175" s="28">
        <f t="shared" si="771"/>
        <v>3433.666909919426</v>
      </c>
      <c r="DP175" s="28">
        <f t="shared" si="772"/>
        <v>471.181257300477</v>
      </c>
      <c r="DQ175" s="28">
        <f t="shared" si="773"/>
        <v>0</v>
      </c>
      <c r="DR175" s="28">
        <f t="shared" si="774"/>
        <v>1060.6285974979305</v>
      </c>
      <c r="DS175" s="28">
        <f t="shared" si="775"/>
        <v>1035.7345621584714</v>
      </c>
      <c r="DT175" s="28">
        <f t="shared" si="776"/>
        <v>0</v>
      </c>
      <c r="DU175" s="28">
        <f t="shared" si="777"/>
        <v>1825.3519080035949</v>
      </c>
      <c r="DV175" s="28">
        <f t="shared" si="778"/>
        <v>1146.0210879441711</v>
      </c>
      <c r="DW175" s="28">
        <f t="shared" si="779"/>
        <v>435.83122823230929</v>
      </c>
      <c r="DX175" s="28">
        <f t="shared" si="780"/>
        <v>0</v>
      </c>
      <c r="DY175" s="28">
        <f t="shared" si="781"/>
        <v>2686.0639781687842</v>
      </c>
      <c r="DZ175" s="28">
        <f t="shared" si="782"/>
        <v>2999.1331238931216</v>
      </c>
      <c r="EA175" s="28">
        <f t="shared" si="783"/>
        <v>0</v>
      </c>
      <c r="EB175" s="28">
        <f t="shared" si="784"/>
        <v>4478.6422231501892</v>
      </c>
      <c r="EC175" s="28">
        <f t="shared" si="785"/>
        <v>2099.0712284221127</v>
      </c>
      <c r="ED175" s="28">
        <f t="shared" si="786"/>
        <v>0</v>
      </c>
      <c r="EE175" s="28">
        <f t="shared" si="787"/>
        <v>296.12835557889264</v>
      </c>
      <c r="EF175" s="28">
        <f t="shared" si="788"/>
        <v>917.8159325456636</v>
      </c>
      <c r="EG175" s="28">
        <f t="shared" si="789"/>
        <v>0</v>
      </c>
      <c r="EH175" s="28">
        <f t="shared" si="790"/>
        <v>2485.7091612149579</v>
      </c>
      <c r="EI175" s="28">
        <f t="shared" si="791"/>
        <v>5484.9894082199353</v>
      </c>
      <c r="EJ175" s="28">
        <f t="shared" si="792"/>
        <v>0</v>
      </c>
      <c r="EK175" s="28">
        <f t="shared" si="793"/>
        <v>0</v>
      </c>
      <c r="EL175" s="28">
        <f t="shared" si="794"/>
        <v>0</v>
      </c>
      <c r="EM175" s="28">
        <f t="shared" si="795"/>
        <v>359.03103774996316</v>
      </c>
      <c r="EN175" s="28">
        <f t="shared" si="796"/>
        <v>0</v>
      </c>
      <c r="EQ175" s="144">
        <v>3.9997510965091292E-2</v>
      </c>
      <c r="ER175" s="144">
        <v>6.0002491534943782E-2</v>
      </c>
      <c r="ES175" s="144">
        <v>6.0002491534943782E-2</v>
      </c>
      <c r="ET175" s="144">
        <v>6.0002491534943782E-2</v>
      </c>
      <c r="EU175" s="144">
        <v>7.0001856776041288E-2</v>
      </c>
      <c r="EV175" s="144">
        <v>7.0001856776041288E-2</v>
      </c>
      <c r="EW175" s="144">
        <v>8.0001247017489424E-2</v>
      </c>
      <c r="EX175" s="144">
        <v>8.0001247017489424E-2</v>
      </c>
      <c r="EY175" s="144">
        <v>0.10000000250003507</v>
      </c>
      <c r="EZ175" s="144">
        <v>0.11999875798258074</v>
      </c>
      <c r="FA175" s="144">
        <v>0.13999128837781952</v>
      </c>
      <c r="FB175" s="144">
        <v>0.11999875798258074</v>
      </c>
      <c r="FC175" s="145">
        <f t="shared" si="797"/>
        <v>1</v>
      </c>
      <c r="FD175" s="146">
        <f t="shared" si="935"/>
        <v>0.16000249403497885</v>
      </c>
      <c r="FE175" s="146">
        <f t="shared" si="936"/>
        <v>0.20000620508702635</v>
      </c>
      <c r="FF175" s="146">
        <f t="shared" si="937"/>
        <v>0.26000249653501395</v>
      </c>
      <c r="FG175" s="146">
        <f t="shared" si="938"/>
        <v>0.37998880434298099</v>
      </c>
      <c r="FH175" s="145">
        <f t="shared" si="939"/>
        <v>1</v>
      </c>
      <c r="FJ175" s="52">
        <f t="shared" si="802"/>
        <v>2443.8629288576858</v>
      </c>
      <c r="FK175" s="52">
        <f t="shared" si="803"/>
        <v>335.35646808449792</v>
      </c>
      <c r="FL175" s="52">
        <f t="shared" si="804"/>
        <v>0</v>
      </c>
      <c r="FM175" s="52">
        <f t="shared" si="805"/>
        <v>754.88711593528899</v>
      </c>
      <c r="FN175" s="52">
        <f t="shared" si="806"/>
        <v>737.16914511522373</v>
      </c>
      <c r="FO175" s="52">
        <f t="shared" si="807"/>
        <v>0</v>
      </c>
      <c r="FP175" s="52">
        <f t="shared" si="808"/>
        <v>1299.167909153515</v>
      </c>
      <c r="FQ175" s="52">
        <f t="shared" si="809"/>
        <v>815.6639901281618</v>
      </c>
      <c r="FR175" s="52">
        <f t="shared" si="810"/>
        <v>310.19659444498876</v>
      </c>
      <c r="FS175" s="52">
        <f t="shared" si="811"/>
        <v>0</v>
      </c>
      <c r="FT175" s="52">
        <f t="shared" si="812"/>
        <v>1911.7673184382147</v>
      </c>
      <c r="FU175" s="52">
        <f t="shared" si="813"/>
        <v>2134.5897702009597</v>
      </c>
      <c r="FV175" s="52">
        <f t="shared" si="814"/>
        <v>0</v>
      </c>
      <c r="FW175" s="52">
        <f t="shared" si="815"/>
        <v>3187.6090453486522</v>
      </c>
      <c r="FX175" s="52">
        <f t="shared" si="816"/>
        <v>1493.9836899592985</v>
      </c>
      <c r="FY175" s="52">
        <f t="shared" si="817"/>
        <v>0</v>
      </c>
      <c r="FZ175" s="52">
        <f t="shared" si="818"/>
        <v>210.76508856819333</v>
      </c>
      <c r="GA175" s="52">
        <f t="shared" si="819"/>
        <v>653.24226021560389</v>
      </c>
      <c r="GB175" s="52">
        <f t="shared" si="820"/>
        <v>0</v>
      </c>
      <c r="GC175" s="52">
        <f t="shared" si="821"/>
        <v>1769.167665467503</v>
      </c>
      <c r="GD175" s="52">
        <f t="shared" si="822"/>
        <v>3903.8621484226333</v>
      </c>
      <c r="GE175" s="52">
        <f t="shared" si="823"/>
        <v>0</v>
      </c>
      <c r="GF175" s="52">
        <f t="shared" si="824"/>
        <v>0</v>
      </c>
      <c r="GG175" s="52">
        <f t="shared" si="825"/>
        <v>0</v>
      </c>
      <c r="GH175" s="52">
        <f t="shared" si="826"/>
        <v>255.53516589849687</v>
      </c>
      <c r="GI175" s="52">
        <f t="shared" si="827"/>
        <v>0</v>
      </c>
      <c r="GJ175" s="26"/>
      <c r="GL175" s="150">
        <f t="shared" si="828"/>
        <v>3054.8758199158769</v>
      </c>
      <c r="GM175" s="150">
        <f t="shared" si="829"/>
        <v>419.20205642735601</v>
      </c>
      <c r="GN175" s="150">
        <f t="shared" si="830"/>
        <v>0</v>
      </c>
      <c r="GO175" s="150">
        <f t="shared" si="831"/>
        <v>943.62346185866568</v>
      </c>
      <c r="GP175" s="150">
        <f t="shared" si="832"/>
        <v>921.47565643265023</v>
      </c>
      <c r="GQ175" s="150">
        <f t="shared" si="833"/>
        <v>0</v>
      </c>
      <c r="GR175" s="150">
        <f t="shared" si="834"/>
        <v>1623.984956283469</v>
      </c>
      <c r="GS175" s="150">
        <f t="shared" si="835"/>
        <v>1019.5957274016683</v>
      </c>
      <c r="GT175" s="150">
        <f t="shared" si="836"/>
        <v>387.7517288717915</v>
      </c>
      <c r="GU175" s="150">
        <f t="shared" si="837"/>
        <v>0</v>
      </c>
      <c r="GV175" s="150">
        <f t="shared" si="838"/>
        <v>2389.7460391250988</v>
      </c>
      <c r="GW175" s="150">
        <f t="shared" si="839"/>
        <v>2668.2784035988107</v>
      </c>
      <c r="GX175" s="150">
        <f t="shared" si="840"/>
        <v>0</v>
      </c>
      <c r="GY175" s="150">
        <f t="shared" si="841"/>
        <v>3984.5728174830015</v>
      </c>
      <c r="GZ175" s="150">
        <f t="shared" si="842"/>
        <v>1867.5084416205946</v>
      </c>
      <c r="HA175" s="150">
        <f t="shared" si="843"/>
        <v>0</v>
      </c>
      <c r="HB175" s="150">
        <f t="shared" si="844"/>
        <v>263.4604278114553</v>
      </c>
      <c r="HC175" s="150">
        <f t="shared" si="845"/>
        <v>816.56543078404889</v>
      </c>
      <c r="HD175" s="150">
        <f t="shared" si="846"/>
        <v>0</v>
      </c>
      <c r="HE175" s="150">
        <f t="shared" si="847"/>
        <v>2211.4937211883307</v>
      </c>
      <c r="HF175" s="150">
        <f t="shared" si="848"/>
        <v>4879.9030177504801</v>
      </c>
      <c r="HG175" s="150">
        <f t="shared" si="849"/>
        <v>0</v>
      </c>
      <c r="HH175" s="150">
        <f t="shared" si="850"/>
        <v>0</v>
      </c>
      <c r="HI175" s="150">
        <f t="shared" si="851"/>
        <v>0</v>
      </c>
      <c r="HJ175" s="150">
        <f t="shared" si="852"/>
        <v>319.42388839557077</v>
      </c>
      <c r="HK175" s="150">
        <f t="shared" si="853"/>
        <v>0</v>
      </c>
      <c r="HL175" s="26"/>
      <c r="HN175" s="147">
        <f t="shared" si="854"/>
        <v>3971.2534890453626</v>
      </c>
      <c r="HO175" s="147">
        <f t="shared" si="855"/>
        <v>544.95099877675921</v>
      </c>
      <c r="HP175" s="147">
        <f t="shared" si="856"/>
        <v>0</v>
      </c>
      <c r="HQ175" s="147">
        <f t="shared" si="857"/>
        <v>1226.6842209496037</v>
      </c>
      <c r="HR175" s="147">
        <f t="shared" si="858"/>
        <v>1197.8926907016792</v>
      </c>
      <c r="HS175" s="147">
        <f t="shared" si="859"/>
        <v>0</v>
      </c>
      <c r="HT175" s="147">
        <f t="shared" si="860"/>
        <v>2111.1352159563403</v>
      </c>
      <c r="HU175" s="147">
        <f t="shared" si="861"/>
        <v>1325.4460503638802</v>
      </c>
      <c r="HV175" s="147">
        <f t="shared" si="862"/>
        <v>504.0664488312579</v>
      </c>
      <c r="HW175" s="147">
        <f t="shared" si="863"/>
        <v>0</v>
      </c>
      <c r="HX175" s="147">
        <f t="shared" si="864"/>
        <v>3106.6032975668454</v>
      </c>
      <c r="HY175" s="147">
        <f t="shared" si="865"/>
        <v>3468.6876143881891</v>
      </c>
      <c r="HZ175" s="147">
        <f t="shared" si="866"/>
        <v>0</v>
      </c>
      <c r="IA175" s="147">
        <f t="shared" si="867"/>
        <v>5179.8336942613996</v>
      </c>
      <c r="IB175" s="147">
        <f t="shared" si="868"/>
        <v>2427.708964880831</v>
      </c>
      <c r="IC175" s="147">
        <f t="shared" si="869"/>
        <v>0</v>
      </c>
      <c r="ID175" s="147">
        <f t="shared" si="870"/>
        <v>342.49121890671063</v>
      </c>
      <c r="IE175" s="147">
        <f t="shared" si="871"/>
        <v>1061.5123190586128</v>
      </c>
      <c r="IF175" s="147">
        <f t="shared" si="872"/>
        <v>0</v>
      </c>
      <c r="IG175" s="147">
        <f t="shared" si="873"/>
        <v>2874.8802484917092</v>
      </c>
      <c r="IH175" s="147">
        <f t="shared" si="874"/>
        <v>6343.738020086932</v>
      </c>
      <c r="II175" s="147">
        <f t="shared" si="875"/>
        <v>0</v>
      </c>
      <c r="IJ175" s="147">
        <f t="shared" si="876"/>
        <v>0</v>
      </c>
      <c r="IK175" s="147">
        <f t="shared" si="877"/>
        <v>0</v>
      </c>
      <c r="IL175" s="147">
        <f t="shared" si="878"/>
        <v>415.24215911017893</v>
      </c>
      <c r="IM175" s="147">
        <f t="shared" si="879"/>
        <v>0</v>
      </c>
      <c r="IN175" s="26"/>
      <c r="IP175" s="61">
        <f t="shared" si="880"/>
        <v>5803.9129822048499</v>
      </c>
      <c r="IQ175" s="61">
        <f t="shared" si="881"/>
        <v>796.43573123463329</v>
      </c>
      <c r="IR175" s="61">
        <f t="shared" si="882"/>
        <v>0</v>
      </c>
      <c r="IS175" s="61">
        <f t="shared" si="883"/>
        <v>1792.7761334486604</v>
      </c>
      <c r="IT175" s="61">
        <f t="shared" si="884"/>
        <v>1750.6978484324998</v>
      </c>
      <c r="IU175" s="61">
        <f t="shared" si="885"/>
        <v>0</v>
      </c>
      <c r="IV175" s="61">
        <f t="shared" si="886"/>
        <v>3085.384783640257</v>
      </c>
      <c r="IW175" s="61">
        <f t="shared" si="887"/>
        <v>1937.1147070161744</v>
      </c>
      <c r="IX175" s="61">
        <f t="shared" si="888"/>
        <v>736.68372324651079</v>
      </c>
      <c r="IY175" s="61">
        <f t="shared" si="889"/>
        <v>0</v>
      </c>
      <c r="IZ175" s="61">
        <f t="shared" si="890"/>
        <v>4540.2428374429692</v>
      </c>
      <c r="JA175" s="61">
        <f t="shared" si="891"/>
        <v>5069.4223201552013</v>
      </c>
      <c r="JB175" s="61">
        <f t="shared" si="892"/>
        <v>0</v>
      </c>
      <c r="JC175" s="61">
        <f t="shared" si="893"/>
        <v>7570.2304339712828</v>
      </c>
      <c r="JD175" s="61">
        <f t="shared" si="894"/>
        <v>3548.0514193200129</v>
      </c>
      <c r="JE175" s="61">
        <f t="shared" si="895"/>
        <v>0</v>
      </c>
      <c r="JF175" s="61">
        <f t="shared" si="896"/>
        <v>500.5445351668194</v>
      </c>
      <c r="JG175" s="61">
        <f t="shared" si="897"/>
        <v>1551.3804763028775</v>
      </c>
      <c r="JH175" s="61">
        <f t="shared" si="898"/>
        <v>0</v>
      </c>
      <c r="JI175" s="61">
        <f t="shared" si="899"/>
        <v>4201.583918662498</v>
      </c>
      <c r="JJ175" s="61">
        <f t="shared" si="900"/>
        <v>9271.2549204054249</v>
      </c>
      <c r="JK175" s="61">
        <f t="shared" si="901"/>
        <v>0</v>
      </c>
      <c r="JL175" s="61">
        <f t="shared" si="902"/>
        <v>0</v>
      </c>
      <c r="JM175" s="61">
        <f t="shared" si="903"/>
        <v>0</v>
      </c>
      <c r="JN175" s="61">
        <f t="shared" si="904"/>
        <v>606.86867878526664</v>
      </c>
      <c r="JO175" s="61">
        <f t="shared" si="905"/>
        <v>0</v>
      </c>
      <c r="JQ175" s="26">
        <f t="shared" si="769"/>
        <v>138853.00000000003</v>
      </c>
      <c r="JR175" s="156">
        <f t="shared" si="770"/>
        <v>1.0000000000000002</v>
      </c>
      <c r="JT175" s="157">
        <f t="shared" si="906"/>
        <v>15273.905220023775</v>
      </c>
      <c r="JU175" s="29">
        <f t="shared" si="907"/>
        <v>1.0000000000000002</v>
      </c>
    </row>
    <row r="176" spans="1:281" ht="18.75" x14ac:dyDescent="0.3">
      <c r="A176" t="s">
        <v>234</v>
      </c>
      <c r="B176" s="10" t="s">
        <v>113</v>
      </c>
      <c r="C176" t="s">
        <v>90</v>
      </c>
      <c r="D176" t="s">
        <v>136</v>
      </c>
      <c r="E176" t="s">
        <v>139</v>
      </c>
      <c r="F176" s="114"/>
      <c r="G176" s="17">
        <v>1328148</v>
      </c>
      <c r="H176" s="21">
        <v>915965</v>
      </c>
      <c r="I176" s="25">
        <f t="shared" si="713"/>
        <v>1.4499986353190351</v>
      </c>
      <c r="J176" s="105">
        <v>9.1784215914925235E-2</v>
      </c>
      <c r="K176" s="105">
        <v>8.4572419237077548E-2</v>
      </c>
      <c r="L176" s="105">
        <v>0</v>
      </c>
      <c r="M176" s="105">
        <v>7.3463251204103899E-3</v>
      </c>
      <c r="N176" s="105">
        <v>1.8018216483219594E-4</v>
      </c>
      <c r="O176" s="105">
        <v>0.10201106807502114</v>
      </c>
      <c r="P176" s="105">
        <v>3.7279168783956283E-2</v>
      </c>
      <c r="Q176" s="105">
        <v>1.8056530342641704E-2</v>
      </c>
      <c r="R176" s="105">
        <v>1.2761383284467232E-2</v>
      </c>
      <c r="S176" s="105">
        <v>1.4394371341450834E-2</v>
      </c>
      <c r="T176" s="105">
        <v>0.12321392293400396</v>
      </c>
      <c r="U176" s="105">
        <v>1.6717856348765263E-2</v>
      </c>
      <c r="V176" s="105">
        <v>7.2982537193428737E-3</v>
      </c>
      <c r="W176" s="105">
        <v>0.11502625932804852</v>
      </c>
      <c r="X176" s="105">
        <v>9.4813538887186549E-2</v>
      </c>
      <c r="Y176" s="105">
        <v>8.9117483534962863E-2</v>
      </c>
      <c r="Z176" s="105">
        <v>6.11779616876217E-3</v>
      </c>
      <c r="AA176" s="105">
        <v>6.9728105042492175E-2</v>
      </c>
      <c r="AB176" s="105">
        <v>7.2982704372271329E-3</v>
      </c>
      <c r="AC176" s="105">
        <v>2.4851712863692428E-2</v>
      </c>
      <c r="AD176" s="105">
        <v>5.3332599378438768E-2</v>
      </c>
      <c r="AE176" s="105">
        <v>6.934740506594113E-3</v>
      </c>
      <c r="AF176" s="105">
        <v>3.7697309658353711E-3</v>
      </c>
      <c r="AG176" s="105">
        <v>0</v>
      </c>
      <c r="AH176" s="105">
        <v>1.3394065619865071E-2</v>
      </c>
      <c r="AJ176" s="8">
        <f t="shared" si="740"/>
        <v>0.99999999999999989</v>
      </c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59"/>
      <c r="BM176" s="26">
        <f t="shared" si="741"/>
        <v>121903.02279897612</v>
      </c>
      <c r="BN176" s="26">
        <f t="shared" si="742"/>
        <v>112324.68946488608</v>
      </c>
      <c r="BO176" s="26">
        <f t="shared" si="743"/>
        <v>0</v>
      </c>
      <c r="BP176" s="26">
        <f t="shared" si="744"/>
        <v>9757.0070160228188</v>
      </c>
      <c r="BQ176" s="26">
        <f t="shared" si="745"/>
        <v>239.30858185755136</v>
      </c>
      <c r="BR176" s="26">
        <f t="shared" si="746"/>
        <v>135485.79604170317</v>
      </c>
      <c r="BS176" s="26">
        <f t="shared" si="747"/>
        <v>49512.253462073968</v>
      </c>
      <c r="BT176" s="26">
        <f t="shared" si="748"/>
        <v>23981.744661518893</v>
      </c>
      <c r="BU176" s="26">
        <f t="shared" si="749"/>
        <v>16949.005686498585</v>
      </c>
      <c r="BV176" s="26">
        <f t="shared" si="750"/>
        <v>19117.855508405242</v>
      </c>
      <c r="BW176" s="26">
        <f t="shared" si="751"/>
        <v>163646.32531695149</v>
      </c>
      <c r="BX176" s="26">
        <f t="shared" si="752"/>
        <v>22203.787473899887</v>
      </c>
      <c r="BY176" s="26">
        <f t="shared" si="753"/>
        <v>9693.1610808377991</v>
      </c>
      <c r="BZ176" s="26">
        <f t="shared" si="754"/>
        <v>152771.89627402899</v>
      </c>
      <c r="CA176" s="26">
        <f t="shared" si="755"/>
        <v>125926.41204593904</v>
      </c>
      <c r="CB176" s="26">
        <f t="shared" si="756"/>
        <v>118361.20752199386</v>
      </c>
      <c r="CC176" s="26">
        <f t="shared" si="757"/>
        <v>8125.3387459491387</v>
      </c>
      <c r="CD176" s="26">
        <f t="shared" si="758"/>
        <v>92609.243255975904</v>
      </c>
      <c r="CE176" s="26">
        <f t="shared" si="759"/>
        <v>9693.183284662342</v>
      </c>
      <c r="CF176" s="26">
        <f t="shared" si="760"/>
        <v>33006.752736487368</v>
      </c>
      <c r="CG176" s="26">
        <f t="shared" si="761"/>
        <v>70833.58519927469</v>
      </c>
      <c r="CH176" s="26">
        <f t="shared" si="762"/>
        <v>9210.3617343519581</v>
      </c>
      <c r="CI176" s="26">
        <f t="shared" si="763"/>
        <v>5006.7606428123163</v>
      </c>
      <c r="CJ176" s="26">
        <f t="shared" si="764"/>
        <v>0</v>
      </c>
      <c r="CK176" s="26">
        <f t="shared" si="765"/>
        <v>17789.301464892553</v>
      </c>
      <c r="CL176" s="26">
        <f t="shared" si="766"/>
        <v>0</v>
      </c>
      <c r="CM176" s="110">
        <f t="shared" si="767"/>
        <v>0.99999999999999978</v>
      </c>
      <c r="CN176" s="27">
        <f t="shared" si="933"/>
        <v>84071.129330514494</v>
      </c>
      <c r="CO176" s="27">
        <f t="shared" si="908"/>
        <v>77465.375986489729</v>
      </c>
      <c r="CP176" s="27">
        <f t="shared" si="909"/>
        <v>0</v>
      </c>
      <c r="CQ176" s="27">
        <f t="shared" si="910"/>
        <v>6728.9766889167031</v>
      </c>
      <c r="CR176" s="27">
        <f t="shared" si="911"/>
        <v>165.04055661052234</v>
      </c>
      <c r="CS176" s="27">
        <f t="shared" si="912"/>
        <v>93438.567969336742</v>
      </c>
      <c r="CT176" s="27">
        <f t="shared" si="913"/>
        <v>34146.413835196516</v>
      </c>
      <c r="CU176" s="27">
        <f t="shared" si="914"/>
        <v>16539.149815297809</v>
      </c>
      <c r="CV176" s="27">
        <f t="shared" si="915"/>
        <v>11688.980440157029</v>
      </c>
      <c r="CW176" s="27">
        <f t="shared" si="916"/>
        <v>13184.740345772014</v>
      </c>
      <c r="CX176" s="27">
        <f t="shared" si="917"/>
        <v>112859.64092024494</v>
      </c>
      <c r="CY176" s="27">
        <f t="shared" si="918"/>
        <v>15312.971290496775</v>
      </c>
      <c r="CZ176" s="27">
        <f t="shared" si="919"/>
        <v>6684.9449680378957</v>
      </c>
      <c r="DA176" s="27">
        <f t="shared" si="920"/>
        <v>105360.02762541597</v>
      </c>
      <c r="DB176" s="27">
        <f t="shared" si="921"/>
        <v>86845.883146801832</v>
      </c>
      <c r="DC176" s="27">
        <f t="shared" si="922"/>
        <v>81628.495806102263</v>
      </c>
      <c r="DD176" s="27">
        <f t="shared" si="923"/>
        <v>5603.6871677202407</v>
      </c>
      <c r="DE176" s="27">
        <f t="shared" si="924"/>
        <v>63868.503735246348</v>
      </c>
      <c r="DF176" s="27">
        <f t="shared" si="925"/>
        <v>6684.9602810347506</v>
      </c>
      <c r="DG176" s="27">
        <f t="shared" si="926"/>
        <v>22763.299173192034</v>
      </c>
      <c r="DH176" s="27">
        <f t="shared" si="927"/>
        <v>48850.794389671668</v>
      </c>
      <c r="DI176" s="27">
        <f t="shared" si="928"/>
        <v>6351.9795881224763</v>
      </c>
      <c r="DJ176" s="27">
        <f t="shared" si="929"/>
        <v>3452.9416241213958</v>
      </c>
      <c r="DK176" s="27">
        <f t="shared" si="930"/>
        <v>0</v>
      </c>
      <c r="DL176" s="27">
        <f t="shared" si="931"/>
        <v>12268.495315499709</v>
      </c>
      <c r="DM176" s="27">
        <f t="shared" si="932"/>
        <v>0</v>
      </c>
      <c r="DN176" s="110">
        <f t="shared" si="768"/>
        <v>0.99999999999999989</v>
      </c>
      <c r="DO176" s="28">
        <f t="shared" si="771"/>
        <v>37831.893468461625</v>
      </c>
      <c r="DP176" s="28">
        <f t="shared" si="772"/>
        <v>34859.313478396347</v>
      </c>
      <c r="DQ176" s="28">
        <f t="shared" si="773"/>
        <v>0</v>
      </c>
      <c r="DR176" s="28">
        <f t="shared" si="774"/>
        <v>3028.0303271061157</v>
      </c>
      <c r="DS176" s="28">
        <f t="shared" si="775"/>
        <v>74.268025247029016</v>
      </c>
      <c r="DT176" s="28">
        <f t="shared" si="776"/>
        <v>42047.22807236643</v>
      </c>
      <c r="DU176" s="28">
        <f t="shared" si="777"/>
        <v>15365.839626877452</v>
      </c>
      <c r="DV176" s="28">
        <f t="shared" si="778"/>
        <v>7442.5948462210836</v>
      </c>
      <c r="DW176" s="28">
        <f t="shared" si="779"/>
        <v>5260.0252463415563</v>
      </c>
      <c r="DX176" s="28">
        <f t="shared" si="780"/>
        <v>5933.1151626332285</v>
      </c>
      <c r="DY176" s="28">
        <f t="shared" si="781"/>
        <v>50786.684396706551</v>
      </c>
      <c r="DZ176" s="28">
        <f t="shared" si="782"/>
        <v>6890.8161834031125</v>
      </c>
      <c r="EA176" s="28">
        <f t="shared" si="783"/>
        <v>3008.2161127999034</v>
      </c>
      <c r="EB176" s="28">
        <f t="shared" si="784"/>
        <v>47411.868648613017</v>
      </c>
      <c r="EC176" s="28">
        <f t="shared" si="785"/>
        <v>39080.528899137207</v>
      </c>
      <c r="ED176" s="28">
        <f t="shared" si="786"/>
        <v>36732.711715891593</v>
      </c>
      <c r="EE176" s="28">
        <f t="shared" si="787"/>
        <v>2521.651578228898</v>
      </c>
      <c r="EF176" s="28">
        <f t="shared" si="788"/>
        <v>28740.739520729556</v>
      </c>
      <c r="EG176" s="28">
        <f t="shared" si="789"/>
        <v>3008.2230036275914</v>
      </c>
      <c r="EH176" s="28">
        <f t="shared" si="790"/>
        <v>10243.453563295334</v>
      </c>
      <c r="EI176" s="28">
        <f t="shared" si="791"/>
        <v>21982.790809603022</v>
      </c>
      <c r="EJ176" s="28">
        <f t="shared" si="792"/>
        <v>2858.3821462294818</v>
      </c>
      <c r="EK176" s="28">
        <f t="shared" si="793"/>
        <v>1553.8190186909205</v>
      </c>
      <c r="EL176" s="28">
        <f t="shared" si="794"/>
        <v>0</v>
      </c>
      <c r="EM176" s="28">
        <f t="shared" si="795"/>
        <v>5520.8061493928435</v>
      </c>
      <c r="EN176" s="28">
        <f t="shared" si="796"/>
        <v>0</v>
      </c>
      <c r="EQ176" s="144">
        <v>4.0000001200026739E-2</v>
      </c>
      <c r="ER176" s="144">
        <v>5.99999967999287E-2</v>
      </c>
      <c r="ES176" s="144">
        <v>5.99999967999287E-2</v>
      </c>
      <c r="ET176" s="144">
        <v>5.99999967999287E-2</v>
      </c>
      <c r="EU176" s="144">
        <v>6.9999999599991092E-2</v>
      </c>
      <c r="EV176" s="144">
        <v>6.9999999599991092E-2</v>
      </c>
      <c r="EW176" s="144">
        <v>8.0000002400053477E-2</v>
      </c>
      <c r="EX176" s="144">
        <v>8.0000002400053477E-2</v>
      </c>
      <c r="EY176" s="144">
        <v>9.9999997999955445E-2</v>
      </c>
      <c r="EZ176" s="144">
        <v>0.12000000360008022</v>
      </c>
      <c r="FA176" s="144">
        <v>0.13999999919998218</v>
      </c>
      <c r="FB176" s="144">
        <v>0.12000000360008022</v>
      </c>
      <c r="FC176" s="145">
        <f t="shared" si="797"/>
        <v>1</v>
      </c>
      <c r="FD176" s="146">
        <f t="shared" si="935"/>
        <v>0.15999999479988414</v>
      </c>
      <c r="FE176" s="146">
        <f t="shared" si="936"/>
        <v>0.19999999599991089</v>
      </c>
      <c r="FF176" s="146">
        <f t="shared" si="937"/>
        <v>0.26000000280006241</v>
      </c>
      <c r="FG176" s="146">
        <f t="shared" si="938"/>
        <v>0.38000000640014264</v>
      </c>
      <c r="FH176" s="145">
        <f t="shared" si="939"/>
        <v>1</v>
      </c>
      <c r="FJ176" s="52">
        <f t="shared" si="802"/>
        <v>19504.483013926336</v>
      </c>
      <c r="FK176" s="52">
        <f t="shared" si="803"/>
        <v>17971.949730280372</v>
      </c>
      <c r="FL176" s="52">
        <f t="shared" si="804"/>
        <v>0</v>
      </c>
      <c r="FM176" s="52">
        <f t="shared" si="805"/>
        <v>1561.1210718260841</v>
      </c>
      <c r="FN176" s="52">
        <f t="shared" si="806"/>
        <v>38.289371852775865</v>
      </c>
      <c r="FO176" s="52">
        <f t="shared" si="807"/>
        <v>21677.72666213067</v>
      </c>
      <c r="FP176" s="52">
        <f t="shared" si="808"/>
        <v>7921.96029646238</v>
      </c>
      <c r="FQ176" s="52">
        <f t="shared" si="809"/>
        <v>3837.0790211351718</v>
      </c>
      <c r="FR176" s="52">
        <f t="shared" si="810"/>
        <v>2711.8408217029805</v>
      </c>
      <c r="FS176" s="52">
        <f t="shared" si="811"/>
        <v>3058.856781929775</v>
      </c>
      <c r="FT176" s="52">
        <f t="shared" si="812"/>
        <v>26183.411199732385</v>
      </c>
      <c r="FU176" s="52">
        <f t="shared" si="813"/>
        <v>3552.6058803617143</v>
      </c>
      <c r="FV176" s="52">
        <f t="shared" si="814"/>
        <v>1550.9057225284871</v>
      </c>
      <c r="FW176" s="52">
        <f t="shared" si="815"/>
        <v>24443.502609413077</v>
      </c>
      <c r="FX176" s="52">
        <f t="shared" si="816"/>
        <v>20148.225272518313</v>
      </c>
      <c r="FY176" s="52">
        <f t="shared" si="817"/>
        <v>18937.792588027023</v>
      </c>
      <c r="FZ176" s="52">
        <f t="shared" si="818"/>
        <v>1300.0541570991593</v>
      </c>
      <c r="GA176" s="52">
        <f t="shared" si="819"/>
        <v>14817.47843937735</v>
      </c>
      <c r="GB176" s="52">
        <f t="shared" si="820"/>
        <v>1550.9092751402986</v>
      </c>
      <c r="GC176" s="52">
        <f t="shared" si="821"/>
        <v>5281.0802661990401</v>
      </c>
      <c r="GD176" s="52">
        <f t="shared" si="822"/>
        <v>11333.3732635411</v>
      </c>
      <c r="GE176" s="52">
        <f t="shared" si="823"/>
        <v>1473.6578296013652</v>
      </c>
      <c r="GF176" s="52">
        <f t="shared" si="824"/>
        <v>801.08167681423515</v>
      </c>
      <c r="GG176" s="52">
        <f t="shared" si="825"/>
        <v>0</v>
      </c>
      <c r="GH176" s="52">
        <f t="shared" si="826"/>
        <v>2846.2881418763795</v>
      </c>
      <c r="GI176" s="52">
        <f t="shared" si="827"/>
        <v>0</v>
      </c>
      <c r="GJ176" s="26"/>
      <c r="GL176" s="150">
        <f t="shared" si="828"/>
        <v>24380.604072172271</v>
      </c>
      <c r="GM176" s="150">
        <f t="shared" si="829"/>
        <v>22464.937443668448</v>
      </c>
      <c r="GN176" s="150">
        <f t="shared" si="830"/>
        <v>0</v>
      </c>
      <c r="GO176" s="150">
        <f t="shared" si="831"/>
        <v>1951.4013641756662</v>
      </c>
      <c r="GP176" s="150">
        <f t="shared" si="832"/>
        <v>47.861715414254618</v>
      </c>
      <c r="GQ176" s="150">
        <f t="shared" si="833"/>
        <v>27097.158666385378</v>
      </c>
      <c r="GR176" s="150">
        <f t="shared" si="834"/>
        <v>9902.4504943613683</v>
      </c>
      <c r="GS176" s="150">
        <f t="shared" si="835"/>
        <v>4796.3488363746628</v>
      </c>
      <c r="GT176" s="150">
        <f t="shared" si="836"/>
        <v>3389.801069502184</v>
      </c>
      <c r="GU176" s="150">
        <f t="shared" si="837"/>
        <v>3823.571025207923</v>
      </c>
      <c r="GV176" s="150">
        <f t="shared" si="838"/>
        <v>32729.264408790415</v>
      </c>
      <c r="GW176" s="150">
        <f t="shared" si="839"/>
        <v>4440.7574059628487</v>
      </c>
      <c r="GX176" s="150">
        <f t="shared" si="840"/>
        <v>1938.6321773940517</v>
      </c>
      <c r="GY176" s="150">
        <f t="shared" si="841"/>
        <v>30554.3786437046</v>
      </c>
      <c r="GZ176" s="150">
        <f t="shared" si="842"/>
        <v>25185.28190547094</v>
      </c>
      <c r="HA176" s="150">
        <f t="shared" si="843"/>
        <v>23672.241030943394</v>
      </c>
      <c r="HB176" s="150">
        <f t="shared" si="844"/>
        <v>1625.0677166877488</v>
      </c>
      <c r="HC176" s="150">
        <f t="shared" si="845"/>
        <v>18521.848280749957</v>
      </c>
      <c r="HD176" s="150">
        <f t="shared" si="846"/>
        <v>1938.6366181588714</v>
      </c>
      <c r="HE176" s="150">
        <f t="shared" si="847"/>
        <v>6601.3504152675214</v>
      </c>
      <c r="HF176" s="150">
        <f t="shared" si="848"/>
        <v>14166.716756514284</v>
      </c>
      <c r="HG176" s="150">
        <f t="shared" si="849"/>
        <v>1842.0723100281239</v>
      </c>
      <c r="HH176" s="150">
        <f t="shared" si="850"/>
        <v>1001.3521085349745</v>
      </c>
      <c r="HI176" s="150">
        <f t="shared" si="851"/>
        <v>0</v>
      </c>
      <c r="HJ176" s="150">
        <f t="shared" si="852"/>
        <v>3557.8602218197193</v>
      </c>
      <c r="HK176" s="150">
        <f t="shared" si="853"/>
        <v>0</v>
      </c>
      <c r="HL176" s="26"/>
      <c r="HN176" s="147">
        <f t="shared" si="854"/>
        <v>31694.786269069864</v>
      </c>
      <c r="HO176" s="147">
        <f t="shared" si="855"/>
        <v>29204.419575386521</v>
      </c>
      <c r="HP176" s="147">
        <f t="shared" si="856"/>
        <v>0</v>
      </c>
      <c r="HQ176" s="147">
        <f t="shared" si="857"/>
        <v>2536.8218514861614</v>
      </c>
      <c r="HR176" s="147">
        <f t="shared" si="858"/>
        <v>62.220231953042315</v>
      </c>
      <c r="HS176" s="147">
        <f t="shared" si="859"/>
        <v>35226.307350211508</v>
      </c>
      <c r="HT176" s="147">
        <f t="shared" si="860"/>
        <v>12873.186038776632</v>
      </c>
      <c r="HU176" s="147">
        <f t="shared" si="861"/>
        <v>6235.253679145294</v>
      </c>
      <c r="HV176" s="147">
        <f t="shared" si="862"/>
        <v>4406.7415259479058</v>
      </c>
      <c r="HW176" s="147">
        <f t="shared" si="863"/>
        <v>4970.6424857165521</v>
      </c>
      <c r="HX176" s="147">
        <f t="shared" si="864"/>
        <v>42548.045040627316</v>
      </c>
      <c r="HY176" s="147">
        <f t="shared" si="865"/>
        <v>5772.9848053859614</v>
      </c>
      <c r="HZ176" s="147">
        <f t="shared" si="866"/>
        <v>2520.2219081592839</v>
      </c>
      <c r="IA176" s="147">
        <f t="shared" si="867"/>
        <v>39720.693459018381</v>
      </c>
      <c r="IB176" s="147">
        <f t="shared" si="868"/>
        <v>32740.867484545965</v>
      </c>
      <c r="IC176" s="147">
        <f t="shared" si="869"/>
        <v>30773.91428713717</v>
      </c>
      <c r="ID176" s="147">
        <f t="shared" si="870"/>
        <v>2112.5880966982318</v>
      </c>
      <c r="IE176" s="147">
        <f t="shared" si="871"/>
        <v>24078.403505865397</v>
      </c>
      <c r="IF176" s="147">
        <f t="shared" si="872"/>
        <v>2520.2276811537272</v>
      </c>
      <c r="IG176" s="147">
        <f t="shared" si="873"/>
        <v>8581.755803907683</v>
      </c>
      <c r="IH176" s="147">
        <f t="shared" si="874"/>
        <v>18416.732350149879</v>
      </c>
      <c r="II176" s="147">
        <f t="shared" si="875"/>
        <v>2394.6940767210967</v>
      </c>
      <c r="IJ176" s="147">
        <f t="shared" si="876"/>
        <v>1301.7577811504445</v>
      </c>
      <c r="IK176" s="147">
        <f t="shared" si="877"/>
        <v>0</v>
      </c>
      <c r="IL176" s="147">
        <f t="shared" si="878"/>
        <v>4625.2184306832178</v>
      </c>
      <c r="IM176" s="147">
        <f t="shared" si="879"/>
        <v>0</v>
      </c>
      <c r="IN176" s="26"/>
      <c r="IP176" s="61">
        <f t="shared" si="880"/>
        <v>46323.149443807662</v>
      </c>
      <c r="IQ176" s="61">
        <f t="shared" si="881"/>
        <v>42683.382715550746</v>
      </c>
      <c r="IR176" s="61">
        <f t="shared" si="882"/>
        <v>0</v>
      </c>
      <c r="IS176" s="61">
        <f t="shared" si="883"/>
        <v>3707.6627285349077</v>
      </c>
      <c r="IT176" s="61">
        <f t="shared" si="884"/>
        <v>90.937262637478582</v>
      </c>
      <c r="IU176" s="61">
        <f t="shared" si="885"/>
        <v>51484.603362975628</v>
      </c>
      <c r="IV176" s="61">
        <f t="shared" si="886"/>
        <v>18814.656632473594</v>
      </c>
      <c r="IW176" s="61">
        <f t="shared" si="887"/>
        <v>9113.0631248637656</v>
      </c>
      <c r="IX176" s="61">
        <f t="shared" si="888"/>
        <v>6440.6222693455165</v>
      </c>
      <c r="IY176" s="61">
        <f t="shared" si="889"/>
        <v>7264.7852155509945</v>
      </c>
      <c r="IZ176" s="61">
        <f t="shared" si="890"/>
        <v>62185.604667801395</v>
      </c>
      <c r="JA176" s="61">
        <f t="shared" si="891"/>
        <v>8437.4393821893646</v>
      </c>
      <c r="JB176" s="61">
        <f t="shared" si="892"/>
        <v>3683.4012727559771</v>
      </c>
      <c r="JC176" s="61">
        <f t="shared" si="893"/>
        <v>58053.321561892946</v>
      </c>
      <c r="JD176" s="61">
        <f t="shared" si="894"/>
        <v>47852.037383403833</v>
      </c>
      <c r="JE176" s="61">
        <f t="shared" si="895"/>
        <v>44977.25961588628</v>
      </c>
      <c r="JF176" s="61">
        <f t="shared" si="896"/>
        <v>3087.6287754639998</v>
      </c>
      <c r="JG176" s="61">
        <f t="shared" si="897"/>
        <v>35191.513029983209</v>
      </c>
      <c r="JH176" s="61">
        <f t="shared" si="898"/>
        <v>3683.4097102094456</v>
      </c>
      <c r="JI176" s="61">
        <f t="shared" si="899"/>
        <v>12542.566251113125</v>
      </c>
      <c r="JJ176" s="61">
        <f t="shared" si="900"/>
        <v>26916.76282906943</v>
      </c>
      <c r="JK176" s="61">
        <f t="shared" si="901"/>
        <v>3499.9375180013731</v>
      </c>
      <c r="JL176" s="61">
        <f t="shared" si="902"/>
        <v>1902.5690763126624</v>
      </c>
      <c r="JM176" s="61">
        <f t="shared" si="903"/>
        <v>0</v>
      </c>
      <c r="JN176" s="61">
        <f t="shared" si="904"/>
        <v>6759.9346705132366</v>
      </c>
      <c r="JO176" s="61">
        <f t="shared" si="905"/>
        <v>0</v>
      </c>
      <c r="JQ176" s="26">
        <f t="shared" si="769"/>
        <v>1328147.9999999993</v>
      </c>
      <c r="JR176" s="156">
        <f t="shared" si="770"/>
        <v>0.99999999999999944</v>
      </c>
      <c r="JT176" s="157">
        <f t="shared" si="906"/>
        <v>121903.02279897613</v>
      </c>
      <c r="JU176" s="29">
        <f t="shared" si="907"/>
        <v>1.0000000000000002</v>
      </c>
    </row>
    <row r="177" spans="1:281" ht="18.75" x14ac:dyDescent="0.3">
      <c r="A177" t="s">
        <v>234</v>
      </c>
      <c r="B177" s="10" t="s">
        <v>224</v>
      </c>
      <c r="C177" t="s">
        <v>318</v>
      </c>
      <c r="D177" t="s">
        <v>149</v>
      </c>
      <c r="E177" t="s">
        <v>307</v>
      </c>
      <c r="F177" s="114"/>
      <c r="G177" s="17">
        <v>100000</v>
      </c>
      <c r="H177" s="21">
        <v>71430</v>
      </c>
      <c r="I177" s="25">
        <f t="shared" si="713"/>
        <v>1.3999720005599887</v>
      </c>
      <c r="J177" s="105">
        <v>6.0291060291060204E-2</v>
      </c>
      <c r="K177" s="105">
        <v>8.3160083160082974E-3</v>
      </c>
      <c r="L177" s="105">
        <v>7.796257796257787E-2</v>
      </c>
      <c r="M177" s="105">
        <v>2.0790020790020753E-2</v>
      </c>
      <c r="N177" s="105">
        <v>5.1975051975051943E-3</v>
      </c>
      <c r="O177" s="105">
        <v>0.15072765072765024</v>
      </c>
      <c r="P177" s="105">
        <v>4.781704781704782E-2</v>
      </c>
      <c r="Q177" s="105">
        <v>5.1975051975051909E-3</v>
      </c>
      <c r="R177" s="105">
        <v>5.1975051975051891E-3</v>
      </c>
      <c r="S177" s="105">
        <v>1.4033264033264036E-2</v>
      </c>
      <c r="T177" s="105">
        <v>9.3555093555093768E-2</v>
      </c>
      <c r="U177" s="105">
        <v>3.6382536382536509E-2</v>
      </c>
      <c r="V177" s="105">
        <v>6.7567567567567557E-2</v>
      </c>
      <c r="W177" s="105">
        <v>6.7567567567567557E-2</v>
      </c>
      <c r="X177" s="105">
        <v>0.11226611226611227</v>
      </c>
      <c r="Y177" s="105">
        <v>8.5239085239085424E-2</v>
      </c>
      <c r="Z177" s="105">
        <v>7.796257796257788E-3</v>
      </c>
      <c r="AA177" s="105">
        <v>3.6382536382536509E-2</v>
      </c>
      <c r="AB177" s="105">
        <v>5.1975051975051943E-3</v>
      </c>
      <c r="AC177" s="105">
        <v>7.2765072765073029E-3</v>
      </c>
      <c r="AD177" s="105">
        <v>3.6382536382536509E-2</v>
      </c>
      <c r="AE177" s="105">
        <v>3.6382536382536509E-2</v>
      </c>
      <c r="AF177" s="105">
        <v>7.2765072765072951E-3</v>
      </c>
      <c r="AG177" s="105">
        <v>-1.3877787807814442E-16</v>
      </c>
      <c r="AH177" s="105">
        <v>5.1975051975051917E-3</v>
      </c>
      <c r="AJ177" s="8">
        <f t="shared" si="740"/>
        <v>1</v>
      </c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159"/>
      <c r="BG177" s="159"/>
      <c r="BH177" s="159"/>
      <c r="BI177" s="159"/>
      <c r="BJ177" s="159"/>
      <c r="BM177" s="26">
        <f t="shared" si="741"/>
        <v>6029.1060291060203</v>
      </c>
      <c r="BN177" s="26">
        <f t="shared" si="742"/>
        <v>831.60083160082979</v>
      </c>
      <c r="BO177" s="26">
        <f t="shared" si="743"/>
        <v>7796.257796257787</v>
      </c>
      <c r="BP177" s="26">
        <f t="shared" si="744"/>
        <v>2079.0020790020753</v>
      </c>
      <c r="BQ177" s="26">
        <f t="shared" si="745"/>
        <v>519.7505197505194</v>
      </c>
      <c r="BR177" s="26">
        <f t="shared" si="746"/>
        <v>15072.765072765023</v>
      </c>
      <c r="BS177" s="26">
        <f t="shared" si="747"/>
        <v>4781.7047817047824</v>
      </c>
      <c r="BT177" s="26">
        <f t="shared" si="748"/>
        <v>519.75051975051906</v>
      </c>
      <c r="BU177" s="26">
        <f t="shared" si="749"/>
        <v>519.75051975051895</v>
      </c>
      <c r="BV177" s="26">
        <f t="shared" si="750"/>
        <v>1403.3264033264036</v>
      </c>
      <c r="BW177" s="26">
        <f t="shared" si="751"/>
        <v>9355.5093555093772</v>
      </c>
      <c r="BX177" s="26">
        <f t="shared" si="752"/>
        <v>3638.2536382536509</v>
      </c>
      <c r="BY177" s="26">
        <f t="shared" si="753"/>
        <v>6756.7567567567557</v>
      </c>
      <c r="BZ177" s="26">
        <f t="shared" si="754"/>
        <v>6756.7567567567557</v>
      </c>
      <c r="CA177" s="26">
        <f t="shared" si="755"/>
        <v>11226.611226611227</v>
      </c>
      <c r="CB177" s="26">
        <f t="shared" si="756"/>
        <v>8523.9085239085416</v>
      </c>
      <c r="CC177" s="26">
        <f t="shared" si="757"/>
        <v>779.62577962577882</v>
      </c>
      <c r="CD177" s="26">
        <f t="shared" si="758"/>
        <v>3638.2536382536509</v>
      </c>
      <c r="CE177" s="26">
        <f t="shared" si="759"/>
        <v>519.7505197505194</v>
      </c>
      <c r="CF177" s="26">
        <f t="shared" si="760"/>
        <v>727.65072765073035</v>
      </c>
      <c r="CG177" s="26">
        <f t="shared" si="761"/>
        <v>3638.2536382536509</v>
      </c>
      <c r="CH177" s="26">
        <f t="shared" si="762"/>
        <v>3638.2536382536509</v>
      </c>
      <c r="CI177" s="26">
        <f t="shared" si="763"/>
        <v>727.65072765072955</v>
      </c>
      <c r="CJ177" s="26">
        <f t="shared" si="764"/>
        <v>-1.3877787807814442E-11</v>
      </c>
      <c r="CK177" s="26">
        <f t="shared" si="765"/>
        <v>519.75051975051917</v>
      </c>
      <c r="CL177" s="26">
        <f t="shared" si="766"/>
        <v>0</v>
      </c>
      <c r="CM177" s="110">
        <f t="shared" si="767"/>
        <v>1.0000000000000002</v>
      </c>
      <c r="CN177" s="27">
        <f t="shared" si="933"/>
        <v>4306.5904365904307</v>
      </c>
      <c r="CO177" s="27">
        <f t="shared" si="908"/>
        <v>594.01247401247269</v>
      </c>
      <c r="CP177" s="27">
        <f t="shared" si="909"/>
        <v>5568.8669438669376</v>
      </c>
      <c r="CQ177" s="27">
        <f t="shared" si="910"/>
        <v>1485.0311850311823</v>
      </c>
      <c r="CR177" s="27">
        <f t="shared" si="911"/>
        <v>371.25779625779603</v>
      </c>
      <c r="CS177" s="27">
        <f t="shared" si="912"/>
        <v>10766.476091476057</v>
      </c>
      <c r="CT177" s="27">
        <f t="shared" si="913"/>
        <v>3415.5717255717259</v>
      </c>
      <c r="CU177" s="27">
        <f t="shared" si="914"/>
        <v>371.2577962577958</v>
      </c>
      <c r="CV177" s="27">
        <f t="shared" si="915"/>
        <v>371.25779625779563</v>
      </c>
      <c r="CW177" s="27">
        <f t="shared" si="916"/>
        <v>1002.39604989605</v>
      </c>
      <c r="CX177" s="27">
        <f t="shared" si="917"/>
        <v>6682.6403326403479</v>
      </c>
      <c r="CY177" s="27">
        <f t="shared" si="918"/>
        <v>2598.804573804583</v>
      </c>
      <c r="CZ177" s="27">
        <f t="shared" si="919"/>
        <v>4826.3513513513508</v>
      </c>
      <c r="DA177" s="27">
        <f t="shared" si="920"/>
        <v>4826.3513513513508</v>
      </c>
      <c r="DB177" s="27">
        <f t="shared" si="921"/>
        <v>8019.1683991683994</v>
      </c>
      <c r="DC177" s="27">
        <f t="shared" si="922"/>
        <v>6088.6278586278722</v>
      </c>
      <c r="DD177" s="27">
        <f t="shared" si="923"/>
        <v>556.88669438669376</v>
      </c>
      <c r="DE177" s="27">
        <f t="shared" si="924"/>
        <v>2598.804573804583</v>
      </c>
      <c r="DF177" s="27">
        <f t="shared" si="925"/>
        <v>371.25779625779603</v>
      </c>
      <c r="DG177" s="27">
        <f t="shared" si="926"/>
        <v>519.76091476091665</v>
      </c>
      <c r="DH177" s="27">
        <f t="shared" si="927"/>
        <v>2598.804573804583</v>
      </c>
      <c r="DI177" s="27">
        <f t="shared" si="928"/>
        <v>2598.804573804583</v>
      </c>
      <c r="DJ177" s="27">
        <f t="shared" si="929"/>
        <v>519.76091476091608</v>
      </c>
      <c r="DK177" s="27">
        <f t="shared" si="930"/>
        <v>-9.9129038311218552E-12</v>
      </c>
      <c r="DL177" s="27">
        <f t="shared" si="931"/>
        <v>371.25779625779586</v>
      </c>
      <c r="DM177" s="27">
        <f t="shared" si="932"/>
        <v>0</v>
      </c>
      <c r="DN177" s="110">
        <f t="shared" si="768"/>
        <v>1</v>
      </c>
      <c r="DO177" s="28">
        <f t="shared" si="771"/>
        <v>1722.5155925155896</v>
      </c>
      <c r="DP177" s="28">
        <f t="shared" si="772"/>
        <v>237.5883575883571</v>
      </c>
      <c r="DQ177" s="28">
        <f t="shared" si="773"/>
        <v>2227.3908523908494</v>
      </c>
      <c r="DR177" s="28">
        <f t="shared" si="774"/>
        <v>593.97089397089303</v>
      </c>
      <c r="DS177" s="28">
        <f t="shared" si="775"/>
        <v>148.49272349272337</v>
      </c>
      <c r="DT177" s="28">
        <f t="shared" si="776"/>
        <v>4306.2889812889662</v>
      </c>
      <c r="DU177" s="28">
        <f t="shared" si="777"/>
        <v>1366.1330561330565</v>
      </c>
      <c r="DV177" s="28">
        <f t="shared" si="778"/>
        <v>148.49272349272326</v>
      </c>
      <c r="DW177" s="28">
        <f t="shared" si="779"/>
        <v>148.49272349272331</v>
      </c>
      <c r="DX177" s="28">
        <f t="shared" si="780"/>
        <v>400.93035343035353</v>
      </c>
      <c r="DY177" s="28">
        <f t="shared" si="781"/>
        <v>2672.8690228690293</v>
      </c>
      <c r="DZ177" s="28">
        <f t="shared" si="782"/>
        <v>1039.4490644490679</v>
      </c>
      <c r="EA177" s="28">
        <f t="shared" si="783"/>
        <v>1930.405405405405</v>
      </c>
      <c r="EB177" s="28">
        <f t="shared" si="784"/>
        <v>1930.405405405405</v>
      </c>
      <c r="EC177" s="28">
        <f t="shared" si="785"/>
        <v>3207.4428274428274</v>
      </c>
      <c r="ED177" s="28">
        <f t="shared" si="786"/>
        <v>2435.2806652806694</v>
      </c>
      <c r="EE177" s="28">
        <f t="shared" si="787"/>
        <v>222.73908523908506</v>
      </c>
      <c r="EF177" s="28">
        <f t="shared" si="788"/>
        <v>1039.4490644490679</v>
      </c>
      <c r="EG177" s="28">
        <f t="shared" si="789"/>
        <v>148.49272349272337</v>
      </c>
      <c r="EH177" s="28">
        <f t="shared" si="790"/>
        <v>207.8898128898137</v>
      </c>
      <c r="EI177" s="28">
        <f t="shared" si="791"/>
        <v>1039.4490644490679</v>
      </c>
      <c r="EJ177" s="28">
        <f t="shared" si="792"/>
        <v>1039.4490644490679</v>
      </c>
      <c r="EK177" s="28">
        <f t="shared" si="793"/>
        <v>207.88981288981347</v>
      </c>
      <c r="EL177" s="28">
        <f t="shared" si="794"/>
        <v>-3.9648839766925871E-12</v>
      </c>
      <c r="EM177" s="28">
        <f t="shared" si="795"/>
        <v>148.49272349272331</v>
      </c>
      <c r="EN177" s="28">
        <f t="shared" si="796"/>
        <v>0</v>
      </c>
      <c r="EQ177" s="144">
        <v>0.04</v>
      </c>
      <c r="ER177" s="144">
        <v>0.05</v>
      </c>
      <c r="ES177" s="144">
        <v>0.06</v>
      </c>
      <c r="ET177" s="144">
        <v>0.05</v>
      </c>
      <c r="EU177" s="144">
        <v>0.06</v>
      </c>
      <c r="EV177" s="144">
        <v>0.08</v>
      </c>
      <c r="EW177" s="144">
        <v>7.0000000000000007E-2</v>
      </c>
      <c r="EX177" s="144">
        <v>0.1</v>
      </c>
      <c r="EY177" s="144">
        <v>0.14000000000000001</v>
      </c>
      <c r="EZ177" s="144">
        <v>0.14000000000000001</v>
      </c>
      <c r="FA177" s="144">
        <v>0.12</v>
      </c>
      <c r="FB177" s="144">
        <v>0.09</v>
      </c>
      <c r="FC177" s="145">
        <f t="shared" si="797"/>
        <v>1</v>
      </c>
      <c r="FD177" s="146">
        <f t="shared" si="935"/>
        <v>0.15</v>
      </c>
      <c r="FE177" s="146">
        <f t="shared" si="936"/>
        <v>0.19</v>
      </c>
      <c r="FF177" s="146">
        <f t="shared" si="937"/>
        <v>0.31000000000000005</v>
      </c>
      <c r="FG177" s="146">
        <f t="shared" si="938"/>
        <v>0.35</v>
      </c>
      <c r="FH177" s="145">
        <f t="shared" si="939"/>
        <v>1</v>
      </c>
      <c r="FJ177" s="52">
        <f t="shared" si="802"/>
        <v>904.36590436590302</v>
      </c>
      <c r="FK177" s="52">
        <f t="shared" si="803"/>
        <v>124.74012474012446</v>
      </c>
      <c r="FL177" s="52">
        <f t="shared" si="804"/>
        <v>1169.4386694386681</v>
      </c>
      <c r="FM177" s="52">
        <f t="shared" si="805"/>
        <v>311.8503118503113</v>
      </c>
      <c r="FN177" s="52">
        <f t="shared" si="806"/>
        <v>77.96257796257791</v>
      </c>
      <c r="FO177" s="52">
        <f t="shared" si="807"/>
        <v>2260.9147609147535</v>
      </c>
      <c r="FP177" s="52">
        <f t="shared" si="808"/>
        <v>717.25571725571729</v>
      </c>
      <c r="FQ177" s="52">
        <f t="shared" si="809"/>
        <v>77.962577962577853</v>
      </c>
      <c r="FR177" s="52">
        <f t="shared" si="810"/>
        <v>77.962577962577839</v>
      </c>
      <c r="FS177" s="52">
        <f t="shared" si="811"/>
        <v>210.49896049896054</v>
      </c>
      <c r="FT177" s="52">
        <f t="shared" si="812"/>
        <v>1403.3264033264065</v>
      </c>
      <c r="FU177" s="52">
        <f t="shared" si="813"/>
        <v>545.73804573804762</v>
      </c>
      <c r="FV177" s="52">
        <f t="shared" si="814"/>
        <v>1013.5135135135133</v>
      </c>
      <c r="FW177" s="52">
        <f t="shared" si="815"/>
        <v>1013.5135135135133</v>
      </c>
      <c r="FX177" s="52">
        <f t="shared" si="816"/>
        <v>1683.9916839916839</v>
      </c>
      <c r="FY177" s="52">
        <f t="shared" si="817"/>
        <v>1278.5862785862812</v>
      </c>
      <c r="FZ177" s="52">
        <f t="shared" si="818"/>
        <v>116.94386694386682</v>
      </c>
      <c r="GA177" s="52">
        <f t="shared" si="819"/>
        <v>545.73804573804762</v>
      </c>
      <c r="GB177" s="52">
        <f t="shared" si="820"/>
        <v>77.96257796257791</v>
      </c>
      <c r="GC177" s="52">
        <f t="shared" si="821"/>
        <v>109.14760914760954</v>
      </c>
      <c r="GD177" s="52">
        <f t="shared" si="822"/>
        <v>545.73804573804762</v>
      </c>
      <c r="GE177" s="52">
        <f t="shared" si="823"/>
        <v>545.73804573804762</v>
      </c>
      <c r="GF177" s="52">
        <f t="shared" si="824"/>
        <v>109.14760914760943</v>
      </c>
      <c r="GG177" s="52">
        <f t="shared" si="825"/>
        <v>-2.0816681711721661E-12</v>
      </c>
      <c r="GH177" s="52">
        <f t="shared" si="826"/>
        <v>77.962577962577868</v>
      </c>
      <c r="GI177" s="52">
        <f t="shared" si="827"/>
        <v>0</v>
      </c>
      <c r="GJ177" s="26"/>
      <c r="GL177" s="150">
        <f t="shared" si="828"/>
        <v>1145.530145530144</v>
      </c>
      <c r="GM177" s="150">
        <f t="shared" si="829"/>
        <v>158.00415800415766</v>
      </c>
      <c r="GN177" s="150">
        <f t="shared" si="830"/>
        <v>1481.2889812889796</v>
      </c>
      <c r="GO177" s="150">
        <f t="shared" si="831"/>
        <v>395.01039501039429</v>
      </c>
      <c r="GP177" s="150">
        <f t="shared" si="832"/>
        <v>98.752598752598686</v>
      </c>
      <c r="GQ177" s="150">
        <f t="shared" si="833"/>
        <v>2863.8253638253545</v>
      </c>
      <c r="GR177" s="150">
        <f t="shared" si="834"/>
        <v>908.52390852390863</v>
      </c>
      <c r="GS177" s="150">
        <f t="shared" si="835"/>
        <v>98.75259875259863</v>
      </c>
      <c r="GT177" s="150">
        <f t="shared" si="836"/>
        <v>98.752598752598601</v>
      </c>
      <c r="GU177" s="150">
        <f t="shared" si="837"/>
        <v>266.6320166320167</v>
      </c>
      <c r="GV177" s="150">
        <f t="shared" si="838"/>
        <v>1777.5467775467816</v>
      </c>
      <c r="GW177" s="150">
        <f t="shared" si="839"/>
        <v>691.26819126819373</v>
      </c>
      <c r="GX177" s="150">
        <f t="shared" si="840"/>
        <v>1283.7837837837835</v>
      </c>
      <c r="GY177" s="150">
        <f t="shared" si="841"/>
        <v>1283.7837837837835</v>
      </c>
      <c r="GZ177" s="150">
        <f t="shared" si="842"/>
        <v>2133.0561330561331</v>
      </c>
      <c r="HA177" s="150">
        <f t="shared" si="843"/>
        <v>1619.542619542623</v>
      </c>
      <c r="HB177" s="150">
        <f t="shared" si="844"/>
        <v>148.12889812889799</v>
      </c>
      <c r="HC177" s="150">
        <f t="shared" si="845"/>
        <v>691.26819126819373</v>
      </c>
      <c r="HD177" s="150">
        <f t="shared" si="846"/>
        <v>98.752598752598686</v>
      </c>
      <c r="HE177" s="150">
        <f t="shared" si="847"/>
        <v>138.25363825363877</v>
      </c>
      <c r="HF177" s="150">
        <f t="shared" si="848"/>
        <v>691.26819126819373</v>
      </c>
      <c r="HG177" s="150">
        <f t="shared" si="849"/>
        <v>691.26819126819373</v>
      </c>
      <c r="HH177" s="150">
        <f t="shared" si="850"/>
        <v>138.25363825363863</v>
      </c>
      <c r="HI177" s="150">
        <f t="shared" si="851"/>
        <v>-2.636779683484744E-12</v>
      </c>
      <c r="HJ177" s="150">
        <f t="shared" si="852"/>
        <v>98.752598752598644</v>
      </c>
      <c r="HK177" s="150">
        <f t="shared" si="853"/>
        <v>0</v>
      </c>
      <c r="HL177" s="26"/>
      <c r="HN177" s="147">
        <f t="shared" si="854"/>
        <v>1869.0228690228666</v>
      </c>
      <c r="HO177" s="147">
        <f t="shared" si="855"/>
        <v>257.79625779625729</v>
      </c>
      <c r="HP177" s="147">
        <f t="shared" si="856"/>
        <v>2416.8399168399146</v>
      </c>
      <c r="HQ177" s="147">
        <f t="shared" si="857"/>
        <v>644.49064449064349</v>
      </c>
      <c r="HR177" s="147">
        <f t="shared" si="858"/>
        <v>161.12266112266104</v>
      </c>
      <c r="HS177" s="147">
        <f t="shared" si="859"/>
        <v>4672.5571725571581</v>
      </c>
      <c r="HT177" s="147">
        <f t="shared" si="860"/>
        <v>1482.3284823284828</v>
      </c>
      <c r="HU177" s="147">
        <f t="shared" si="861"/>
        <v>161.12266112266093</v>
      </c>
      <c r="HV177" s="147">
        <f t="shared" si="862"/>
        <v>161.1226611226609</v>
      </c>
      <c r="HW177" s="147">
        <f t="shared" si="863"/>
        <v>435.0311850311852</v>
      </c>
      <c r="HX177" s="147">
        <f t="shared" si="864"/>
        <v>2900.2079002079076</v>
      </c>
      <c r="HY177" s="147">
        <f t="shared" si="865"/>
        <v>1127.858627858632</v>
      </c>
      <c r="HZ177" s="147">
        <f t="shared" si="866"/>
        <v>2094.5945945945946</v>
      </c>
      <c r="IA177" s="147">
        <f t="shared" si="867"/>
        <v>2094.5945945945946</v>
      </c>
      <c r="IB177" s="147">
        <f t="shared" si="868"/>
        <v>3480.2494802494807</v>
      </c>
      <c r="IC177" s="147">
        <f t="shared" si="869"/>
        <v>2642.4116424116482</v>
      </c>
      <c r="ID177" s="147">
        <f t="shared" si="870"/>
        <v>241.68399168399148</v>
      </c>
      <c r="IE177" s="147">
        <f t="shared" si="871"/>
        <v>1127.858627858632</v>
      </c>
      <c r="IF177" s="147">
        <f t="shared" si="872"/>
        <v>161.12266112266104</v>
      </c>
      <c r="IG177" s="147">
        <f t="shared" si="873"/>
        <v>225.57172557172643</v>
      </c>
      <c r="IH177" s="147">
        <f t="shared" si="874"/>
        <v>1127.858627858632</v>
      </c>
      <c r="II177" s="147">
        <f t="shared" si="875"/>
        <v>1127.858627858632</v>
      </c>
      <c r="IJ177" s="147">
        <f t="shared" si="876"/>
        <v>225.5717255717262</v>
      </c>
      <c r="IK177" s="147">
        <f t="shared" si="877"/>
        <v>-4.3021142204224776E-12</v>
      </c>
      <c r="IL177" s="147">
        <f t="shared" si="878"/>
        <v>161.12266112266096</v>
      </c>
      <c r="IM177" s="147">
        <f t="shared" si="879"/>
        <v>0</v>
      </c>
      <c r="IN177" s="26"/>
      <c r="IP177" s="61">
        <f t="shared" si="880"/>
        <v>2110.187110187107</v>
      </c>
      <c r="IQ177" s="61">
        <f t="shared" si="881"/>
        <v>291.06029106029041</v>
      </c>
      <c r="IR177" s="61">
        <f t="shared" si="882"/>
        <v>2728.6902286902255</v>
      </c>
      <c r="IS177" s="61">
        <f t="shared" si="883"/>
        <v>727.65072765072637</v>
      </c>
      <c r="IT177" s="61">
        <f t="shared" si="884"/>
        <v>181.91268191268179</v>
      </c>
      <c r="IU177" s="61">
        <f t="shared" si="885"/>
        <v>5275.4677754677577</v>
      </c>
      <c r="IV177" s="61">
        <f t="shared" si="886"/>
        <v>1673.5966735966738</v>
      </c>
      <c r="IW177" s="61">
        <f t="shared" si="887"/>
        <v>181.91268191268165</v>
      </c>
      <c r="IX177" s="61">
        <f t="shared" si="888"/>
        <v>181.91268191268162</v>
      </c>
      <c r="IY177" s="61">
        <f t="shared" si="889"/>
        <v>491.16424116424122</v>
      </c>
      <c r="IZ177" s="61">
        <f t="shared" si="890"/>
        <v>3274.4282744282818</v>
      </c>
      <c r="JA177" s="61">
        <f t="shared" si="891"/>
        <v>1273.3887733887777</v>
      </c>
      <c r="JB177" s="61">
        <f t="shared" si="892"/>
        <v>2364.8648648648646</v>
      </c>
      <c r="JC177" s="61">
        <f t="shared" si="893"/>
        <v>2364.8648648648646</v>
      </c>
      <c r="JD177" s="61">
        <f t="shared" si="894"/>
        <v>3929.3139293139293</v>
      </c>
      <c r="JE177" s="61">
        <f t="shared" si="895"/>
        <v>2983.3679833679894</v>
      </c>
      <c r="JF177" s="61">
        <f t="shared" si="896"/>
        <v>272.86902286902256</v>
      </c>
      <c r="JG177" s="61">
        <f t="shared" si="897"/>
        <v>1273.3887733887777</v>
      </c>
      <c r="JH177" s="61">
        <f t="shared" si="898"/>
        <v>181.91268191268179</v>
      </c>
      <c r="JI177" s="61">
        <f t="shared" si="899"/>
        <v>254.67775467775562</v>
      </c>
      <c r="JJ177" s="61">
        <f t="shared" si="900"/>
        <v>1273.3887733887777</v>
      </c>
      <c r="JK177" s="61">
        <f t="shared" si="901"/>
        <v>1273.3887733887777</v>
      </c>
      <c r="JL177" s="61">
        <f t="shared" si="902"/>
        <v>254.67775467775533</v>
      </c>
      <c r="JM177" s="61">
        <f t="shared" si="903"/>
        <v>-4.8572257327350542E-12</v>
      </c>
      <c r="JN177" s="61">
        <f t="shared" si="904"/>
        <v>181.91268191268171</v>
      </c>
      <c r="JO177" s="61">
        <f t="shared" si="905"/>
        <v>0</v>
      </c>
      <c r="JQ177" s="26">
        <f t="shared" si="769"/>
        <v>100000.00000000003</v>
      </c>
      <c r="JR177" s="156">
        <f t="shared" si="770"/>
        <v>1.0000000000000002</v>
      </c>
      <c r="JT177" s="157">
        <f t="shared" si="906"/>
        <v>6029.1060291060203</v>
      </c>
      <c r="JU177" s="29">
        <f t="shared" si="907"/>
        <v>1</v>
      </c>
    </row>
    <row r="178" spans="1:281" ht="18.75" x14ac:dyDescent="0.3">
      <c r="A178" t="s">
        <v>234</v>
      </c>
      <c r="B178" s="10" t="s">
        <v>225</v>
      </c>
      <c r="C178" t="s">
        <v>319</v>
      </c>
      <c r="D178" t="s">
        <v>149</v>
      </c>
      <c r="E178" t="s">
        <v>308</v>
      </c>
      <c r="F178" s="114"/>
      <c r="G178" s="17">
        <v>100000</v>
      </c>
      <c r="H178" s="21">
        <v>62500</v>
      </c>
      <c r="I178" s="25">
        <f t="shared" si="713"/>
        <v>1.6</v>
      </c>
      <c r="J178" s="105">
        <v>6.0291060291060267E-2</v>
      </c>
      <c r="K178" s="105">
        <v>8.3160083160083182E-3</v>
      </c>
      <c r="L178" s="105">
        <v>7.7962577962577842E-2</v>
      </c>
      <c r="M178" s="105">
        <v>2.0790020790020777E-2</v>
      </c>
      <c r="N178" s="105">
        <v>5.1975051975051987E-3</v>
      </c>
      <c r="O178" s="105">
        <v>0.15072765072765021</v>
      </c>
      <c r="P178" s="105">
        <v>4.7817047817047757E-2</v>
      </c>
      <c r="Q178" s="105">
        <v>5.19750519750519E-3</v>
      </c>
      <c r="R178" s="105">
        <v>5.19750519750519E-3</v>
      </c>
      <c r="S178" s="105">
        <v>1.403326403326405E-2</v>
      </c>
      <c r="T178" s="105">
        <v>9.3555093555093657E-2</v>
      </c>
      <c r="U178" s="105">
        <v>3.6382536382536454E-2</v>
      </c>
      <c r="V178" s="105">
        <v>6.7567567567567682E-2</v>
      </c>
      <c r="W178" s="105">
        <v>6.7567567567567544E-2</v>
      </c>
      <c r="X178" s="105">
        <v>0.11226611226611227</v>
      </c>
      <c r="Y178" s="105">
        <v>8.523908523908541E-2</v>
      </c>
      <c r="Z178" s="105">
        <v>7.7962577962577889E-3</v>
      </c>
      <c r="AA178" s="105">
        <v>3.6382536382536503E-2</v>
      </c>
      <c r="AB178" s="105">
        <v>5.1975051975051943E-3</v>
      </c>
      <c r="AC178" s="105">
        <v>7.2765072765072969E-3</v>
      </c>
      <c r="AD178" s="105">
        <v>3.6382536382536364E-2</v>
      </c>
      <c r="AE178" s="105">
        <v>3.6382536382536503E-2</v>
      </c>
      <c r="AF178" s="105">
        <v>7.2765072765073021E-3</v>
      </c>
      <c r="AG178" s="105">
        <v>-1.3877787807814432E-16</v>
      </c>
      <c r="AH178" s="105">
        <v>5.1975051975051883E-3</v>
      </c>
      <c r="AJ178" s="8">
        <f t="shared" si="740"/>
        <v>0.99999999999999989</v>
      </c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159"/>
      <c r="BH178" s="159"/>
      <c r="BI178" s="159"/>
      <c r="BJ178" s="159"/>
      <c r="BM178" s="26">
        <f t="shared" si="741"/>
        <v>6029.1060291060267</v>
      </c>
      <c r="BN178" s="26">
        <f t="shared" si="742"/>
        <v>831.60083160083184</v>
      </c>
      <c r="BO178" s="26">
        <f t="shared" si="743"/>
        <v>7796.2577962577843</v>
      </c>
      <c r="BP178" s="26">
        <f t="shared" si="744"/>
        <v>2079.0020790020776</v>
      </c>
      <c r="BQ178" s="26">
        <f t="shared" si="745"/>
        <v>519.75051975051986</v>
      </c>
      <c r="BR178" s="26">
        <f t="shared" si="746"/>
        <v>15072.765072765022</v>
      </c>
      <c r="BS178" s="26">
        <f t="shared" si="747"/>
        <v>4781.704781704776</v>
      </c>
      <c r="BT178" s="26">
        <f t="shared" si="748"/>
        <v>519.75051975051895</v>
      </c>
      <c r="BU178" s="26">
        <f t="shared" si="749"/>
        <v>519.75051975051895</v>
      </c>
      <c r="BV178" s="26">
        <f t="shared" si="750"/>
        <v>1403.3264033264049</v>
      </c>
      <c r="BW178" s="26">
        <f t="shared" si="751"/>
        <v>9355.5093555093663</v>
      </c>
      <c r="BX178" s="26">
        <f t="shared" si="752"/>
        <v>3638.2536382536455</v>
      </c>
      <c r="BY178" s="26">
        <f t="shared" si="753"/>
        <v>6756.7567567567685</v>
      </c>
      <c r="BZ178" s="26">
        <f t="shared" si="754"/>
        <v>6756.7567567567539</v>
      </c>
      <c r="CA178" s="26">
        <f t="shared" si="755"/>
        <v>11226.611226611227</v>
      </c>
      <c r="CB178" s="26">
        <f t="shared" si="756"/>
        <v>8523.9085239085416</v>
      </c>
      <c r="CC178" s="26">
        <f t="shared" si="757"/>
        <v>779.62577962577893</v>
      </c>
      <c r="CD178" s="26">
        <f t="shared" si="758"/>
        <v>3638.2536382536505</v>
      </c>
      <c r="CE178" s="26">
        <f t="shared" si="759"/>
        <v>519.7505197505194</v>
      </c>
      <c r="CF178" s="26">
        <f t="shared" si="760"/>
        <v>727.65072765072966</v>
      </c>
      <c r="CG178" s="26">
        <f t="shared" si="761"/>
        <v>3638.2536382536364</v>
      </c>
      <c r="CH178" s="26">
        <f t="shared" si="762"/>
        <v>3638.2536382536505</v>
      </c>
      <c r="CI178" s="26">
        <f t="shared" si="763"/>
        <v>727.65072765073023</v>
      </c>
      <c r="CJ178" s="26">
        <f t="shared" si="764"/>
        <v>-1.3877787807814433E-11</v>
      </c>
      <c r="CK178" s="26">
        <f t="shared" si="765"/>
        <v>519.75051975051883</v>
      </c>
      <c r="CL178" s="26">
        <f t="shared" si="766"/>
        <v>0</v>
      </c>
      <c r="CM178" s="110">
        <f t="shared" si="767"/>
        <v>1</v>
      </c>
      <c r="CN178" s="27">
        <f t="shared" si="933"/>
        <v>3768.1912681912668</v>
      </c>
      <c r="CO178" s="27">
        <f t="shared" si="908"/>
        <v>519.75051975051986</v>
      </c>
      <c r="CP178" s="27">
        <f t="shared" si="909"/>
        <v>4872.6611226611149</v>
      </c>
      <c r="CQ178" s="27">
        <f t="shared" si="910"/>
        <v>1299.3762993762987</v>
      </c>
      <c r="CR178" s="27">
        <f t="shared" si="911"/>
        <v>324.8440748440749</v>
      </c>
      <c r="CS178" s="27">
        <f t="shared" si="912"/>
        <v>9420.4781704781381</v>
      </c>
      <c r="CT178" s="27">
        <f t="shared" si="913"/>
        <v>2988.5654885654849</v>
      </c>
      <c r="CU178" s="27">
        <f t="shared" si="914"/>
        <v>324.84407484407438</v>
      </c>
      <c r="CV178" s="27">
        <f t="shared" si="915"/>
        <v>324.84407484407438</v>
      </c>
      <c r="CW178" s="27">
        <f t="shared" si="916"/>
        <v>877.07900207900309</v>
      </c>
      <c r="CX178" s="27">
        <f t="shared" si="917"/>
        <v>5847.1933471933535</v>
      </c>
      <c r="CY178" s="27">
        <f t="shared" si="918"/>
        <v>2273.9085239085284</v>
      </c>
      <c r="CZ178" s="27">
        <f t="shared" si="919"/>
        <v>4222.9729729729797</v>
      </c>
      <c r="DA178" s="27">
        <f t="shared" si="920"/>
        <v>4222.9729729729715</v>
      </c>
      <c r="DB178" s="27">
        <f t="shared" si="921"/>
        <v>7016.6320166320174</v>
      </c>
      <c r="DC178" s="27">
        <f t="shared" si="922"/>
        <v>5327.4428274428383</v>
      </c>
      <c r="DD178" s="27">
        <f t="shared" si="923"/>
        <v>487.2661122661118</v>
      </c>
      <c r="DE178" s="27">
        <f t="shared" si="924"/>
        <v>2273.9085239085316</v>
      </c>
      <c r="DF178" s="27">
        <f t="shared" si="925"/>
        <v>324.84407484407467</v>
      </c>
      <c r="DG178" s="27">
        <f t="shared" si="926"/>
        <v>454.78170478170603</v>
      </c>
      <c r="DH178" s="27">
        <f t="shared" si="927"/>
        <v>2273.9085239085225</v>
      </c>
      <c r="DI178" s="27">
        <f t="shared" si="928"/>
        <v>2273.9085239085316</v>
      </c>
      <c r="DJ178" s="27">
        <f t="shared" si="929"/>
        <v>454.78170478170637</v>
      </c>
      <c r="DK178" s="27">
        <f t="shared" si="930"/>
        <v>-8.6736173798840193E-12</v>
      </c>
      <c r="DL178" s="27">
        <f t="shared" si="931"/>
        <v>324.84407484407427</v>
      </c>
      <c r="DM178" s="27">
        <f t="shared" si="932"/>
        <v>0</v>
      </c>
      <c r="DN178" s="110">
        <f t="shared" si="768"/>
        <v>0.99999999999999989</v>
      </c>
      <c r="DO178" s="28">
        <f t="shared" si="771"/>
        <v>2260.9147609147599</v>
      </c>
      <c r="DP178" s="28">
        <f t="shared" si="772"/>
        <v>311.85031185031198</v>
      </c>
      <c r="DQ178" s="28">
        <f t="shared" si="773"/>
        <v>2923.5966735966695</v>
      </c>
      <c r="DR178" s="28">
        <f t="shared" si="774"/>
        <v>779.62577962577893</v>
      </c>
      <c r="DS178" s="28">
        <f t="shared" si="775"/>
        <v>194.90644490644496</v>
      </c>
      <c r="DT178" s="28">
        <f t="shared" si="776"/>
        <v>5652.2869022868836</v>
      </c>
      <c r="DU178" s="28">
        <f t="shared" si="777"/>
        <v>1793.1392931392911</v>
      </c>
      <c r="DV178" s="28">
        <f t="shared" si="778"/>
        <v>194.90644490644456</v>
      </c>
      <c r="DW178" s="28">
        <f t="shared" si="779"/>
        <v>194.90644490644456</v>
      </c>
      <c r="DX178" s="28">
        <f t="shared" si="780"/>
        <v>526.24740124740185</v>
      </c>
      <c r="DY178" s="28">
        <f t="shared" si="781"/>
        <v>3508.3160083160128</v>
      </c>
      <c r="DZ178" s="28">
        <f t="shared" si="782"/>
        <v>1364.3451143451171</v>
      </c>
      <c r="EA178" s="28">
        <f t="shared" si="783"/>
        <v>2533.7837837837887</v>
      </c>
      <c r="EB178" s="28">
        <f t="shared" si="784"/>
        <v>2533.7837837837824</v>
      </c>
      <c r="EC178" s="28">
        <f t="shared" si="785"/>
        <v>4209.9792099792094</v>
      </c>
      <c r="ED178" s="28">
        <f t="shared" si="786"/>
        <v>3196.4656964657033</v>
      </c>
      <c r="EE178" s="28">
        <f t="shared" si="787"/>
        <v>292.35966735966713</v>
      </c>
      <c r="EF178" s="28">
        <f t="shared" si="788"/>
        <v>1364.3451143451189</v>
      </c>
      <c r="EG178" s="28">
        <f t="shared" si="789"/>
        <v>194.90644490644473</v>
      </c>
      <c r="EH178" s="28">
        <f t="shared" si="790"/>
        <v>272.86902286902364</v>
      </c>
      <c r="EI178" s="28">
        <f t="shared" si="791"/>
        <v>1364.3451143451139</v>
      </c>
      <c r="EJ178" s="28">
        <f t="shared" si="792"/>
        <v>1364.3451143451189</v>
      </c>
      <c r="EK178" s="28">
        <f t="shared" si="793"/>
        <v>272.86902286902387</v>
      </c>
      <c r="EL178" s="28">
        <f t="shared" si="794"/>
        <v>-5.2041704279304132E-12</v>
      </c>
      <c r="EM178" s="28">
        <f t="shared" si="795"/>
        <v>194.90644490644456</v>
      </c>
      <c r="EN178" s="28">
        <f t="shared" si="796"/>
        <v>0</v>
      </c>
      <c r="EQ178" s="144">
        <v>0.04</v>
      </c>
      <c r="ER178" s="144">
        <v>0.05</v>
      </c>
      <c r="ES178" s="144">
        <v>0.06</v>
      </c>
      <c r="ET178" s="144">
        <v>0.05</v>
      </c>
      <c r="EU178" s="144">
        <v>0.06</v>
      </c>
      <c r="EV178" s="144">
        <v>0.08</v>
      </c>
      <c r="EW178" s="144">
        <v>7.0000000000000007E-2</v>
      </c>
      <c r="EX178" s="144">
        <v>0.1</v>
      </c>
      <c r="EY178" s="144">
        <v>0.14000000000000001</v>
      </c>
      <c r="EZ178" s="144">
        <v>0.14000000000000001</v>
      </c>
      <c r="FA178" s="144">
        <v>0.12</v>
      </c>
      <c r="FB178" s="144">
        <v>0.09</v>
      </c>
      <c r="FC178" s="145">
        <f t="shared" si="797"/>
        <v>1</v>
      </c>
      <c r="FD178" s="146">
        <f t="shared" si="935"/>
        <v>0.15</v>
      </c>
      <c r="FE178" s="146">
        <f t="shared" si="936"/>
        <v>0.19</v>
      </c>
      <c r="FF178" s="146">
        <f t="shared" si="937"/>
        <v>0.31000000000000005</v>
      </c>
      <c r="FG178" s="146">
        <f t="shared" si="938"/>
        <v>0.35</v>
      </c>
      <c r="FH178" s="145">
        <f t="shared" si="939"/>
        <v>1</v>
      </c>
      <c r="FJ178" s="52">
        <f t="shared" si="802"/>
        <v>904.36590436590393</v>
      </c>
      <c r="FK178" s="52">
        <f t="shared" si="803"/>
        <v>124.74012474012477</v>
      </c>
      <c r="FL178" s="52">
        <f t="shared" si="804"/>
        <v>1169.4386694386676</v>
      </c>
      <c r="FM178" s="52">
        <f t="shared" si="805"/>
        <v>311.85031185031164</v>
      </c>
      <c r="FN178" s="52">
        <f t="shared" si="806"/>
        <v>77.962577962577981</v>
      </c>
      <c r="FO178" s="52">
        <f t="shared" si="807"/>
        <v>2260.9147609147531</v>
      </c>
      <c r="FP178" s="52">
        <f t="shared" si="808"/>
        <v>717.25571725571638</v>
      </c>
      <c r="FQ178" s="52">
        <f t="shared" si="809"/>
        <v>77.962577962577839</v>
      </c>
      <c r="FR178" s="52">
        <f t="shared" si="810"/>
        <v>77.962577962577839</v>
      </c>
      <c r="FS178" s="52">
        <f t="shared" si="811"/>
        <v>210.49896049896074</v>
      </c>
      <c r="FT178" s="52">
        <f t="shared" si="812"/>
        <v>1403.3264033264049</v>
      </c>
      <c r="FU178" s="52">
        <f t="shared" si="813"/>
        <v>545.73804573804682</v>
      </c>
      <c r="FV178" s="52">
        <f t="shared" si="814"/>
        <v>1013.5135135135152</v>
      </c>
      <c r="FW178" s="52">
        <f t="shared" si="815"/>
        <v>1013.5135135135131</v>
      </c>
      <c r="FX178" s="52">
        <f t="shared" si="816"/>
        <v>1683.9916839916839</v>
      </c>
      <c r="FY178" s="52">
        <f t="shared" si="817"/>
        <v>1278.5862785862812</v>
      </c>
      <c r="FZ178" s="52">
        <f t="shared" si="818"/>
        <v>116.94386694386684</v>
      </c>
      <c r="GA178" s="52">
        <f t="shared" si="819"/>
        <v>545.7380457380475</v>
      </c>
      <c r="GB178" s="52">
        <f t="shared" si="820"/>
        <v>77.96257796257791</v>
      </c>
      <c r="GC178" s="52">
        <f t="shared" si="821"/>
        <v>109.14760914760944</v>
      </c>
      <c r="GD178" s="52">
        <f t="shared" si="822"/>
        <v>545.73804573804546</v>
      </c>
      <c r="GE178" s="52">
        <f t="shared" si="823"/>
        <v>545.7380457380475</v>
      </c>
      <c r="GF178" s="52">
        <f t="shared" si="824"/>
        <v>109.14760914760953</v>
      </c>
      <c r="GG178" s="52">
        <f t="shared" si="825"/>
        <v>-2.0816681711721649E-12</v>
      </c>
      <c r="GH178" s="52">
        <f t="shared" si="826"/>
        <v>77.962577962577825</v>
      </c>
      <c r="GI178" s="52">
        <f t="shared" si="827"/>
        <v>0</v>
      </c>
      <c r="GJ178" s="26"/>
      <c r="GL178" s="150">
        <f t="shared" si="828"/>
        <v>1145.5301455301451</v>
      </c>
      <c r="GM178" s="150">
        <f t="shared" si="829"/>
        <v>158.00415800415806</v>
      </c>
      <c r="GN178" s="150">
        <f t="shared" si="830"/>
        <v>1481.2889812889791</v>
      </c>
      <c r="GO178" s="150">
        <f t="shared" si="831"/>
        <v>395.01039501039475</v>
      </c>
      <c r="GP178" s="150">
        <f t="shared" si="832"/>
        <v>98.752598752598772</v>
      </c>
      <c r="GQ178" s="150">
        <f t="shared" si="833"/>
        <v>2863.8253638253541</v>
      </c>
      <c r="GR178" s="150">
        <f t="shared" si="834"/>
        <v>908.52390852390749</v>
      </c>
      <c r="GS178" s="150">
        <f t="shared" si="835"/>
        <v>98.752598752598601</v>
      </c>
      <c r="GT178" s="150">
        <f t="shared" si="836"/>
        <v>98.752598752598601</v>
      </c>
      <c r="GU178" s="150">
        <f t="shared" si="837"/>
        <v>266.63201663201693</v>
      </c>
      <c r="GV178" s="150">
        <f t="shared" si="838"/>
        <v>1777.5467775467796</v>
      </c>
      <c r="GW178" s="150">
        <f t="shared" si="839"/>
        <v>691.2681912681926</v>
      </c>
      <c r="GX178" s="150">
        <f t="shared" si="840"/>
        <v>1283.783783783786</v>
      </c>
      <c r="GY178" s="150">
        <f t="shared" si="841"/>
        <v>1283.7837837837833</v>
      </c>
      <c r="GZ178" s="150">
        <f t="shared" si="842"/>
        <v>2133.0561330561331</v>
      </c>
      <c r="HA178" s="150">
        <f t="shared" si="843"/>
        <v>1619.542619542623</v>
      </c>
      <c r="HB178" s="150">
        <f t="shared" si="844"/>
        <v>148.12889812889799</v>
      </c>
      <c r="HC178" s="150">
        <f t="shared" si="845"/>
        <v>691.26819126819362</v>
      </c>
      <c r="HD178" s="150">
        <f t="shared" si="846"/>
        <v>98.752598752598686</v>
      </c>
      <c r="HE178" s="150">
        <f t="shared" si="847"/>
        <v>138.25363825363863</v>
      </c>
      <c r="HF178" s="150">
        <f t="shared" si="848"/>
        <v>691.26819126819089</v>
      </c>
      <c r="HG178" s="150">
        <f t="shared" si="849"/>
        <v>691.26819126819362</v>
      </c>
      <c r="HH178" s="150">
        <f t="shared" si="850"/>
        <v>138.25363825363874</v>
      </c>
      <c r="HI178" s="150">
        <f t="shared" si="851"/>
        <v>-2.6367796834847423E-12</v>
      </c>
      <c r="HJ178" s="150">
        <f t="shared" si="852"/>
        <v>98.752598752598573</v>
      </c>
      <c r="HK178" s="150">
        <f t="shared" si="853"/>
        <v>0</v>
      </c>
      <c r="HL178" s="26"/>
      <c r="HN178" s="147">
        <f t="shared" si="854"/>
        <v>1869.0228690228687</v>
      </c>
      <c r="HO178" s="147">
        <f t="shared" si="855"/>
        <v>257.79625779625792</v>
      </c>
      <c r="HP178" s="147">
        <f t="shared" si="856"/>
        <v>2416.8399168399137</v>
      </c>
      <c r="HQ178" s="147">
        <f t="shared" si="857"/>
        <v>644.49064449064417</v>
      </c>
      <c r="HR178" s="147">
        <f t="shared" si="858"/>
        <v>161.12266112266119</v>
      </c>
      <c r="HS178" s="147">
        <f t="shared" si="859"/>
        <v>4672.5571725571572</v>
      </c>
      <c r="HT178" s="147">
        <f t="shared" si="860"/>
        <v>1482.3284823284807</v>
      </c>
      <c r="HU178" s="147">
        <f t="shared" si="861"/>
        <v>161.1226611226609</v>
      </c>
      <c r="HV178" s="147">
        <f t="shared" si="862"/>
        <v>161.1226611226609</v>
      </c>
      <c r="HW178" s="147">
        <f t="shared" si="863"/>
        <v>435.0311850311856</v>
      </c>
      <c r="HX178" s="147">
        <f t="shared" si="864"/>
        <v>2900.207900207904</v>
      </c>
      <c r="HY178" s="147">
        <f t="shared" si="865"/>
        <v>1127.8586278586304</v>
      </c>
      <c r="HZ178" s="147">
        <f t="shared" si="866"/>
        <v>2094.5945945945987</v>
      </c>
      <c r="IA178" s="147">
        <f t="shared" si="867"/>
        <v>2094.5945945945941</v>
      </c>
      <c r="IB178" s="147">
        <f t="shared" si="868"/>
        <v>3480.2494802494807</v>
      </c>
      <c r="IC178" s="147">
        <f t="shared" si="869"/>
        <v>2642.4116424116482</v>
      </c>
      <c r="ID178" s="147">
        <f t="shared" si="870"/>
        <v>241.68399168399151</v>
      </c>
      <c r="IE178" s="147">
        <f t="shared" si="871"/>
        <v>1127.8586278586317</v>
      </c>
      <c r="IF178" s="147">
        <f t="shared" si="872"/>
        <v>161.12266112266104</v>
      </c>
      <c r="IG178" s="147">
        <f t="shared" si="873"/>
        <v>225.57172557172623</v>
      </c>
      <c r="IH178" s="147">
        <f t="shared" si="874"/>
        <v>1127.8586278586274</v>
      </c>
      <c r="II178" s="147">
        <f t="shared" si="875"/>
        <v>1127.8586278586317</v>
      </c>
      <c r="IJ178" s="147">
        <f t="shared" si="876"/>
        <v>225.5717255717264</v>
      </c>
      <c r="IK178" s="147">
        <f t="shared" si="877"/>
        <v>-4.3021142204224751E-12</v>
      </c>
      <c r="IL178" s="147">
        <f t="shared" si="878"/>
        <v>161.12266112266087</v>
      </c>
      <c r="IM178" s="147">
        <f t="shared" si="879"/>
        <v>0</v>
      </c>
      <c r="IN178" s="26"/>
      <c r="IP178" s="61">
        <f t="shared" si="880"/>
        <v>2110.1871101871093</v>
      </c>
      <c r="IQ178" s="61">
        <f t="shared" si="881"/>
        <v>291.06029106029115</v>
      </c>
      <c r="IR178" s="61">
        <f t="shared" si="882"/>
        <v>2728.6902286902246</v>
      </c>
      <c r="IS178" s="61">
        <f t="shared" si="883"/>
        <v>727.65072765072716</v>
      </c>
      <c r="IT178" s="61">
        <f t="shared" si="884"/>
        <v>181.91268191268193</v>
      </c>
      <c r="IU178" s="61">
        <f t="shared" si="885"/>
        <v>5275.4677754677568</v>
      </c>
      <c r="IV178" s="61">
        <f t="shared" si="886"/>
        <v>1673.5966735966715</v>
      </c>
      <c r="IW178" s="61">
        <f t="shared" si="887"/>
        <v>181.91268191268162</v>
      </c>
      <c r="IX178" s="61">
        <f t="shared" si="888"/>
        <v>181.91268191268162</v>
      </c>
      <c r="IY178" s="61">
        <f t="shared" si="889"/>
        <v>491.16424116424167</v>
      </c>
      <c r="IZ178" s="61">
        <f t="shared" si="890"/>
        <v>3274.4282744282782</v>
      </c>
      <c r="JA178" s="61">
        <f t="shared" si="891"/>
        <v>1273.3887733887759</v>
      </c>
      <c r="JB178" s="61">
        <f t="shared" si="892"/>
        <v>2364.8648648648687</v>
      </c>
      <c r="JC178" s="61">
        <f t="shared" si="893"/>
        <v>2364.8648648648636</v>
      </c>
      <c r="JD178" s="61">
        <f t="shared" si="894"/>
        <v>3929.3139293139293</v>
      </c>
      <c r="JE178" s="61">
        <f t="shared" si="895"/>
        <v>2983.3679833679894</v>
      </c>
      <c r="JF178" s="61">
        <f t="shared" si="896"/>
        <v>272.86902286902261</v>
      </c>
      <c r="JG178" s="61">
        <f t="shared" si="897"/>
        <v>1273.3887733887775</v>
      </c>
      <c r="JH178" s="61">
        <f t="shared" si="898"/>
        <v>181.91268191268179</v>
      </c>
      <c r="JI178" s="61">
        <f t="shared" si="899"/>
        <v>254.67775467775536</v>
      </c>
      <c r="JJ178" s="61">
        <f t="shared" si="900"/>
        <v>1273.3887733887727</v>
      </c>
      <c r="JK178" s="61">
        <f t="shared" si="901"/>
        <v>1273.3887733887775</v>
      </c>
      <c r="JL178" s="61">
        <f t="shared" si="902"/>
        <v>254.67775467775556</v>
      </c>
      <c r="JM178" s="61">
        <f t="shared" si="903"/>
        <v>-4.857225732735051E-12</v>
      </c>
      <c r="JN178" s="61">
        <f t="shared" si="904"/>
        <v>181.91268191268159</v>
      </c>
      <c r="JO178" s="61">
        <f t="shared" si="905"/>
        <v>0</v>
      </c>
      <c r="JQ178" s="26">
        <f t="shared" si="769"/>
        <v>99999.999999999971</v>
      </c>
      <c r="JR178" s="156">
        <f t="shared" si="770"/>
        <v>0.99999999999999967</v>
      </c>
      <c r="JT178" s="157">
        <f t="shared" si="906"/>
        <v>6029.1060291060267</v>
      </c>
      <c r="JU178" s="29">
        <f t="shared" si="907"/>
        <v>1</v>
      </c>
    </row>
    <row r="179" spans="1:281" ht="18.75" x14ac:dyDescent="0.3">
      <c r="A179" t="s">
        <v>234</v>
      </c>
      <c r="B179" s="10" t="s">
        <v>226</v>
      </c>
      <c r="C179" t="s">
        <v>84</v>
      </c>
      <c r="D179" t="s">
        <v>149</v>
      </c>
      <c r="E179" t="s">
        <v>309</v>
      </c>
      <c r="F179" s="114"/>
      <c r="G179" s="17">
        <v>870000</v>
      </c>
      <c r="H179" s="21">
        <v>644454.17563340499</v>
      </c>
      <c r="I179" s="25">
        <f t="shared" si="713"/>
        <v>1.3499796151447327</v>
      </c>
      <c r="J179" s="105">
        <v>6.0291060291060294E-2</v>
      </c>
      <c r="K179" s="105">
        <v>8.3160083160083425E-3</v>
      </c>
      <c r="L179" s="105">
        <v>7.7962577962577967E-2</v>
      </c>
      <c r="M179" s="105">
        <v>2.0790020790020809E-2</v>
      </c>
      <c r="N179" s="105">
        <v>5.1975051975052021E-3</v>
      </c>
      <c r="O179" s="105">
        <v>0.15072765072765079</v>
      </c>
      <c r="P179" s="105">
        <v>4.7817047817047729E-2</v>
      </c>
      <c r="Q179" s="105">
        <v>5.1975051975052021E-3</v>
      </c>
      <c r="R179" s="105">
        <v>5.1975051975052021E-3</v>
      </c>
      <c r="S179" s="105">
        <v>1.4033264033264031E-2</v>
      </c>
      <c r="T179" s="105">
        <v>9.3555093555093741E-2</v>
      </c>
      <c r="U179" s="105">
        <v>3.6382536382536364E-2</v>
      </c>
      <c r="V179" s="105">
        <v>6.7567567567567668E-2</v>
      </c>
      <c r="W179" s="105">
        <v>6.7567567567567696E-2</v>
      </c>
      <c r="X179" s="105">
        <v>0.11226611226611237</v>
      </c>
      <c r="Y179" s="105">
        <v>8.5239085239085063E-2</v>
      </c>
      <c r="Z179" s="105">
        <v>7.7962577962578166E-3</v>
      </c>
      <c r="AA179" s="105">
        <v>3.6382536382536336E-2</v>
      </c>
      <c r="AB179" s="105">
        <v>5.1975051975052039E-3</v>
      </c>
      <c r="AC179" s="105">
        <v>7.276507276507283E-3</v>
      </c>
      <c r="AD179" s="105">
        <v>3.6382536382536364E-2</v>
      </c>
      <c r="AE179" s="105">
        <v>3.6382536382536364E-2</v>
      </c>
      <c r="AF179" s="105">
        <v>7.2765072765072865E-3</v>
      </c>
      <c r="AG179" s="105">
        <v>-1.3877787807814457E-16</v>
      </c>
      <c r="AH179" s="105">
        <v>5.1975051975052047E-3</v>
      </c>
      <c r="AJ179" s="8">
        <f t="shared" ref="AJ179:AJ210" si="940">SUM(J179:AI179)</f>
        <v>1.0000000000000004</v>
      </c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159"/>
      <c r="BG179" s="159"/>
      <c r="BH179" s="159"/>
      <c r="BI179" s="159"/>
      <c r="BJ179" s="159"/>
      <c r="BM179" s="26">
        <f t="shared" si="741"/>
        <v>52453.222453222457</v>
      </c>
      <c r="BN179" s="26">
        <f t="shared" si="742"/>
        <v>7234.9272349272578</v>
      </c>
      <c r="BO179" s="26">
        <f t="shared" si="743"/>
        <v>67827.442827442836</v>
      </c>
      <c r="BP179" s="26">
        <f t="shared" si="744"/>
        <v>18087.318087318105</v>
      </c>
      <c r="BQ179" s="26">
        <f t="shared" si="745"/>
        <v>4521.8295218295261</v>
      </c>
      <c r="BR179" s="26">
        <f t="shared" si="746"/>
        <v>131133.05613305618</v>
      </c>
      <c r="BS179" s="26">
        <f t="shared" si="747"/>
        <v>41600.831600831523</v>
      </c>
      <c r="BT179" s="26">
        <f t="shared" si="748"/>
        <v>4521.8295218295261</v>
      </c>
      <c r="BU179" s="26">
        <f t="shared" si="749"/>
        <v>4521.8295218295261</v>
      </c>
      <c r="BV179" s="26">
        <f t="shared" si="750"/>
        <v>12208.939708939706</v>
      </c>
      <c r="BW179" s="26">
        <f t="shared" si="751"/>
        <v>81392.931392931554</v>
      </c>
      <c r="BX179" s="26">
        <f t="shared" si="752"/>
        <v>31652.806652806637</v>
      </c>
      <c r="BY179" s="26">
        <f t="shared" si="753"/>
        <v>58783.783783783874</v>
      </c>
      <c r="BZ179" s="26">
        <f t="shared" si="754"/>
        <v>58783.783783783896</v>
      </c>
      <c r="CA179" s="26">
        <f t="shared" si="755"/>
        <v>97671.517671517766</v>
      </c>
      <c r="CB179" s="26">
        <f t="shared" si="756"/>
        <v>74158.004158004012</v>
      </c>
      <c r="CC179" s="26">
        <f t="shared" si="757"/>
        <v>6782.7442827443001</v>
      </c>
      <c r="CD179" s="26">
        <f t="shared" si="758"/>
        <v>31652.806652806612</v>
      </c>
      <c r="CE179" s="26">
        <f t="shared" si="759"/>
        <v>4521.829521829527</v>
      </c>
      <c r="CF179" s="26">
        <f t="shared" si="760"/>
        <v>6330.561330561336</v>
      </c>
      <c r="CG179" s="26">
        <f t="shared" si="761"/>
        <v>31652.806652806637</v>
      </c>
      <c r="CH179" s="26">
        <f t="shared" si="762"/>
        <v>31652.806652806637</v>
      </c>
      <c r="CI179" s="26">
        <f t="shared" si="763"/>
        <v>6330.5613305613388</v>
      </c>
      <c r="CJ179" s="26">
        <f t="shared" si="764"/>
        <v>-1.2073675392798577E-10</v>
      </c>
      <c r="CK179" s="26">
        <f t="shared" si="765"/>
        <v>4521.8295218295279</v>
      </c>
      <c r="CL179" s="26">
        <f t="shared" si="766"/>
        <v>0</v>
      </c>
      <c r="CM179" s="110">
        <f t="shared" si="767"/>
        <v>0.99999999999999989</v>
      </c>
      <c r="CN179" s="27">
        <f t="shared" si="933"/>
        <v>38854.825557939177</v>
      </c>
      <c r="CO179" s="27">
        <f t="shared" si="908"/>
        <v>5359.2862838536967</v>
      </c>
      <c r="CP179" s="27">
        <f t="shared" si="909"/>
        <v>50243.308911128253</v>
      </c>
      <c r="CQ179" s="27">
        <f t="shared" si="910"/>
        <v>13398.215709634211</v>
      </c>
      <c r="CR179" s="27">
        <f t="shared" si="911"/>
        <v>3349.5539274085527</v>
      </c>
      <c r="CS179" s="27">
        <f t="shared" si="912"/>
        <v>97137.06389484799</v>
      </c>
      <c r="CT179" s="27">
        <f t="shared" si="913"/>
        <v>30815.896132158603</v>
      </c>
      <c r="CU179" s="27">
        <f t="shared" si="914"/>
        <v>3349.5539274085527</v>
      </c>
      <c r="CV179" s="27">
        <f t="shared" si="915"/>
        <v>3349.5539274085527</v>
      </c>
      <c r="CW179" s="27">
        <f t="shared" si="916"/>
        <v>9043.7956040030822</v>
      </c>
      <c r="CX179" s="27">
        <f t="shared" si="917"/>
        <v>60291.970693354015</v>
      </c>
      <c r="CY179" s="27">
        <f t="shared" si="918"/>
        <v>23446.877491859836</v>
      </c>
      <c r="CZ179" s="27">
        <f t="shared" si="919"/>
        <v>43544.201056311213</v>
      </c>
      <c r="DA179" s="27">
        <f t="shared" si="920"/>
        <v>43544.201056311227</v>
      </c>
      <c r="DB179" s="27">
        <f t="shared" si="921"/>
        <v>72350.364832024745</v>
      </c>
      <c r="DC179" s="27">
        <f t="shared" si="922"/>
        <v>54932.684409500107</v>
      </c>
      <c r="DD179" s="27">
        <f t="shared" si="923"/>
        <v>5024.3308911128379</v>
      </c>
      <c r="DE179" s="27">
        <f t="shared" si="924"/>
        <v>23446.877491859817</v>
      </c>
      <c r="DF179" s="27">
        <f t="shared" si="925"/>
        <v>3349.553927408554</v>
      </c>
      <c r="DG179" s="27">
        <f t="shared" si="926"/>
        <v>4689.3754983719737</v>
      </c>
      <c r="DH179" s="27">
        <f t="shared" si="927"/>
        <v>23446.877491859836</v>
      </c>
      <c r="DI179" s="27">
        <f t="shared" si="928"/>
        <v>23446.877491859836</v>
      </c>
      <c r="DJ179" s="27">
        <f t="shared" si="929"/>
        <v>4689.3754983719764</v>
      </c>
      <c r="DK179" s="27">
        <f t="shared" si="930"/>
        <v>-8.943598301300384E-11</v>
      </c>
      <c r="DL179" s="27">
        <f t="shared" si="931"/>
        <v>3349.5539274085545</v>
      </c>
      <c r="DM179" s="27">
        <f t="shared" si="932"/>
        <v>0</v>
      </c>
      <c r="DN179" s="110">
        <f t="shared" si="768"/>
        <v>1.0000000000000002</v>
      </c>
      <c r="DO179" s="28">
        <f t="shared" si="771"/>
        <v>13598.39689528328</v>
      </c>
      <c r="DP179" s="28">
        <f t="shared" si="772"/>
        <v>1875.6409510735612</v>
      </c>
      <c r="DQ179" s="28">
        <f t="shared" si="773"/>
        <v>17584.133916314582</v>
      </c>
      <c r="DR179" s="28">
        <f t="shared" si="774"/>
        <v>4689.1023776838938</v>
      </c>
      <c r="DS179" s="28">
        <f t="shared" si="775"/>
        <v>1172.2755944209734</v>
      </c>
      <c r="DT179" s="28">
        <f t="shared" si="776"/>
        <v>33995.992238208186</v>
      </c>
      <c r="DU179" s="28">
        <f t="shared" si="777"/>
        <v>10784.93546867292</v>
      </c>
      <c r="DV179" s="28">
        <f t="shared" si="778"/>
        <v>1172.2755944209734</v>
      </c>
      <c r="DW179" s="28">
        <f t="shared" si="779"/>
        <v>1172.2755944209734</v>
      </c>
      <c r="DX179" s="28">
        <f t="shared" si="780"/>
        <v>3165.144104936624</v>
      </c>
      <c r="DY179" s="28">
        <f t="shared" si="781"/>
        <v>21100.960699577539</v>
      </c>
      <c r="DZ179" s="28">
        <f t="shared" si="782"/>
        <v>8205.9291609468019</v>
      </c>
      <c r="EA179" s="28">
        <f t="shared" si="783"/>
        <v>15239.582727472662</v>
      </c>
      <c r="EB179" s="28">
        <f t="shared" si="784"/>
        <v>15239.582727472669</v>
      </c>
      <c r="EC179" s="28">
        <f t="shared" si="785"/>
        <v>25321.152839493021</v>
      </c>
      <c r="ED179" s="28">
        <f t="shared" si="786"/>
        <v>19225.319748503905</v>
      </c>
      <c r="EE179" s="28">
        <f t="shared" si="787"/>
        <v>1758.4133916314622</v>
      </c>
      <c r="EF179" s="28">
        <f t="shared" si="788"/>
        <v>8205.9291609467946</v>
      </c>
      <c r="EG179" s="28">
        <f t="shared" si="789"/>
        <v>1172.275594420973</v>
      </c>
      <c r="EH179" s="28">
        <f t="shared" si="790"/>
        <v>1641.1858321893624</v>
      </c>
      <c r="EI179" s="28">
        <f t="shared" si="791"/>
        <v>8205.9291609468019</v>
      </c>
      <c r="EJ179" s="28">
        <f t="shared" si="792"/>
        <v>8205.9291609468019</v>
      </c>
      <c r="EK179" s="28">
        <f t="shared" si="793"/>
        <v>1641.1858321893624</v>
      </c>
      <c r="EL179" s="28">
        <f t="shared" si="794"/>
        <v>-3.1300770914981934E-11</v>
      </c>
      <c r="EM179" s="28">
        <f t="shared" si="795"/>
        <v>1172.2755944209734</v>
      </c>
      <c r="EN179" s="28">
        <f t="shared" si="796"/>
        <v>0</v>
      </c>
      <c r="EQ179" s="144">
        <v>0.04</v>
      </c>
      <c r="ER179" s="144">
        <v>0.05</v>
      </c>
      <c r="ES179" s="144">
        <v>0.06</v>
      </c>
      <c r="ET179" s="144">
        <v>0.05</v>
      </c>
      <c r="EU179" s="144">
        <v>0.06</v>
      </c>
      <c r="EV179" s="144">
        <v>0.08</v>
      </c>
      <c r="EW179" s="144">
        <v>7.0000000000000007E-2</v>
      </c>
      <c r="EX179" s="144">
        <v>0.1</v>
      </c>
      <c r="EY179" s="144">
        <v>0.14000000000000001</v>
      </c>
      <c r="EZ179" s="144">
        <v>0.14000000000000001</v>
      </c>
      <c r="FA179" s="144">
        <v>0.12</v>
      </c>
      <c r="FB179" s="144">
        <v>0.09</v>
      </c>
      <c r="FC179" s="145">
        <f t="shared" si="797"/>
        <v>1</v>
      </c>
      <c r="FD179" s="146">
        <f t="shared" si="935"/>
        <v>0.15</v>
      </c>
      <c r="FE179" s="146">
        <f t="shared" si="936"/>
        <v>0.19</v>
      </c>
      <c r="FF179" s="146">
        <f t="shared" si="937"/>
        <v>0.31000000000000005</v>
      </c>
      <c r="FG179" s="146">
        <f t="shared" si="938"/>
        <v>0.35</v>
      </c>
      <c r="FH179" s="145">
        <f t="shared" si="939"/>
        <v>1</v>
      </c>
      <c r="FJ179" s="52">
        <f t="shared" si="802"/>
        <v>7867.9833679833682</v>
      </c>
      <c r="FK179" s="52">
        <f t="shared" si="803"/>
        <v>1085.2390852390886</v>
      </c>
      <c r="FL179" s="52">
        <f t="shared" si="804"/>
        <v>10174.116424116424</v>
      </c>
      <c r="FM179" s="52">
        <f t="shared" si="805"/>
        <v>2713.0977130977158</v>
      </c>
      <c r="FN179" s="52">
        <f t="shared" si="806"/>
        <v>678.27442827442894</v>
      </c>
      <c r="FO179" s="52">
        <f t="shared" si="807"/>
        <v>19669.958419958424</v>
      </c>
      <c r="FP179" s="52">
        <f t="shared" si="808"/>
        <v>6240.1247401247283</v>
      </c>
      <c r="FQ179" s="52">
        <f t="shared" si="809"/>
        <v>678.27442827442894</v>
      </c>
      <c r="FR179" s="52">
        <f t="shared" si="810"/>
        <v>678.27442827442894</v>
      </c>
      <c r="FS179" s="52">
        <f t="shared" si="811"/>
        <v>1831.3409563409559</v>
      </c>
      <c r="FT179" s="52">
        <f t="shared" si="812"/>
        <v>12208.939708939733</v>
      </c>
      <c r="FU179" s="52">
        <f t="shared" si="813"/>
        <v>4747.9209979209954</v>
      </c>
      <c r="FV179" s="52">
        <f t="shared" si="814"/>
        <v>8817.5675675675811</v>
      </c>
      <c r="FW179" s="52">
        <f t="shared" si="815"/>
        <v>8817.5675675675848</v>
      </c>
      <c r="FX179" s="52">
        <f t="shared" si="816"/>
        <v>14650.727650727664</v>
      </c>
      <c r="FY179" s="52">
        <f t="shared" si="817"/>
        <v>11123.700623700601</v>
      </c>
      <c r="FZ179" s="52">
        <f t="shared" si="818"/>
        <v>1017.4116424116449</v>
      </c>
      <c r="GA179" s="52">
        <f t="shared" si="819"/>
        <v>4747.9209979209918</v>
      </c>
      <c r="GB179" s="52">
        <f t="shared" si="820"/>
        <v>678.27442827442906</v>
      </c>
      <c r="GC179" s="52">
        <f t="shared" si="821"/>
        <v>949.58419958420041</v>
      </c>
      <c r="GD179" s="52">
        <f t="shared" si="822"/>
        <v>4747.9209979209954</v>
      </c>
      <c r="GE179" s="52">
        <f t="shared" si="823"/>
        <v>4747.9209979209954</v>
      </c>
      <c r="GF179" s="52">
        <f t="shared" si="824"/>
        <v>949.58419958420075</v>
      </c>
      <c r="GG179" s="52">
        <f t="shared" si="825"/>
        <v>-1.8110513089197866E-11</v>
      </c>
      <c r="GH179" s="52">
        <f t="shared" si="826"/>
        <v>678.27442827442917</v>
      </c>
      <c r="GI179" s="52">
        <f t="shared" si="827"/>
        <v>0</v>
      </c>
      <c r="GJ179" s="26"/>
      <c r="GL179" s="150">
        <f t="shared" si="828"/>
        <v>9966.1122661122663</v>
      </c>
      <c r="GM179" s="150">
        <f t="shared" si="829"/>
        <v>1374.636174636179</v>
      </c>
      <c r="GN179" s="150">
        <f t="shared" si="830"/>
        <v>12887.21413721414</v>
      </c>
      <c r="GO179" s="150">
        <f t="shared" si="831"/>
        <v>3436.5904365904398</v>
      </c>
      <c r="GP179" s="150">
        <f t="shared" si="832"/>
        <v>859.14760914760996</v>
      </c>
      <c r="GQ179" s="150">
        <f t="shared" si="833"/>
        <v>24915.280665280672</v>
      </c>
      <c r="GR179" s="150">
        <f t="shared" si="834"/>
        <v>7904.1580041579891</v>
      </c>
      <c r="GS179" s="150">
        <f t="shared" si="835"/>
        <v>859.14760914760996</v>
      </c>
      <c r="GT179" s="150">
        <f t="shared" si="836"/>
        <v>859.14760914760996</v>
      </c>
      <c r="GU179" s="150">
        <f t="shared" si="837"/>
        <v>2319.6985446985441</v>
      </c>
      <c r="GV179" s="150">
        <f t="shared" si="838"/>
        <v>15464.656964656995</v>
      </c>
      <c r="GW179" s="150">
        <f t="shared" si="839"/>
        <v>6014.0332640332608</v>
      </c>
      <c r="GX179" s="150">
        <f t="shared" si="840"/>
        <v>11168.918918918936</v>
      </c>
      <c r="GY179" s="150">
        <f t="shared" si="841"/>
        <v>11168.91891891894</v>
      </c>
      <c r="GZ179" s="150">
        <f t="shared" si="842"/>
        <v>18557.588357588374</v>
      </c>
      <c r="HA179" s="150">
        <f t="shared" si="843"/>
        <v>14090.020790020762</v>
      </c>
      <c r="HB179" s="150">
        <f t="shared" si="844"/>
        <v>1288.7214137214171</v>
      </c>
      <c r="HC179" s="150">
        <f t="shared" si="845"/>
        <v>6014.0332640332563</v>
      </c>
      <c r="HD179" s="150">
        <f t="shared" si="846"/>
        <v>859.14760914761018</v>
      </c>
      <c r="HE179" s="150">
        <f t="shared" si="847"/>
        <v>1202.8066528066538</v>
      </c>
      <c r="HF179" s="150">
        <f t="shared" si="848"/>
        <v>6014.0332640332608</v>
      </c>
      <c r="HG179" s="150">
        <f t="shared" si="849"/>
        <v>6014.0332640332608</v>
      </c>
      <c r="HH179" s="150">
        <f t="shared" si="850"/>
        <v>1202.8066528066545</v>
      </c>
      <c r="HI179" s="150">
        <f t="shared" si="851"/>
        <v>-2.2939983246317297E-11</v>
      </c>
      <c r="HJ179" s="150">
        <f t="shared" si="852"/>
        <v>859.1476091476103</v>
      </c>
      <c r="HK179" s="150">
        <f t="shared" si="853"/>
        <v>0</v>
      </c>
      <c r="HL179" s="26"/>
      <c r="HN179" s="147">
        <f t="shared" si="854"/>
        <v>16260.498960498964</v>
      </c>
      <c r="HO179" s="147">
        <f t="shared" si="855"/>
        <v>2242.8274428274503</v>
      </c>
      <c r="HP179" s="147">
        <f t="shared" si="856"/>
        <v>21026.507276507284</v>
      </c>
      <c r="HQ179" s="147">
        <f t="shared" si="857"/>
        <v>5607.0686070686133</v>
      </c>
      <c r="HR179" s="147">
        <f t="shared" si="858"/>
        <v>1401.7671517671533</v>
      </c>
      <c r="HS179" s="147">
        <f t="shared" si="859"/>
        <v>40651.247401247419</v>
      </c>
      <c r="HT179" s="147">
        <f t="shared" si="860"/>
        <v>12896.257796257774</v>
      </c>
      <c r="HU179" s="147">
        <f t="shared" si="861"/>
        <v>1401.7671517671533</v>
      </c>
      <c r="HV179" s="147">
        <f t="shared" si="862"/>
        <v>1401.7671517671533</v>
      </c>
      <c r="HW179" s="147">
        <f t="shared" si="863"/>
        <v>3784.7713097713095</v>
      </c>
      <c r="HX179" s="147">
        <f t="shared" si="864"/>
        <v>25231.808731808786</v>
      </c>
      <c r="HY179" s="147">
        <f t="shared" si="865"/>
        <v>9812.3700623700588</v>
      </c>
      <c r="HZ179" s="147">
        <f t="shared" si="866"/>
        <v>18222.972972973002</v>
      </c>
      <c r="IA179" s="147">
        <f t="shared" si="867"/>
        <v>18222.97297297301</v>
      </c>
      <c r="IB179" s="147">
        <f t="shared" si="868"/>
        <v>30278.170478170512</v>
      </c>
      <c r="IC179" s="147">
        <f t="shared" si="869"/>
        <v>22988.981288981249</v>
      </c>
      <c r="ID179" s="147">
        <f t="shared" si="870"/>
        <v>2102.6507276507332</v>
      </c>
      <c r="IE179" s="147">
        <f t="shared" si="871"/>
        <v>9812.3700623700515</v>
      </c>
      <c r="IF179" s="147">
        <f t="shared" si="872"/>
        <v>1401.7671517671536</v>
      </c>
      <c r="IG179" s="147">
        <f t="shared" si="873"/>
        <v>1962.4740124740144</v>
      </c>
      <c r="IH179" s="147">
        <f t="shared" si="874"/>
        <v>9812.3700623700588</v>
      </c>
      <c r="II179" s="147">
        <f t="shared" si="875"/>
        <v>9812.3700623700588</v>
      </c>
      <c r="IJ179" s="147">
        <f t="shared" si="876"/>
        <v>1962.4740124740154</v>
      </c>
      <c r="IK179" s="147">
        <f t="shared" si="877"/>
        <v>-3.7428393717675596E-11</v>
      </c>
      <c r="IL179" s="147">
        <f t="shared" si="878"/>
        <v>1401.7671517671538</v>
      </c>
      <c r="IM179" s="147">
        <f t="shared" si="879"/>
        <v>0</v>
      </c>
      <c r="IN179" s="26"/>
      <c r="IP179" s="61">
        <f t="shared" si="880"/>
        <v>18358.62785862786</v>
      </c>
      <c r="IQ179" s="61">
        <f t="shared" si="881"/>
        <v>2532.2245322245399</v>
      </c>
      <c r="IR179" s="61">
        <f t="shared" si="882"/>
        <v>23739.604989604992</v>
      </c>
      <c r="IS179" s="61">
        <f t="shared" si="883"/>
        <v>6330.561330561336</v>
      </c>
      <c r="IT179" s="61">
        <f t="shared" si="884"/>
        <v>1582.640332640334</v>
      </c>
      <c r="IU179" s="61">
        <f t="shared" si="885"/>
        <v>45896.56964656966</v>
      </c>
      <c r="IV179" s="61">
        <f t="shared" si="886"/>
        <v>14560.291060291032</v>
      </c>
      <c r="IW179" s="61">
        <f t="shared" si="887"/>
        <v>1582.640332640334</v>
      </c>
      <c r="IX179" s="61">
        <f t="shared" si="888"/>
        <v>1582.640332640334</v>
      </c>
      <c r="IY179" s="61">
        <f t="shared" si="889"/>
        <v>4273.1288981288972</v>
      </c>
      <c r="IZ179" s="61">
        <f t="shared" si="890"/>
        <v>28487.525987526042</v>
      </c>
      <c r="JA179" s="61">
        <f t="shared" si="891"/>
        <v>11078.482328482323</v>
      </c>
      <c r="JB179" s="61">
        <f t="shared" si="892"/>
        <v>20574.324324324356</v>
      </c>
      <c r="JC179" s="61">
        <f t="shared" si="893"/>
        <v>20574.324324324363</v>
      </c>
      <c r="JD179" s="61">
        <f t="shared" si="894"/>
        <v>34185.031185031214</v>
      </c>
      <c r="JE179" s="61">
        <f t="shared" si="895"/>
        <v>25955.301455301404</v>
      </c>
      <c r="JF179" s="61">
        <f t="shared" si="896"/>
        <v>2373.960498960505</v>
      </c>
      <c r="JG179" s="61">
        <f t="shared" si="897"/>
        <v>11078.482328482314</v>
      </c>
      <c r="JH179" s="61">
        <f t="shared" si="898"/>
        <v>1582.6403326403345</v>
      </c>
      <c r="JI179" s="61">
        <f t="shared" si="899"/>
        <v>2215.6964656964674</v>
      </c>
      <c r="JJ179" s="61">
        <f t="shared" si="900"/>
        <v>11078.482328482323</v>
      </c>
      <c r="JK179" s="61">
        <f t="shared" si="901"/>
        <v>11078.482328482323</v>
      </c>
      <c r="JL179" s="61">
        <f t="shared" si="902"/>
        <v>2215.6964656964683</v>
      </c>
      <c r="JM179" s="61">
        <f t="shared" si="903"/>
        <v>-4.2257863874795021E-11</v>
      </c>
      <c r="JN179" s="61">
        <f t="shared" si="904"/>
        <v>1582.6403326403347</v>
      </c>
      <c r="JO179" s="61">
        <f t="shared" si="905"/>
        <v>0</v>
      </c>
      <c r="JQ179" s="26">
        <f t="shared" si="769"/>
        <v>870000.00000000093</v>
      </c>
      <c r="JR179" s="156">
        <f t="shared" si="770"/>
        <v>1.0000000000000011</v>
      </c>
      <c r="JT179" s="157">
        <f t="shared" si="906"/>
        <v>52453.222453222457</v>
      </c>
      <c r="JU179" s="29">
        <f t="shared" si="907"/>
        <v>1</v>
      </c>
    </row>
    <row r="180" spans="1:281" ht="18.75" x14ac:dyDescent="0.3">
      <c r="A180" t="s">
        <v>234</v>
      </c>
      <c r="B180" s="10" t="s">
        <v>227</v>
      </c>
      <c r="C180" t="s">
        <v>84</v>
      </c>
      <c r="D180" t="s">
        <v>149</v>
      </c>
      <c r="E180" t="s">
        <v>310</v>
      </c>
      <c r="F180" s="114"/>
      <c r="G180" s="17">
        <v>700000</v>
      </c>
      <c r="H180" s="21">
        <v>518518.875</v>
      </c>
      <c r="I180" s="25">
        <f t="shared" si="713"/>
        <v>1.3499990718756381</v>
      </c>
      <c r="J180" s="105">
        <v>6.0291060291060308E-2</v>
      </c>
      <c r="K180" s="105">
        <v>8.3160083160083147E-3</v>
      </c>
      <c r="L180" s="105">
        <v>7.7962577962577995E-2</v>
      </c>
      <c r="M180" s="105">
        <v>2.0790020790020802E-2</v>
      </c>
      <c r="N180" s="105">
        <v>5.1975051975052073E-3</v>
      </c>
      <c r="O180" s="105">
        <v>0.1507276507276506</v>
      </c>
      <c r="P180" s="105">
        <v>4.7817047817047841E-2</v>
      </c>
      <c r="Q180" s="105">
        <v>5.1975051975051883E-3</v>
      </c>
      <c r="R180" s="105">
        <v>5.1975051975052004E-3</v>
      </c>
      <c r="S180" s="105">
        <v>1.4033264033264053E-2</v>
      </c>
      <c r="T180" s="105">
        <v>9.3555093555093574E-2</v>
      </c>
      <c r="U180" s="105">
        <v>3.6382536382536329E-2</v>
      </c>
      <c r="V180" s="105">
        <v>6.7567567567567613E-2</v>
      </c>
      <c r="W180" s="105">
        <v>6.7567567567567613E-2</v>
      </c>
      <c r="X180" s="105">
        <v>0.1122661122661122</v>
      </c>
      <c r="Y180" s="105">
        <v>8.5239085239085452E-2</v>
      </c>
      <c r="Z180" s="105">
        <v>7.7962577962577976E-3</v>
      </c>
      <c r="AA180" s="105">
        <v>3.6382536382536371E-2</v>
      </c>
      <c r="AB180" s="105">
        <v>5.1975051975051995E-3</v>
      </c>
      <c r="AC180" s="105">
        <v>7.2765072765072786E-3</v>
      </c>
      <c r="AD180" s="105">
        <v>3.6382536382536378E-2</v>
      </c>
      <c r="AE180" s="105">
        <v>3.6382536382536329E-2</v>
      </c>
      <c r="AF180" s="105">
        <v>7.2765072765072786E-3</v>
      </c>
      <c r="AG180" s="105">
        <v>-1.3877787807814432E-16</v>
      </c>
      <c r="AH180" s="105">
        <v>5.1975051975051969E-3</v>
      </c>
      <c r="AJ180" s="8">
        <f t="shared" si="940"/>
        <v>1</v>
      </c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159"/>
      <c r="BG180" s="159"/>
      <c r="BH180" s="159"/>
      <c r="BI180" s="159"/>
      <c r="BJ180" s="159"/>
      <c r="BM180" s="26">
        <f t="shared" ref="BM180:BM191" si="941">$G180*J180</f>
        <v>42203.742203742215</v>
      </c>
      <c r="BN180" s="26">
        <f t="shared" ref="BN180:BN191" si="942">$G180*K180</f>
        <v>5821.20582120582</v>
      </c>
      <c r="BO180" s="26">
        <f t="shared" ref="BO180:BO191" si="943">$G180*L180</f>
        <v>54573.804573804598</v>
      </c>
      <c r="BP180" s="26">
        <f t="shared" ref="BP180:BP191" si="944">$G180*M180</f>
        <v>14553.014553014562</v>
      </c>
      <c r="BQ180" s="26">
        <f t="shared" ref="BQ180:BQ191" si="945">$G180*N180</f>
        <v>3638.253638253645</v>
      </c>
      <c r="BR180" s="26">
        <f t="shared" ref="BR180:BR191" si="946">$G180*O180</f>
        <v>105509.35550935542</v>
      </c>
      <c r="BS180" s="26">
        <f t="shared" ref="BS180:BS191" si="947">$G180*P180</f>
        <v>33471.933471933487</v>
      </c>
      <c r="BT180" s="26">
        <f t="shared" ref="BT180:BT191" si="948">$G180*Q180</f>
        <v>3638.2536382536318</v>
      </c>
      <c r="BU180" s="26">
        <f t="shared" ref="BU180:BU191" si="949">$G180*R180</f>
        <v>3638.2536382536405</v>
      </c>
      <c r="BV180" s="26">
        <f t="shared" ref="BV180:BV191" si="950">$G180*S180</f>
        <v>9823.2848232848373</v>
      </c>
      <c r="BW180" s="26">
        <f t="shared" ref="BW180:BW191" si="951">$G180*T180</f>
        <v>65488.565488565502</v>
      </c>
      <c r="BX180" s="26">
        <f t="shared" ref="BX180:BX191" si="952">$G180*U180</f>
        <v>25467.775467775431</v>
      </c>
      <c r="BY180" s="26">
        <f t="shared" ref="BY180:BY191" si="953">$G180*V180</f>
        <v>47297.297297297329</v>
      </c>
      <c r="BZ180" s="26">
        <f t="shared" ref="BZ180:BZ191" si="954">$G180*W180</f>
        <v>47297.297297297329</v>
      </c>
      <c r="CA180" s="26">
        <f t="shared" ref="CA180:CA191" si="955">$G180*X180</f>
        <v>78586.278586278539</v>
      </c>
      <c r="CB180" s="26">
        <f t="shared" ref="CB180:CB191" si="956">$G180*Y180</f>
        <v>59667.359667359815</v>
      </c>
      <c r="CC180" s="26">
        <f t="shared" ref="CC180:CC191" si="957">$G180*Z180</f>
        <v>5457.3804573804582</v>
      </c>
      <c r="CD180" s="26">
        <f t="shared" ref="CD180:CD191" si="958">$G180*AA180</f>
        <v>25467.77546777546</v>
      </c>
      <c r="CE180" s="26">
        <f t="shared" ref="CE180:CE191" si="959">$G180*AB180</f>
        <v>3638.2536382536396</v>
      </c>
      <c r="CF180" s="26">
        <f t="shared" ref="CF180:CF191" si="960">$G180*AC180</f>
        <v>5093.5550935550955</v>
      </c>
      <c r="CG180" s="26">
        <f t="shared" ref="CG180:CG191" si="961">$G180*AD180</f>
        <v>25467.775467775464</v>
      </c>
      <c r="CH180" s="26">
        <f t="shared" ref="CH180:CH191" si="962">$G180*AE180</f>
        <v>25467.775467775431</v>
      </c>
      <c r="CI180" s="26">
        <f t="shared" ref="CI180:CI191" si="963">$G180*AF180</f>
        <v>5093.5550935550955</v>
      </c>
      <c r="CJ180" s="26">
        <f t="shared" ref="CJ180:CJ191" si="964">$G180*AG180</f>
        <v>-9.7144514654701029E-11</v>
      </c>
      <c r="CK180" s="26">
        <f t="shared" ref="CK180:CK191" si="965">$G180*AH180</f>
        <v>3638.2536382536377</v>
      </c>
      <c r="CL180" s="26">
        <f t="shared" ref="CL180:CL191" si="966">$G180*AI180</f>
        <v>0</v>
      </c>
      <c r="CM180" s="110">
        <f t="shared" ref="CM180:CM211" si="967">SUM(BM180:CL180)/G180</f>
        <v>0.99999999999999989</v>
      </c>
      <c r="CN180" s="27">
        <f t="shared" si="933"/>
        <v>31262.052754677763</v>
      </c>
      <c r="CO180" s="27">
        <f t="shared" si="908"/>
        <v>4312.0072765072755</v>
      </c>
      <c r="CP180" s="27">
        <f t="shared" si="909"/>
        <v>40425.068217255735</v>
      </c>
      <c r="CQ180" s="27">
        <f t="shared" si="910"/>
        <v>10780.018191268196</v>
      </c>
      <c r="CR180" s="27">
        <f t="shared" si="911"/>
        <v>2695.0045478170528</v>
      </c>
      <c r="CS180" s="27">
        <f t="shared" si="912"/>
        <v>78155.131886694318</v>
      </c>
      <c r="CT180" s="27">
        <f t="shared" si="913"/>
        <v>24794.041839916852</v>
      </c>
      <c r="CU180" s="27">
        <f t="shared" si="914"/>
        <v>2695.0045478170432</v>
      </c>
      <c r="CV180" s="27">
        <f t="shared" si="915"/>
        <v>2695.0045478170491</v>
      </c>
      <c r="CW180" s="27">
        <f t="shared" si="916"/>
        <v>7276.5122791060394</v>
      </c>
      <c r="CX180" s="27">
        <f t="shared" si="917"/>
        <v>48510.081860706872</v>
      </c>
      <c r="CY180" s="27">
        <f t="shared" si="918"/>
        <v>18865.031834719306</v>
      </c>
      <c r="CZ180" s="27">
        <f t="shared" si="919"/>
        <v>35035.059121621642</v>
      </c>
      <c r="DA180" s="27">
        <f t="shared" si="920"/>
        <v>35035.059121621642</v>
      </c>
      <c r="DB180" s="27">
        <f t="shared" si="921"/>
        <v>58212.098232848199</v>
      </c>
      <c r="DC180" s="27">
        <f t="shared" si="922"/>
        <v>44198.074584199698</v>
      </c>
      <c r="DD180" s="27">
        <f t="shared" si="923"/>
        <v>4042.5068217255725</v>
      </c>
      <c r="DE180" s="27">
        <f t="shared" si="924"/>
        <v>18865.031834719328</v>
      </c>
      <c r="DF180" s="27">
        <f t="shared" si="925"/>
        <v>2695.0045478170487</v>
      </c>
      <c r="DG180" s="27">
        <f t="shared" si="926"/>
        <v>3773.0063669438682</v>
      </c>
      <c r="DH180" s="27">
        <f t="shared" si="927"/>
        <v>18865.031834719332</v>
      </c>
      <c r="DI180" s="27">
        <f t="shared" si="928"/>
        <v>18865.031834719306</v>
      </c>
      <c r="DJ180" s="27">
        <f t="shared" si="929"/>
        <v>3773.0063669438682</v>
      </c>
      <c r="DK180" s="27">
        <f t="shared" si="930"/>
        <v>-7.1958949215966554E-11</v>
      </c>
      <c r="DL180" s="27">
        <f t="shared" si="931"/>
        <v>2695.0045478170473</v>
      </c>
      <c r="DM180" s="27">
        <f t="shared" si="932"/>
        <v>0</v>
      </c>
      <c r="DN180" s="110">
        <f t="shared" ref="DN180:DN211" si="968">SUM(CN180:DM180)/H180</f>
        <v>1.0000000000000002</v>
      </c>
      <c r="DO180" s="28">
        <f t="shared" si="771"/>
        <v>10941.689449064452</v>
      </c>
      <c r="DP180" s="28">
        <f t="shared" si="772"/>
        <v>1509.1985446985445</v>
      </c>
      <c r="DQ180" s="28">
        <f t="shared" si="773"/>
        <v>14148.736356548863</v>
      </c>
      <c r="DR180" s="28">
        <f t="shared" si="774"/>
        <v>3772.9963617463654</v>
      </c>
      <c r="DS180" s="28">
        <f t="shared" si="775"/>
        <v>943.24909043659227</v>
      </c>
      <c r="DT180" s="28">
        <f t="shared" si="776"/>
        <v>27354.223622661098</v>
      </c>
      <c r="DU180" s="28">
        <f t="shared" si="777"/>
        <v>8677.8916320166354</v>
      </c>
      <c r="DV180" s="28">
        <f t="shared" si="778"/>
        <v>943.24909043658863</v>
      </c>
      <c r="DW180" s="28">
        <f t="shared" si="779"/>
        <v>943.24909043659136</v>
      </c>
      <c r="DX180" s="28">
        <f t="shared" si="780"/>
        <v>2546.7725441787979</v>
      </c>
      <c r="DY180" s="28">
        <f t="shared" si="781"/>
        <v>16978.48362785863</v>
      </c>
      <c r="DZ180" s="28">
        <f t="shared" si="782"/>
        <v>6602.743633056125</v>
      </c>
      <c r="EA180" s="28">
        <f t="shared" si="783"/>
        <v>12262.238175675688</v>
      </c>
      <c r="EB180" s="28">
        <f t="shared" si="784"/>
        <v>12262.238175675688</v>
      </c>
      <c r="EC180" s="28">
        <f t="shared" si="785"/>
        <v>20374.18035343034</v>
      </c>
      <c r="ED180" s="28">
        <f t="shared" si="786"/>
        <v>15469.285083160117</v>
      </c>
      <c r="EE180" s="28">
        <f t="shared" si="787"/>
        <v>1414.8736356548857</v>
      </c>
      <c r="EF180" s="28">
        <f t="shared" si="788"/>
        <v>6602.7436330561322</v>
      </c>
      <c r="EG180" s="28">
        <f t="shared" si="789"/>
        <v>943.2490904365909</v>
      </c>
      <c r="EH180" s="28">
        <f t="shared" si="790"/>
        <v>1320.5487266112273</v>
      </c>
      <c r="EI180" s="28">
        <f t="shared" si="791"/>
        <v>6602.7436330561322</v>
      </c>
      <c r="EJ180" s="28">
        <f t="shared" si="792"/>
        <v>6602.743633056125</v>
      </c>
      <c r="EK180" s="28">
        <f t="shared" si="793"/>
        <v>1320.5487266112273</v>
      </c>
      <c r="EL180" s="28">
        <f t="shared" si="794"/>
        <v>-2.5185565438734475E-11</v>
      </c>
      <c r="EM180" s="28">
        <f t="shared" si="795"/>
        <v>943.24909043659045</v>
      </c>
      <c r="EN180" s="28">
        <f t="shared" si="796"/>
        <v>0</v>
      </c>
      <c r="EQ180" s="144">
        <v>0.04</v>
      </c>
      <c r="ER180" s="144">
        <v>0.05</v>
      </c>
      <c r="ES180" s="144">
        <v>0.06</v>
      </c>
      <c r="ET180" s="144">
        <v>0.05</v>
      </c>
      <c r="EU180" s="144">
        <v>0.06</v>
      </c>
      <c r="EV180" s="144">
        <v>0.08</v>
      </c>
      <c r="EW180" s="144">
        <v>7.0000000000000007E-2</v>
      </c>
      <c r="EX180" s="144">
        <v>0.1</v>
      </c>
      <c r="EY180" s="144">
        <v>0.14000000000000001</v>
      </c>
      <c r="EZ180" s="144">
        <v>0.14000000000000001</v>
      </c>
      <c r="FA180" s="144">
        <v>0.12</v>
      </c>
      <c r="FB180" s="144">
        <v>0.09</v>
      </c>
      <c r="FC180" s="145">
        <f t="shared" si="797"/>
        <v>1</v>
      </c>
      <c r="FD180" s="146">
        <f t="shared" si="935"/>
        <v>0.15</v>
      </c>
      <c r="FE180" s="146">
        <f t="shared" si="936"/>
        <v>0.19</v>
      </c>
      <c r="FF180" s="146">
        <f t="shared" si="937"/>
        <v>0.31000000000000005</v>
      </c>
      <c r="FG180" s="146">
        <f t="shared" si="938"/>
        <v>0.35</v>
      </c>
      <c r="FH180" s="145">
        <f t="shared" si="939"/>
        <v>1</v>
      </c>
      <c r="FJ180" s="52">
        <f t="shared" si="802"/>
        <v>6330.5613305613324</v>
      </c>
      <c r="FK180" s="52">
        <f t="shared" si="803"/>
        <v>873.18087318087294</v>
      </c>
      <c r="FL180" s="52">
        <f t="shared" si="804"/>
        <v>8186.0706860706896</v>
      </c>
      <c r="FM180" s="52">
        <f t="shared" si="805"/>
        <v>2182.9521829521841</v>
      </c>
      <c r="FN180" s="52">
        <f t="shared" si="806"/>
        <v>545.73804573804671</v>
      </c>
      <c r="FO180" s="52">
        <f t="shared" si="807"/>
        <v>15826.403326403311</v>
      </c>
      <c r="FP180" s="52">
        <f t="shared" si="808"/>
        <v>5020.7900207900229</v>
      </c>
      <c r="FQ180" s="52">
        <f t="shared" si="809"/>
        <v>545.73804573804478</v>
      </c>
      <c r="FR180" s="52">
        <f t="shared" si="810"/>
        <v>545.73804573804603</v>
      </c>
      <c r="FS180" s="52">
        <f t="shared" si="811"/>
        <v>1473.4927234927256</v>
      </c>
      <c r="FT180" s="52">
        <f t="shared" si="812"/>
        <v>9823.2848232848246</v>
      </c>
      <c r="FU180" s="52">
        <f t="shared" si="813"/>
        <v>3820.1663201663146</v>
      </c>
      <c r="FV180" s="52">
        <f t="shared" si="814"/>
        <v>7094.5945945945996</v>
      </c>
      <c r="FW180" s="52">
        <f t="shared" si="815"/>
        <v>7094.5945945945996</v>
      </c>
      <c r="FX180" s="52">
        <f t="shared" si="816"/>
        <v>11787.94178794178</v>
      </c>
      <c r="FY180" s="52">
        <f t="shared" si="817"/>
        <v>8950.1039501039722</v>
      </c>
      <c r="FZ180" s="52">
        <f t="shared" si="818"/>
        <v>818.60706860706875</v>
      </c>
      <c r="GA180" s="52">
        <f t="shared" si="819"/>
        <v>3820.1663201663187</v>
      </c>
      <c r="GB180" s="52">
        <f t="shared" si="820"/>
        <v>545.73804573804591</v>
      </c>
      <c r="GC180" s="52">
        <f t="shared" si="821"/>
        <v>764.03326403326435</v>
      </c>
      <c r="GD180" s="52">
        <f t="shared" si="822"/>
        <v>3820.1663201663196</v>
      </c>
      <c r="GE180" s="52">
        <f t="shared" si="823"/>
        <v>3820.1663201663146</v>
      </c>
      <c r="GF180" s="52">
        <f t="shared" si="824"/>
        <v>764.03326403326435</v>
      </c>
      <c r="GG180" s="52">
        <f t="shared" si="825"/>
        <v>-1.4571677198205154E-11</v>
      </c>
      <c r="GH180" s="52">
        <f t="shared" si="826"/>
        <v>545.73804573804568</v>
      </c>
      <c r="GI180" s="52">
        <f t="shared" si="827"/>
        <v>0</v>
      </c>
      <c r="GJ180" s="26"/>
      <c r="GL180" s="150">
        <f t="shared" si="828"/>
        <v>8018.7110187110211</v>
      </c>
      <c r="GM180" s="150">
        <f t="shared" si="829"/>
        <v>1106.0291060291058</v>
      </c>
      <c r="GN180" s="150">
        <f t="shared" si="830"/>
        <v>10369.022869022874</v>
      </c>
      <c r="GO180" s="150">
        <f t="shared" si="831"/>
        <v>2765.0727650727667</v>
      </c>
      <c r="GP180" s="150">
        <f t="shared" si="832"/>
        <v>691.2681912681926</v>
      </c>
      <c r="GQ180" s="150">
        <f t="shared" si="833"/>
        <v>20046.777546777528</v>
      </c>
      <c r="GR180" s="150">
        <f t="shared" si="834"/>
        <v>6359.6673596673627</v>
      </c>
      <c r="GS180" s="150">
        <f t="shared" si="835"/>
        <v>691.26819126819009</v>
      </c>
      <c r="GT180" s="150">
        <f t="shared" si="836"/>
        <v>691.26819126819169</v>
      </c>
      <c r="GU180" s="150">
        <f t="shared" si="837"/>
        <v>1866.4241164241191</v>
      </c>
      <c r="GV180" s="150">
        <f t="shared" si="838"/>
        <v>12442.827442827445</v>
      </c>
      <c r="GW180" s="150">
        <f t="shared" si="839"/>
        <v>4838.8773388773316</v>
      </c>
      <c r="GX180" s="150">
        <f t="shared" si="840"/>
        <v>8986.4864864864921</v>
      </c>
      <c r="GY180" s="150">
        <f t="shared" si="841"/>
        <v>8986.4864864864921</v>
      </c>
      <c r="GZ180" s="150">
        <f t="shared" si="842"/>
        <v>14931.392931392922</v>
      </c>
      <c r="HA180" s="150">
        <f t="shared" si="843"/>
        <v>11336.798336798365</v>
      </c>
      <c r="HB180" s="150">
        <f t="shared" si="844"/>
        <v>1036.902286902287</v>
      </c>
      <c r="HC180" s="150">
        <f t="shared" si="845"/>
        <v>4838.8773388773379</v>
      </c>
      <c r="HD180" s="150">
        <f t="shared" si="846"/>
        <v>691.26819126819157</v>
      </c>
      <c r="HE180" s="150">
        <f t="shared" si="847"/>
        <v>967.7754677754682</v>
      </c>
      <c r="HF180" s="150">
        <f t="shared" si="848"/>
        <v>4838.8773388773379</v>
      </c>
      <c r="HG180" s="150">
        <f t="shared" si="849"/>
        <v>4838.8773388773316</v>
      </c>
      <c r="HH180" s="150">
        <f t="shared" si="850"/>
        <v>967.7754677754682</v>
      </c>
      <c r="HI180" s="150">
        <f t="shared" si="851"/>
        <v>-1.8457457784393195E-11</v>
      </c>
      <c r="HJ180" s="150">
        <f t="shared" si="852"/>
        <v>691.26819126819123</v>
      </c>
      <c r="HK180" s="150">
        <f t="shared" si="853"/>
        <v>0</v>
      </c>
      <c r="HL180" s="26"/>
      <c r="HN180" s="147">
        <f t="shared" si="854"/>
        <v>13083.160083160088</v>
      </c>
      <c r="HO180" s="147">
        <f t="shared" si="855"/>
        <v>1804.5738045738044</v>
      </c>
      <c r="HP180" s="147">
        <f t="shared" si="856"/>
        <v>16917.879417879427</v>
      </c>
      <c r="HQ180" s="147">
        <f t="shared" si="857"/>
        <v>4511.4345114345151</v>
      </c>
      <c r="HR180" s="147">
        <f t="shared" si="858"/>
        <v>1127.8586278586301</v>
      </c>
      <c r="HS180" s="147">
        <f t="shared" si="859"/>
        <v>32707.900207900184</v>
      </c>
      <c r="HT180" s="147">
        <f t="shared" si="860"/>
        <v>10376.299376299383</v>
      </c>
      <c r="HU180" s="147">
        <f t="shared" si="861"/>
        <v>1127.8586278586261</v>
      </c>
      <c r="HV180" s="147">
        <f t="shared" si="862"/>
        <v>1127.8586278586288</v>
      </c>
      <c r="HW180" s="147">
        <f t="shared" si="863"/>
        <v>3045.2182952183002</v>
      </c>
      <c r="HX180" s="147">
        <f t="shared" si="864"/>
        <v>20301.455301455309</v>
      </c>
      <c r="HY180" s="147">
        <f t="shared" si="865"/>
        <v>7895.0103950103849</v>
      </c>
      <c r="HZ180" s="147">
        <f t="shared" si="866"/>
        <v>14662.162162162174</v>
      </c>
      <c r="IA180" s="147">
        <f t="shared" si="867"/>
        <v>14662.162162162174</v>
      </c>
      <c r="IB180" s="147">
        <f t="shared" si="868"/>
        <v>24361.746361746351</v>
      </c>
      <c r="IC180" s="147">
        <f t="shared" si="869"/>
        <v>18496.881496881546</v>
      </c>
      <c r="ID180" s="147">
        <f t="shared" si="870"/>
        <v>1691.7879417879424</v>
      </c>
      <c r="IE180" s="147">
        <f t="shared" si="871"/>
        <v>7895.0103950103939</v>
      </c>
      <c r="IF180" s="147">
        <f t="shared" si="872"/>
        <v>1127.8586278586286</v>
      </c>
      <c r="IG180" s="147">
        <f t="shared" si="873"/>
        <v>1579.0020790020799</v>
      </c>
      <c r="IH180" s="147">
        <f t="shared" si="874"/>
        <v>7895.0103950103949</v>
      </c>
      <c r="II180" s="147">
        <f t="shared" si="875"/>
        <v>7895.0103950103849</v>
      </c>
      <c r="IJ180" s="147">
        <f t="shared" si="876"/>
        <v>1579.0020790020799</v>
      </c>
      <c r="IK180" s="147">
        <f t="shared" si="877"/>
        <v>-3.0114799542957326E-11</v>
      </c>
      <c r="IL180" s="147">
        <f t="shared" si="878"/>
        <v>1127.8586278586279</v>
      </c>
      <c r="IM180" s="147">
        <f t="shared" si="879"/>
        <v>0</v>
      </c>
      <c r="IN180" s="26"/>
      <c r="IP180" s="61">
        <f t="shared" si="880"/>
        <v>14771.309771309774</v>
      </c>
      <c r="IQ180" s="61">
        <f t="shared" si="881"/>
        <v>2037.422037422037</v>
      </c>
      <c r="IR180" s="61">
        <f t="shared" si="882"/>
        <v>19100.831600831607</v>
      </c>
      <c r="IS180" s="61">
        <f t="shared" si="883"/>
        <v>5093.5550935550964</v>
      </c>
      <c r="IT180" s="61">
        <f t="shared" si="884"/>
        <v>1273.3887733887757</v>
      </c>
      <c r="IU180" s="61">
        <f t="shared" si="885"/>
        <v>36928.274428274395</v>
      </c>
      <c r="IV180" s="61">
        <f t="shared" si="886"/>
        <v>11715.17671517672</v>
      </c>
      <c r="IW180" s="61">
        <f t="shared" si="887"/>
        <v>1273.3887733887711</v>
      </c>
      <c r="IX180" s="61">
        <f t="shared" si="888"/>
        <v>1273.3887733887741</v>
      </c>
      <c r="IY180" s="61">
        <f t="shared" si="889"/>
        <v>3438.1496881496928</v>
      </c>
      <c r="IZ180" s="61">
        <f t="shared" si="890"/>
        <v>22920.997920997925</v>
      </c>
      <c r="JA180" s="61">
        <f t="shared" si="891"/>
        <v>8913.7214137213996</v>
      </c>
      <c r="JB180" s="61">
        <f t="shared" si="892"/>
        <v>16554.054054054064</v>
      </c>
      <c r="JC180" s="61">
        <f t="shared" si="893"/>
        <v>16554.054054054064</v>
      </c>
      <c r="JD180" s="61">
        <f t="shared" si="894"/>
        <v>27505.197505197488</v>
      </c>
      <c r="JE180" s="61">
        <f t="shared" si="895"/>
        <v>20883.575883575933</v>
      </c>
      <c r="JF180" s="61">
        <f t="shared" si="896"/>
        <v>1910.0831600831602</v>
      </c>
      <c r="JG180" s="61">
        <f t="shared" si="897"/>
        <v>8913.7214137214105</v>
      </c>
      <c r="JH180" s="61">
        <f t="shared" si="898"/>
        <v>1273.3887733887739</v>
      </c>
      <c r="JI180" s="61">
        <f t="shared" si="899"/>
        <v>1782.7442827442833</v>
      </c>
      <c r="JJ180" s="61">
        <f t="shared" si="900"/>
        <v>8913.7214137214123</v>
      </c>
      <c r="JK180" s="61">
        <f t="shared" si="901"/>
        <v>8913.7214137213996</v>
      </c>
      <c r="JL180" s="61">
        <f t="shared" si="902"/>
        <v>1782.7442827442833</v>
      </c>
      <c r="JM180" s="61">
        <f t="shared" si="903"/>
        <v>-3.4000580129145361E-11</v>
      </c>
      <c r="JN180" s="61">
        <f t="shared" si="904"/>
        <v>1273.3887733887732</v>
      </c>
      <c r="JO180" s="61">
        <f t="shared" si="905"/>
        <v>0</v>
      </c>
      <c r="JQ180" s="26">
        <f t="shared" ref="JQ180:JQ191" si="969">SUM(IP180:JO180,HN180:IM180,GL180:HK180,FJ180:GI180)</f>
        <v>699999.99999999988</v>
      </c>
      <c r="JR180" s="156">
        <f t="shared" ref="JR180:JR211" si="970">JQ180/G180</f>
        <v>0.99999999999999989</v>
      </c>
      <c r="JT180" s="157">
        <f t="shared" si="906"/>
        <v>42203.742203742215</v>
      </c>
      <c r="JU180" s="29">
        <f t="shared" si="907"/>
        <v>1</v>
      </c>
    </row>
    <row r="181" spans="1:281" ht="18.75" x14ac:dyDescent="0.3">
      <c r="A181" t="s">
        <v>234</v>
      </c>
      <c r="B181" s="10" t="s">
        <v>228</v>
      </c>
      <c r="C181" t="s">
        <v>84</v>
      </c>
      <c r="D181" t="s">
        <v>149</v>
      </c>
      <c r="E181" t="s">
        <v>311</v>
      </c>
      <c r="F181" s="114"/>
      <c r="G181" s="17">
        <v>300000</v>
      </c>
      <c r="H181" s="21">
        <v>214275</v>
      </c>
      <c r="I181" s="25">
        <f t="shared" si="713"/>
        <v>1.400070003500175</v>
      </c>
      <c r="J181" s="105">
        <v>6.0291060291060398E-2</v>
      </c>
      <c r="K181" s="105">
        <v>8.3160083160083182E-3</v>
      </c>
      <c r="L181" s="105">
        <v>7.7962577962578106E-2</v>
      </c>
      <c r="M181" s="105">
        <v>2.0790020790020774E-2</v>
      </c>
      <c r="N181" s="105">
        <v>5.1975051975051909E-3</v>
      </c>
      <c r="O181" s="105">
        <v>0.15072765072765074</v>
      </c>
      <c r="P181" s="105">
        <v>4.7817047817047806E-2</v>
      </c>
      <c r="Q181" s="105">
        <v>5.1975051975051935E-3</v>
      </c>
      <c r="R181" s="105">
        <v>5.197505197505203E-3</v>
      </c>
      <c r="S181" s="105">
        <v>1.4033264033264057E-2</v>
      </c>
      <c r="T181" s="105">
        <v>9.3555093555093671E-2</v>
      </c>
      <c r="U181" s="105">
        <v>3.638253638253635E-2</v>
      </c>
      <c r="V181" s="105">
        <v>6.756756756756746E-2</v>
      </c>
      <c r="W181" s="105">
        <v>6.7567567567567474E-2</v>
      </c>
      <c r="X181" s="105">
        <v>0.11226611226611234</v>
      </c>
      <c r="Y181" s="105">
        <v>8.523908523908523E-2</v>
      </c>
      <c r="Z181" s="105">
        <v>7.7962577962578149E-3</v>
      </c>
      <c r="AA181" s="105">
        <v>3.638253638253635E-2</v>
      </c>
      <c r="AB181" s="105">
        <v>5.1975051975051935E-3</v>
      </c>
      <c r="AC181" s="105">
        <v>7.2765072765072552E-3</v>
      </c>
      <c r="AD181" s="105">
        <v>3.638253638253635E-2</v>
      </c>
      <c r="AE181" s="105">
        <v>3.6382536382536364E-2</v>
      </c>
      <c r="AF181" s="105">
        <v>7.2765072765072552E-3</v>
      </c>
      <c r="AG181" s="105">
        <v>-1.3877787807814486E-16</v>
      </c>
      <c r="AH181" s="105">
        <v>5.1975051975051969E-3</v>
      </c>
      <c r="AJ181" s="8">
        <f t="shared" si="940"/>
        <v>0.99999999999999989</v>
      </c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159"/>
      <c r="BG181" s="159"/>
      <c r="BH181" s="159"/>
      <c r="BI181" s="159"/>
      <c r="BJ181" s="159"/>
      <c r="BM181" s="26">
        <f t="shared" si="941"/>
        <v>18087.318087318119</v>
      </c>
      <c r="BN181" s="26">
        <f t="shared" si="942"/>
        <v>2494.8024948024954</v>
      </c>
      <c r="BO181" s="26">
        <f t="shared" si="943"/>
        <v>23388.773388773432</v>
      </c>
      <c r="BP181" s="26">
        <f t="shared" si="944"/>
        <v>6237.0062370062324</v>
      </c>
      <c r="BQ181" s="26">
        <f t="shared" si="945"/>
        <v>1559.2515592515572</v>
      </c>
      <c r="BR181" s="26">
        <f t="shared" si="946"/>
        <v>45218.295218295221</v>
      </c>
      <c r="BS181" s="26">
        <f t="shared" si="947"/>
        <v>14345.114345114342</v>
      </c>
      <c r="BT181" s="26">
        <f t="shared" si="948"/>
        <v>1559.2515592515581</v>
      </c>
      <c r="BU181" s="26">
        <f t="shared" si="949"/>
        <v>1559.2515592515608</v>
      </c>
      <c r="BV181" s="26">
        <f t="shared" si="950"/>
        <v>4209.9792099792166</v>
      </c>
      <c r="BW181" s="26">
        <f t="shared" si="951"/>
        <v>28066.528066528102</v>
      </c>
      <c r="BX181" s="26">
        <f t="shared" si="952"/>
        <v>10914.760914760906</v>
      </c>
      <c r="BY181" s="26">
        <f t="shared" si="953"/>
        <v>20270.270270270237</v>
      </c>
      <c r="BZ181" s="26">
        <f t="shared" si="954"/>
        <v>20270.270270270241</v>
      </c>
      <c r="CA181" s="26">
        <f t="shared" si="955"/>
        <v>33679.833679833704</v>
      </c>
      <c r="CB181" s="26">
        <f t="shared" si="956"/>
        <v>25571.725571725568</v>
      </c>
      <c r="CC181" s="26">
        <f t="shared" si="957"/>
        <v>2338.8773388773443</v>
      </c>
      <c r="CD181" s="26">
        <f t="shared" si="958"/>
        <v>10914.760914760906</v>
      </c>
      <c r="CE181" s="26">
        <f t="shared" si="959"/>
        <v>1559.2515592515581</v>
      </c>
      <c r="CF181" s="26">
        <f t="shared" si="960"/>
        <v>2182.9521829521764</v>
      </c>
      <c r="CG181" s="26">
        <f t="shared" si="961"/>
        <v>10914.760914760906</v>
      </c>
      <c r="CH181" s="26">
        <f t="shared" si="962"/>
        <v>10914.760914760909</v>
      </c>
      <c r="CI181" s="26">
        <f t="shared" si="963"/>
        <v>2182.9521829521764</v>
      </c>
      <c r="CJ181" s="26">
        <f t="shared" si="964"/>
        <v>-4.1633363423443461E-11</v>
      </c>
      <c r="CK181" s="26">
        <f t="shared" si="965"/>
        <v>1559.251559251559</v>
      </c>
      <c r="CL181" s="26">
        <f t="shared" si="966"/>
        <v>0</v>
      </c>
      <c r="CM181" s="110">
        <f t="shared" si="967"/>
        <v>1.0000000000000004</v>
      </c>
      <c r="CN181" s="27">
        <f t="shared" si="933"/>
        <v>12918.866943866968</v>
      </c>
      <c r="CO181" s="27">
        <f t="shared" si="908"/>
        <v>1781.9126819126823</v>
      </c>
      <c r="CP181" s="27">
        <f t="shared" si="909"/>
        <v>16705.431392931423</v>
      </c>
      <c r="CQ181" s="27">
        <f t="shared" si="910"/>
        <v>4454.7817047817016</v>
      </c>
      <c r="CR181" s="27">
        <f t="shared" si="911"/>
        <v>1113.6954261954247</v>
      </c>
      <c r="CS181" s="27">
        <f t="shared" si="912"/>
        <v>32297.167359667361</v>
      </c>
      <c r="CT181" s="27">
        <f t="shared" si="913"/>
        <v>10245.997920997919</v>
      </c>
      <c r="CU181" s="27">
        <f t="shared" si="914"/>
        <v>1113.6954261954254</v>
      </c>
      <c r="CV181" s="27">
        <f t="shared" si="915"/>
        <v>1113.6954261954274</v>
      </c>
      <c r="CW181" s="27">
        <f t="shared" si="916"/>
        <v>3006.9776507276556</v>
      </c>
      <c r="CX181" s="27">
        <f t="shared" si="917"/>
        <v>20046.517671517697</v>
      </c>
      <c r="CY181" s="27">
        <f t="shared" si="918"/>
        <v>7795.8679833679762</v>
      </c>
      <c r="CZ181" s="27">
        <f t="shared" si="919"/>
        <v>14478.040540540518</v>
      </c>
      <c r="DA181" s="27">
        <f t="shared" si="920"/>
        <v>14478.04054054052</v>
      </c>
      <c r="DB181" s="27">
        <f t="shared" si="921"/>
        <v>24055.821205821223</v>
      </c>
      <c r="DC181" s="27">
        <f t="shared" si="922"/>
        <v>18264.604989604988</v>
      </c>
      <c r="DD181" s="27">
        <f t="shared" si="923"/>
        <v>1670.5431392931432</v>
      </c>
      <c r="DE181" s="27">
        <f t="shared" si="924"/>
        <v>7795.8679833679762</v>
      </c>
      <c r="DF181" s="27">
        <f t="shared" si="925"/>
        <v>1113.6954261954254</v>
      </c>
      <c r="DG181" s="27">
        <f t="shared" si="926"/>
        <v>1559.1735966735921</v>
      </c>
      <c r="DH181" s="27">
        <f t="shared" si="927"/>
        <v>7795.8679833679762</v>
      </c>
      <c r="DI181" s="27">
        <f t="shared" si="928"/>
        <v>7795.8679833679789</v>
      </c>
      <c r="DJ181" s="27">
        <f t="shared" si="929"/>
        <v>1559.1735966735921</v>
      </c>
      <c r="DK181" s="27">
        <f t="shared" si="930"/>
        <v>-2.9736629825194492E-11</v>
      </c>
      <c r="DL181" s="27">
        <f t="shared" si="931"/>
        <v>1113.6954261954261</v>
      </c>
      <c r="DM181" s="27">
        <f t="shared" si="932"/>
        <v>0</v>
      </c>
      <c r="DN181" s="110">
        <f t="shared" si="968"/>
        <v>1</v>
      </c>
      <c r="DO181" s="28">
        <f t="shared" si="771"/>
        <v>5168.4511434511514</v>
      </c>
      <c r="DP181" s="28">
        <f t="shared" si="772"/>
        <v>712.88981288981313</v>
      </c>
      <c r="DQ181" s="28">
        <f t="shared" si="773"/>
        <v>6683.3419958420091</v>
      </c>
      <c r="DR181" s="28">
        <f t="shared" si="774"/>
        <v>1782.2245322245308</v>
      </c>
      <c r="DS181" s="28">
        <f t="shared" si="775"/>
        <v>445.55613305613247</v>
      </c>
      <c r="DT181" s="28">
        <f t="shared" si="776"/>
        <v>12921.12785862786</v>
      </c>
      <c r="DU181" s="28">
        <f t="shared" si="777"/>
        <v>4099.1164241164224</v>
      </c>
      <c r="DV181" s="28">
        <f t="shared" si="778"/>
        <v>445.55613305613269</v>
      </c>
      <c r="DW181" s="28">
        <f t="shared" si="779"/>
        <v>445.55613305613338</v>
      </c>
      <c r="DX181" s="28">
        <f t="shared" si="780"/>
        <v>1203.001559251561</v>
      </c>
      <c r="DY181" s="28">
        <f t="shared" si="781"/>
        <v>8020.0103950104058</v>
      </c>
      <c r="DZ181" s="28">
        <f t="shared" si="782"/>
        <v>3118.8929313929293</v>
      </c>
      <c r="EA181" s="28">
        <f t="shared" si="783"/>
        <v>5792.2297297297191</v>
      </c>
      <c r="EB181" s="28">
        <f t="shared" si="784"/>
        <v>5792.2297297297209</v>
      </c>
      <c r="EC181" s="28">
        <f t="shared" si="785"/>
        <v>9624.0124740124811</v>
      </c>
      <c r="ED181" s="28">
        <f t="shared" si="786"/>
        <v>7307.1205821205804</v>
      </c>
      <c r="EE181" s="28">
        <f t="shared" si="787"/>
        <v>668.33419958420109</v>
      </c>
      <c r="EF181" s="28">
        <f t="shared" si="788"/>
        <v>3118.8929313929293</v>
      </c>
      <c r="EG181" s="28">
        <f t="shared" si="789"/>
        <v>445.55613305613269</v>
      </c>
      <c r="EH181" s="28">
        <f t="shared" si="790"/>
        <v>623.77858627858427</v>
      </c>
      <c r="EI181" s="28">
        <f t="shared" si="791"/>
        <v>3118.8929313929293</v>
      </c>
      <c r="EJ181" s="28">
        <f t="shared" si="792"/>
        <v>3118.8929313929302</v>
      </c>
      <c r="EK181" s="28">
        <f t="shared" si="793"/>
        <v>623.77858627858427</v>
      </c>
      <c r="EL181" s="28">
        <f t="shared" si="794"/>
        <v>-1.1896733598248969E-11</v>
      </c>
      <c r="EM181" s="28">
        <f t="shared" si="795"/>
        <v>445.55613305613292</v>
      </c>
      <c r="EN181" s="28">
        <f t="shared" si="796"/>
        <v>0</v>
      </c>
      <c r="EQ181" s="144">
        <v>0.04</v>
      </c>
      <c r="ER181" s="144">
        <v>0.05</v>
      </c>
      <c r="ES181" s="144">
        <v>0.06</v>
      </c>
      <c r="ET181" s="144">
        <v>0.05</v>
      </c>
      <c r="EU181" s="144">
        <v>0.06</v>
      </c>
      <c r="EV181" s="144">
        <v>0.08</v>
      </c>
      <c r="EW181" s="144">
        <v>7.0000000000000007E-2</v>
      </c>
      <c r="EX181" s="144">
        <v>0.1</v>
      </c>
      <c r="EY181" s="144">
        <v>0.14000000000000001</v>
      </c>
      <c r="EZ181" s="144">
        <v>0.14000000000000001</v>
      </c>
      <c r="FA181" s="144">
        <v>0.12</v>
      </c>
      <c r="FB181" s="144">
        <v>0.09</v>
      </c>
      <c r="FC181" s="145">
        <f t="shared" si="797"/>
        <v>1</v>
      </c>
      <c r="FD181" s="146">
        <f t="shared" si="935"/>
        <v>0.15</v>
      </c>
      <c r="FE181" s="146">
        <f t="shared" si="936"/>
        <v>0.19</v>
      </c>
      <c r="FF181" s="146">
        <f t="shared" si="937"/>
        <v>0.31000000000000005</v>
      </c>
      <c r="FG181" s="146">
        <f t="shared" si="938"/>
        <v>0.35</v>
      </c>
      <c r="FH181" s="145">
        <f t="shared" si="939"/>
        <v>1</v>
      </c>
      <c r="FJ181" s="52">
        <f t="shared" si="802"/>
        <v>2713.0977130977176</v>
      </c>
      <c r="FK181" s="52">
        <f t="shared" si="803"/>
        <v>374.22037422037431</v>
      </c>
      <c r="FL181" s="52">
        <f t="shared" si="804"/>
        <v>3508.3160083160146</v>
      </c>
      <c r="FM181" s="52">
        <f t="shared" si="805"/>
        <v>935.55093555093481</v>
      </c>
      <c r="FN181" s="52">
        <f t="shared" si="806"/>
        <v>233.88773388773356</v>
      </c>
      <c r="FO181" s="52">
        <f t="shared" si="807"/>
        <v>6782.7442827442828</v>
      </c>
      <c r="FP181" s="52">
        <f t="shared" si="808"/>
        <v>2151.7671517671511</v>
      </c>
      <c r="FQ181" s="52">
        <f t="shared" si="809"/>
        <v>233.8877338877337</v>
      </c>
      <c r="FR181" s="52">
        <f t="shared" si="810"/>
        <v>233.8877338877341</v>
      </c>
      <c r="FS181" s="52">
        <f t="shared" si="811"/>
        <v>631.49688149688245</v>
      </c>
      <c r="FT181" s="52">
        <f t="shared" si="812"/>
        <v>4209.9792099792148</v>
      </c>
      <c r="FU181" s="52">
        <f t="shared" si="813"/>
        <v>1637.2141372141357</v>
      </c>
      <c r="FV181" s="52">
        <f t="shared" si="814"/>
        <v>3040.5405405405354</v>
      </c>
      <c r="FW181" s="52">
        <f t="shared" si="815"/>
        <v>3040.5405405405359</v>
      </c>
      <c r="FX181" s="52">
        <f t="shared" si="816"/>
        <v>5051.9750519750551</v>
      </c>
      <c r="FY181" s="52">
        <f t="shared" si="817"/>
        <v>3835.7588357588352</v>
      </c>
      <c r="FZ181" s="52">
        <f t="shared" si="818"/>
        <v>350.83160083160163</v>
      </c>
      <c r="GA181" s="52">
        <f t="shared" si="819"/>
        <v>1637.2141372141357</v>
      </c>
      <c r="GB181" s="52">
        <f t="shared" si="820"/>
        <v>233.8877338877337</v>
      </c>
      <c r="GC181" s="52">
        <f t="shared" si="821"/>
        <v>327.44282744282646</v>
      </c>
      <c r="GD181" s="52">
        <f t="shared" si="822"/>
        <v>1637.2141372141357</v>
      </c>
      <c r="GE181" s="52">
        <f t="shared" si="823"/>
        <v>1637.2141372141364</v>
      </c>
      <c r="GF181" s="52">
        <f t="shared" si="824"/>
        <v>327.44282744282646</v>
      </c>
      <c r="GG181" s="52">
        <f t="shared" si="825"/>
        <v>-6.2450045135165193E-12</v>
      </c>
      <c r="GH181" s="52">
        <f t="shared" si="826"/>
        <v>233.88773388773384</v>
      </c>
      <c r="GI181" s="52">
        <f t="shared" si="827"/>
        <v>0</v>
      </c>
      <c r="GJ181" s="26"/>
      <c r="GL181" s="150">
        <f t="shared" si="828"/>
        <v>3436.5904365904426</v>
      </c>
      <c r="GM181" s="150">
        <f t="shared" si="829"/>
        <v>474.01247401247412</v>
      </c>
      <c r="GN181" s="150">
        <f t="shared" si="830"/>
        <v>4443.8669438669522</v>
      </c>
      <c r="GO181" s="150">
        <f t="shared" si="831"/>
        <v>1185.0311850311841</v>
      </c>
      <c r="GP181" s="150">
        <f t="shared" si="832"/>
        <v>296.25779625779586</v>
      </c>
      <c r="GQ181" s="150">
        <f t="shared" si="833"/>
        <v>8591.4760914760918</v>
      </c>
      <c r="GR181" s="150">
        <f t="shared" si="834"/>
        <v>2725.571725571725</v>
      </c>
      <c r="GS181" s="150">
        <f t="shared" si="835"/>
        <v>296.25779625779603</v>
      </c>
      <c r="GT181" s="150">
        <f t="shared" si="836"/>
        <v>296.25779625779654</v>
      </c>
      <c r="GU181" s="150">
        <f t="shared" si="837"/>
        <v>799.89604989605118</v>
      </c>
      <c r="GV181" s="150">
        <f t="shared" si="838"/>
        <v>5332.6403326403397</v>
      </c>
      <c r="GW181" s="150">
        <f t="shared" si="839"/>
        <v>2073.8045738045721</v>
      </c>
      <c r="GX181" s="150">
        <f t="shared" si="840"/>
        <v>3851.3513513513453</v>
      </c>
      <c r="GY181" s="150">
        <f t="shared" si="841"/>
        <v>3851.3513513513458</v>
      </c>
      <c r="GZ181" s="150">
        <f t="shared" si="842"/>
        <v>6399.168399168404</v>
      </c>
      <c r="HA181" s="150">
        <f t="shared" si="843"/>
        <v>4858.6278586278577</v>
      </c>
      <c r="HB181" s="150">
        <f t="shared" si="844"/>
        <v>444.38669438669541</v>
      </c>
      <c r="HC181" s="150">
        <f t="shared" si="845"/>
        <v>2073.8045738045721</v>
      </c>
      <c r="HD181" s="150">
        <f t="shared" si="846"/>
        <v>296.25779625779603</v>
      </c>
      <c r="HE181" s="150">
        <f t="shared" si="847"/>
        <v>414.76091476091352</v>
      </c>
      <c r="HF181" s="150">
        <f t="shared" si="848"/>
        <v>2073.8045738045721</v>
      </c>
      <c r="HG181" s="150">
        <f t="shared" si="849"/>
        <v>2073.8045738045726</v>
      </c>
      <c r="HH181" s="150">
        <f t="shared" si="850"/>
        <v>414.76091476091352</v>
      </c>
      <c r="HI181" s="150">
        <f t="shared" si="851"/>
        <v>-7.9103390504542581E-12</v>
      </c>
      <c r="HJ181" s="150">
        <f t="shared" si="852"/>
        <v>296.2577962577962</v>
      </c>
      <c r="HK181" s="150">
        <f t="shared" si="853"/>
        <v>0</v>
      </c>
      <c r="HL181" s="26"/>
      <c r="HN181" s="147">
        <f t="shared" si="854"/>
        <v>5607.0686070686179</v>
      </c>
      <c r="HO181" s="147">
        <f t="shared" si="855"/>
        <v>773.38877338877376</v>
      </c>
      <c r="HP181" s="147">
        <f t="shared" si="856"/>
        <v>7250.5197505197648</v>
      </c>
      <c r="HQ181" s="147">
        <f t="shared" si="857"/>
        <v>1933.4719334719323</v>
      </c>
      <c r="HR181" s="147">
        <f t="shared" si="858"/>
        <v>483.36798336798279</v>
      </c>
      <c r="HS181" s="147">
        <f t="shared" si="859"/>
        <v>14017.671517671521</v>
      </c>
      <c r="HT181" s="147">
        <f t="shared" si="860"/>
        <v>4446.9854469854463</v>
      </c>
      <c r="HU181" s="147">
        <f t="shared" si="861"/>
        <v>483.36798336798307</v>
      </c>
      <c r="HV181" s="147">
        <f t="shared" si="862"/>
        <v>483.36798336798392</v>
      </c>
      <c r="HW181" s="147">
        <f t="shared" si="863"/>
        <v>1305.0935550935574</v>
      </c>
      <c r="HX181" s="147">
        <f t="shared" si="864"/>
        <v>8700.6237006237134</v>
      </c>
      <c r="HY181" s="147">
        <f t="shared" si="865"/>
        <v>3383.5758835758811</v>
      </c>
      <c r="HZ181" s="147">
        <f t="shared" si="866"/>
        <v>6283.7837837837742</v>
      </c>
      <c r="IA181" s="147">
        <f t="shared" si="867"/>
        <v>6283.783783783776</v>
      </c>
      <c r="IB181" s="147">
        <f t="shared" si="868"/>
        <v>10440.74844074845</v>
      </c>
      <c r="IC181" s="147">
        <f t="shared" si="869"/>
        <v>7927.2349272349275</v>
      </c>
      <c r="ID181" s="147">
        <f t="shared" si="870"/>
        <v>725.05197505197691</v>
      </c>
      <c r="IE181" s="147">
        <f t="shared" si="871"/>
        <v>3383.5758835758811</v>
      </c>
      <c r="IF181" s="147">
        <f t="shared" si="872"/>
        <v>483.36798336798307</v>
      </c>
      <c r="IG181" s="147">
        <f t="shared" si="873"/>
        <v>676.71517671517483</v>
      </c>
      <c r="IH181" s="147">
        <f t="shared" si="874"/>
        <v>3383.5758835758811</v>
      </c>
      <c r="II181" s="147">
        <f t="shared" si="875"/>
        <v>3383.5758835758825</v>
      </c>
      <c r="IJ181" s="147">
        <f t="shared" si="876"/>
        <v>676.71517671517483</v>
      </c>
      <c r="IK181" s="147">
        <f t="shared" si="877"/>
        <v>-1.2906342661267475E-11</v>
      </c>
      <c r="IL181" s="147">
        <f t="shared" si="878"/>
        <v>483.36798336798336</v>
      </c>
      <c r="IM181" s="147">
        <f t="shared" si="879"/>
        <v>0</v>
      </c>
      <c r="IN181" s="26"/>
      <c r="IP181" s="61">
        <f t="shared" si="880"/>
        <v>6330.5613305613415</v>
      </c>
      <c r="IQ181" s="61">
        <f t="shared" si="881"/>
        <v>873.18087318087339</v>
      </c>
      <c r="IR181" s="61">
        <f t="shared" si="882"/>
        <v>8186.0706860707005</v>
      </c>
      <c r="IS181" s="61">
        <f t="shared" si="883"/>
        <v>2182.9521829521814</v>
      </c>
      <c r="IT181" s="61">
        <f t="shared" si="884"/>
        <v>545.738045738045</v>
      </c>
      <c r="IU181" s="61">
        <f t="shared" si="885"/>
        <v>15826.403326403326</v>
      </c>
      <c r="IV181" s="61">
        <f t="shared" si="886"/>
        <v>5020.7900207900193</v>
      </c>
      <c r="IW181" s="61">
        <f t="shared" si="887"/>
        <v>545.73804573804534</v>
      </c>
      <c r="IX181" s="61">
        <f t="shared" si="888"/>
        <v>545.73804573804625</v>
      </c>
      <c r="IY181" s="61">
        <f t="shared" si="889"/>
        <v>1473.4927234927256</v>
      </c>
      <c r="IZ181" s="61">
        <f t="shared" si="890"/>
        <v>9823.2848232848355</v>
      </c>
      <c r="JA181" s="61">
        <f t="shared" si="891"/>
        <v>3820.1663201663168</v>
      </c>
      <c r="JB181" s="61">
        <f t="shared" si="892"/>
        <v>7094.5945945945823</v>
      </c>
      <c r="JC181" s="61">
        <f t="shared" si="893"/>
        <v>7094.5945945945841</v>
      </c>
      <c r="JD181" s="61">
        <f t="shared" si="894"/>
        <v>11787.941787941796</v>
      </c>
      <c r="JE181" s="61">
        <f t="shared" si="895"/>
        <v>8950.1039501039486</v>
      </c>
      <c r="JF181" s="61">
        <f t="shared" si="896"/>
        <v>818.60706860707046</v>
      </c>
      <c r="JG181" s="61">
        <f t="shared" si="897"/>
        <v>3820.1663201663168</v>
      </c>
      <c r="JH181" s="61">
        <f t="shared" si="898"/>
        <v>545.73804573804534</v>
      </c>
      <c r="JI181" s="61">
        <f t="shared" si="899"/>
        <v>764.03326403326173</v>
      </c>
      <c r="JJ181" s="61">
        <f t="shared" si="900"/>
        <v>3820.1663201663168</v>
      </c>
      <c r="JK181" s="61">
        <f t="shared" si="901"/>
        <v>3820.1663201663177</v>
      </c>
      <c r="JL181" s="61">
        <f t="shared" si="902"/>
        <v>764.03326403326173</v>
      </c>
      <c r="JM181" s="61">
        <f t="shared" si="903"/>
        <v>-1.4571677198205212E-11</v>
      </c>
      <c r="JN181" s="61">
        <f t="shared" si="904"/>
        <v>545.73804573804557</v>
      </c>
      <c r="JO181" s="61">
        <f t="shared" si="905"/>
        <v>0</v>
      </c>
      <c r="JQ181" s="26">
        <f t="shared" si="969"/>
        <v>299999.99999999988</v>
      </c>
      <c r="JR181" s="156">
        <f t="shared" si="970"/>
        <v>0.99999999999999967</v>
      </c>
      <c r="JT181" s="157">
        <f t="shared" si="906"/>
        <v>18087.318087318119</v>
      </c>
      <c r="JU181" s="29">
        <f t="shared" si="907"/>
        <v>1</v>
      </c>
    </row>
    <row r="182" spans="1:281" ht="18.75" x14ac:dyDescent="0.3">
      <c r="A182" t="s">
        <v>234</v>
      </c>
      <c r="B182" s="10" t="s">
        <v>118</v>
      </c>
      <c r="C182" t="s">
        <v>84</v>
      </c>
      <c r="D182" t="s">
        <v>149</v>
      </c>
      <c r="E182" t="s">
        <v>150</v>
      </c>
      <c r="F182" s="114"/>
      <c r="G182" s="17">
        <v>850000</v>
      </c>
      <c r="H182" s="21">
        <v>566666.3125</v>
      </c>
      <c r="I182" s="25">
        <f t="shared" si="713"/>
        <v>1.5000009375005858</v>
      </c>
      <c r="J182" s="105">
        <v>6.0291060291060329E-2</v>
      </c>
      <c r="K182" s="105">
        <v>8.3160083160083251E-3</v>
      </c>
      <c r="L182" s="105">
        <v>7.7962577962578064E-2</v>
      </c>
      <c r="M182" s="105">
        <v>2.079002079002075E-2</v>
      </c>
      <c r="N182" s="105">
        <v>5.1975051975051987E-3</v>
      </c>
      <c r="O182" s="105">
        <v>0.1507276507276506</v>
      </c>
      <c r="P182" s="105">
        <v>4.7817047817047827E-2</v>
      </c>
      <c r="Q182" s="105">
        <v>5.1975051975052039E-3</v>
      </c>
      <c r="R182" s="105">
        <v>5.1975051975051987E-3</v>
      </c>
      <c r="S182" s="105">
        <v>1.4033264033264055E-2</v>
      </c>
      <c r="T182" s="105">
        <v>9.3555093555093755E-2</v>
      </c>
      <c r="U182" s="105">
        <v>3.6382536382536398E-2</v>
      </c>
      <c r="V182" s="105">
        <v>6.7567567567567641E-2</v>
      </c>
      <c r="W182" s="105">
        <v>6.7567567567567766E-2</v>
      </c>
      <c r="X182" s="105">
        <v>0.11226611226611244</v>
      </c>
      <c r="Y182" s="105">
        <v>8.523908523908498E-2</v>
      </c>
      <c r="Z182" s="105">
        <v>7.7962577962578244E-3</v>
      </c>
      <c r="AA182" s="105">
        <v>3.6382536382536405E-2</v>
      </c>
      <c r="AB182" s="105">
        <v>5.1975051975052004E-3</v>
      </c>
      <c r="AC182" s="105">
        <v>7.2765072765072526E-3</v>
      </c>
      <c r="AD182" s="105">
        <v>3.6382536382536405E-2</v>
      </c>
      <c r="AE182" s="105">
        <v>3.6382536382536398E-2</v>
      </c>
      <c r="AF182" s="105">
        <v>7.2765072765072578E-3</v>
      </c>
      <c r="AG182" s="105">
        <v>-1.387778780781442E-16</v>
      </c>
      <c r="AH182" s="105">
        <v>5.1975051975051969E-3</v>
      </c>
      <c r="AJ182" s="8">
        <f t="shared" si="940"/>
        <v>1.0000000000000004</v>
      </c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159"/>
      <c r="BG182" s="159"/>
      <c r="BH182" s="159"/>
      <c r="BI182" s="159"/>
      <c r="BJ182" s="159"/>
      <c r="BM182" s="26">
        <f t="shared" si="941"/>
        <v>51247.401247401278</v>
      </c>
      <c r="BN182" s="26">
        <f t="shared" si="942"/>
        <v>7068.6070686070761</v>
      </c>
      <c r="BO182" s="26">
        <f t="shared" si="943"/>
        <v>66268.191268191353</v>
      </c>
      <c r="BP182" s="26">
        <f t="shared" si="944"/>
        <v>17671.517671517639</v>
      </c>
      <c r="BQ182" s="26">
        <f t="shared" si="945"/>
        <v>4417.8794178794187</v>
      </c>
      <c r="BR182" s="26">
        <f t="shared" si="946"/>
        <v>128118.50311850301</v>
      </c>
      <c r="BS182" s="26">
        <f t="shared" si="947"/>
        <v>40644.490644490652</v>
      </c>
      <c r="BT182" s="26">
        <f t="shared" si="948"/>
        <v>4417.8794178794233</v>
      </c>
      <c r="BU182" s="26">
        <f t="shared" si="949"/>
        <v>4417.8794178794187</v>
      </c>
      <c r="BV182" s="26">
        <f t="shared" si="950"/>
        <v>11928.274428274446</v>
      </c>
      <c r="BW182" s="26">
        <f t="shared" si="951"/>
        <v>79521.829521829684</v>
      </c>
      <c r="BX182" s="26">
        <f t="shared" si="952"/>
        <v>30925.155925155937</v>
      </c>
      <c r="BY182" s="26">
        <f t="shared" si="953"/>
        <v>57432.432432432492</v>
      </c>
      <c r="BZ182" s="26">
        <f t="shared" si="954"/>
        <v>57432.432432432601</v>
      </c>
      <c r="CA182" s="26">
        <f t="shared" si="955"/>
        <v>95426.195426195569</v>
      </c>
      <c r="CB182" s="26">
        <f t="shared" si="956"/>
        <v>72453.222453222232</v>
      </c>
      <c r="CC182" s="26">
        <f t="shared" si="957"/>
        <v>6626.8191268191504</v>
      </c>
      <c r="CD182" s="26">
        <f t="shared" si="958"/>
        <v>30925.155925155945</v>
      </c>
      <c r="CE182" s="26">
        <f t="shared" si="959"/>
        <v>4417.8794178794205</v>
      </c>
      <c r="CF182" s="26">
        <f t="shared" si="960"/>
        <v>6185.0311850311646</v>
      </c>
      <c r="CG182" s="26">
        <f t="shared" si="961"/>
        <v>30925.155925155945</v>
      </c>
      <c r="CH182" s="26">
        <f t="shared" si="962"/>
        <v>30925.155925155937</v>
      </c>
      <c r="CI182" s="26">
        <f t="shared" si="963"/>
        <v>6185.0311850311691</v>
      </c>
      <c r="CJ182" s="26">
        <f t="shared" si="964"/>
        <v>-1.1796119636642257E-10</v>
      </c>
      <c r="CK182" s="26">
        <f t="shared" si="965"/>
        <v>4417.8794178794178</v>
      </c>
      <c r="CL182" s="26">
        <f t="shared" si="966"/>
        <v>0</v>
      </c>
      <c r="CM182" s="110">
        <f t="shared" si="967"/>
        <v>1.0000000000000002</v>
      </c>
      <c r="CN182" s="27">
        <f t="shared" si="933"/>
        <v>34164.912811850336</v>
      </c>
      <c r="CO182" s="27">
        <f t="shared" si="908"/>
        <v>4712.4017671517722</v>
      </c>
      <c r="CP182" s="27">
        <f t="shared" si="909"/>
        <v>44178.766567047875</v>
      </c>
      <c r="CQ182" s="27">
        <f t="shared" si="910"/>
        <v>11781.004417879394</v>
      </c>
      <c r="CR182" s="27">
        <f t="shared" si="911"/>
        <v>2945.2511044698549</v>
      </c>
      <c r="CS182" s="27">
        <f t="shared" si="912"/>
        <v>85412.282029625712</v>
      </c>
      <c r="CT182" s="27">
        <f t="shared" si="913"/>
        <v>27096.310161122667</v>
      </c>
      <c r="CU182" s="27">
        <f t="shared" si="914"/>
        <v>2945.2511044698581</v>
      </c>
      <c r="CV182" s="27">
        <f t="shared" si="915"/>
        <v>2945.2511044698549</v>
      </c>
      <c r="CW182" s="27">
        <f t="shared" si="916"/>
        <v>7952.1779820686197</v>
      </c>
      <c r="CX182" s="27">
        <f t="shared" si="917"/>
        <v>53014.51988045749</v>
      </c>
      <c r="CY182" s="27">
        <f t="shared" si="918"/>
        <v>20616.757731288992</v>
      </c>
      <c r="CZ182" s="27">
        <f t="shared" si="919"/>
        <v>38288.26435810815</v>
      </c>
      <c r="DA182" s="27">
        <f t="shared" si="920"/>
        <v>38288.264358108223</v>
      </c>
      <c r="DB182" s="27">
        <f t="shared" si="921"/>
        <v>63617.423856548958</v>
      </c>
      <c r="DC182" s="27">
        <f t="shared" si="922"/>
        <v>48302.118113305463</v>
      </c>
      <c r="DD182" s="27">
        <f t="shared" si="923"/>
        <v>4417.8766567047978</v>
      </c>
      <c r="DE182" s="27">
        <f t="shared" si="924"/>
        <v>20616.757731288995</v>
      </c>
      <c r="DF182" s="27">
        <f t="shared" si="925"/>
        <v>2945.2511044698563</v>
      </c>
      <c r="DG182" s="27">
        <f t="shared" si="926"/>
        <v>4123.3515462577825</v>
      </c>
      <c r="DH182" s="27">
        <f t="shared" si="927"/>
        <v>20616.757731288995</v>
      </c>
      <c r="DI182" s="27">
        <f t="shared" si="928"/>
        <v>20616.757731288992</v>
      </c>
      <c r="DJ182" s="27">
        <f t="shared" si="929"/>
        <v>4123.3515462577852</v>
      </c>
      <c r="DK182" s="27">
        <f t="shared" si="930"/>
        <v>-7.8640748427116562E-11</v>
      </c>
      <c r="DL182" s="27">
        <f t="shared" si="931"/>
        <v>2945.251104469854</v>
      </c>
      <c r="DM182" s="27">
        <f t="shared" si="932"/>
        <v>0</v>
      </c>
      <c r="DN182" s="110">
        <f t="shared" si="968"/>
        <v>1.0000000000000004</v>
      </c>
      <c r="DO182" s="28">
        <f t="shared" si="771"/>
        <v>17082.488435550942</v>
      </c>
      <c r="DP182" s="28">
        <f t="shared" si="772"/>
        <v>2356.2053014553039</v>
      </c>
      <c r="DQ182" s="28">
        <f t="shared" si="773"/>
        <v>22089.424701143478</v>
      </c>
      <c r="DR182" s="28">
        <f t="shared" si="774"/>
        <v>5890.5132536382444</v>
      </c>
      <c r="DS182" s="28">
        <f t="shared" si="775"/>
        <v>1472.6283134095638</v>
      </c>
      <c r="DT182" s="28">
        <f t="shared" si="776"/>
        <v>42706.221088877297</v>
      </c>
      <c r="DU182" s="28">
        <f t="shared" si="777"/>
        <v>13548.180483367985</v>
      </c>
      <c r="DV182" s="28">
        <f t="shared" si="778"/>
        <v>1472.6283134095652</v>
      </c>
      <c r="DW182" s="28">
        <f t="shared" si="779"/>
        <v>1472.6283134095638</v>
      </c>
      <c r="DX182" s="28">
        <f t="shared" si="780"/>
        <v>3976.0964462058264</v>
      </c>
      <c r="DY182" s="28">
        <f t="shared" si="781"/>
        <v>26507.309641372194</v>
      </c>
      <c r="DZ182" s="28">
        <f t="shared" si="782"/>
        <v>10308.398193866946</v>
      </c>
      <c r="EA182" s="28">
        <f t="shared" si="783"/>
        <v>19144.168074324341</v>
      </c>
      <c r="EB182" s="28">
        <f t="shared" si="784"/>
        <v>19144.168074324378</v>
      </c>
      <c r="EC182" s="28">
        <f t="shared" si="785"/>
        <v>31808.771569646611</v>
      </c>
      <c r="ED182" s="28">
        <f t="shared" si="786"/>
        <v>24151.104339916768</v>
      </c>
      <c r="EE182" s="28">
        <f t="shared" si="787"/>
        <v>2208.9424701143525</v>
      </c>
      <c r="EF182" s="28">
        <f t="shared" si="788"/>
        <v>10308.398193866949</v>
      </c>
      <c r="EG182" s="28">
        <f t="shared" si="789"/>
        <v>1472.6283134095643</v>
      </c>
      <c r="EH182" s="28">
        <f t="shared" si="790"/>
        <v>2061.6796387733821</v>
      </c>
      <c r="EI182" s="28">
        <f t="shared" si="791"/>
        <v>10308.398193866949</v>
      </c>
      <c r="EJ182" s="28">
        <f t="shared" si="792"/>
        <v>10308.398193866946</v>
      </c>
      <c r="EK182" s="28">
        <f t="shared" si="793"/>
        <v>2061.6796387733839</v>
      </c>
      <c r="EL182" s="28">
        <f t="shared" si="794"/>
        <v>-3.932044793930601E-11</v>
      </c>
      <c r="EM182" s="28">
        <f t="shared" si="795"/>
        <v>1472.6283134095638</v>
      </c>
      <c r="EN182" s="28">
        <f t="shared" si="796"/>
        <v>0</v>
      </c>
      <c r="EQ182" s="144">
        <v>0.04</v>
      </c>
      <c r="ER182" s="144">
        <v>0.05</v>
      </c>
      <c r="ES182" s="144">
        <v>0.06</v>
      </c>
      <c r="ET182" s="144">
        <v>0.05</v>
      </c>
      <c r="EU182" s="144">
        <v>0.06</v>
      </c>
      <c r="EV182" s="144">
        <v>0.08</v>
      </c>
      <c r="EW182" s="144">
        <v>7.0000000000000007E-2</v>
      </c>
      <c r="EX182" s="144">
        <v>0.1</v>
      </c>
      <c r="EY182" s="144">
        <v>0.14000000000000001</v>
      </c>
      <c r="EZ182" s="144">
        <v>0.14000000000000001</v>
      </c>
      <c r="FA182" s="144">
        <v>0.12</v>
      </c>
      <c r="FB182" s="144">
        <v>0.09</v>
      </c>
      <c r="FC182" s="145">
        <f t="shared" si="797"/>
        <v>1</v>
      </c>
      <c r="FD182" s="146">
        <f t="shared" si="935"/>
        <v>0.15</v>
      </c>
      <c r="FE182" s="146">
        <f t="shared" si="936"/>
        <v>0.19</v>
      </c>
      <c r="FF182" s="146">
        <f t="shared" si="937"/>
        <v>0.31000000000000005</v>
      </c>
      <c r="FG182" s="146">
        <f t="shared" si="938"/>
        <v>0.35</v>
      </c>
      <c r="FH182" s="145">
        <f t="shared" si="939"/>
        <v>1</v>
      </c>
      <c r="FJ182" s="52">
        <f t="shared" si="802"/>
        <v>7687.110187110191</v>
      </c>
      <c r="FK182" s="52">
        <f t="shared" si="803"/>
        <v>1060.2910602910613</v>
      </c>
      <c r="FL182" s="52">
        <f t="shared" si="804"/>
        <v>9940.2286902287033</v>
      </c>
      <c r="FM182" s="52">
        <f t="shared" si="805"/>
        <v>2650.7276507276456</v>
      </c>
      <c r="FN182" s="52">
        <f t="shared" si="806"/>
        <v>662.68191268191276</v>
      </c>
      <c r="FO182" s="52">
        <f t="shared" si="807"/>
        <v>19217.775467775449</v>
      </c>
      <c r="FP182" s="52">
        <f t="shared" si="808"/>
        <v>6096.6735966735978</v>
      </c>
      <c r="FQ182" s="52">
        <f t="shared" si="809"/>
        <v>662.68191268191345</v>
      </c>
      <c r="FR182" s="52">
        <f t="shared" si="810"/>
        <v>662.68191268191276</v>
      </c>
      <c r="FS182" s="52">
        <f t="shared" si="811"/>
        <v>1789.2411642411669</v>
      </c>
      <c r="FT182" s="52">
        <f t="shared" si="812"/>
        <v>11928.274428274452</v>
      </c>
      <c r="FU182" s="52">
        <f t="shared" si="813"/>
        <v>4638.7733887733903</v>
      </c>
      <c r="FV182" s="52">
        <f t="shared" si="814"/>
        <v>8614.8648648648741</v>
      </c>
      <c r="FW182" s="52">
        <f t="shared" si="815"/>
        <v>8614.8648648648905</v>
      </c>
      <c r="FX182" s="52">
        <f t="shared" si="816"/>
        <v>14313.929313929335</v>
      </c>
      <c r="FY182" s="52">
        <f t="shared" si="817"/>
        <v>10867.983367983334</v>
      </c>
      <c r="FZ182" s="52">
        <f t="shared" si="818"/>
        <v>994.02286902287256</v>
      </c>
      <c r="GA182" s="52">
        <f t="shared" si="819"/>
        <v>4638.7733887733912</v>
      </c>
      <c r="GB182" s="52">
        <f t="shared" si="820"/>
        <v>662.6819126819131</v>
      </c>
      <c r="GC182" s="52">
        <f t="shared" si="821"/>
        <v>927.75467775467462</v>
      </c>
      <c r="GD182" s="52">
        <f t="shared" si="822"/>
        <v>4638.7733887733912</v>
      </c>
      <c r="GE182" s="52">
        <f t="shared" si="823"/>
        <v>4638.7733887733903</v>
      </c>
      <c r="GF182" s="52">
        <f t="shared" si="824"/>
        <v>927.7546777546753</v>
      </c>
      <c r="GG182" s="52">
        <f t="shared" si="825"/>
        <v>-1.7694179454963384E-11</v>
      </c>
      <c r="GH182" s="52">
        <f t="shared" si="826"/>
        <v>662.68191268191265</v>
      </c>
      <c r="GI182" s="52">
        <f t="shared" si="827"/>
        <v>0</v>
      </c>
      <c r="GJ182" s="26"/>
      <c r="GL182" s="150">
        <f t="shared" si="828"/>
        <v>9737.0062370062424</v>
      </c>
      <c r="GM182" s="150">
        <f t="shared" si="829"/>
        <v>1343.0353430353446</v>
      </c>
      <c r="GN182" s="150">
        <f t="shared" si="830"/>
        <v>12590.956340956358</v>
      </c>
      <c r="GO182" s="150">
        <f t="shared" si="831"/>
        <v>3357.5883575883513</v>
      </c>
      <c r="GP182" s="150">
        <f t="shared" si="832"/>
        <v>839.39708939708953</v>
      </c>
      <c r="GQ182" s="150">
        <f t="shared" si="833"/>
        <v>24342.51559251557</v>
      </c>
      <c r="GR182" s="150">
        <f t="shared" si="834"/>
        <v>7722.453222453224</v>
      </c>
      <c r="GS182" s="150">
        <f t="shared" si="835"/>
        <v>839.39708939709044</v>
      </c>
      <c r="GT182" s="150">
        <f t="shared" si="836"/>
        <v>839.39708939708953</v>
      </c>
      <c r="GU182" s="150">
        <f t="shared" si="837"/>
        <v>2266.3721413721446</v>
      </c>
      <c r="GV182" s="150">
        <f t="shared" si="838"/>
        <v>15109.14760914764</v>
      </c>
      <c r="GW182" s="150">
        <f t="shared" si="839"/>
        <v>5875.7796257796281</v>
      </c>
      <c r="GX182" s="150">
        <f t="shared" si="840"/>
        <v>10912.162162162174</v>
      </c>
      <c r="GY182" s="150">
        <f t="shared" si="841"/>
        <v>10912.162162162194</v>
      </c>
      <c r="GZ182" s="150">
        <f t="shared" si="842"/>
        <v>18130.977130977157</v>
      </c>
      <c r="HA182" s="150">
        <f t="shared" si="843"/>
        <v>13766.112266112224</v>
      </c>
      <c r="HB182" s="150">
        <f t="shared" si="844"/>
        <v>1259.0956340956386</v>
      </c>
      <c r="HC182" s="150">
        <f t="shared" si="845"/>
        <v>5875.7796257796299</v>
      </c>
      <c r="HD182" s="150">
        <f t="shared" si="846"/>
        <v>839.39708939708987</v>
      </c>
      <c r="HE182" s="150">
        <f t="shared" si="847"/>
        <v>1175.1559251559213</v>
      </c>
      <c r="HF182" s="150">
        <f t="shared" si="848"/>
        <v>5875.7796257796299</v>
      </c>
      <c r="HG182" s="150">
        <f t="shared" si="849"/>
        <v>5875.7796257796281</v>
      </c>
      <c r="HH182" s="150">
        <f t="shared" si="850"/>
        <v>1175.1559251559222</v>
      </c>
      <c r="HI182" s="150">
        <f t="shared" si="851"/>
        <v>-2.2412627309620289E-11</v>
      </c>
      <c r="HJ182" s="150">
        <f t="shared" si="852"/>
        <v>839.39708939708942</v>
      </c>
      <c r="HK182" s="150">
        <f t="shared" si="853"/>
        <v>0</v>
      </c>
      <c r="HL182" s="26"/>
      <c r="HN182" s="147">
        <f t="shared" si="854"/>
        <v>15886.694386694398</v>
      </c>
      <c r="HO182" s="147">
        <f t="shared" si="855"/>
        <v>2191.2681912681942</v>
      </c>
      <c r="HP182" s="147">
        <f t="shared" si="856"/>
        <v>20543.139293139324</v>
      </c>
      <c r="HQ182" s="147">
        <f t="shared" si="857"/>
        <v>5478.1704781704693</v>
      </c>
      <c r="HR182" s="147">
        <f t="shared" si="858"/>
        <v>1369.5426195426201</v>
      </c>
      <c r="HS182" s="147">
        <f t="shared" si="859"/>
        <v>39716.735966735941</v>
      </c>
      <c r="HT182" s="147">
        <f t="shared" si="860"/>
        <v>12599.792099792105</v>
      </c>
      <c r="HU182" s="147">
        <f t="shared" si="861"/>
        <v>1369.5426195426214</v>
      </c>
      <c r="HV182" s="147">
        <f t="shared" si="862"/>
        <v>1369.5426195426201</v>
      </c>
      <c r="HW182" s="147">
        <f t="shared" si="863"/>
        <v>3697.7650727650789</v>
      </c>
      <c r="HX182" s="147">
        <f t="shared" si="864"/>
        <v>24651.767151767206</v>
      </c>
      <c r="HY182" s="147">
        <f t="shared" si="865"/>
        <v>9586.7983367983416</v>
      </c>
      <c r="HZ182" s="147">
        <f t="shared" si="866"/>
        <v>17804.054054054075</v>
      </c>
      <c r="IA182" s="147">
        <f t="shared" si="867"/>
        <v>17804.054054054108</v>
      </c>
      <c r="IB182" s="147">
        <f t="shared" si="868"/>
        <v>29582.120582120631</v>
      </c>
      <c r="IC182" s="147">
        <f t="shared" si="869"/>
        <v>22460.498960498895</v>
      </c>
      <c r="ID182" s="147">
        <f t="shared" si="870"/>
        <v>2054.313929313937</v>
      </c>
      <c r="IE182" s="147">
        <f t="shared" si="871"/>
        <v>9586.7983367983452</v>
      </c>
      <c r="IF182" s="147">
        <f t="shared" si="872"/>
        <v>1369.5426195426205</v>
      </c>
      <c r="IG182" s="147">
        <f t="shared" si="873"/>
        <v>1917.3596673596614</v>
      </c>
      <c r="IH182" s="147">
        <f t="shared" si="874"/>
        <v>9586.7983367983452</v>
      </c>
      <c r="II182" s="147">
        <f t="shared" si="875"/>
        <v>9586.7983367983416</v>
      </c>
      <c r="IJ182" s="147">
        <f t="shared" si="876"/>
        <v>1917.3596673596628</v>
      </c>
      <c r="IK182" s="147">
        <f t="shared" si="877"/>
        <v>-3.6567970873591003E-11</v>
      </c>
      <c r="IL182" s="147">
        <f t="shared" si="878"/>
        <v>1369.5426195426198</v>
      </c>
      <c r="IM182" s="147">
        <f t="shared" si="879"/>
        <v>0</v>
      </c>
      <c r="IN182" s="26"/>
      <c r="IP182" s="61">
        <f t="shared" si="880"/>
        <v>17936.590436590446</v>
      </c>
      <c r="IQ182" s="61">
        <f t="shared" si="881"/>
        <v>2474.0124740124766</v>
      </c>
      <c r="IR182" s="61">
        <f t="shared" si="882"/>
        <v>23193.866943866971</v>
      </c>
      <c r="IS182" s="61">
        <f t="shared" si="883"/>
        <v>6185.0311850311728</v>
      </c>
      <c r="IT182" s="61">
        <f t="shared" si="884"/>
        <v>1546.2577962577964</v>
      </c>
      <c r="IU182" s="61">
        <f t="shared" si="885"/>
        <v>44841.476091476048</v>
      </c>
      <c r="IV182" s="61">
        <f t="shared" si="886"/>
        <v>14225.571725571728</v>
      </c>
      <c r="IW182" s="61">
        <f t="shared" si="887"/>
        <v>1546.257796257798</v>
      </c>
      <c r="IX182" s="61">
        <f t="shared" si="888"/>
        <v>1546.2577962577964</v>
      </c>
      <c r="IY182" s="61">
        <f t="shared" si="889"/>
        <v>4174.896049896056</v>
      </c>
      <c r="IZ182" s="61">
        <f t="shared" si="890"/>
        <v>27832.640332640389</v>
      </c>
      <c r="JA182" s="61">
        <f t="shared" si="891"/>
        <v>10823.804573804577</v>
      </c>
      <c r="JB182" s="61">
        <f t="shared" si="892"/>
        <v>20101.351351351372</v>
      </c>
      <c r="JC182" s="61">
        <f t="shared" si="893"/>
        <v>20101.351351351408</v>
      </c>
      <c r="JD182" s="61">
        <f t="shared" si="894"/>
        <v>33399.168399168448</v>
      </c>
      <c r="JE182" s="61">
        <f t="shared" si="895"/>
        <v>25358.62785862778</v>
      </c>
      <c r="JF182" s="61">
        <f t="shared" si="896"/>
        <v>2319.3866943867024</v>
      </c>
      <c r="JG182" s="61">
        <f t="shared" si="897"/>
        <v>10823.80457380458</v>
      </c>
      <c r="JH182" s="61">
        <f t="shared" si="898"/>
        <v>1546.2577962577971</v>
      </c>
      <c r="JI182" s="61">
        <f t="shared" si="899"/>
        <v>2164.7609147609073</v>
      </c>
      <c r="JJ182" s="61">
        <f t="shared" si="900"/>
        <v>10823.80457380458</v>
      </c>
      <c r="JK182" s="61">
        <f t="shared" si="901"/>
        <v>10823.804573804577</v>
      </c>
      <c r="JL182" s="61">
        <f t="shared" si="902"/>
        <v>2164.7609147609091</v>
      </c>
      <c r="JM182" s="61">
        <f t="shared" si="903"/>
        <v>-4.1286418728247899E-11</v>
      </c>
      <c r="JN182" s="61">
        <f t="shared" si="904"/>
        <v>1546.2577962577961</v>
      </c>
      <c r="JO182" s="61">
        <f t="shared" si="905"/>
        <v>0</v>
      </c>
      <c r="JQ182" s="26">
        <f t="shared" si="969"/>
        <v>850000.00000000023</v>
      </c>
      <c r="JR182" s="156">
        <f t="shared" si="970"/>
        <v>1.0000000000000002</v>
      </c>
      <c r="JT182" s="157">
        <f t="shared" si="906"/>
        <v>51247.401247401285</v>
      </c>
      <c r="JU182" s="29">
        <f t="shared" si="907"/>
        <v>1.0000000000000002</v>
      </c>
    </row>
    <row r="183" spans="1:281" ht="18.75" x14ac:dyDescent="0.3">
      <c r="A183" t="s">
        <v>234</v>
      </c>
      <c r="B183" s="10" t="s">
        <v>229</v>
      </c>
      <c r="C183" t="s">
        <v>84</v>
      </c>
      <c r="D183" t="s">
        <v>149</v>
      </c>
      <c r="E183" t="s">
        <v>312</v>
      </c>
      <c r="F183" s="114"/>
      <c r="G183" s="17">
        <v>2425000</v>
      </c>
      <c r="H183" s="21">
        <v>1796308.1385766554</v>
      </c>
      <c r="I183" s="25">
        <f t="shared" si="713"/>
        <v>1.3499911000356</v>
      </c>
      <c r="J183" s="105">
        <v>6.0291060291060468E-2</v>
      </c>
      <c r="K183" s="105">
        <v>8.3160083160083199E-3</v>
      </c>
      <c r="L183" s="105">
        <v>7.796257796257805E-2</v>
      </c>
      <c r="M183" s="105">
        <v>2.0790020790020836E-2</v>
      </c>
      <c r="N183" s="105">
        <v>5.1975051975052047E-3</v>
      </c>
      <c r="O183" s="105">
        <v>0.15072765072765076</v>
      </c>
      <c r="P183" s="105">
        <v>4.7817047817047827E-2</v>
      </c>
      <c r="Q183" s="105">
        <v>5.1975051975052047E-3</v>
      </c>
      <c r="R183" s="105">
        <v>5.1975051975052091E-3</v>
      </c>
      <c r="S183" s="105">
        <v>1.4033264033264041E-2</v>
      </c>
      <c r="T183" s="105">
        <v>9.3555093555093491E-2</v>
      </c>
      <c r="U183" s="105">
        <v>3.6382536382536433E-2</v>
      </c>
      <c r="V183" s="105">
        <v>6.756756756756746E-2</v>
      </c>
      <c r="W183" s="105">
        <v>6.7567567567567446E-2</v>
      </c>
      <c r="X183" s="105">
        <v>0.11226611226611229</v>
      </c>
      <c r="Y183" s="105">
        <v>8.5239085239085341E-2</v>
      </c>
      <c r="Z183" s="105">
        <v>7.7962577962578149E-3</v>
      </c>
      <c r="AA183" s="105">
        <v>3.6382536382536385E-2</v>
      </c>
      <c r="AB183" s="105">
        <v>5.19750519750519E-3</v>
      </c>
      <c r="AC183" s="105">
        <v>7.2765072765072917E-3</v>
      </c>
      <c r="AD183" s="105">
        <v>3.6382536382536433E-2</v>
      </c>
      <c r="AE183" s="105">
        <v>3.6382536382536364E-2</v>
      </c>
      <c r="AF183" s="105">
        <v>7.2765072765072891E-3</v>
      </c>
      <c r="AG183" s="105">
        <v>-1.3877787807814476E-16</v>
      </c>
      <c r="AH183" s="105">
        <v>5.1975051975052047E-3</v>
      </c>
      <c r="AJ183" s="8">
        <f t="shared" si="940"/>
        <v>1.0000000000000002</v>
      </c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159"/>
      <c r="BG183" s="159"/>
      <c r="BH183" s="159"/>
      <c r="BI183" s="159"/>
      <c r="BJ183" s="159"/>
      <c r="BM183" s="26">
        <f t="shared" si="941"/>
        <v>146205.82120582164</v>
      </c>
      <c r="BN183" s="26">
        <f t="shared" si="942"/>
        <v>20166.320166320176</v>
      </c>
      <c r="BO183" s="26">
        <f t="shared" si="943"/>
        <v>189059.25155925177</v>
      </c>
      <c r="BP183" s="26">
        <f t="shared" si="944"/>
        <v>50415.800415800528</v>
      </c>
      <c r="BQ183" s="26">
        <f t="shared" si="945"/>
        <v>12603.950103950121</v>
      </c>
      <c r="BR183" s="26">
        <f t="shared" si="946"/>
        <v>365514.55301455309</v>
      </c>
      <c r="BS183" s="26">
        <f t="shared" si="947"/>
        <v>115956.34095634098</v>
      </c>
      <c r="BT183" s="26">
        <f t="shared" si="948"/>
        <v>12603.950103950121</v>
      </c>
      <c r="BU183" s="26">
        <f t="shared" si="949"/>
        <v>12603.950103950132</v>
      </c>
      <c r="BV183" s="26">
        <f t="shared" si="950"/>
        <v>34030.6652806653</v>
      </c>
      <c r="BW183" s="26">
        <f t="shared" si="951"/>
        <v>226871.10187110171</v>
      </c>
      <c r="BX183" s="26">
        <f t="shared" si="952"/>
        <v>88227.650727650849</v>
      </c>
      <c r="BY183" s="26">
        <f t="shared" si="953"/>
        <v>163851.3513513511</v>
      </c>
      <c r="BZ183" s="26">
        <f t="shared" si="954"/>
        <v>163851.35135135107</v>
      </c>
      <c r="CA183" s="26">
        <f t="shared" si="955"/>
        <v>272245.32224532228</v>
      </c>
      <c r="CB183" s="26">
        <f t="shared" si="956"/>
        <v>206704.78170478196</v>
      </c>
      <c r="CC183" s="26">
        <f t="shared" si="957"/>
        <v>18905.925155925201</v>
      </c>
      <c r="CD183" s="26">
        <f t="shared" si="958"/>
        <v>88227.650727650733</v>
      </c>
      <c r="CE183" s="26">
        <f t="shared" si="959"/>
        <v>12603.950103950086</v>
      </c>
      <c r="CF183" s="26">
        <f t="shared" si="960"/>
        <v>17645.530145530181</v>
      </c>
      <c r="CG183" s="26">
        <f t="shared" si="961"/>
        <v>88227.650727650849</v>
      </c>
      <c r="CH183" s="26">
        <f t="shared" si="962"/>
        <v>88227.650727650689</v>
      </c>
      <c r="CI183" s="26">
        <f t="shared" si="963"/>
        <v>17645.530145530174</v>
      </c>
      <c r="CJ183" s="26">
        <f t="shared" si="964"/>
        <v>-3.3653635433950104E-10</v>
      </c>
      <c r="CK183" s="26">
        <f t="shared" si="965"/>
        <v>12603.950103950121</v>
      </c>
      <c r="CL183" s="26">
        <f t="shared" si="966"/>
        <v>0</v>
      </c>
      <c r="CM183" s="110">
        <f t="shared" si="967"/>
        <v>1</v>
      </c>
      <c r="CN183" s="27">
        <f t="shared" si="933"/>
        <v>108301.32228424774</v>
      </c>
      <c r="CO183" s="27">
        <f t="shared" si="908"/>
        <v>14938.113418516892</v>
      </c>
      <c r="CP183" s="27">
        <f t="shared" si="909"/>
        <v>140044.81329859595</v>
      </c>
      <c r="CQ183" s="27">
        <f t="shared" si="910"/>
        <v>37345.283546292296</v>
      </c>
      <c r="CR183" s="27">
        <f t="shared" si="911"/>
        <v>9336.3208865730667</v>
      </c>
      <c r="CS183" s="27">
        <f t="shared" si="912"/>
        <v>270753.30571061862</v>
      </c>
      <c r="CT183" s="27">
        <f t="shared" si="913"/>
        <v>85894.152156472104</v>
      </c>
      <c r="CU183" s="27">
        <f t="shared" si="914"/>
        <v>9336.3208865730667</v>
      </c>
      <c r="CV183" s="27">
        <f t="shared" si="915"/>
        <v>9336.3208865730739</v>
      </c>
      <c r="CW183" s="27">
        <f t="shared" si="916"/>
        <v>25208.066393747256</v>
      </c>
      <c r="CX183" s="27">
        <f t="shared" si="917"/>
        <v>168053.77595831483</v>
      </c>
      <c r="CY183" s="27">
        <f t="shared" si="918"/>
        <v>65354.246206011463</v>
      </c>
      <c r="CZ183" s="27">
        <f t="shared" si="919"/>
        <v>121372.17152544949</v>
      </c>
      <c r="DA183" s="27">
        <f t="shared" si="920"/>
        <v>121372.17152544948</v>
      </c>
      <c r="DB183" s="27">
        <f t="shared" si="921"/>
        <v>201664.53114997799</v>
      </c>
      <c r="DC183" s="27">
        <f t="shared" si="922"/>
        <v>153115.66253979824</v>
      </c>
      <c r="DD183" s="27">
        <f t="shared" si="923"/>
        <v>14004.481329859613</v>
      </c>
      <c r="DE183" s="27">
        <f t="shared" si="924"/>
        <v>65354.246206011376</v>
      </c>
      <c r="DF183" s="27">
        <f t="shared" si="925"/>
        <v>9336.3208865730394</v>
      </c>
      <c r="DG183" s="27">
        <f t="shared" si="926"/>
        <v>13070.849241202302</v>
      </c>
      <c r="DH183" s="27">
        <f t="shared" si="927"/>
        <v>65354.246206011463</v>
      </c>
      <c r="DI183" s="27">
        <f t="shared" si="928"/>
        <v>65354.246206011339</v>
      </c>
      <c r="DJ183" s="27">
        <f t="shared" si="929"/>
        <v>13070.849241202297</v>
      </c>
      <c r="DK183" s="27">
        <f t="shared" si="930"/>
        <v>-2.4928783184617027E-10</v>
      </c>
      <c r="DL183" s="27">
        <f t="shared" si="931"/>
        <v>9336.3208865730667</v>
      </c>
      <c r="DM183" s="27">
        <f t="shared" si="932"/>
        <v>0</v>
      </c>
      <c r="DN183" s="110">
        <f t="shared" si="968"/>
        <v>1.0000000000000002</v>
      </c>
      <c r="DO183" s="28">
        <f t="shared" si="771"/>
        <v>37904.498921573904</v>
      </c>
      <c r="DP183" s="28">
        <f t="shared" si="772"/>
        <v>5228.2067478032841</v>
      </c>
      <c r="DQ183" s="28">
        <f t="shared" si="773"/>
        <v>49014.438260655821</v>
      </c>
      <c r="DR183" s="28">
        <f t="shared" si="774"/>
        <v>13070.516869508232</v>
      </c>
      <c r="DS183" s="28">
        <f t="shared" si="775"/>
        <v>3267.6292173770544</v>
      </c>
      <c r="DT183" s="28">
        <f t="shared" si="776"/>
        <v>94761.247303934477</v>
      </c>
      <c r="DU183" s="28">
        <f t="shared" si="777"/>
        <v>30062.188799868876</v>
      </c>
      <c r="DV183" s="28">
        <f t="shared" si="778"/>
        <v>3267.6292173770544</v>
      </c>
      <c r="DW183" s="28">
        <f t="shared" si="779"/>
        <v>3267.629217377058</v>
      </c>
      <c r="DX183" s="28">
        <f t="shared" si="780"/>
        <v>8822.5988869180437</v>
      </c>
      <c r="DY183" s="28">
        <f t="shared" si="781"/>
        <v>58817.325912786881</v>
      </c>
      <c r="DZ183" s="28">
        <f t="shared" si="782"/>
        <v>22873.404521639386</v>
      </c>
      <c r="EA183" s="28">
        <f t="shared" si="783"/>
        <v>42479.179825901607</v>
      </c>
      <c r="EB183" s="28">
        <f t="shared" si="784"/>
        <v>42479.179825901592</v>
      </c>
      <c r="EC183" s="28">
        <f t="shared" si="785"/>
        <v>70580.791095344292</v>
      </c>
      <c r="ED183" s="28">
        <f t="shared" si="786"/>
        <v>53589.119164983713</v>
      </c>
      <c r="EE183" s="28">
        <f t="shared" si="787"/>
        <v>4901.4438260655879</v>
      </c>
      <c r="EF183" s="28">
        <f t="shared" si="788"/>
        <v>22873.404521639357</v>
      </c>
      <c r="EG183" s="28">
        <f t="shared" si="789"/>
        <v>3267.6292173770471</v>
      </c>
      <c r="EH183" s="28">
        <f t="shared" si="790"/>
        <v>4574.680904327879</v>
      </c>
      <c r="EI183" s="28">
        <f t="shared" si="791"/>
        <v>22873.404521639386</v>
      </c>
      <c r="EJ183" s="28">
        <f t="shared" si="792"/>
        <v>22873.40452163935</v>
      </c>
      <c r="EK183" s="28">
        <f t="shared" si="793"/>
        <v>4574.6809043278772</v>
      </c>
      <c r="EL183" s="28">
        <f t="shared" si="794"/>
        <v>-8.7248522493330772E-11</v>
      </c>
      <c r="EM183" s="28">
        <f t="shared" si="795"/>
        <v>3267.6292173770544</v>
      </c>
      <c r="EN183" s="28">
        <f t="shared" si="796"/>
        <v>0</v>
      </c>
      <c r="EQ183" s="144">
        <v>0.04</v>
      </c>
      <c r="ER183" s="144">
        <v>0.05</v>
      </c>
      <c r="ES183" s="144">
        <v>0.06</v>
      </c>
      <c r="ET183" s="144">
        <v>0.05</v>
      </c>
      <c r="EU183" s="144">
        <v>0.06</v>
      </c>
      <c r="EV183" s="144">
        <v>0.08</v>
      </c>
      <c r="EW183" s="144">
        <v>7.0000000000000007E-2</v>
      </c>
      <c r="EX183" s="144">
        <v>0.1</v>
      </c>
      <c r="EY183" s="144">
        <v>0.14000000000000001</v>
      </c>
      <c r="EZ183" s="144">
        <v>0.14000000000000001</v>
      </c>
      <c r="FA183" s="144">
        <v>0.12</v>
      </c>
      <c r="FB183" s="144">
        <v>0.09</v>
      </c>
      <c r="FC183" s="145">
        <f t="shared" si="797"/>
        <v>1</v>
      </c>
      <c r="FD183" s="146">
        <f t="shared" si="935"/>
        <v>0.15</v>
      </c>
      <c r="FE183" s="146">
        <f t="shared" si="936"/>
        <v>0.19</v>
      </c>
      <c r="FF183" s="146">
        <f t="shared" si="937"/>
        <v>0.31000000000000005</v>
      </c>
      <c r="FG183" s="146">
        <f t="shared" si="938"/>
        <v>0.35</v>
      </c>
      <c r="FH183" s="145">
        <f t="shared" si="939"/>
        <v>1</v>
      </c>
      <c r="FJ183" s="52">
        <f t="shared" si="802"/>
        <v>21930.873180873245</v>
      </c>
      <c r="FK183" s="52">
        <f t="shared" si="803"/>
        <v>3024.9480249480262</v>
      </c>
      <c r="FL183" s="52">
        <f t="shared" si="804"/>
        <v>28358.887733887765</v>
      </c>
      <c r="FM183" s="52">
        <f t="shared" si="805"/>
        <v>7562.3700623700788</v>
      </c>
      <c r="FN183" s="52">
        <f t="shared" si="806"/>
        <v>1890.5925155925181</v>
      </c>
      <c r="FO183" s="52">
        <f t="shared" si="807"/>
        <v>54827.182952182964</v>
      </c>
      <c r="FP183" s="52">
        <f t="shared" si="808"/>
        <v>17393.451143451148</v>
      </c>
      <c r="FQ183" s="52">
        <f t="shared" si="809"/>
        <v>1890.5925155925181</v>
      </c>
      <c r="FR183" s="52">
        <f t="shared" si="810"/>
        <v>1890.5925155925197</v>
      </c>
      <c r="FS183" s="52">
        <f t="shared" si="811"/>
        <v>5104.5997920997952</v>
      </c>
      <c r="FT183" s="52">
        <f t="shared" si="812"/>
        <v>34030.665280665256</v>
      </c>
      <c r="FU183" s="52">
        <f t="shared" si="813"/>
        <v>13234.147609147627</v>
      </c>
      <c r="FV183" s="52">
        <f t="shared" si="814"/>
        <v>24577.702702702663</v>
      </c>
      <c r="FW183" s="52">
        <f t="shared" si="815"/>
        <v>24577.70270270266</v>
      </c>
      <c r="FX183" s="52">
        <f t="shared" si="816"/>
        <v>40836.79833679834</v>
      </c>
      <c r="FY183" s="52">
        <f t="shared" si="817"/>
        <v>31005.717255717293</v>
      </c>
      <c r="FZ183" s="52">
        <f t="shared" si="818"/>
        <v>2835.88877338878</v>
      </c>
      <c r="GA183" s="52">
        <f t="shared" si="819"/>
        <v>13234.147609147609</v>
      </c>
      <c r="GB183" s="52">
        <f t="shared" si="820"/>
        <v>1890.5925155925129</v>
      </c>
      <c r="GC183" s="52">
        <f t="shared" si="821"/>
        <v>2646.829521829527</v>
      </c>
      <c r="GD183" s="52">
        <f t="shared" si="822"/>
        <v>13234.147609147627</v>
      </c>
      <c r="GE183" s="52">
        <f t="shared" si="823"/>
        <v>13234.147609147603</v>
      </c>
      <c r="GF183" s="52">
        <f t="shared" si="824"/>
        <v>2646.8295218295261</v>
      </c>
      <c r="GG183" s="52">
        <f t="shared" si="825"/>
        <v>-5.0480453150925158E-11</v>
      </c>
      <c r="GH183" s="52">
        <f t="shared" si="826"/>
        <v>1890.5925155925181</v>
      </c>
      <c r="GI183" s="52">
        <f t="shared" si="827"/>
        <v>0</v>
      </c>
      <c r="GJ183" s="26"/>
      <c r="GL183" s="150">
        <f t="shared" si="828"/>
        <v>27779.106029106111</v>
      </c>
      <c r="GM183" s="150">
        <f t="shared" si="829"/>
        <v>3831.6008316008333</v>
      </c>
      <c r="GN183" s="150">
        <f t="shared" si="830"/>
        <v>35921.257796257836</v>
      </c>
      <c r="GO183" s="150">
        <f t="shared" si="831"/>
        <v>9579.0020790021008</v>
      </c>
      <c r="GP183" s="150">
        <f t="shared" si="832"/>
        <v>2394.7505197505229</v>
      </c>
      <c r="GQ183" s="150">
        <f t="shared" si="833"/>
        <v>69447.765072765091</v>
      </c>
      <c r="GR183" s="150">
        <f t="shared" si="834"/>
        <v>22031.704781704786</v>
      </c>
      <c r="GS183" s="150">
        <f t="shared" si="835"/>
        <v>2394.7505197505229</v>
      </c>
      <c r="GT183" s="150">
        <f t="shared" si="836"/>
        <v>2394.7505197505252</v>
      </c>
      <c r="GU183" s="150">
        <f t="shared" si="837"/>
        <v>6465.8264033264068</v>
      </c>
      <c r="GV183" s="150">
        <f t="shared" si="838"/>
        <v>43105.509355509326</v>
      </c>
      <c r="GW183" s="150">
        <f t="shared" si="839"/>
        <v>16763.25363825366</v>
      </c>
      <c r="GX183" s="150">
        <f t="shared" si="840"/>
        <v>31131.756756756709</v>
      </c>
      <c r="GY183" s="150">
        <f t="shared" si="841"/>
        <v>31131.756756756702</v>
      </c>
      <c r="GZ183" s="150">
        <f t="shared" si="842"/>
        <v>51726.611226611232</v>
      </c>
      <c r="HA183" s="150">
        <f t="shared" si="843"/>
        <v>39273.908523908569</v>
      </c>
      <c r="HB183" s="150">
        <f t="shared" si="844"/>
        <v>3592.1257796257883</v>
      </c>
      <c r="HC183" s="150">
        <f t="shared" si="845"/>
        <v>16763.253638253638</v>
      </c>
      <c r="HD183" s="150">
        <f t="shared" si="846"/>
        <v>2394.7505197505166</v>
      </c>
      <c r="HE183" s="150">
        <f t="shared" si="847"/>
        <v>3352.6507276507346</v>
      </c>
      <c r="HF183" s="150">
        <f t="shared" si="848"/>
        <v>16763.25363825366</v>
      </c>
      <c r="HG183" s="150">
        <f t="shared" si="849"/>
        <v>16763.253638253631</v>
      </c>
      <c r="HH183" s="150">
        <f t="shared" si="850"/>
        <v>3352.6507276507332</v>
      </c>
      <c r="HI183" s="150">
        <f t="shared" si="851"/>
        <v>-6.39419073245052E-11</v>
      </c>
      <c r="HJ183" s="150">
        <f t="shared" si="852"/>
        <v>2394.7505197505229</v>
      </c>
      <c r="HK183" s="150">
        <f t="shared" si="853"/>
        <v>0</v>
      </c>
      <c r="HL183" s="26"/>
      <c r="HN183" s="147">
        <f t="shared" si="854"/>
        <v>45323.804573804715</v>
      </c>
      <c r="HO183" s="147">
        <f t="shared" si="855"/>
        <v>6251.5592515592562</v>
      </c>
      <c r="HP183" s="147">
        <f t="shared" si="856"/>
        <v>58608.367983368058</v>
      </c>
      <c r="HQ183" s="147">
        <f t="shared" si="857"/>
        <v>15628.898128898167</v>
      </c>
      <c r="HR183" s="147">
        <f t="shared" si="858"/>
        <v>3907.2245322245381</v>
      </c>
      <c r="HS183" s="147">
        <f t="shared" si="859"/>
        <v>113309.51143451149</v>
      </c>
      <c r="HT183" s="147">
        <f t="shared" si="860"/>
        <v>35946.465696465712</v>
      </c>
      <c r="HU183" s="147">
        <f t="shared" si="861"/>
        <v>3907.2245322245381</v>
      </c>
      <c r="HV183" s="147">
        <f t="shared" si="862"/>
        <v>3907.2245322245417</v>
      </c>
      <c r="HW183" s="147">
        <f t="shared" si="863"/>
        <v>10549.506237006244</v>
      </c>
      <c r="HX183" s="147">
        <f t="shared" si="864"/>
        <v>70330.041580041536</v>
      </c>
      <c r="HY183" s="147">
        <f t="shared" si="865"/>
        <v>27350.571725571768</v>
      </c>
      <c r="HZ183" s="147">
        <f t="shared" si="866"/>
        <v>50793.918918918847</v>
      </c>
      <c r="IA183" s="147">
        <f t="shared" si="867"/>
        <v>50793.91891891884</v>
      </c>
      <c r="IB183" s="147">
        <f t="shared" si="868"/>
        <v>84396.049896049924</v>
      </c>
      <c r="IC183" s="147">
        <f t="shared" si="869"/>
        <v>64078.482328482416</v>
      </c>
      <c r="ID183" s="147">
        <f t="shared" si="870"/>
        <v>5860.8367983368134</v>
      </c>
      <c r="IE183" s="147">
        <f t="shared" si="871"/>
        <v>27350.571725571732</v>
      </c>
      <c r="IF183" s="147">
        <f t="shared" si="872"/>
        <v>3907.2245322245276</v>
      </c>
      <c r="IG183" s="147">
        <f t="shared" si="873"/>
        <v>5470.1143451143571</v>
      </c>
      <c r="IH183" s="147">
        <f t="shared" si="874"/>
        <v>27350.571725571768</v>
      </c>
      <c r="II183" s="147">
        <f t="shared" si="875"/>
        <v>27350.571725571717</v>
      </c>
      <c r="IJ183" s="147">
        <f t="shared" si="876"/>
        <v>5470.1143451143553</v>
      </c>
      <c r="IK183" s="147">
        <f t="shared" si="877"/>
        <v>-1.0432626984524535E-10</v>
      </c>
      <c r="IL183" s="147">
        <f t="shared" si="878"/>
        <v>3907.2245322245381</v>
      </c>
      <c r="IM183" s="147">
        <f t="shared" si="879"/>
        <v>0</v>
      </c>
      <c r="IN183" s="26"/>
      <c r="IP183" s="61">
        <f t="shared" si="880"/>
        <v>51172.037422037574</v>
      </c>
      <c r="IQ183" s="61">
        <f t="shared" si="881"/>
        <v>7058.2120582120615</v>
      </c>
      <c r="IR183" s="61">
        <f t="shared" si="882"/>
        <v>66170.738045738122</v>
      </c>
      <c r="IS183" s="61">
        <f t="shared" si="883"/>
        <v>17645.530145530185</v>
      </c>
      <c r="IT183" s="61">
        <f t="shared" si="884"/>
        <v>4411.3825363825417</v>
      </c>
      <c r="IU183" s="61">
        <f t="shared" si="885"/>
        <v>127930.09355509357</v>
      </c>
      <c r="IV183" s="61">
        <f t="shared" si="886"/>
        <v>40584.719334719339</v>
      </c>
      <c r="IW183" s="61">
        <f t="shared" si="887"/>
        <v>4411.3825363825417</v>
      </c>
      <c r="IX183" s="61">
        <f t="shared" si="888"/>
        <v>4411.3825363825463</v>
      </c>
      <c r="IY183" s="61">
        <f t="shared" si="889"/>
        <v>11910.732848232854</v>
      </c>
      <c r="IZ183" s="61">
        <f t="shared" si="890"/>
        <v>79404.885654885598</v>
      </c>
      <c r="JA183" s="61">
        <f t="shared" si="891"/>
        <v>30879.677754677796</v>
      </c>
      <c r="JB183" s="61">
        <f t="shared" si="892"/>
        <v>57347.972972972879</v>
      </c>
      <c r="JC183" s="61">
        <f t="shared" si="893"/>
        <v>57347.972972972872</v>
      </c>
      <c r="JD183" s="61">
        <f t="shared" si="894"/>
        <v>95285.862785862788</v>
      </c>
      <c r="JE183" s="61">
        <f t="shared" si="895"/>
        <v>72346.673596673674</v>
      </c>
      <c r="JF183" s="61">
        <f t="shared" si="896"/>
        <v>6617.0738045738199</v>
      </c>
      <c r="JG183" s="61">
        <f t="shared" si="897"/>
        <v>30879.677754677756</v>
      </c>
      <c r="JH183" s="61">
        <f t="shared" si="898"/>
        <v>4411.3825363825299</v>
      </c>
      <c r="JI183" s="61">
        <f t="shared" si="899"/>
        <v>6175.9355509355628</v>
      </c>
      <c r="JJ183" s="61">
        <f t="shared" si="900"/>
        <v>30879.677754677796</v>
      </c>
      <c r="JK183" s="61">
        <f t="shared" si="901"/>
        <v>30879.677754677738</v>
      </c>
      <c r="JL183" s="61">
        <f t="shared" si="902"/>
        <v>6175.935550935561</v>
      </c>
      <c r="JM183" s="61">
        <f t="shared" si="903"/>
        <v>-1.1778772401882536E-10</v>
      </c>
      <c r="JN183" s="61">
        <f t="shared" si="904"/>
        <v>4411.3825363825417</v>
      </c>
      <c r="JO183" s="61">
        <f t="shared" si="905"/>
        <v>0</v>
      </c>
      <c r="JQ183" s="26">
        <f t="shared" si="969"/>
        <v>2425000</v>
      </c>
      <c r="JR183" s="156">
        <f t="shared" si="970"/>
        <v>1</v>
      </c>
      <c r="JT183" s="157">
        <f t="shared" si="906"/>
        <v>146205.82120582164</v>
      </c>
      <c r="JU183" s="29">
        <f t="shared" si="907"/>
        <v>1</v>
      </c>
    </row>
    <row r="184" spans="1:281" ht="18.75" x14ac:dyDescent="0.3">
      <c r="A184" t="s">
        <v>234</v>
      </c>
      <c r="B184" s="10" t="s">
        <v>230</v>
      </c>
      <c r="C184" t="s">
        <v>84</v>
      </c>
      <c r="D184" t="s">
        <v>149</v>
      </c>
      <c r="E184" t="s">
        <v>313</v>
      </c>
      <c r="F184" s="114"/>
      <c r="G184" s="17">
        <v>2135000</v>
      </c>
      <c r="H184" s="21">
        <v>1642326.2270819466</v>
      </c>
      <c r="I184" s="25">
        <f t="shared" si="713"/>
        <v>1.2999853286112508</v>
      </c>
      <c r="J184" s="105">
        <v>6.0291060291060246E-2</v>
      </c>
      <c r="K184" s="105">
        <v>8.3160083160082887E-3</v>
      </c>
      <c r="L184" s="105">
        <v>7.7962577962577911E-2</v>
      </c>
      <c r="M184" s="105">
        <v>2.0790020790020812E-2</v>
      </c>
      <c r="N184" s="105">
        <v>5.1975051975051909E-3</v>
      </c>
      <c r="O184" s="105">
        <v>0.15072765072765101</v>
      </c>
      <c r="P184" s="105">
        <v>4.7817047817047854E-2</v>
      </c>
      <c r="Q184" s="105">
        <v>5.1975051975051796E-3</v>
      </c>
      <c r="R184" s="105">
        <v>5.1975051975052021E-3</v>
      </c>
      <c r="S184" s="105">
        <v>1.4033264033264058E-2</v>
      </c>
      <c r="T184" s="105">
        <v>9.3555093555093394E-2</v>
      </c>
      <c r="U184" s="105">
        <v>3.6382536382536426E-2</v>
      </c>
      <c r="V184" s="105">
        <v>6.7567567567567544E-2</v>
      </c>
      <c r="W184" s="105">
        <v>6.756756756756753E-2</v>
      </c>
      <c r="X184" s="105">
        <v>0.11226611226611249</v>
      </c>
      <c r="Y184" s="105">
        <v>8.5239085239085272E-2</v>
      </c>
      <c r="Z184" s="105">
        <v>7.7962577962577915E-3</v>
      </c>
      <c r="AA184" s="105">
        <v>3.6382536382536385E-2</v>
      </c>
      <c r="AB184" s="105">
        <v>5.1975051975051917E-3</v>
      </c>
      <c r="AC184" s="105">
        <v>7.2765072765072821E-3</v>
      </c>
      <c r="AD184" s="105">
        <v>3.6382536382536385E-2</v>
      </c>
      <c r="AE184" s="105">
        <v>3.6382536382536329E-2</v>
      </c>
      <c r="AF184" s="105">
        <v>7.2765072765072674E-3</v>
      </c>
      <c r="AG184" s="105">
        <v>-1.3877787807814439E-16</v>
      </c>
      <c r="AH184" s="105">
        <v>5.1975051975051909E-3</v>
      </c>
      <c r="AJ184" s="8">
        <f t="shared" si="940"/>
        <v>1.0000000000000002</v>
      </c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159"/>
      <c r="BG184" s="159"/>
      <c r="BH184" s="159"/>
      <c r="BI184" s="159"/>
      <c r="BJ184" s="159"/>
      <c r="BM184" s="26">
        <f t="shared" si="941"/>
        <v>128721.41372141363</v>
      </c>
      <c r="BN184" s="26">
        <f t="shared" si="942"/>
        <v>17754.677754677698</v>
      </c>
      <c r="BO184" s="26">
        <f t="shared" si="943"/>
        <v>166450.10395010383</v>
      </c>
      <c r="BP184" s="26">
        <f t="shared" si="944"/>
        <v>44386.694386694435</v>
      </c>
      <c r="BQ184" s="26">
        <f t="shared" si="945"/>
        <v>11096.673596673583</v>
      </c>
      <c r="BR184" s="26">
        <f t="shared" si="946"/>
        <v>321803.53430353489</v>
      </c>
      <c r="BS184" s="26">
        <f t="shared" si="947"/>
        <v>102089.39708939717</v>
      </c>
      <c r="BT184" s="26">
        <f t="shared" si="948"/>
        <v>11096.673596673558</v>
      </c>
      <c r="BU184" s="26">
        <f t="shared" si="949"/>
        <v>11096.673596673607</v>
      </c>
      <c r="BV184" s="26">
        <f t="shared" si="950"/>
        <v>29961.018711018765</v>
      </c>
      <c r="BW184" s="26">
        <f t="shared" si="951"/>
        <v>199740.12474012439</v>
      </c>
      <c r="BX184" s="26">
        <f t="shared" si="952"/>
        <v>77676.715176715268</v>
      </c>
      <c r="BY184" s="26">
        <f t="shared" si="953"/>
        <v>144256.75675675672</v>
      </c>
      <c r="BZ184" s="26">
        <f t="shared" si="954"/>
        <v>144256.75675675669</v>
      </c>
      <c r="CA184" s="26">
        <f t="shared" si="955"/>
        <v>239688.14968815018</v>
      </c>
      <c r="CB184" s="26">
        <f t="shared" si="956"/>
        <v>181985.44698544705</v>
      </c>
      <c r="CC184" s="26">
        <f t="shared" si="957"/>
        <v>16645.010395010384</v>
      </c>
      <c r="CD184" s="26">
        <f t="shared" si="958"/>
        <v>77676.715176715181</v>
      </c>
      <c r="CE184" s="26">
        <f t="shared" si="959"/>
        <v>11096.673596673585</v>
      </c>
      <c r="CF184" s="26">
        <f t="shared" si="960"/>
        <v>15535.343035343047</v>
      </c>
      <c r="CG184" s="26">
        <f t="shared" si="961"/>
        <v>77676.715176715181</v>
      </c>
      <c r="CH184" s="26">
        <f t="shared" si="962"/>
        <v>77676.715176715064</v>
      </c>
      <c r="CI184" s="26">
        <f t="shared" si="963"/>
        <v>15535.343035343016</v>
      </c>
      <c r="CJ184" s="26">
        <f t="shared" si="964"/>
        <v>-2.9629076969683829E-10</v>
      </c>
      <c r="CK184" s="26">
        <f t="shared" si="965"/>
        <v>11096.673596673583</v>
      </c>
      <c r="CL184" s="26">
        <f t="shared" si="966"/>
        <v>0</v>
      </c>
      <c r="CM184" s="110">
        <f t="shared" si="967"/>
        <v>1.0000000000000004</v>
      </c>
      <c r="CN184" s="27">
        <f t="shared" si="933"/>
        <v>99017.589574587138</v>
      </c>
      <c r="CO184" s="27">
        <f t="shared" si="908"/>
        <v>13657.598562011985</v>
      </c>
      <c r="CP184" s="27">
        <f t="shared" si="909"/>
        <v>128039.9865188627</v>
      </c>
      <c r="CQ184" s="27">
        <f t="shared" si="910"/>
        <v>34143.996405030113</v>
      </c>
      <c r="CR184" s="27">
        <f t="shared" si="911"/>
        <v>8535.9991012575083</v>
      </c>
      <c r="CS184" s="27">
        <f t="shared" si="912"/>
        <v>247543.97393646851</v>
      </c>
      <c r="CT184" s="27">
        <f t="shared" si="913"/>
        <v>78531.191731569226</v>
      </c>
      <c r="CU184" s="27">
        <f t="shared" si="914"/>
        <v>8535.9991012574883</v>
      </c>
      <c r="CV184" s="27">
        <f t="shared" si="915"/>
        <v>8535.9991012575265</v>
      </c>
      <c r="CW184" s="27">
        <f t="shared" si="916"/>
        <v>23047.19757339534</v>
      </c>
      <c r="CX184" s="27">
        <f t="shared" si="917"/>
        <v>153647.98382263505</v>
      </c>
      <c r="CY184" s="27">
        <f t="shared" si="918"/>
        <v>59751.9937088027</v>
      </c>
      <c r="CZ184" s="27">
        <f t="shared" si="919"/>
        <v>110967.98831634771</v>
      </c>
      <c r="DA184" s="27">
        <f t="shared" si="920"/>
        <v>110967.98831634768</v>
      </c>
      <c r="DB184" s="27">
        <f t="shared" si="921"/>
        <v>184377.58058716278</v>
      </c>
      <c r="DC184" s="27">
        <f t="shared" si="922"/>
        <v>139990.38526062336</v>
      </c>
      <c r="DD184" s="27">
        <f t="shared" si="923"/>
        <v>12803.99865188627</v>
      </c>
      <c r="DE184" s="27">
        <f t="shared" si="924"/>
        <v>59751.993708802635</v>
      </c>
      <c r="DF184" s="27">
        <f t="shared" si="925"/>
        <v>8535.9991012575083</v>
      </c>
      <c r="DG184" s="27">
        <f t="shared" si="926"/>
        <v>11950.398741760535</v>
      </c>
      <c r="DH184" s="27">
        <f t="shared" si="927"/>
        <v>59751.993708802635</v>
      </c>
      <c r="DI184" s="27">
        <f t="shared" si="928"/>
        <v>59751.99370880254</v>
      </c>
      <c r="DJ184" s="27">
        <f t="shared" si="929"/>
        <v>11950.398741760511</v>
      </c>
      <c r="DK184" s="27">
        <f t="shared" si="930"/>
        <v>-2.2791854890651728E-10</v>
      </c>
      <c r="DL184" s="27">
        <f t="shared" si="931"/>
        <v>8535.9991012575083</v>
      </c>
      <c r="DM184" s="27">
        <f t="shared" si="932"/>
        <v>0</v>
      </c>
      <c r="DN184" s="110">
        <f t="shared" si="968"/>
        <v>1.0000000000000002</v>
      </c>
      <c r="DO184" s="28">
        <f t="shared" si="771"/>
        <v>29703.82414682649</v>
      </c>
      <c r="DP184" s="28">
        <f t="shared" si="772"/>
        <v>4097.079192665713</v>
      </c>
      <c r="DQ184" s="28">
        <f t="shared" si="773"/>
        <v>38410.117431241131</v>
      </c>
      <c r="DR184" s="28">
        <f t="shared" si="774"/>
        <v>10242.697981664322</v>
      </c>
      <c r="DS184" s="28">
        <f t="shared" si="775"/>
        <v>2560.6744954160749</v>
      </c>
      <c r="DT184" s="28">
        <f t="shared" si="776"/>
        <v>74259.560367066384</v>
      </c>
      <c r="DU184" s="28">
        <f t="shared" si="777"/>
        <v>23558.205357827945</v>
      </c>
      <c r="DV184" s="28">
        <f t="shared" si="778"/>
        <v>2560.6744954160695</v>
      </c>
      <c r="DW184" s="28">
        <f t="shared" si="779"/>
        <v>2560.6744954160804</v>
      </c>
      <c r="DX184" s="28">
        <f t="shared" si="780"/>
        <v>6913.8211376234249</v>
      </c>
      <c r="DY184" s="28">
        <f t="shared" si="781"/>
        <v>46092.140917489334</v>
      </c>
      <c r="DZ184" s="28">
        <f t="shared" si="782"/>
        <v>17924.721467912568</v>
      </c>
      <c r="EA184" s="28">
        <f t="shared" si="783"/>
        <v>33288.768440409011</v>
      </c>
      <c r="EB184" s="28">
        <f t="shared" si="784"/>
        <v>33288.768440409011</v>
      </c>
      <c r="EC184" s="28">
        <f t="shared" si="785"/>
        <v>55310.569100987399</v>
      </c>
      <c r="ED184" s="28">
        <f t="shared" si="786"/>
        <v>41995.061724823696</v>
      </c>
      <c r="EE184" s="28">
        <f t="shared" si="787"/>
        <v>3841.0117431241142</v>
      </c>
      <c r="EF184" s="28">
        <f t="shared" si="788"/>
        <v>17924.721467912546</v>
      </c>
      <c r="EG184" s="28">
        <f t="shared" si="789"/>
        <v>2560.6744954160768</v>
      </c>
      <c r="EH184" s="28">
        <f t="shared" si="790"/>
        <v>3584.9442935825118</v>
      </c>
      <c r="EI184" s="28">
        <f t="shared" si="791"/>
        <v>17924.721467912546</v>
      </c>
      <c r="EJ184" s="28">
        <f t="shared" si="792"/>
        <v>17924.721467912525</v>
      </c>
      <c r="EK184" s="28">
        <f t="shared" si="793"/>
        <v>3584.9442935825045</v>
      </c>
      <c r="EL184" s="28">
        <f t="shared" si="794"/>
        <v>-6.8372220790321012E-11</v>
      </c>
      <c r="EM184" s="28">
        <f t="shared" si="795"/>
        <v>2560.6744954160749</v>
      </c>
      <c r="EN184" s="28">
        <f t="shared" si="796"/>
        <v>0</v>
      </c>
      <c r="EQ184" s="144">
        <v>0.04</v>
      </c>
      <c r="ER184" s="144">
        <v>0.05</v>
      </c>
      <c r="ES184" s="144">
        <v>0.06</v>
      </c>
      <c r="ET184" s="144">
        <v>0.05</v>
      </c>
      <c r="EU184" s="144">
        <v>0.06</v>
      </c>
      <c r="EV184" s="144">
        <v>0.08</v>
      </c>
      <c r="EW184" s="144">
        <v>7.0000000000000007E-2</v>
      </c>
      <c r="EX184" s="144">
        <v>0.1</v>
      </c>
      <c r="EY184" s="144">
        <v>0.14000000000000001</v>
      </c>
      <c r="EZ184" s="144">
        <v>0.14000000000000001</v>
      </c>
      <c r="FA184" s="144">
        <v>0.12</v>
      </c>
      <c r="FB184" s="144">
        <v>0.09</v>
      </c>
      <c r="FC184" s="145">
        <f t="shared" si="797"/>
        <v>1</v>
      </c>
      <c r="FD184" s="146">
        <f t="shared" si="935"/>
        <v>0.15</v>
      </c>
      <c r="FE184" s="146">
        <f t="shared" si="936"/>
        <v>0.19</v>
      </c>
      <c r="FF184" s="146">
        <f t="shared" si="937"/>
        <v>0.31000000000000005</v>
      </c>
      <c r="FG184" s="146">
        <f t="shared" si="938"/>
        <v>0.35</v>
      </c>
      <c r="FH184" s="145">
        <f t="shared" si="939"/>
        <v>1</v>
      </c>
      <c r="FJ184" s="52">
        <f t="shared" si="802"/>
        <v>19308.212058212044</v>
      </c>
      <c r="FK184" s="52">
        <f t="shared" si="803"/>
        <v>2663.2016632016544</v>
      </c>
      <c r="FL184" s="52">
        <f t="shared" si="804"/>
        <v>24967.515592515574</v>
      </c>
      <c r="FM184" s="52">
        <f t="shared" si="805"/>
        <v>6658.0041580041652</v>
      </c>
      <c r="FN184" s="52">
        <f t="shared" si="806"/>
        <v>1664.5010395010374</v>
      </c>
      <c r="FO184" s="52">
        <f t="shared" si="807"/>
        <v>48270.530145530232</v>
      </c>
      <c r="FP184" s="52">
        <f t="shared" si="808"/>
        <v>15313.409563409576</v>
      </c>
      <c r="FQ184" s="52">
        <f t="shared" si="809"/>
        <v>1664.5010395010336</v>
      </c>
      <c r="FR184" s="52">
        <f t="shared" si="810"/>
        <v>1664.5010395010411</v>
      </c>
      <c r="FS184" s="52">
        <f t="shared" si="811"/>
        <v>4494.1528066528144</v>
      </c>
      <c r="FT184" s="52">
        <f t="shared" si="812"/>
        <v>29961.018711018656</v>
      </c>
      <c r="FU184" s="52">
        <f t="shared" si="813"/>
        <v>11651.507276507289</v>
      </c>
      <c r="FV184" s="52">
        <f t="shared" si="814"/>
        <v>21638.513513513506</v>
      </c>
      <c r="FW184" s="52">
        <f t="shared" si="815"/>
        <v>21638.513513513502</v>
      </c>
      <c r="FX184" s="52">
        <f t="shared" si="816"/>
        <v>35953.222453222523</v>
      </c>
      <c r="FY184" s="52">
        <f t="shared" si="817"/>
        <v>27297.817047817058</v>
      </c>
      <c r="FZ184" s="52">
        <f t="shared" si="818"/>
        <v>2496.7515592515574</v>
      </c>
      <c r="GA184" s="52">
        <f t="shared" si="819"/>
        <v>11651.507276507276</v>
      </c>
      <c r="GB184" s="52">
        <f t="shared" si="820"/>
        <v>1664.5010395010377</v>
      </c>
      <c r="GC184" s="52">
        <f t="shared" si="821"/>
        <v>2330.3014553014568</v>
      </c>
      <c r="GD184" s="52">
        <f t="shared" si="822"/>
        <v>11651.507276507276</v>
      </c>
      <c r="GE184" s="52">
        <f t="shared" si="823"/>
        <v>11651.50727650726</v>
      </c>
      <c r="GF184" s="52">
        <f t="shared" si="824"/>
        <v>2330.3014553014523</v>
      </c>
      <c r="GG184" s="52">
        <f t="shared" si="825"/>
        <v>-4.444361545452574E-11</v>
      </c>
      <c r="GH184" s="52">
        <f t="shared" si="826"/>
        <v>1664.5010395010374</v>
      </c>
      <c r="GI184" s="52">
        <f t="shared" si="827"/>
        <v>0</v>
      </c>
      <c r="GJ184" s="26"/>
      <c r="GL184" s="150">
        <f t="shared" si="828"/>
        <v>24457.068607068588</v>
      </c>
      <c r="GM184" s="150">
        <f t="shared" si="829"/>
        <v>3373.3887733887627</v>
      </c>
      <c r="GN184" s="150">
        <f t="shared" si="830"/>
        <v>31625.519750519728</v>
      </c>
      <c r="GO184" s="150">
        <f t="shared" si="831"/>
        <v>8433.471933471943</v>
      </c>
      <c r="GP184" s="150">
        <f t="shared" si="832"/>
        <v>2108.3679833679807</v>
      </c>
      <c r="GQ184" s="150">
        <f t="shared" si="833"/>
        <v>61142.671517671632</v>
      </c>
      <c r="GR184" s="150">
        <f t="shared" si="834"/>
        <v>19396.985446985462</v>
      </c>
      <c r="GS184" s="150">
        <f t="shared" si="835"/>
        <v>2108.3679833679762</v>
      </c>
      <c r="GT184" s="150">
        <f t="shared" si="836"/>
        <v>2108.3679833679853</v>
      </c>
      <c r="GU184" s="150">
        <f t="shared" si="837"/>
        <v>5692.5935550935656</v>
      </c>
      <c r="GV184" s="150">
        <f t="shared" si="838"/>
        <v>37950.623700623633</v>
      </c>
      <c r="GW184" s="150">
        <f t="shared" si="839"/>
        <v>14758.575883575901</v>
      </c>
      <c r="GX184" s="150">
        <f t="shared" si="840"/>
        <v>27408.783783783776</v>
      </c>
      <c r="GY184" s="150">
        <f t="shared" si="841"/>
        <v>27408.783783783772</v>
      </c>
      <c r="GZ184" s="150">
        <f t="shared" si="842"/>
        <v>45540.748440748532</v>
      </c>
      <c r="HA184" s="150">
        <f t="shared" si="843"/>
        <v>34577.234927234938</v>
      </c>
      <c r="HB184" s="150">
        <f t="shared" si="844"/>
        <v>3162.5519750519729</v>
      </c>
      <c r="HC184" s="150">
        <f t="shared" si="845"/>
        <v>14758.575883575884</v>
      </c>
      <c r="HD184" s="150">
        <f t="shared" si="846"/>
        <v>2108.3679833679812</v>
      </c>
      <c r="HE184" s="150">
        <f t="shared" si="847"/>
        <v>2951.715176715179</v>
      </c>
      <c r="HF184" s="150">
        <f t="shared" si="848"/>
        <v>14758.575883575884</v>
      </c>
      <c r="HG184" s="150">
        <f t="shared" si="849"/>
        <v>14758.575883575862</v>
      </c>
      <c r="HH184" s="150">
        <f t="shared" si="850"/>
        <v>2951.7151767151731</v>
      </c>
      <c r="HI184" s="150">
        <f t="shared" si="851"/>
        <v>-5.6295246242399273E-11</v>
      </c>
      <c r="HJ184" s="150">
        <f t="shared" si="852"/>
        <v>2108.3679833679807</v>
      </c>
      <c r="HK184" s="150">
        <f t="shared" si="853"/>
        <v>0</v>
      </c>
      <c r="HL184" s="26"/>
      <c r="HN184" s="147">
        <f t="shared" si="854"/>
        <v>39903.63825363823</v>
      </c>
      <c r="HO184" s="147">
        <f t="shared" si="855"/>
        <v>5503.9501039500874</v>
      </c>
      <c r="HP184" s="147">
        <f t="shared" si="856"/>
        <v>51599.532224532195</v>
      </c>
      <c r="HQ184" s="147">
        <f t="shared" si="857"/>
        <v>13759.875259875278</v>
      </c>
      <c r="HR184" s="147">
        <f t="shared" si="858"/>
        <v>3439.9688149688113</v>
      </c>
      <c r="HS184" s="147">
        <f t="shared" si="859"/>
        <v>99759.095634095836</v>
      </c>
      <c r="HT184" s="147">
        <f t="shared" si="860"/>
        <v>31647.713097713127</v>
      </c>
      <c r="HU184" s="147">
        <f t="shared" si="861"/>
        <v>3439.9688149688036</v>
      </c>
      <c r="HV184" s="147">
        <f t="shared" si="862"/>
        <v>3439.9688149688186</v>
      </c>
      <c r="HW184" s="147">
        <f t="shared" si="863"/>
        <v>9287.915800415818</v>
      </c>
      <c r="HX184" s="147">
        <f t="shared" si="864"/>
        <v>61919.438669438568</v>
      </c>
      <c r="HY184" s="147">
        <f t="shared" si="865"/>
        <v>24079.781704781737</v>
      </c>
      <c r="HZ184" s="147">
        <f t="shared" si="866"/>
        <v>44719.594594594593</v>
      </c>
      <c r="IA184" s="147">
        <f t="shared" si="867"/>
        <v>44719.594594594579</v>
      </c>
      <c r="IB184" s="147">
        <f t="shared" si="868"/>
        <v>74303.326403326573</v>
      </c>
      <c r="IC184" s="147">
        <f t="shared" si="869"/>
        <v>56415.488565488595</v>
      </c>
      <c r="ID184" s="147">
        <f t="shared" si="870"/>
        <v>5159.9532224532195</v>
      </c>
      <c r="IE184" s="147">
        <f t="shared" si="871"/>
        <v>24079.781704781712</v>
      </c>
      <c r="IF184" s="147">
        <f t="shared" si="872"/>
        <v>3439.9688149688118</v>
      </c>
      <c r="IG184" s="147">
        <f t="shared" si="873"/>
        <v>4815.9563409563452</v>
      </c>
      <c r="IH184" s="147">
        <f t="shared" si="874"/>
        <v>24079.781704781712</v>
      </c>
      <c r="II184" s="147">
        <f t="shared" si="875"/>
        <v>24079.781704781675</v>
      </c>
      <c r="IJ184" s="147">
        <f t="shared" si="876"/>
        <v>4815.9563409563361</v>
      </c>
      <c r="IK184" s="147">
        <f t="shared" si="877"/>
        <v>-9.1850138606019892E-11</v>
      </c>
      <c r="IL184" s="147">
        <f t="shared" si="878"/>
        <v>3439.9688149688113</v>
      </c>
      <c r="IM184" s="147">
        <f t="shared" si="879"/>
        <v>0</v>
      </c>
      <c r="IN184" s="26"/>
      <c r="IP184" s="61">
        <f t="shared" si="880"/>
        <v>45052.494802494766</v>
      </c>
      <c r="IQ184" s="61">
        <f t="shared" si="881"/>
        <v>6214.137214137194</v>
      </c>
      <c r="IR184" s="61">
        <f t="shared" si="882"/>
        <v>58257.536382536338</v>
      </c>
      <c r="IS184" s="61">
        <f t="shared" si="883"/>
        <v>15535.34303534305</v>
      </c>
      <c r="IT184" s="61">
        <f t="shared" si="884"/>
        <v>3883.8357588357539</v>
      </c>
      <c r="IU184" s="61">
        <f t="shared" si="885"/>
        <v>112631.23700623721</v>
      </c>
      <c r="IV184" s="61">
        <f t="shared" si="886"/>
        <v>35731.288981289006</v>
      </c>
      <c r="IW184" s="61">
        <f t="shared" si="887"/>
        <v>3883.8357588357449</v>
      </c>
      <c r="IX184" s="61">
        <f t="shared" si="888"/>
        <v>3883.8357588357621</v>
      </c>
      <c r="IY184" s="61">
        <f t="shared" si="889"/>
        <v>10486.356548856567</v>
      </c>
      <c r="IZ184" s="61">
        <f t="shared" si="890"/>
        <v>69909.043659043527</v>
      </c>
      <c r="JA184" s="61">
        <f t="shared" si="891"/>
        <v>27186.850311850343</v>
      </c>
      <c r="JB184" s="61">
        <f t="shared" si="892"/>
        <v>50489.864864864845</v>
      </c>
      <c r="JC184" s="61">
        <f t="shared" si="893"/>
        <v>50489.864864864838</v>
      </c>
      <c r="JD184" s="61">
        <f t="shared" si="894"/>
        <v>83890.852390852553</v>
      </c>
      <c r="JE184" s="61">
        <f t="shared" si="895"/>
        <v>63694.906444906461</v>
      </c>
      <c r="JF184" s="61">
        <f t="shared" si="896"/>
        <v>5825.7536382536337</v>
      </c>
      <c r="JG184" s="61">
        <f t="shared" si="897"/>
        <v>27186.85031185031</v>
      </c>
      <c r="JH184" s="61">
        <f t="shared" si="898"/>
        <v>3883.8357588357544</v>
      </c>
      <c r="JI184" s="61">
        <f t="shared" si="899"/>
        <v>5437.3700623700661</v>
      </c>
      <c r="JJ184" s="61">
        <f t="shared" si="900"/>
        <v>27186.85031185031</v>
      </c>
      <c r="JK184" s="61">
        <f t="shared" si="901"/>
        <v>27186.85031185027</v>
      </c>
      <c r="JL184" s="61">
        <f t="shared" si="902"/>
        <v>5437.3700623700552</v>
      </c>
      <c r="JM184" s="61">
        <f t="shared" si="903"/>
        <v>-1.037017693938934E-10</v>
      </c>
      <c r="JN184" s="61">
        <f t="shared" si="904"/>
        <v>3883.8357588357539</v>
      </c>
      <c r="JO184" s="61">
        <f t="shared" si="905"/>
        <v>0</v>
      </c>
      <c r="JQ184" s="26">
        <f t="shared" si="969"/>
        <v>2134999.9999999991</v>
      </c>
      <c r="JR184" s="156">
        <f t="shared" si="970"/>
        <v>0.99999999999999956</v>
      </c>
      <c r="JT184" s="157">
        <f t="shared" si="906"/>
        <v>128721.41372141363</v>
      </c>
      <c r="JU184" s="29">
        <f t="shared" si="907"/>
        <v>1</v>
      </c>
    </row>
    <row r="185" spans="1:281" ht="18.75" x14ac:dyDescent="0.3">
      <c r="A185" t="s">
        <v>234</v>
      </c>
      <c r="B185" s="10" t="s">
        <v>231</v>
      </c>
      <c r="C185" t="s">
        <v>84</v>
      </c>
      <c r="D185" t="s">
        <v>149</v>
      </c>
      <c r="E185" t="s">
        <v>314</v>
      </c>
      <c r="F185" s="114"/>
      <c r="G185" s="17">
        <v>2150000</v>
      </c>
      <c r="H185" s="21">
        <v>1622610.2738972609</v>
      </c>
      <c r="I185" s="25">
        <f t="shared" si="713"/>
        <v>1.3250255064859351</v>
      </c>
      <c r="J185" s="105">
        <v>6.0291060291060329E-2</v>
      </c>
      <c r="K185" s="105">
        <v>8.3160083160083009E-3</v>
      </c>
      <c r="L185" s="105">
        <v>7.7962577962577995E-2</v>
      </c>
      <c r="M185" s="105">
        <v>2.0790020790020791E-2</v>
      </c>
      <c r="N185" s="105">
        <v>5.1975051975051978E-3</v>
      </c>
      <c r="O185" s="105">
        <v>0.15072765072765107</v>
      </c>
      <c r="P185" s="105">
        <v>4.7817047817047792E-2</v>
      </c>
      <c r="Q185" s="105">
        <v>5.1975051975052047E-3</v>
      </c>
      <c r="R185" s="105">
        <v>5.1975051975051909E-3</v>
      </c>
      <c r="S185" s="105">
        <v>1.4033264033264041E-2</v>
      </c>
      <c r="T185" s="105">
        <v>9.3555093555093241E-2</v>
      </c>
      <c r="U185" s="105">
        <v>3.6382536382536454E-2</v>
      </c>
      <c r="V185" s="105">
        <v>6.756756756756746E-2</v>
      </c>
      <c r="W185" s="105">
        <v>6.7567567567567488E-2</v>
      </c>
      <c r="X185" s="105">
        <v>0.1122661122661123</v>
      </c>
      <c r="Y185" s="105">
        <v>8.5239085239085091E-2</v>
      </c>
      <c r="Z185" s="105">
        <v>7.7962577962577819E-3</v>
      </c>
      <c r="AA185" s="105">
        <v>3.6382536382536419E-2</v>
      </c>
      <c r="AB185" s="105">
        <v>5.1975051975052013E-3</v>
      </c>
      <c r="AC185" s="105">
        <v>7.2765072765072743E-3</v>
      </c>
      <c r="AD185" s="105">
        <v>3.6382536382536447E-2</v>
      </c>
      <c r="AE185" s="105">
        <v>3.6382536382536454E-2</v>
      </c>
      <c r="AF185" s="105">
        <v>7.276507276507276E-3</v>
      </c>
      <c r="AG185" s="105">
        <v>-1.3877787807814472E-16</v>
      </c>
      <c r="AH185" s="105">
        <v>5.1975051975051978E-3</v>
      </c>
      <c r="AJ185" s="8">
        <f t="shared" si="940"/>
        <v>0.99999999999999978</v>
      </c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159"/>
      <c r="BG185" s="159"/>
      <c r="BH185" s="159"/>
      <c r="BI185" s="159"/>
      <c r="BJ185" s="159"/>
      <c r="BM185" s="26">
        <f t="shared" si="941"/>
        <v>129625.7796257797</v>
      </c>
      <c r="BN185" s="26">
        <f t="shared" si="942"/>
        <v>17879.417879417848</v>
      </c>
      <c r="BO185" s="26">
        <f t="shared" si="943"/>
        <v>167619.54261954268</v>
      </c>
      <c r="BP185" s="26">
        <f t="shared" si="944"/>
        <v>44698.544698544698</v>
      </c>
      <c r="BQ185" s="26">
        <f t="shared" si="945"/>
        <v>11174.636174636174</v>
      </c>
      <c r="BR185" s="26">
        <f t="shared" si="946"/>
        <v>324064.44906444981</v>
      </c>
      <c r="BS185" s="26">
        <f t="shared" si="947"/>
        <v>102806.65280665275</v>
      </c>
      <c r="BT185" s="26">
        <f t="shared" si="948"/>
        <v>11174.636174636191</v>
      </c>
      <c r="BU185" s="26">
        <f t="shared" si="949"/>
        <v>11174.63617463616</v>
      </c>
      <c r="BV185" s="26">
        <f t="shared" si="950"/>
        <v>30171.517671517689</v>
      </c>
      <c r="BW185" s="26">
        <f t="shared" si="951"/>
        <v>201143.45114345048</v>
      </c>
      <c r="BX185" s="26">
        <f t="shared" si="952"/>
        <v>78222.453222453376</v>
      </c>
      <c r="BY185" s="26">
        <f t="shared" si="953"/>
        <v>145270.27027027003</v>
      </c>
      <c r="BZ185" s="26">
        <f t="shared" si="954"/>
        <v>145270.27027027009</v>
      </c>
      <c r="CA185" s="26">
        <f t="shared" si="955"/>
        <v>241372.14137214146</v>
      </c>
      <c r="CB185" s="26">
        <f t="shared" si="956"/>
        <v>183264.03326403294</v>
      </c>
      <c r="CC185" s="26">
        <f t="shared" si="957"/>
        <v>16761.95426195423</v>
      </c>
      <c r="CD185" s="26">
        <f t="shared" si="958"/>
        <v>78222.453222453303</v>
      </c>
      <c r="CE185" s="26">
        <f t="shared" si="959"/>
        <v>11174.636174636184</v>
      </c>
      <c r="CF185" s="26">
        <f t="shared" si="960"/>
        <v>15644.490644490639</v>
      </c>
      <c r="CG185" s="26">
        <f t="shared" si="961"/>
        <v>78222.453222453361</v>
      </c>
      <c r="CH185" s="26">
        <f t="shared" si="962"/>
        <v>78222.453222453376</v>
      </c>
      <c r="CI185" s="26">
        <f t="shared" si="963"/>
        <v>15644.490644490643</v>
      </c>
      <c r="CJ185" s="26">
        <f t="shared" si="964"/>
        <v>-2.9837243786801113E-10</v>
      </c>
      <c r="CK185" s="26">
        <f t="shared" si="965"/>
        <v>11174.636174636174</v>
      </c>
      <c r="CL185" s="26">
        <f t="shared" si="966"/>
        <v>0</v>
      </c>
      <c r="CM185" s="110">
        <f t="shared" si="967"/>
        <v>0.99999999999999978</v>
      </c>
      <c r="CN185" s="27">
        <f t="shared" si="933"/>
        <v>97828.89385243367</v>
      </c>
      <c r="CO185" s="27">
        <f t="shared" si="908"/>
        <v>13493.640531370129</v>
      </c>
      <c r="CP185" s="27">
        <f t="shared" si="909"/>
        <v>126502.87998159524</v>
      </c>
      <c r="CQ185" s="27">
        <f t="shared" si="910"/>
        <v>33734.101328425386</v>
      </c>
      <c r="CR185" s="27">
        <f t="shared" si="911"/>
        <v>8433.5253321063465</v>
      </c>
      <c r="CS185" s="27">
        <f t="shared" si="912"/>
        <v>244572.23463108458</v>
      </c>
      <c r="CT185" s="27">
        <f t="shared" si="913"/>
        <v>77588.433055378337</v>
      </c>
      <c r="CU185" s="27">
        <f t="shared" si="914"/>
        <v>8433.5253321063574</v>
      </c>
      <c r="CV185" s="27">
        <f t="shared" si="915"/>
        <v>8433.5253321063356</v>
      </c>
      <c r="CW185" s="27">
        <f t="shared" si="916"/>
        <v>22770.518396687145</v>
      </c>
      <c r="CX185" s="27">
        <f t="shared" si="917"/>
        <v>151803.45597791372</v>
      </c>
      <c r="CY185" s="27">
        <f t="shared" si="918"/>
        <v>59034.677324744538</v>
      </c>
      <c r="CZ185" s="27">
        <f t="shared" si="919"/>
        <v>109635.82931738232</v>
      </c>
      <c r="DA185" s="27">
        <f t="shared" si="920"/>
        <v>109635.82931738236</v>
      </c>
      <c r="DB185" s="27">
        <f t="shared" si="921"/>
        <v>182164.14717349713</v>
      </c>
      <c r="DC185" s="27">
        <f t="shared" si="922"/>
        <v>138309.81544654383</v>
      </c>
      <c r="DD185" s="27">
        <f t="shared" si="923"/>
        <v>12650.287998159496</v>
      </c>
      <c r="DE185" s="27">
        <f t="shared" si="924"/>
        <v>59034.67732474448</v>
      </c>
      <c r="DF185" s="27">
        <f t="shared" si="925"/>
        <v>8433.5253321063519</v>
      </c>
      <c r="DG185" s="27">
        <f t="shared" si="926"/>
        <v>11806.93546494888</v>
      </c>
      <c r="DH185" s="27">
        <f t="shared" si="927"/>
        <v>59034.677324744524</v>
      </c>
      <c r="DI185" s="27">
        <f t="shared" si="928"/>
        <v>59034.677324744538</v>
      </c>
      <c r="DJ185" s="27">
        <f t="shared" si="929"/>
        <v>11806.935464948883</v>
      </c>
      <c r="DK185" s="27">
        <f t="shared" si="930"/>
        <v>-2.2518241075925908E-10</v>
      </c>
      <c r="DL185" s="27">
        <f t="shared" si="931"/>
        <v>8433.5253321063465</v>
      </c>
      <c r="DM185" s="27">
        <f t="shared" si="932"/>
        <v>0</v>
      </c>
      <c r="DN185" s="110">
        <f t="shared" si="968"/>
        <v>0.99999999999999967</v>
      </c>
      <c r="DO185" s="28">
        <f t="shared" si="771"/>
        <v>31796.885773346032</v>
      </c>
      <c r="DP185" s="28">
        <f t="shared" si="772"/>
        <v>4385.777348047719</v>
      </c>
      <c r="DQ185" s="28">
        <f t="shared" si="773"/>
        <v>41116.662637947447</v>
      </c>
      <c r="DR185" s="28">
        <f t="shared" si="774"/>
        <v>10964.443370119312</v>
      </c>
      <c r="DS185" s="28">
        <f t="shared" si="775"/>
        <v>2741.110842529828</v>
      </c>
      <c r="DT185" s="28">
        <f t="shared" si="776"/>
        <v>79492.21443336524</v>
      </c>
      <c r="DU185" s="28">
        <f t="shared" si="777"/>
        <v>25218.219751274417</v>
      </c>
      <c r="DV185" s="28">
        <f t="shared" si="778"/>
        <v>2741.1108425298335</v>
      </c>
      <c r="DW185" s="28">
        <f t="shared" si="779"/>
        <v>2741.1108425298244</v>
      </c>
      <c r="DX185" s="28">
        <f t="shared" si="780"/>
        <v>7400.9992748305449</v>
      </c>
      <c r="DY185" s="28">
        <f t="shared" si="781"/>
        <v>49339.995165536762</v>
      </c>
      <c r="DZ185" s="28">
        <f t="shared" si="782"/>
        <v>19187.775897708838</v>
      </c>
      <c r="EA185" s="28">
        <f t="shared" si="783"/>
        <v>35634.440952887715</v>
      </c>
      <c r="EB185" s="28">
        <f t="shared" si="784"/>
        <v>35634.44095288773</v>
      </c>
      <c r="EC185" s="28">
        <f t="shared" si="785"/>
        <v>59207.99419864433</v>
      </c>
      <c r="ED185" s="28">
        <f t="shared" si="786"/>
        <v>44954.217817489116</v>
      </c>
      <c r="EE185" s="28">
        <f t="shared" si="787"/>
        <v>4111.6662637947338</v>
      </c>
      <c r="EF185" s="28">
        <f t="shared" si="788"/>
        <v>19187.775897708823</v>
      </c>
      <c r="EG185" s="28">
        <f t="shared" si="789"/>
        <v>2741.1108425298316</v>
      </c>
      <c r="EH185" s="28">
        <f t="shared" si="790"/>
        <v>3837.5551795417596</v>
      </c>
      <c r="EI185" s="28">
        <f t="shared" si="791"/>
        <v>19187.775897708838</v>
      </c>
      <c r="EJ185" s="28">
        <f t="shared" si="792"/>
        <v>19187.775897708838</v>
      </c>
      <c r="EK185" s="28">
        <f t="shared" si="793"/>
        <v>3837.5551795417596</v>
      </c>
      <c r="EL185" s="28">
        <f t="shared" si="794"/>
        <v>-7.319002710875205E-11</v>
      </c>
      <c r="EM185" s="28">
        <f t="shared" si="795"/>
        <v>2741.110842529828</v>
      </c>
      <c r="EN185" s="28">
        <f t="shared" si="796"/>
        <v>0</v>
      </c>
      <c r="EQ185" s="144">
        <v>0.04</v>
      </c>
      <c r="ER185" s="144">
        <v>0.05</v>
      </c>
      <c r="ES185" s="144">
        <v>0.06</v>
      </c>
      <c r="ET185" s="144">
        <v>0.05</v>
      </c>
      <c r="EU185" s="144">
        <v>0.06</v>
      </c>
      <c r="EV185" s="144">
        <v>0.08</v>
      </c>
      <c r="EW185" s="144">
        <v>7.0000000000000007E-2</v>
      </c>
      <c r="EX185" s="144">
        <v>0.1</v>
      </c>
      <c r="EY185" s="144">
        <v>0.14000000000000001</v>
      </c>
      <c r="EZ185" s="144">
        <v>0.14000000000000001</v>
      </c>
      <c r="FA185" s="144">
        <v>0.12</v>
      </c>
      <c r="FB185" s="144">
        <v>0.09</v>
      </c>
      <c r="FC185" s="145">
        <f t="shared" si="797"/>
        <v>1</v>
      </c>
      <c r="FD185" s="146">
        <f t="shared" si="935"/>
        <v>0.15</v>
      </c>
      <c r="FE185" s="146">
        <f t="shared" si="936"/>
        <v>0.19</v>
      </c>
      <c r="FF185" s="146">
        <f t="shared" si="937"/>
        <v>0.31000000000000005</v>
      </c>
      <c r="FG185" s="146">
        <f t="shared" si="938"/>
        <v>0.35</v>
      </c>
      <c r="FH185" s="145">
        <f t="shared" si="939"/>
        <v>1</v>
      </c>
      <c r="FJ185" s="52">
        <f t="shared" si="802"/>
        <v>19443.866943866953</v>
      </c>
      <c r="FK185" s="52">
        <f t="shared" si="803"/>
        <v>2681.9126819126773</v>
      </c>
      <c r="FL185" s="52">
        <f t="shared" si="804"/>
        <v>25142.931392931401</v>
      </c>
      <c r="FM185" s="52">
        <f t="shared" si="805"/>
        <v>6704.7817047817043</v>
      </c>
      <c r="FN185" s="52">
        <f t="shared" si="806"/>
        <v>1676.1954261954261</v>
      </c>
      <c r="FO185" s="52">
        <f t="shared" si="807"/>
        <v>48609.667359667474</v>
      </c>
      <c r="FP185" s="52">
        <f t="shared" si="808"/>
        <v>15420.997920997912</v>
      </c>
      <c r="FQ185" s="52">
        <f t="shared" si="809"/>
        <v>1676.1954261954286</v>
      </c>
      <c r="FR185" s="52">
        <f t="shared" si="810"/>
        <v>1676.195426195424</v>
      </c>
      <c r="FS185" s="52">
        <f t="shared" si="811"/>
        <v>4525.7276507276529</v>
      </c>
      <c r="FT185" s="52">
        <f t="shared" si="812"/>
        <v>30171.517671517569</v>
      </c>
      <c r="FU185" s="52">
        <f t="shared" si="813"/>
        <v>11733.367983368005</v>
      </c>
      <c r="FV185" s="52">
        <f t="shared" si="814"/>
        <v>21790.540540540504</v>
      </c>
      <c r="FW185" s="52">
        <f t="shared" si="815"/>
        <v>21790.540540540514</v>
      </c>
      <c r="FX185" s="52">
        <f t="shared" si="816"/>
        <v>36205.821205821216</v>
      </c>
      <c r="FY185" s="52">
        <f t="shared" si="817"/>
        <v>27489.604989604941</v>
      </c>
      <c r="FZ185" s="52">
        <f t="shared" si="818"/>
        <v>2514.2931392931346</v>
      </c>
      <c r="GA185" s="52">
        <f t="shared" si="819"/>
        <v>11733.367983367994</v>
      </c>
      <c r="GB185" s="52">
        <f t="shared" si="820"/>
        <v>1676.1954261954274</v>
      </c>
      <c r="GC185" s="52">
        <f t="shared" si="821"/>
        <v>2346.673596673596</v>
      </c>
      <c r="GD185" s="52">
        <f t="shared" si="822"/>
        <v>11733.367983368003</v>
      </c>
      <c r="GE185" s="52">
        <f t="shared" si="823"/>
        <v>11733.367983368005</v>
      </c>
      <c r="GF185" s="52">
        <f t="shared" si="824"/>
        <v>2346.6735966735964</v>
      </c>
      <c r="GG185" s="52">
        <f t="shared" si="825"/>
        <v>-4.4755865680201668E-11</v>
      </c>
      <c r="GH185" s="52">
        <f t="shared" si="826"/>
        <v>1676.1954261954261</v>
      </c>
      <c r="GI185" s="52">
        <f t="shared" si="827"/>
        <v>0</v>
      </c>
      <c r="GJ185" s="26"/>
      <c r="GL185" s="150">
        <f t="shared" si="828"/>
        <v>24628.898128898145</v>
      </c>
      <c r="GM185" s="150">
        <f t="shared" si="829"/>
        <v>3397.0893970893912</v>
      </c>
      <c r="GN185" s="150">
        <f t="shared" si="830"/>
        <v>31847.713097713109</v>
      </c>
      <c r="GO185" s="150">
        <f t="shared" si="831"/>
        <v>8492.7234927234931</v>
      </c>
      <c r="GP185" s="150">
        <f t="shared" si="832"/>
        <v>2123.1808731808733</v>
      </c>
      <c r="GQ185" s="150">
        <f t="shared" si="833"/>
        <v>61572.245322245464</v>
      </c>
      <c r="GR185" s="150">
        <f t="shared" si="834"/>
        <v>19533.264033264022</v>
      </c>
      <c r="GS185" s="150">
        <f t="shared" si="835"/>
        <v>2123.1808731808765</v>
      </c>
      <c r="GT185" s="150">
        <f t="shared" si="836"/>
        <v>2123.1808731808705</v>
      </c>
      <c r="GU185" s="150">
        <f t="shared" si="837"/>
        <v>5732.5883575883609</v>
      </c>
      <c r="GV185" s="150">
        <f t="shared" si="838"/>
        <v>38217.25571725559</v>
      </c>
      <c r="GW185" s="150">
        <f t="shared" si="839"/>
        <v>14862.266112266141</v>
      </c>
      <c r="GX185" s="150">
        <f t="shared" si="840"/>
        <v>27601.351351351306</v>
      </c>
      <c r="GY185" s="150">
        <f t="shared" si="841"/>
        <v>27601.351351351317</v>
      </c>
      <c r="GZ185" s="150">
        <f t="shared" si="842"/>
        <v>45860.70686070688</v>
      </c>
      <c r="HA185" s="150">
        <f t="shared" si="843"/>
        <v>34820.16632016626</v>
      </c>
      <c r="HB185" s="150">
        <f t="shared" si="844"/>
        <v>3184.7713097713035</v>
      </c>
      <c r="HC185" s="150">
        <f t="shared" si="845"/>
        <v>14862.266112266128</v>
      </c>
      <c r="HD185" s="150">
        <f t="shared" si="846"/>
        <v>2123.1808731808751</v>
      </c>
      <c r="HE185" s="150">
        <f t="shared" si="847"/>
        <v>2972.4532224532213</v>
      </c>
      <c r="HF185" s="150">
        <f t="shared" si="848"/>
        <v>14862.266112266139</v>
      </c>
      <c r="HG185" s="150">
        <f t="shared" si="849"/>
        <v>14862.266112266141</v>
      </c>
      <c r="HH185" s="150">
        <f t="shared" si="850"/>
        <v>2972.4532224532222</v>
      </c>
      <c r="HI185" s="150">
        <f t="shared" si="851"/>
        <v>-5.6690763194922114E-11</v>
      </c>
      <c r="HJ185" s="150">
        <f t="shared" si="852"/>
        <v>2123.1808731808733</v>
      </c>
      <c r="HK185" s="150">
        <f t="shared" si="853"/>
        <v>0</v>
      </c>
      <c r="HL185" s="26"/>
      <c r="HN185" s="147">
        <f t="shared" si="854"/>
        <v>40183.991683991713</v>
      </c>
      <c r="HO185" s="147">
        <f t="shared" si="855"/>
        <v>5542.6195426195336</v>
      </c>
      <c r="HP185" s="147">
        <f t="shared" si="856"/>
        <v>51962.05821205824</v>
      </c>
      <c r="HQ185" s="147">
        <f t="shared" si="857"/>
        <v>13856.548856548859</v>
      </c>
      <c r="HR185" s="147">
        <f t="shared" si="858"/>
        <v>3464.1372141372149</v>
      </c>
      <c r="HS185" s="147">
        <f t="shared" si="859"/>
        <v>100459.97920997946</v>
      </c>
      <c r="HT185" s="147">
        <f t="shared" si="860"/>
        <v>31870.062370062358</v>
      </c>
      <c r="HU185" s="147">
        <f t="shared" si="861"/>
        <v>3464.1372141372199</v>
      </c>
      <c r="HV185" s="147">
        <f t="shared" si="862"/>
        <v>3464.1372141372103</v>
      </c>
      <c r="HW185" s="147">
        <f t="shared" si="863"/>
        <v>9353.1704781704848</v>
      </c>
      <c r="HX185" s="147">
        <f t="shared" si="864"/>
        <v>62354.469854469658</v>
      </c>
      <c r="HY185" s="147">
        <f t="shared" si="865"/>
        <v>24248.96049896055</v>
      </c>
      <c r="HZ185" s="147">
        <f t="shared" si="866"/>
        <v>45033.783783783721</v>
      </c>
      <c r="IA185" s="147">
        <f t="shared" si="867"/>
        <v>45033.783783783736</v>
      </c>
      <c r="IB185" s="147">
        <f t="shared" si="868"/>
        <v>74825.363825363864</v>
      </c>
      <c r="IC185" s="147">
        <f t="shared" si="869"/>
        <v>56811.850311850219</v>
      </c>
      <c r="ID185" s="147">
        <f t="shared" si="870"/>
        <v>5196.2058212058118</v>
      </c>
      <c r="IE185" s="147">
        <f t="shared" si="871"/>
        <v>24248.960498960529</v>
      </c>
      <c r="IF185" s="147">
        <f t="shared" si="872"/>
        <v>3464.1372141372176</v>
      </c>
      <c r="IG185" s="147">
        <f t="shared" si="873"/>
        <v>4849.7920997920992</v>
      </c>
      <c r="IH185" s="147">
        <f t="shared" si="874"/>
        <v>24248.960498960547</v>
      </c>
      <c r="II185" s="147">
        <f t="shared" si="875"/>
        <v>24248.96049896055</v>
      </c>
      <c r="IJ185" s="147">
        <f t="shared" si="876"/>
        <v>4849.7920997921001</v>
      </c>
      <c r="IK185" s="147">
        <f t="shared" si="877"/>
        <v>-9.2495455739083471E-11</v>
      </c>
      <c r="IL185" s="147">
        <f t="shared" si="878"/>
        <v>3464.1372141372149</v>
      </c>
      <c r="IM185" s="147">
        <f t="shared" si="879"/>
        <v>0</v>
      </c>
      <c r="IN185" s="26"/>
      <c r="IP185" s="61">
        <f t="shared" si="880"/>
        <v>45369.022869022891</v>
      </c>
      <c r="IQ185" s="61">
        <f t="shared" si="881"/>
        <v>6257.7962577962462</v>
      </c>
      <c r="IR185" s="61">
        <f t="shared" si="882"/>
        <v>58666.839916839934</v>
      </c>
      <c r="IS185" s="61">
        <f t="shared" si="883"/>
        <v>15644.490644490643</v>
      </c>
      <c r="IT185" s="61">
        <f t="shared" si="884"/>
        <v>3911.1226611226607</v>
      </c>
      <c r="IU185" s="61">
        <f t="shared" si="885"/>
        <v>113422.55717255743</v>
      </c>
      <c r="IV185" s="61">
        <f t="shared" si="886"/>
        <v>35982.328482328463</v>
      </c>
      <c r="IW185" s="61">
        <f t="shared" si="887"/>
        <v>3911.1226611226666</v>
      </c>
      <c r="IX185" s="61">
        <f t="shared" si="888"/>
        <v>3911.1226611226557</v>
      </c>
      <c r="IY185" s="61">
        <f t="shared" si="889"/>
        <v>10560.03118503119</v>
      </c>
      <c r="IZ185" s="61">
        <f t="shared" si="890"/>
        <v>70400.207900207664</v>
      </c>
      <c r="JA185" s="61">
        <f t="shared" si="891"/>
        <v>27377.858627858681</v>
      </c>
      <c r="JB185" s="61">
        <f t="shared" si="892"/>
        <v>50844.594594594506</v>
      </c>
      <c r="JC185" s="61">
        <f t="shared" si="893"/>
        <v>50844.594594594528</v>
      </c>
      <c r="JD185" s="61">
        <f t="shared" si="894"/>
        <v>84480.249480249506</v>
      </c>
      <c r="JE185" s="61">
        <f t="shared" si="895"/>
        <v>64142.411642411527</v>
      </c>
      <c r="JF185" s="61">
        <f t="shared" si="896"/>
        <v>5866.6839916839799</v>
      </c>
      <c r="JG185" s="61">
        <f t="shared" si="897"/>
        <v>27377.858627858655</v>
      </c>
      <c r="JH185" s="61">
        <f t="shared" si="898"/>
        <v>3911.1226611226639</v>
      </c>
      <c r="JI185" s="61">
        <f t="shared" si="899"/>
        <v>5475.5717255717236</v>
      </c>
      <c r="JJ185" s="61">
        <f t="shared" si="900"/>
        <v>27377.858627858674</v>
      </c>
      <c r="JK185" s="61">
        <f t="shared" si="901"/>
        <v>27377.858627858681</v>
      </c>
      <c r="JL185" s="61">
        <f t="shared" si="902"/>
        <v>5475.5717255717245</v>
      </c>
      <c r="JM185" s="61">
        <f t="shared" si="903"/>
        <v>-1.0443035325380389E-10</v>
      </c>
      <c r="JN185" s="61">
        <f t="shared" si="904"/>
        <v>3911.1226611226607</v>
      </c>
      <c r="JO185" s="61">
        <f t="shared" si="905"/>
        <v>0</v>
      </c>
      <c r="JQ185" s="26">
        <f t="shared" si="969"/>
        <v>2150000.0000000005</v>
      </c>
      <c r="JR185" s="156">
        <f t="shared" si="970"/>
        <v>1.0000000000000002</v>
      </c>
      <c r="JT185" s="157">
        <f t="shared" si="906"/>
        <v>129625.77962577969</v>
      </c>
      <c r="JU185" s="29">
        <f t="shared" si="907"/>
        <v>0.99999999999999989</v>
      </c>
    </row>
    <row r="186" spans="1:281" ht="18.75" x14ac:dyDescent="0.3">
      <c r="A186" t="s">
        <v>234</v>
      </c>
      <c r="B186" s="10" t="s">
        <v>115</v>
      </c>
      <c r="C186" t="s">
        <v>143</v>
      </c>
      <c r="D186" t="s">
        <v>141</v>
      </c>
      <c r="E186" t="s">
        <v>144</v>
      </c>
      <c r="F186" s="114"/>
      <c r="G186" s="17">
        <v>27077</v>
      </c>
      <c r="H186" s="21">
        <v>13182</v>
      </c>
      <c r="I186" s="25">
        <f t="shared" si="713"/>
        <v>2.0540889091184948</v>
      </c>
      <c r="J186" s="106">
        <v>3.9136666356062583E-2</v>
      </c>
      <c r="K186" s="106">
        <v>4.5887162430215692E-2</v>
      </c>
      <c r="L186" s="106">
        <v>1.6944032517201932E-2</v>
      </c>
      <c r="M186" s="106">
        <v>1.9614729838749411E-2</v>
      </c>
      <c r="N186" s="106">
        <v>5.1190544950680116E-2</v>
      </c>
      <c r="O186" s="106">
        <v>7.8266475088618462E-2</v>
      </c>
      <c r="P186" s="106">
        <v>1.813960584414483E-2</v>
      </c>
      <c r="Q186" s="106">
        <v>1.0363139792280084E-2</v>
      </c>
      <c r="R186" s="106">
        <v>4.0398127983637962E-2</v>
      </c>
      <c r="S186" s="106">
        <v>5.2386204155007603E-2</v>
      </c>
      <c r="T186" s="106">
        <v>8.3222910570922085E-2</v>
      </c>
      <c r="U186" s="106">
        <v>2.7777292884143302E-2</v>
      </c>
      <c r="V186" s="106">
        <v>1.5391129403455489E-2</v>
      </c>
      <c r="W186" s="106">
        <v>4.9702378177047889E-2</v>
      </c>
      <c r="X186" s="106">
        <v>7.2412473481721112E-2</v>
      </c>
      <c r="Y186" s="106">
        <v>7.6565854763630384E-2</v>
      </c>
      <c r="Z186" s="106">
        <v>4.9548525854927654E-3</v>
      </c>
      <c r="AA186" s="106">
        <v>8.6830511949679653E-2</v>
      </c>
      <c r="AB186" s="106">
        <v>2.1559927981077493E-2</v>
      </c>
      <c r="AC186" s="106">
        <v>1.9422332105916804E-2</v>
      </c>
      <c r="AD186" s="106">
        <v>5.4461497620297027E-2</v>
      </c>
      <c r="AE186" s="106">
        <v>2.7237248204434131E-2</v>
      </c>
      <c r="AF186" s="106">
        <v>7.1778910239034543E-2</v>
      </c>
      <c r="AG186" s="106">
        <v>0</v>
      </c>
      <c r="AH186" s="106">
        <v>1.6355991076548847E-2</v>
      </c>
      <c r="AJ186" s="8">
        <f t="shared" si="940"/>
        <v>1.0000000000000004</v>
      </c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159"/>
      <c r="BG186" s="159"/>
      <c r="BH186" s="159"/>
      <c r="BI186" s="159"/>
      <c r="BJ186" s="159"/>
      <c r="BM186" s="26">
        <f t="shared" si="941"/>
        <v>1059.7035149231065</v>
      </c>
      <c r="BN186" s="26">
        <f t="shared" si="942"/>
        <v>1242.4866971229503</v>
      </c>
      <c r="BO186" s="26">
        <f t="shared" si="943"/>
        <v>458.7935684682767</v>
      </c>
      <c r="BP186" s="26">
        <f t="shared" si="944"/>
        <v>531.10803984381778</v>
      </c>
      <c r="BQ186" s="26">
        <f t="shared" si="945"/>
        <v>1386.0863856295655</v>
      </c>
      <c r="BR186" s="26">
        <f t="shared" si="946"/>
        <v>2119.2213459745221</v>
      </c>
      <c r="BS186" s="26">
        <f t="shared" si="947"/>
        <v>491.16610744190956</v>
      </c>
      <c r="BT186" s="26">
        <f t="shared" si="948"/>
        <v>280.60273615556781</v>
      </c>
      <c r="BU186" s="26">
        <f t="shared" si="949"/>
        <v>1093.8601114129651</v>
      </c>
      <c r="BV186" s="26">
        <f t="shared" si="950"/>
        <v>1418.4612499051409</v>
      </c>
      <c r="BW186" s="26">
        <f t="shared" si="951"/>
        <v>2253.4267495288573</v>
      </c>
      <c r="BX186" s="26">
        <f t="shared" si="952"/>
        <v>752.12575942394824</v>
      </c>
      <c r="BY186" s="26">
        <f t="shared" si="953"/>
        <v>416.74561085736428</v>
      </c>
      <c r="BZ186" s="26">
        <f t="shared" si="954"/>
        <v>1345.7912938999257</v>
      </c>
      <c r="CA186" s="26">
        <f t="shared" si="955"/>
        <v>1960.7125444645626</v>
      </c>
      <c r="CB186" s="26">
        <f t="shared" si="956"/>
        <v>2073.1736494348197</v>
      </c>
      <c r="CC186" s="26">
        <f t="shared" si="957"/>
        <v>134.16254345738761</v>
      </c>
      <c r="CD186" s="26">
        <f t="shared" si="958"/>
        <v>2351.1097720614762</v>
      </c>
      <c r="CE186" s="26">
        <f t="shared" si="959"/>
        <v>583.77816994363525</v>
      </c>
      <c r="CF186" s="26">
        <f t="shared" si="960"/>
        <v>525.8984864319093</v>
      </c>
      <c r="CG186" s="26">
        <f t="shared" si="961"/>
        <v>1474.6539710647826</v>
      </c>
      <c r="CH186" s="26">
        <f t="shared" si="962"/>
        <v>737.50296963146297</v>
      </c>
      <c r="CI186" s="26">
        <f t="shared" si="963"/>
        <v>1943.5575525423383</v>
      </c>
      <c r="CJ186" s="26">
        <f t="shared" si="964"/>
        <v>0</v>
      </c>
      <c r="CK186" s="26">
        <f t="shared" si="965"/>
        <v>442.87117037971313</v>
      </c>
      <c r="CL186" s="26">
        <f t="shared" si="966"/>
        <v>0</v>
      </c>
      <c r="CM186" s="110">
        <f t="shared" si="967"/>
        <v>1</v>
      </c>
      <c r="CN186" s="27">
        <f t="shared" si="933"/>
        <v>515.89953590561697</v>
      </c>
      <c r="CO186" s="27">
        <f t="shared" si="908"/>
        <v>604.88457515510322</v>
      </c>
      <c r="CP186" s="27">
        <f t="shared" si="909"/>
        <v>223.35623664175586</v>
      </c>
      <c r="CQ186" s="27">
        <f t="shared" si="910"/>
        <v>258.56136873439476</v>
      </c>
      <c r="CR186" s="27">
        <f t="shared" si="911"/>
        <v>674.79376353986527</v>
      </c>
      <c r="CS186" s="27">
        <f t="shared" si="912"/>
        <v>1031.7086746181685</v>
      </c>
      <c r="CT186" s="27">
        <f t="shared" si="913"/>
        <v>239.11628423751716</v>
      </c>
      <c r="CU186" s="27">
        <f t="shared" si="914"/>
        <v>136.60690874183607</v>
      </c>
      <c r="CV186" s="27">
        <f t="shared" si="915"/>
        <v>532.52812308031559</v>
      </c>
      <c r="CW186" s="27">
        <f t="shared" si="916"/>
        <v>690.55494317131024</v>
      </c>
      <c r="CX186" s="27">
        <f t="shared" si="917"/>
        <v>1097.0444071458949</v>
      </c>
      <c r="CY186" s="27">
        <f t="shared" si="918"/>
        <v>366.16027479877704</v>
      </c>
      <c r="CZ186" s="27">
        <f t="shared" si="919"/>
        <v>202.88586779635025</v>
      </c>
      <c r="DA186" s="27">
        <f t="shared" si="920"/>
        <v>655.17674912984523</v>
      </c>
      <c r="DB186" s="27">
        <f t="shared" si="921"/>
        <v>954.54122543604774</v>
      </c>
      <c r="DC186" s="27">
        <f t="shared" si="922"/>
        <v>1009.2910974941757</v>
      </c>
      <c r="DD186" s="27">
        <f t="shared" si="923"/>
        <v>65.314866781965634</v>
      </c>
      <c r="DE186" s="27">
        <f t="shared" si="924"/>
        <v>1144.5998085206772</v>
      </c>
      <c r="DF186" s="27">
        <f t="shared" si="925"/>
        <v>284.20297064656353</v>
      </c>
      <c r="DG186" s="27">
        <f t="shared" si="926"/>
        <v>256.02518182019531</v>
      </c>
      <c r="DH186" s="27">
        <f t="shared" si="927"/>
        <v>717.91146163075541</v>
      </c>
      <c r="DI186" s="27">
        <f t="shared" si="928"/>
        <v>359.04140583085069</v>
      </c>
      <c r="DJ186" s="27">
        <f t="shared" si="929"/>
        <v>946.18959477095336</v>
      </c>
      <c r="DK186" s="27">
        <f t="shared" si="930"/>
        <v>0</v>
      </c>
      <c r="DL186" s="27">
        <f t="shared" si="931"/>
        <v>215.60467437106692</v>
      </c>
      <c r="DM186" s="27">
        <f t="shared" si="932"/>
        <v>0</v>
      </c>
      <c r="DN186" s="110">
        <f t="shared" si="968"/>
        <v>1.0000000000000002</v>
      </c>
      <c r="DO186" s="28">
        <f t="shared" si="771"/>
        <v>543.8039790174895</v>
      </c>
      <c r="DP186" s="28">
        <f t="shared" si="772"/>
        <v>637.6021219678471</v>
      </c>
      <c r="DQ186" s="28">
        <f t="shared" si="773"/>
        <v>235.43733182652085</v>
      </c>
      <c r="DR186" s="28">
        <f t="shared" si="774"/>
        <v>272.54667110942302</v>
      </c>
      <c r="DS186" s="28">
        <f t="shared" si="775"/>
        <v>711.29262208970022</v>
      </c>
      <c r="DT186" s="28">
        <f t="shared" si="776"/>
        <v>1087.5126713563536</v>
      </c>
      <c r="DU186" s="28">
        <f t="shared" si="777"/>
        <v>252.0498232043924</v>
      </c>
      <c r="DV186" s="28">
        <f t="shared" si="778"/>
        <v>143.99582741373175</v>
      </c>
      <c r="DW186" s="28">
        <f t="shared" si="779"/>
        <v>561.33198833264953</v>
      </c>
      <c r="DX186" s="28">
        <f t="shared" si="780"/>
        <v>727.90630673383066</v>
      </c>
      <c r="DY186" s="28">
        <f t="shared" si="781"/>
        <v>1156.3823423829624</v>
      </c>
      <c r="DZ186" s="28">
        <f t="shared" si="782"/>
        <v>385.9654846251712</v>
      </c>
      <c r="EA186" s="28">
        <f t="shared" si="783"/>
        <v>213.85974306101403</v>
      </c>
      <c r="EB186" s="28">
        <f t="shared" si="784"/>
        <v>690.61454477008044</v>
      </c>
      <c r="EC186" s="28">
        <f t="shared" si="785"/>
        <v>1006.1713190285149</v>
      </c>
      <c r="ED186" s="28">
        <f t="shared" si="786"/>
        <v>1063.8825519406441</v>
      </c>
      <c r="EE186" s="28">
        <f t="shared" si="787"/>
        <v>68.84767667542198</v>
      </c>
      <c r="EF186" s="28">
        <f t="shared" si="788"/>
        <v>1206.5099635407989</v>
      </c>
      <c r="EG186" s="28">
        <f t="shared" si="789"/>
        <v>299.57519929707172</v>
      </c>
      <c r="EH186" s="28">
        <f t="shared" si="790"/>
        <v>269.87330461171399</v>
      </c>
      <c r="EI186" s="28">
        <f t="shared" si="791"/>
        <v>756.74250943402717</v>
      </c>
      <c r="EJ186" s="28">
        <f t="shared" si="792"/>
        <v>378.46156380061228</v>
      </c>
      <c r="EK186" s="28">
        <f t="shared" si="793"/>
        <v>997.36795777138491</v>
      </c>
      <c r="EL186" s="28">
        <f t="shared" si="794"/>
        <v>0</v>
      </c>
      <c r="EM186" s="28">
        <f t="shared" si="795"/>
        <v>227.26649600864621</v>
      </c>
      <c r="EN186" s="28">
        <f t="shared" si="796"/>
        <v>0</v>
      </c>
      <c r="EQ186" s="144">
        <v>0</v>
      </c>
      <c r="ER186" s="144">
        <v>0</v>
      </c>
      <c r="ES186" s="144">
        <v>0.08</v>
      </c>
      <c r="ET186" s="144">
        <v>0.1</v>
      </c>
      <c r="EU186" s="144">
        <v>0.1</v>
      </c>
      <c r="EV186" s="144">
        <v>0.1</v>
      </c>
      <c r="EW186" s="144">
        <v>0.11</v>
      </c>
      <c r="EX186" s="144">
        <v>0.11</v>
      </c>
      <c r="EY186" s="144">
        <v>0.1</v>
      </c>
      <c r="EZ186" s="144">
        <v>0.1</v>
      </c>
      <c r="FA186" s="144">
        <v>0.1</v>
      </c>
      <c r="FB186" s="144">
        <v>0.1</v>
      </c>
      <c r="FC186" s="145">
        <f t="shared" si="797"/>
        <v>0.99999999999999989</v>
      </c>
      <c r="FD186" s="146">
        <f t="shared" si="935"/>
        <v>0.08</v>
      </c>
      <c r="FE186" s="146">
        <f t="shared" si="936"/>
        <v>0.30000000000000004</v>
      </c>
      <c r="FF186" s="146">
        <f t="shared" si="937"/>
        <v>0.32</v>
      </c>
      <c r="FG186" s="146">
        <f t="shared" si="938"/>
        <v>0.30000000000000004</v>
      </c>
      <c r="FH186" s="145">
        <f t="shared" si="939"/>
        <v>1</v>
      </c>
      <c r="FJ186" s="52">
        <f t="shared" si="802"/>
        <v>84.776281193848519</v>
      </c>
      <c r="FK186" s="52">
        <f t="shared" si="803"/>
        <v>99.398935769836029</v>
      </c>
      <c r="FL186" s="52">
        <f t="shared" si="804"/>
        <v>36.703485477462138</v>
      </c>
      <c r="FM186" s="52">
        <f t="shared" si="805"/>
        <v>42.488643187505424</v>
      </c>
      <c r="FN186" s="52">
        <f t="shared" si="806"/>
        <v>110.88691085036524</v>
      </c>
      <c r="FO186" s="52">
        <f t="shared" si="807"/>
        <v>169.53770767796178</v>
      </c>
      <c r="FP186" s="52">
        <f t="shared" si="808"/>
        <v>39.293288595352763</v>
      </c>
      <c r="FQ186" s="52">
        <f t="shared" si="809"/>
        <v>22.448218892445425</v>
      </c>
      <c r="FR186" s="52">
        <f t="shared" si="810"/>
        <v>87.508808913037214</v>
      </c>
      <c r="FS186" s="52">
        <f t="shared" si="811"/>
        <v>113.47689999241128</v>
      </c>
      <c r="FT186" s="52">
        <f t="shared" si="812"/>
        <v>180.2741399623086</v>
      </c>
      <c r="FU186" s="52">
        <f t="shared" si="813"/>
        <v>60.170060753915863</v>
      </c>
      <c r="FV186" s="52">
        <f t="shared" si="814"/>
        <v>33.339648868589144</v>
      </c>
      <c r="FW186" s="52">
        <f t="shared" si="815"/>
        <v>107.66330351199406</v>
      </c>
      <c r="FX186" s="52">
        <f t="shared" si="816"/>
        <v>156.857003557165</v>
      </c>
      <c r="FY186" s="52">
        <f t="shared" si="817"/>
        <v>165.85389195478558</v>
      </c>
      <c r="FZ186" s="52">
        <f t="shared" si="818"/>
        <v>10.733003476591009</v>
      </c>
      <c r="GA186" s="52">
        <f t="shared" si="819"/>
        <v>188.08878176491811</v>
      </c>
      <c r="GB186" s="52">
        <f t="shared" si="820"/>
        <v>46.702253595490824</v>
      </c>
      <c r="GC186" s="52">
        <f t="shared" si="821"/>
        <v>42.071878914552748</v>
      </c>
      <c r="GD186" s="52">
        <f t="shared" si="822"/>
        <v>117.9723176851826</v>
      </c>
      <c r="GE186" s="52">
        <f t="shared" si="823"/>
        <v>59.000237570517037</v>
      </c>
      <c r="GF186" s="52">
        <f t="shared" si="824"/>
        <v>155.48460420338708</v>
      </c>
      <c r="GG186" s="52">
        <f t="shared" si="825"/>
        <v>0</v>
      </c>
      <c r="GH186" s="52">
        <f t="shared" si="826"/>
        <v>35.429693630377052</v>
      </c>
      <c r="GI186" s="52">
        <f t="shared" si="827"/>
        <v>0</v>
      </c>
      <c r="GJ186" s="26"/>
      <c r="GL186" s="150">
        <f t="shared" si="828"/>
        <v>317.91105447693201</v>
      </c>
      <c r="GM186" s="150">
        <f t="shared" si="829"/>
        <v>372.74600913688516</v>
      </c>
      <c r="GN186" s="150">
        <f t="shared" si="830"/>
        <v>137.63807054048303</v>
      </c>
      <c r="GO186" s="150">
        <f t="shared" si="831"/>
        <v>159.33241195314537</v>
      </c>
      <c r="GP186" s="150">
        <f t="shared" si="832"/>
        <v>415.82591568886971</v>
      </c>
      <c r="GQ186" s="150">
        <f t="shared" si="833"/>
        <v>635.76640379235675</v>
      </c>
      <c r="GR186" s="150">
        <f t="shared" si="834"/>
        <v>147.34983223257288</v>
      </c>
      <c r="GS186" s="150">
        <f t="shared" si="835"/>
        <v>84.180820846670358</v>
      </c>
      <c r="GT186" s="150">
        <f t="shared" si="836"/>
        <v>328.15803342388961</v>
      </c>
      <c r="GU186" s="150">
        <f t="shared" si="837"/>
        <v>425.53837497154234</v>
      </c>
      <c r="GV186" s="150">
        <f t="shared" si="838"/>
        <v>676.02802485865732</v>
      </c>
      <c r="GW186" s="150">
        <f t="shared" si="839"/>
        <v>225.63772782718451</v>
      </c>
      <c r="GX186" s="150">
        <f t="shared" si="840"/>
        <v>125.0236832572093</v>
      </c>
      <c r="GY186" s="150">
        <f t="shared" si="841"/>
        <v>403.73738816997775</v>
      </c>
      <c r="GZ186" s="150">
        <f t="shared" si="842"/>
        <v>588.21376333936882</v>
      </c>
      <c r="HA186" s="150">
        <f t="shared" si="843"/>
        <v>621.95209483044596</v>
      </c>
      <c r="HB186" s="150">
        <f t="shared" si="844"/>
        <v>40.248763037216293</v>
      </c>
      <c r="HC186" s="150">
        <f t="shared" si="845"/>
        <v>705.33293161844301</v>
      </c>
      <c r="HD186" s="150">
        <f t="shared" si="846"/>
        <v>175.1334509830906</v>
      </c>
      <c r="HE186" s="150">
        <f t="shared" si="847"/>
        <v>157.76954592957281</v>
      </c>
      <c r="HF186" s="150">
        <f t="shared" si="848"/>
        <v>442.39619131943482</v>
      </c>
      <c r="HG186" s="150">
        <f t="shared" si="849"/>
        <v>221.25089088943892</v>
      </c>
      <c r="HH186" s="150">
        <f t="shared" si="850"/>
        <v>583.0672657627016</v>
      </c>
      <c r="HI186" s="150">
        <f t="shared" si="851"/>
        <v>0</v>
      </c>
      <c r="HJ186" s="150">
        <f t="shared" si="852"/>
        <v>132.86135111391397</v>
      </c>
      <c r="HK186" s="150">
        <f t="shared" si="853"/>
        <v>0</v>
      </c>
      <c r="HL186" s="26"/>
      <c r="HN186" s="147">
        <f t="shared" si="854"/>
        <v>339.10512477539407</v>
      </c>
      <c r="HO186" s="147">
        <f t="shared" si="855"/>
        <v>397.59574307934412</v>
      </c>
      <c r="HP186" s="147">
        <f t="shared" si="856"/>
        <v>146.81394190984855</v>
      </c>
      <c r="HQ186" s="147">
        <f t="shared" si="857"/>
        <v>169.9545727500217</v>
      </c>
      <c r="HR186" s="147">
        <f t="shared" si="858"/>
        <v>443.54764340146096</v>
      </c>
      <c r="HS186" s="147">
        <f t="shared" si="859"/>
        <v>678.15083071184711</v>
      </c>
      <c r="HT186" s="147">
        <f t="shared" si="860"/>
        <v>157.17315438141105</v>
      </c>
      <c r="HU186" s="147">
        <f t="shared" si="861"/>
        <v>89.7928755697817</v>
      </c>
      <c r="HV186" s="147">
        <f t="shared" si="862"/>
        <v>350.03523565214886</v>
      </c>
      <c r="HW186" s="147">
        <f t="shared" si="863"/>
        <v>453.9075999696451</v>
      </c>
      <c r="HX186" s="147">
        <f t="shared" si="864"/>
        <v>721.09655984923438</v>
      </c>
      <c r="HY186" s="147">
        <f t="shared" si="865"/>
        <v>240.68024301566345</v>
      </c>
      <c r="HZ186" s="147">
        <f t="shared" si="866"/>
        <v>133.35859547435658</v>
      </c>
      <c r="IA186" s="147">
        <f t="shared" si="867"/>
        <v>430.65321404797623</v>
      </c>
      <c r="IB186" s="147">
        <f t="shared" si="868"/>
        <v>627.42801422866</v>
      </c>
      <c r="IC186" s="147">
        <f t="shared" si="869"/>
        <v>663.41556781914232</v>
      </c>
      <c r="ID186" s="147">
        <f t="shared" si="870"/>
        <v>42.932013906364034</v>
      </c>
      <c r="IE186" s="147">
        <f t="shared" si="871"/>
        <v>752.35512705967244</v>
      </c>
      <c r="IF186" s="147">
        <f t="shared" si="872"/>
        <v>186.80901438196329</v>
      </c>
      <c r="IG186" s="147">
        <f t="shared" si="873"/>
        <v>168.28751565821099</v>
      </c>
      <c r="IH186" s="147">
        <f t="shared" si="874"/>
        <v>471.88927074073041</v>
      </c>
      <c r="II186" s="147">
        <f t="shared" si="875"/>
        <v>236.00095028206815</v>
      </c>
      <c r="IJ186" s="147">
        <f t="shared" si="876"/>
        <v>621.93841681354832</v>
      </c>
      <c r="IK186" s="147">
        <f t="shared" si="877"/>
        <v>0</v>
      </c>
      <c r="IL186" s="147">
        <f t="shared" si="878"/>
        <v>141.71877452150821</v>
      </c>
      <c r="IM186" s="147">
        <f t="shared" si="879"/>
        <v>0</v>
      </c>
      <c r="IN186" s="26"/>
      <c r="IP186" s="61">
        <f t="shared" si="880"/>
        <v>317.91105447693201</v>
      </c>
      <c r="IQ186" s="61">
        <f t="shared" si="881"/>
        <v>372.74600913688516</v>
      </c>
      <c r="IR186" s="61">
        <f t="shared" si="882"/>
        <v>137.63807054048303</v>
      </c>
      <c r="IS186" s="61">
        <f t="shared" si="883"/>
        <v>159.33241195314537</v>
      </c>
      <c r="IT186" s="61">
        <f t="shared" si="884"/>
        <v>415.82591568886971</v>
      </c>
      <c r="IU186" s="61">
        <f t="shared" si="885"/>
        <v>635.76640379235675</v>
      </c>
      <c r="IV186" s="61">
        <f t="shared" si="886"/>
        <v>147.34983223257288</v>
      </c>
      <c r="IW186" s="61">
        <f t="shared" si="887"/>
        <v>84.180820846670358</v>
      </c>
      <c r="IX186" s="61">
        <f t="shared" si="888"/>
        <v>328.15803342388961</v>
      </c>
      <c r="IY186" s="61">
        <f t="shared" si="889"/>
        <v>425.53837497154234</v>
      </c>
      <c r="IZ186" s="61">
        <f t="shared" si="890"/>
        <v>676.02802485865732</v>
      </c>
      <c r="JA186" s="61">
        <f t="shared" si="891"/>
        <v>225.63772782718451</v>
      </c>
      <c r="JB186" s="61">
        <f t="shared" si="892"/>
        <v>125.0236832572093</v>
      </c>
      <c r="JC186" s="61">
        <f t="shared" si="893"/>
        <v>403.73738816997775</v>
      </c>
      <c r="JD186" s="61">
        <f t="shared" si="894"/>
        <v>588.21376333936882</v>
      </c>
      <c r="JE186" s="61">
        <f t="shared" si="895"/>
        <v>621.95209483044596</v>
      </c>
      <c r="JF186" s="61">
        <f t="shared" si="896"/>
        <v>40.248763037216293</v>
      </c>
      <c r="JG186" s="61">
        <f t="shared" si="897"/>
        <v>705.33293161844301</v>
      </c>
      <c r="JH186" s="61">
        <f t="shared" si="898"/>
        <v>175.1334509830906</v>
      </c>
      <c r="JI186" s="61">
        <f t="shared" si="899"/>
        <v>157.76954592957281</v>
      </c>
      <c r="JJ186" s="61">
        <f t="shared" si="900"/>
        <v>442.39619131943482</v>
      </c>
      <c r="JK186" s="61">
        <f t="shared" si="901"/>
        <v>221.25089088943892</v>
      </c>
      <c r="JL186" s="61">
        <f t="shared" si="902"/>
        <v>583.0672657627016</v>
      </c>
      <c r="JM186" s="61">
        <f t="shared" si="903"/>
        <v>0</v>
      </c>
      <c r="JN186" s="61">
        <f t="shared" si="904"/>
        <v>132.86135111391397</v>
      </c>
      <c r="JO186" s="61">
        <f t="shared" si="905"/>
        <v>0</v>
      </c>
      <c r="JQ186" s="26">
        <f t="shared" si="969"/>
        <v>27077.000000000007</v>
      </c>
      <c r="JR186" s="156">
        <f t="shared" si="970"/>
        <v>1.0000000000000002</v>
      </c>
      <c r="JT186" s="157">
        <f t="shared" si="906"/>
        <v>1059.7035149231067</v>
      </c>
      <c r="JU186" s="29">
        <f t="shared" si="907"/>
        <v>1.0000000000000002</v>
      </c>
    </row>
    <row r="187" spans="1:281" ht="18.75" x14ac:dyDescent="0.3">
      <c r="A187" t="s">
        <v>234</v>
      </c>
      <c r="B187" s="10" t="s">
        <v>114</v>
      </c>
      <c r="C187" t="s">
        <v>140</v>
      </c>
      <c r="D187" t="s">
        <v>141</v>
      </c>
      <c r="E187" t="s">
        <v>142</v>
      </c>
      <c r="F187" s="114"/>
      <c r="G187" s="17">
        <v>59570.832260923591</v>
      </c>
      <c r="H187" s="21">
        <v>28080</v>
      </c>
      <c r="I187" s="25">
        <f t="shared" si="713"/>
        <v>2.1214683853605267</v>
      </c>
      <c r="J187" s="106">
        <v>3.9136666356062583E-2</v>
      </c>
      <c r="K187" s="106">
        <v>4.5887162430215692E-2</v>
      </c>
      <c r="L187" s="106">
        <v>1.6944032517201932E-2</v>
      </c>
      <c r="M187" s="106">
        <v>1.9614729838749411E-2</v>
      </c>
      <c r="N187" s="106">
        <v>5.1190544950680116E-2</v>
      </c>
      <c r="O187" s="106">
        <v>7.8266475088618462E-2</v>
      </c>
      <c r="P187" s="106">
        <v>1.813960584414483E-2</v>
      </c>
      <c r="Q187" s="106">
        <v>1.0363139792280084E-2</v>
      </c>
      <c r="R187" s="106">
        <v>4.0398127983637962E-2</v>
      </c>
      <c r="S187" s="106">
        <v>5.2386204155007603E-2</v>
      </c>
      <c r="T187" s="106">
        <v>8.3222910570922085E-2</v>
      </c>
      <c r="U187" s="106">
        <v>2.7777292884143302E-2</v>
      </c>
      <c r="V187" s="106">
        <v>1.5391129403455489E-2</v>
      </c>
      <c r="W187" s="106">
        <v>4.9702378177047889E-2</v>
      </c>
      <c r="X187" s="106">
        <v>7.2412473481721112E-2</v>
      </c>
      <c r="Y187" s="106">
        <v>7.6565854763630384E-2</v>
      </c>
      <c r="Z187" s="106">
        <v>4.9548525854927654E-3</v>
      </c>
      <c r="AA187" s="106">
        <v>8.6830511949679653E-2</v>
      </c>
      <c r="AB187" s="106">
        <v>2.1559927981077493E-2</v>
      </c>
      <c r="AC187" s="106">
        <v>1.9422332105916804E-2</v>
      </c>
      <c r="AD187" s="106">
        <v>5.4461497620297027E-2</v>
      </c>
      <c r="AE187" s="106">
        <v>2.7237248204434131E-2</v>
      </c>
      <c r="AF187" s="106">
        <v>7.1778910239034543E-2</v>
      </c>
      <c r="AG187" s="106">
        <v>0</v>
      </c>
      <c r="AH187" s="106">
        <v>1.6355991076548847E-2</v>
      </c>
      <c r="AJ187" s="8">
        <f t="shared" si="940"/>
        <v>1.0000000000000004</v>
      </c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159"/>
      <c r="BG187" s="159"/>
      <c r="BH187" s="159"/>
      <c r="BI187" s="159"/>
      <c r="BJ187" s="159"/>
      <c r="BM187" s="26">
        <f t="shared" si="941"/>
        <v>2331.4037867487359</v>
      </c>
      <c r="BN187" s="26">
        <f t="shared" si="942"/>
        <v>2733.5364560601338</v>
      </c>
      <c r="BO187" s="26">
        <f t="shared" si="943"/>
        <v>1009.3701189058712</v>
      </c>
      <c r="BP187" s="26">
        <f t="shared" si="944"/>
        <v>1168.4657810674739</v>
      </c>
      <c r="BQ187" s="26">
        <f t="shared" si="945"/>
        <v>3049.4633666022341</v>
      </c>
      <c r="BR187" s="26">
        <f t="shared" si="946"/>
        <v>4662.3990591578449</v>
      </c>
      <c r="BS187" s="26">
        <f t="shared" si="947"/>
        <v>1080.5914170208209</v>
      </c>
      <c r="BT187" s="26">
        <f t="shared" si="948"/>
        <v>617.34086226241948</v>
      </c>
      <c r="BU187" s="26">
        <f t="shared" si="949"/>
        <v>2406.5501057686206</v>
      </c>
      <c r="BV187" s="26">
        <f t="shared" si="950"/>
        <v>3120.6897805044564</v>
      </c>
      <c r="BW187" s="26">
        <f t="shared" si="951"/>
        <v>4957.6580458862445</v>
      </c>
      <c r="BX187" s="26">
        <f t="shared" si="952"/>
        <v>1654.7164550638472</v>
      </c>
      <c r="BY187" s="26">
        <f t="shared" si="953"/>
        <v>916.86238799941589</v>
      </c>
      <c r="BZ187" s="26">
        <f t="shared" si="954"/>
        <v>2960.8120333539091</v>
      </c>
      <c r="CA187" s="26">
        <f t="shared" si="955"/>
        <v>4313.6713113781861</v>
      </c>
      <c r="CB187" s="26">
        <f t="shared" si="956"/>
        <v>4561.0916910384631</v>
      </c>
      <c r="CC187" s="26">
        <f t="shared" si="957"/>
        <v>295.16469224799312</v>
      </c>
      <c r="CD187" s="26">
        <f t="shared" si="958"/>
        <v>5172.5658624844882</v>
      </c>
      <c r="CE187" s="26">
        <f t="shared" si="959"/>
        <v>1284.3428533183603</v>
      </c>
      <c r="CF187" s="26">
        <f t="shared" si="960"/>
        <v>1157.0044879975208</v>
      </c>
      <c r="CG187" s="26">
        <f t="shared" si="961"/>
        <v>3244.3167394174034</v>
      </c>
      <c r="CH187" s="26">
        <f t="shared" si="962"/>
        <v>1622.5455440354879</v>
      </c>
      <c r="CI187" s="26">
        <f t="shared" si="963"/>
        <v>4275.9294217214174</v>
      </c>
      <c r="CJ187" s="26">
        <f t="shared" si="964"/>
        <v>0</v>
      </c>
      <c r="CK187" s="26">
        <f t="shared" si="965"/>
        <v>974.34000088225446</v>
      </c>
      <c r="CL187" s="26">
        <f t="shared" si="966"/>
        <v>0</v>
      </c>
      <c r="CM187" s="110">
        <f t="shared" si="967"/>
        <v>1.0000000000000002</v>
      </c>
      <c r="CN187" s="27">
        <f t="shared" si="933"/>
        <v>1098.9575912782373</v>
      </c>
      <c r="CO187" s="27">
        <f t="shared" si="908"/>
        <v>1288.5115210404567</v>
      </c>
      <c r="CP187" s="27">
        <f t="shared" si="909"/>
        <v>475.78843308303027</v>
      </c>
      <c r="CQ187" s="27">
        <f t="shared" si="910"/>
        <v>550.78161387208343</v>
      </c>
      <c r="CR187" s="27">
        <f t="shared" si="911"/>
        <v>1437.4305022150977</v>
      </c>
      <c r="CS187" s="27">
        <f t="shared" si="912"/>
        <v>2197.7226204884064</v>
      </c>
      <c r="CT187" s="27">
        <f t="shared" si="913"/>
        <v>509.36013210358681</v>
      </c>
      <c r="CU187" s="27">
        <f t="shared" si="914"/>
        <v>290.99696536722473</v>
      </c>
      <c r="CV187" s="27">
        <f t="shared" si="915"/>
        <v>1134.3794337805539</v>
      </c>
      <c r="CW187" s="27">
        <f t="shared" si="916"/>
        <v>1471.0046126726136</v>
      </c>
      <c r="CX187" s="27">
        <f t="shared" si="917"/>
        <v>2336.8993288314923</v>
      </c>
      <c r="CY187" s="27">
        <f t="shared" si="918"/>
        <v>779.98638418674398</v>
      </c>
      <c r="CZ187" s="27">
        <f t="shared" si="919"/>
        <v>432.18291364903013</v>
      </c>
      <c r="DA187" s="27">
        <f t="shared" si="920"/>
        <v>1395.6427792115046</v>
      </c>
      <c r="DB187" s="27">
        <f t="shared" si="921"/>
        <v>2033.3422553667288</v>
      </c>
      <c r="DC187" s="27">
        <f t="shared" si="922"/>
        <v>2149.9692017627412</v>
      </c>
      <c r="DD187" s="27">
        <f t="shared" si="923"/>
        <v>139.13226060063684</v>
      </c>
      <c r="DE187" s="27">
        <f t="shared" si="924"/>
        <v>2438.2007755470045</v>
      </c>
      <c r="DF187" s="27">
        <f t="shared" si="925"/>
        <v>605.402777708656</v>
      </c>
      <c r="DG187" s="27">
        <f t="shared" si="926"/>
        <v>545.37908553414388</v>
      </c>
      <c r="DH187" s="27">
        <f t="shared" si="927"/>
        <v>1529.2788531779406</v>
      </c>
      <c r="DI187" s="27">
        <f t="shared" si="928"/>
        <v>764.82192958051041</v>
      </c>
      <c r="DJ187" s="27">
        <f t="shared" si="929"/>
        <v>2015.5517995120899</v>
      </c>
      <c r="DK187" s="27">
        <f t="shared" si="930"/>
        <v>0</v>
      </c>
      <c r="DL187" s="27">
        <f t="shared" si="931"/>
        <v>459.27622942949165</v>
      </c>
      <c r="DM187" s="27">
        <f t="shared" si="932"/>
        <v>0</v>
      </c>
      <c r="DN187" s="110">
        <f t="shared" si="968"/>
        <v>1.0000000000000002</v>
      </c>
      <c r="DO187" s="28">
        <f t="shared" si="771"/>
        <v>1232.4461954704987</v>
      </c>
      <c r="DP187" s="28">
        <f t="shared" si="772"/>
        <v>1445.0249350196771</v>
      </c>
      <c r="DQ187" s="28">
        <f t="shared" si="773"/>
        <v>533.58168582284088</v>
      </c>
      <c r="DR187" s="28">
        <f t="shared" si="774"/>
        <v>617.6841671953905</v>
      </c>
      <c r="DS187" s="28">
        <f t="shared" si="775"/>
        <v>1612.0328643871364</v>
      </c>
      <c r="DT187" s="28">
        <f t="shared" si="776"/>
        <v>2464.6764386694385</v>
      </c>
      <c r="DU187" s="28">
        <f t="shared" si="777"/>
        <v>571.23128491723412</v>
      </c>
      <c r="DV187" s="28">
        <f t="shared" si="778"/>
        <v>326.34389689519475</v>
      </c>
      <c r="DW187" s="28">
        <f t="shared" si="779"/>
        <v>1272.1706719880667</v>
      </c>
      <c r="DX187" s="28">
        <f t="shared" si="780"/>
        <v>1649.6851678318428</v>
      </c>
      <c r="DY187" s="28">
        <f t="shared" si="781"/>
        <v>2620.7587170547522</v>
      </c>
      <c r="DZ187" s="28">
        <f t="shared" si="782"/>
        <v>874.73007087710323</v>
      </c>
      <c r="EA187" s="28">
        <f t="shared" si="783"/>
        <v>484.67947435038576</v>
      </c>
      <c r="EB187" s="28">
        <f t="shared" si="784"/>
        <v>1565.1692541424045</v>
      </c>
      <c r="EC187" s="28">
        <f t="shared" si="785"/>
        <v>2280.3290560114574</v>
      </c>
      <c r="ED187" s="28">
        <f t="shared" si="786"/>
        <v>2411.1224892757218</v>
      </c>
      <c r="EE187" s="28">
        <f t="shared" si="787"/>
        <v>156.03243164735628</v>
      </c>
      <c r="EF187" s="28">
        <f t="shared" si="788"/>
        <v>2734.3650869374837</v>
      </c>
      <c r="EG187" s="28">
        <f t="shared" si="789"/>
        <v>678.94007560970431</v>
      </c>
      <c r="EH187" s="28">
        <f t="shared" si="790"/>
        <v>611.62540246337687</v>
      </c>
      <c r="EI187" s="28">
        <f t="shared" si="791"/>
        <v>1715.0378862394628</v>
      </c>
      <c r="EJ187" s="28">
        <f t="shared" si="792"/>
        <v>857.72361445497745</v>
      </c>
      <c r="EK187" s="28">
        <f t="shared" si="793"/>
        <v>2260.3776222093275</v>
      </c>
      <c r="EL187" s="28">
        <f t="shared" si="794"/>
        <v>0</v>
      </c>
      <c r="EM187" s="28">
        <f t="shared" si="795"/>
        <v>515.06377145276281</v>
      </c>
      <c r="EN187" s="28">
        <f t="shared" si="796"/>
        <v>0</v>
      </c>
      <c r="EQ187" s="144">
        <v>0</v>
      </c>
      <c r="ER187" s="144">
        <v>7.0000000000000007E-2</v>
      </c>
      <c r="ES187" s="144">
        <v>0.1</v>
      </c>
      <c r="ET187" s="144">
        <v>0.03</v>
      </c>
      <c r="EU187" s="144">
        <v>0.05</v>
      </c>
      <c r="EV187" s="144">
        <v>0.17</v>
      </c>
      <c r="EW187" s="144">
        <v>0.23</v>
      </c>
      <c r="EX187" s="144">
        <v>0.15</v>
      </c>
      <c r="EY187" s="144">
        <v>0.08</v>
      </c>
      <c r="EZ187" s="144">
        <v>0.06</v>
      </c>
      <c r="FA187" s="144">
        <v>0.06</v>
      </c>
      <c r="FB187" s="144">
        <v>0</v>
      </c>
      <c r="FC187" s="145">
        <f t="shared" si="797"/>
        <v>1</v>
      </c>
      <c r="FD187" s="146">
        <f t="shared" si="935"/>
        <v>0.17</v>
      </c>
      <c r="FE187" s="146">
        <f t="shared" si="936"/>
        <v>0.25</v>
      </c>
      <c r="FF187" s="146">
        <f t="shared" si="937"/>
        <v>0.46</v>
      </c>
      <c r="FG187" s="146">
        <f t="shared" si="938"/>
        <v>0.12</v>
      </c>
      <c r="FH187" s="145">
        <f t="shared" si="939"/>
        <v>1</v>
      </c>
      <c r="FJ187" s="52">
        <f t="shared" si="802"/>
        <v>396.33864374728512</v>
      </c>
      <c r="FK187" s="52">
        <f t="shared" si="803"/>
        <v>464.70119753022277</v>
      </c>
      <c r="FL187" s="52">
        <f t="shared" si="804"/>
        <v>171.59292021399813</v>
      </c>
      <c r="FM187" s="52">
        <f t="shared" si="805"/>
        <v>198.63918278147059</v>
      </c>
      <c r="FN187" s="52">
        <f t="shared" si="806"/>
        <v>518.40877232237983</v>
      </c>
      <c r="FO187" s="52">
        <f t="shared" si="807"/>
        <v>792.60784005683365</v>
      </c>
      <c r="FP187" s="52">
        <f t="shared" si="808"/>
        <v>183.70054089353957</v>
      </c>
      <c r="FQ187" s="52">
        <f t="shared" si="809"/>
        <v>104.94794658461132</v>
      </c>
      <c r="FR187" s="52">
        <f t="shared" si="810"/>
        <v>409.11351798066551</v>
      </c>
      <c r="FS187" s="52">
        <f t="shared" si="811"/>
        <v>530.5172626857576</v>
      </c>
      <c r="FT187" s="52">
        <f t="shared" si="812"/>
        <v>842.80186780066163</v>
      </c>
      <c r="FU187" s="52">
        <f t="shared" si="813"/>
        <v>281.30179736085404</v>
      </c>
      <c r="FV187" s="52">
        <f t="shared" si="814"/>
        <v>155.86660595990071</v>
      </c>
      <c r="FW187" s="52">
        <f t="shared" si="815"/>
        <v>503.3380456701646</v>
      </c>
      <c r="FX187" s="52">
        <f t="shared" si="816"/>
        <v>733.32412293429172</v>
      </c>
      <c r="FY187" s="52">
        <f t="shared" si="817"/>
        <v>775.38558747653883</v>
      </c>
      <c r="FZ187" s="52">
        <f t="shared" si="818"/>
        <v>50.177997682158832</v>
      </c>
      <c r="GA187" s="52">
        <f t="shared" si="819"/>
        <v>879.3361966223631</v>
      </c>
      <c r="GB187" s="52">
        <f t="shared" si="820"/>
        <v>218.33828506412127</v>
      </c>
      <c r="GC187" s="52">
        <f t="shared" si="821"/>
        <v>196.69076295957854</v>
      </c>
      <c r="GD187" s="52">
        <f t="shared" si="822"/>
        <v>551.53384570095864</v>
      </c>
      <c r="GE187" s="52">
        <f t="shared" si="823"/>
        <v>275.83274248603294</v>
      </c>
      <c r="GF187" s="52">
        <f t="shared" si="824"/>
        <v>726.90800169264105</v>
      </c>
      <c r="GG187" s="52">
        <f t="shared" si="825"/>
        <v>0</v>
      </c>
      <c r="GH187" s="52">
        <f t="shared" si="826"/>
        <v>165.63780014998326</v>
      </c>
      <c r="GI187" s="52">
        <f t="shared" si="827"/>
        <v>0</v>
      </c>
      <c r="GJ187" s="26"/>
      <c r="GL187" s="150">
        <f t="shared" si="828"/>
        <v>582.85094668718398</v>
      </c>
      <c r="GM187" s="150">
        <f t="shared" si="829"/>
        <v>683.38411401503345</v>
      </c>
      <c r="GN187" s="150">
        <f t="shared" si="830"/>
        <v>252.3425297264678</v>
      </c>
      <c r="GO187" s="150">
        <f t="shared" si="831"/>
        <v>292.11644526686848</v>
      </c>
      <c r="GP187" s="150">
        <f t="shared" si="832"/>
        <v>762.36584165055854</v>
      </c>
      <c r="GQ187" s="150">
        <f t="shared" si="833"/>
        <v>1165.5997647894612</v>
      </c>
      <c r="GR187" s="150">
        <f t="shared" si="834"/>
        <v>270.14785425520523</v>
      </c>
      <c r="GS187" s="150">
        <f t="shared" si="835"/>
        <v>154.33521556560487</v>
      </c>
      <c r="GT187" s="150">
        <f t="shared" si="836"/>
        <v>601.63752644215515</v>
      </c>
      <c r="GU187" s="150">
        <f t="shared" si="837"/>
        <v>780.1724451261141</v>
      </c>
      <c r="GV187" s="150">
        <f t="shared" si="838"/>
        <v>1239.4145114715611</v>
      </c>
      <c r="GW187" s="150">
        <f t="shared" si="839"/>
        <v>413.6791137659618</v>
      </c>
      <c r="GX187" s="150">
        <f t="shared" si="840"/>
        <v>229.21559699985397</v>
      </c>
      <c r="GY187" s="150">
        <f t="shared" si="841"/>
        <v>740.20300833847728</v>
      </c>
      <c r="GZ187" s="150">
        <f t="shared" si="842"/>
        <v>1078.4178278445465</v>
      </c>
      <c r="HA187" s="150">
        <f t="shared" si="843"/>
        <v>1140.2729227596158</v>
      </c>
      <c r="HB187" s="150">
        <f t="shared" si="844"/>
        <v>73.791173061998279</v>
      </c>
      <c r="HC187" s="150">
        <f t="shared" si="845"/>
        <v>1293.1414656211221</v>
      </c>
      <c r="HD187" s="150">
        <f t="shared" si="846"/>
        <v>321.08571332959008</v>
      </c>
      <c r="HE187" s="150">
        <f t="shared" si="847"/>
        <v>289.25112199938019</v>
      </c>
      <c r="HF187" s="150">
        <f t="shared" si="848"/>
        <v>811.07918485435084</v>
      </c>
      <c r="HG187" s="150">
        <f t="shared" si="849"/>
        <v>405.63638600887197</v>
      </c>
      <c r="HH187" s="150">
        <f t="shared" si="850"/>
        <v>1068.9823554303543</v>
      </c>
      <c r="HI187" s="150">
        <f t="shared" si="851"/>
        <v>0</v>
      </c>
      <c r="HJ187" s="150">
        <f t="shared" si="852"/>
        <v>243.58500022056361</v>
      </c>
      <c r="HK187" s="150">
        <f t="shared" si="853"/>
        <v>0</v>
      </c>
      <c r="HL187" s="26"/>
      <c r="HN187" s="147">
        <f t="shared" si="854"/>
        <v>1072.4457419044186</v>
      </c>
      <c r="HO187" s="147">
        <f t="shared" si="855"/>
        <v>1257.4267697876617</v>
      </c>
      <c r="HP187" s="147">
        <f t="shared" si="856"/>
        <v>464.31025469670078</v>
      </c>
      <c r="HQ187" s="147">
        <f t="shared" si="857"/>
        <v>537.49425929103802</v>
      </c>
      <c r="HR187" s="147">
        <f t="shared" si="858"/>
        <v>1402.7531486370278</v>
      </c>
      <c r="HS187" s="147">
        <f t="shared" si="859"/>
        <v>2144.703567212609</v>
      </c>
      <c r="HT187" s="147">
        <f t="shared" si="860"/>
        <v>497.07205182957767</v>
      </c>
      <c r="HU187" s="147">
        <f t="shared" si="861"/>
        <v>283.97679664071296</v>
      </c>
      <c r="HV187" s="147">
        <f t="shared" si="862"/>
        <v>1107.0130486535654</v>
      </c>
      <c r="HW187" s="147">
        <f t="shared" si="863"/>
        <v>1435.51729903205</v>
      </c>
      <c r="HX187" s="147">
        <f t="shared" si="864"/>
        <v>2280.5227011076727</v>
      </c>
      <c r="HY187" s="147">
        <f t="shared" si="865"/>
        <v>761.16956932936978</v>
      </c>
      <c r="HZ187" s="147">
        <f t="shared" si="866"/>
        <v>421.75669847973131</v>
      </c>
      <c r="IA187" s="147">
        <f t="shared" si="867"/>
        <v>1361.9735353427982</v>
      </c>
      <c r="IB187" s="147">
        <f t="shared" si="868"/>
        <v>1984.2888032339656</v>
      </c>
      <c r="IC187" s="147">
        <f t="shared" si="869"/>
        <v>2098.1021778776931</v>
      </c>
      <c r="ID187" s="147">
        <f t="shared" si="870"/>
        <v>135.77575843407683</v>
      </c>
      <c r="IE187" s="147">
        <f t="shared" si="871"/>
        <v>2379.3802967428646</v>
      </c>
      <c r="IF187" s="147">
        <f t="shared" si="872"/>
        <v>590.79771252644582</v>
      </c>
      <c r="IG187" s="147">
        <f t="shared" si="873"/>
        <v>532.22206447885958</v>
      </c>
      <c r="IH187" s="147">
        <f t="shared" si="874"/>
        <v>1492.3857001320057</v>
      </c>
      <c r="II187" s="147">
        <f t="shared" si="875"/>
        <v>746.37095025632448</v>
      </c>
      <c r="IJ187" s="147">
        <f t="shared" si="876"/>
        <v>1966.927533991852</v>
      </c>
      <c r="IK187" s="147">
        <f t="shared" si="877"/>
        <v>0</v>
      </c>
      <c r="IL187" s="147">
        <f t="shared" si="878"/>
        <v>448.1964004058371</v>
      </c>
      <c r="IM187" s="147">
        <f t="shared" si="879"/>
        <v>0</v>
      </c>
      <c r="IN187" s="26"/>
      <c r="IP187" s="61">
        <f t="shared" si="880"/>
        <v>279.76845440984829</v>
      </c>
      <c r="IQ187" s="61">
        <f t="shared" si="881"/>
        <v>328.02437472721607</v>
      </c>
      <c r="IR187" s="61">
        <f t="shared" si="882"/>
        <v>121.12441426870454</v>
      </c>
      <c r="IS187" s="61">
        <f t="shared" si="883"/>
        <v>140.21589372809686</v>
      </c>
      <c r="IT187" s="61">
        <f t="shared" si="884"/>
        <v>365.93560399226806</v>
      </c>
      <c r="IU187" s="61">
        <f t="shared" si="885"/>
        <v>559.48788709894131</v>
      </c>
      <c r="IV187" s="61">
        <f t="shared" si="886"/>
        <v>129.67097004249851</v>
      </c>
      <c r="IW187" s="61">
        <f t="shared" si="887"/>
        <v>74.080903471490331</v>
      </c>
      <c r="IX187" s="61">
        <f t="shared" si="888"/>
        <v>288.78601269223446</v>
      </c>
      <c r="IY187" s="61">
        <f t="shared" si="889"/>
        <v>374.48277366053475</v>
      </c>
      <c r="IZ187" s="61">
        <f t="shared" si="890"/>
        <v>594.91896550634931</v>
      </c>
      <c r="JA187" s="61">
        <f t="shared" si="891"/>
        <v>198.56597460766164</v>
      </c>
      <c r="JB187" s="61">
        <f t="shared" si="892"/>
        <v>110.02348655992991</v>
      </c>
      <c r="JC187" s="61">
        <f t="shared" si="893"/>
        <v>355.29744400246909</v>
      </c>
      <c r="JD187" s="61">
        <f t="shared" si="894"/>
        <v>517.64055736538228</v>
      </c>
      <c r="JE187" s="61">
        <f t="shared" si="895"/>
        <v>547.33100292461552</v>
      </c>
      <c r="JF187" s="61">
        <f t="shared" si="896"/>
        <v>35.419763069759171</v>
      </c>
      <c r="JG187" s="61">
        <f t="shared" si="897"/>
        <v>620.70790349813853</v>
      </c>
      <c r="JH187" s="61">
        <f t="shared" si="898"/>
        <v>154.12114239820323</v>
      </c>
      <c r="JI187" s="61">
        <f t="shared" si="899"/>
        <v>138.84053855970248</v>
      </c>
      <c r="JJ187" s="61">
        <f t="shared" si="900"/>
        <v>389.31800873008837</v>
      </c>
      <c r="JK187" s="61">
        <f t="shared" si="901"/>
        <v>194.70546528425854</v>
      </c>
      <c r="JL187" s="61">
        <f t="shared" si="902"/>
        <v>513.11153060657011</v>
      </c>
      <c r="JM187" s="61">
        <f t="shared" si="903"/>
        <v>0</v>
      </c>
      <c r="JN187" s="61">
        <f t="shared" si="904"/>
        <v>116.92080010587053</v>
      </c>
      <c r="JO187" s="61">
        <f t="shared" si="905"/>
        <v>0</v>
      </c>
      <c r="JQ187" s="26">
        <f t="shared" si="969"/>
        <v>59570.832260923569</v>
      </c>
      <c r="JR187" s="156">
        <f t="shared" si="970"/>
        <v>0.99999999999999967</v>
      </c>
      <c r="JT187" s="157">
        <f t="shared" si="906"/>
        <v>2331.4037867487359</v>
      </c>
      <c r="JU187" s="29">
        <f t="shared" si="907"/>
        <v>1</v>
      </c>
    </row>
    <row r="188" spans="1:281" ht="18.75" x14ac:dyDescent="0.3">
      <c r="A188" t="s">
        <v>234</v>
      </c>
      <c r="B188" s="10" t="s">
        <v>232</v>
      </c>
      <c r="C188" t="s">
        <v>320</v>
      </c>
      <c r="D188" t="s">
        <v>141</v>
      </c>
      <c r="E188" t="s">
        <v>315</v>
      </c>
      <c r="F188" s="114"/>
      <c r="G188" s="17">
        <v>360297.54062591167</v>
      </c>
      <c r="H188" s="21">
        <v>238280</v>
      </c>
      <c r="I188" s="25">
        <f t="shared" si="713"/>
        <v>1.5120762994204788</v>
      </c>
      <c r="J188" s="106">
        <v>3.9136666356062583E-2</v>
      </c>
      <c r="K188" s="106">
        <v>4.5887162430215692E-2</v>
      </c>
      <c r="L188" s="106">
        <v>1.6944032517201932E-2</v>
      </c>
      <c r="M188" s="106">
        <v>1.9614729838749411E-2</v>
      </c>
      <c r="N188" s="106">
        <v>5.1190544950680116E-2</v>
      </c>
      <c r="O188" s="106">
        <v>7.8266475088618462E-2</v>
      </c>
      <c r="P188" s="106">
        <v>1.813960584414483E-2</v>
      </c>
      <c r="Q188" s="106">
        <v>1.0363139792280084E-2</v>
      </c>
      <c r="R188" s="106">
        <v>4.0398127983637962E-2</v>
      </c>
      <c r="S188" s="106">
        <v>5.2386204155007603E-2</v>
      </c>
      <c r="T188" s="106">
        <v>8.3222910570922085E-2</v>
      </c>
      <c r="U188" s="106">
        <v>2.7777292884143302E-2</v>
      </c>
      <c r="V188" s="106">
        <v>1.5391129403455489E-2</v>
      </c>
      <c r="W188" s="106">
        <v>4.9702378177047889E-2</v>
      </c>
      <c r="X188" s="106">
        <v>7.2412473481721112E-2</v>
      </c>
      <c r="Y188" s="106">
        <v>7.6565854763630384E-2</v>
      </c>
      <c r="Z188" s="106">
        <v>4.9548525854927654E-3</v>
      </c>
      <c r="AA188" s="106">
        <v>8.6830511949679653E-2</v>
      </c>
      <c r="AB188" s="106">
        <v>2.1559927981077493E-2</v>
      </c>
      <c r="AC188" s="106">
        <v>1.9422332105916804E-2</v>
      </c>
      <c r="AD188" s="106">
        <v>5.4461497620297027E-2</v>
      </c>
      <c r="AE188" s="106">
        <v>2.7237248204434131E-2</v>
      </c>
      <c r="AF188" s="106">
        <v>7.1778910239034543E-2</v>
      </c>
      <c r="AG188" s="106">
        <v>0</v>
      </c>
      <c r="AH188" s="106">
        <v>1.6355991076548847E-2</v>
      </c>
      <c r="AJ188" s="8">
        <f t="shared" si="940"/>
        <v>1.0000000000000004</v>
      </c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159"/>
      <c r="BG188" s="159"/>
      <c r="BH188" s="159"/>
      <c r="BI188" s="159"/>
      <c r="BJ188" s="159"/>
      <c r="BM188" s="26">
        <f t="shared" si="941"/>
        <v>14100.844636386209</v>
      </c>
      <c r="BN188" s="26">
        <f t="shared" si="942"/>
        <v>16533.031769908444</v>
      </c>
      <c r="BO188" s="26">
        <f t="shared" si="943"/>
        <v>6104.8932442333316</v>
      </c>
      <c r="BP188" s="26">
        <f t="shared" si="944"/>
        <v>7067.1389209430981</v>
      </c>
      <c r="BQ188" s="26">
        <f t="shared" si="945"/>
        <v>18443.827449030228</v>
      </c>
      <c r="BR188" s="26">
        <f t="shared" si="946"/>
        <v>28199.218487888415</v>
      </c>
      <c r="BS188" s="26">
        <f t="shared" si="947"/>
        <v>6535.6553735687967</v>
      </c>
      <c r="BT188" s="26">
        <f t="shared" si="948"/>
        <v>3733.8137803210352</v>
      </c>
      <c r="BU188" s="26">
        <f t="shared" si="949"/>
        <v>14555.346158395578</v>
      </c>
      <c r="BV188" s="26">
        <f t="shared" si="950"/>
        <v>18874.620519776156</v>
      </c>
      <c r="BW188" s="26">
        <f t="shared" si="951"/>
        <v>29985.010002433413</v>
      </c>
      <c r="BX188" s="26">
        <f t="shared" si="952"/>
        <v>10008.09031140247</v>
      </c>
      <c r="BY188" s="26">
        <f t="shared" si="953"/>
        <v>5545.3860715201681</v>
      </c>
      <c r="BZ188" s="26">
        <f t="shared" si="954"/>
        <v>17907.644620449337</v>
      </c>
      <c r="CA188" s="26">
        <f t="shared" si="955"/>
        <v>26090.036106103165</v>
      </c>
      <c r="CB188" s="26">
        <f t="shared" si="956"/>
        <v>27586.489167256772</v>
      </c>
      <c r="CC188" s="26">
        <f t="shared" si="957"/>
        <v>1785.221200716983</v>
      </c>
      <c r="CD188" s="26">
        <f t="shared" si="958"/>
        <v>31284.819906758414</v>
      </c>
      <c r="CE188" s="26">
        <f t="shared" si="959"/>
        <v>7767.9890276539982</v>
      </c>
      <c r="CF188" s="26">
        <f t="shared" si="960"/>
        <v>6997.8184909815081</v>
      </c>
      <c r="CG188" s="26">
        <f t="shared" si="961"/>
        <v>19622.343651396961</v>
      </c>
      <c r="CH188" s="26">
        <f t="shared" si="962"/>
        <v>9813.5135414751458</v>
      </c>
      <c r="CI188" s="26">
        <f t="shared" si="963"/>
        <v>25861.764827932217</v>
      </c>
      <c r="CJ188" s="26">
        <f t="shared" si="964"/>
        <v>0</v>
      </c>
      <c r="CK188" s="26">
        <f t="shared" si="965"/>
        <v>5893.0233593799076</v>
      </c>
      <c r="CL188" s="26">
        <f t="shared" si="966"/>
        <v>0</v>
      </c>
      <c r="CM188" s="110">
        <f t="shared" si="967"/>
        <v>1.0000000000000002</v>
      </c>
      <c r="CN188" s="27">
        <f t="shared" si="933"/>
        <v>9325.4848593225925</v>
      </c>
      <c r="CO188" s="27">
        <f t="shared" si="908"/>
        <v>10933.993063871794</v>
      </c>
      <c r="CP188" s="27">
        <f t="shared" si="909"/>
        <v>4037.4240681988763</v>
      </c>
      <c r="CQ188" s="27">
        <f t="shared" si="910"/>
        <v>4673.7978259772099</v>
      </c>
      <c r="CR188" s="27">
        <f t="shared" si="911"/>
        <v>12197.683050848058</v>
      </c>
      <c r="CS188" s="27">
        <f t="shared" si="912"/>
        <v>18649.335684116006</v>
      </c>
      <c r="CT188" s="27">
        <f t="shared" si="913"/>
        <v>4322.3052805428297</v>
      </c>
      <c r="CU188" s="27">
        <f t="shared" si="914"/>
        <v>2469.3289497044984</v>
      </c>
      <c r="CV188" s="27">
        <f t="shared" si="915"/>
        <v>9626.065935941253</v>
      </c>
      <c r="CW188" s="27">
        <f t="shared" si="916"/>
        <v>12482.584726055211</v>
      </c>
      <c r="CX188" s="27">
        <f t="shared" si="917"/>
        <v>19830.355130839314</v>
      </c>
      <c r="CY188" s="27">
        <f t="shared" si="918"/>
        <v>6618.7733484336659</v>
      </c>
      <c r="CZ188" s="27">
        <f t="shared" si="919"/>
        <v>3667.3983142553739</v>
      </c>
      <c r="DA188" s="27">
        <f t="shared" si="920"/>
        <v>11843.082672026971</v>
      </c>
      <c r="DB188" s="27">
        <f t="shared" si="921"/>
        <v>17254.444181224506</v>
      </c>
      <c r="DC188" s="27">
        <f t="shared" si="922"/>
        <v>18244.111873077847</v>
      </c>
      <c r="DD188" s="27">
        <f t="shared" si="923"/>
        <v>1180.6422740712162</v>
      </c>
      <c r="DE188" s="27">
        <f t="shared" si="924"/>
        <v>20689.974387369668</v>
      </c>
      <c r="DF188" s="27">
        <f t="shared" si="925"/>
        <v>5137.299639331145</v>
      </c>
      <c r="DG188" s="27">
        <f t="shared" si="926"/>
        <v>4627.9532941978559</v>
      </c>
      <c r="DH188" s="27">
        <f t="shared" si="927"/>
        <v>12977.085652964375</v>
      </c>
      <c r="DI188" s="27">
        <f t="shared" si="928"/>
        <v>6490.0915021525652</v>
      </c>
      <c r="DJ188" s="27">
        <f t="shared" si="929"/>
        <v>17103.47873175715</v>
      </c>
      <c r="DK188" s="27">
        <f t="shared" si="930"/>
        <v>0</v>
      </c>
      <c r="DL188" s="27">
        <f t="shared" si="931"/>
        <v>3897.3055537200594</v>
      </c>
      <c r="DM188" s="27">
        <f t="shared" si="932"/>
        <v>0</v>
      </c>
      <c r="DN188" s="110">
        <f t="shared" si="968"/>
        <v>1.0000000000000002</v>
      </c>
      <c r="DO188" s="28">
        <f t="shared" si="771"/>
        <v>4775.359777063617</v>
      </c>
      <c r="DP188" s="28">
        <f t="shared" si="772"/>
        <v>5599.0387060366502</v>
      </c>
      <c r="DQ188" s="28">
        <f t="shared" si="773"/>
        <v>2067.4691760344554</v>
      </c>
      <c r="DR188" s="28">
        <f t="shared" si="774"/>
        <v>2393.3410949658883</v>
      </c>
      <c r="DS188" s="28">
        <f t="shared" si="775"/>
        <v>6246.1443981821703</v>
      </c>
      <c r="DT188" s="28">
        <f t="shared" si="776"/>
        <v>9549.8828037724088</v>
      </c>
      <c r="DU188" s="28">
        <f t="shared" si="777"/>
        <v>2213.350093025967</v>
      </c>
      <c r="DV188" s="28">
        <f t="shared" si="778"/>
        <v>1264.4848306165368</v>
      </c>
      <c r="DW188" s="28">
        <f t="shared" si="779"/>
        <v>4929.2802224543248</v>
      </c>
      <c r="DX188" s="28">
        <f t="shared" si="780"/>
        <v>6392.0357937209446</v>
      </c>
      <c r="DY188" s="28">
        <f t="shared" si="781"/>
        <v>10154.654871594099</v>
      </c>
      <c r="DZ188" s="28">
        <f t="shared" si="782"/>
        <v>3389.3169629688036</v>
      </c>
      <c r="EA188" s="28">
        <f t="shared" si="783"/>
        <v>1877.9877572647943</v>
      </c>
      <c r="EB188" s="28">
        <f t="shared" si="784"/>
        <v>6064.5619484223662</v>
      </c>
      <c r="EC188" s="28">
        <f t="shared" si="785"/>
        <v>8835.5919248786595</v>
      </c>
      <c r="ED188" s="28">
        <f t="shared" si="786"/>
        <v>9342.3772941789248</v>
      </c>
      <c r="EE188" s="28">
        <f t="shared" si="787"/>
        <v>604.57892664576684</v>
      </c>
      <c r="EF188" s="28">
        <f t="shared" si="788"/>
        <v>10594.845519388746</v>
      </c>
      <c r="EG188" s="28">
        <f t="shared" si="789"/>
        <v>2630.6893883228531</v>
      </c>
      <c r="EH188" s="28">
        <f t="shared" si="790"/>
        <v>2369.8651967836522</v>
      </c>
      <c r="EI188" s="28">
        <f t="shared" si="791"/>
        <v>6645.2579984325857</v>
      </c>
      <c r="EJ188" s="28">
        <f t="shared" si="792"/>
        <v>3323.4220393225805</v>
      </c>
      <c r="EK188" s="28">
        <f t="shared" si="793"/>
        <v>8758.2860961750666</v>
      </c>
      <c r="EL188" s="28">
        <f t="shared" si="794"/>
        <v>0</v>
      </c>
      <c r="EM188" s="28">
        <f t="shared" si="795"/>
        <v>1995.7178056598482</v>
      </c>
      <c r="EN188" s="28">
        <f t="shared" si="796"/>
        <v>0</v>
      </c>
      <c r="EQ188" s="144">
        <v>0</v>
      </c>
      <c r="ER188" s="144">
        <v>0</v>
      </c>
      <c r="ES188" s="144">
        <v>0.04</v>
      </c>
      <c r="ET188" s="144">
        <v>0.08</v>
      </c>
      <c r="EU188" s="144">
        <v>0.14000000000000001</v>
      </c>
      <c r="EV188" s="144">
        <v>0.2</v>
      </c>
      <c r="EW188" s="144">
        <v>0.21</v>
      </c>
      <c r="EX188" s="144">
        <v>0.22</v>
      </c>
      <c r="EY188" s="144">
        <v>0.09</v>
      </c>
      <c r="EZ188" s="144">
        <v>0.01</v>
      </c>
      <c r="FA188" s="144">
        <v>0.01</v>
      </c>
      <c r="FB188" s="144">
        <v>0</v>
      </c>
      <c r="FC188" s="145">
        <f t="shared" si="797"/>
        <v>1</v>
      </c>
      <c r="FD188" s="146">
        <f t="shared" si="935"/>
        <v>0.04</v>
      </c>
      <c r="FE188" s="146">
        <f t="shared" si="936"/>
        <v>0.42000000000000004</v>
      </c>
      <c r="FF188" s="146">
        <f t="shared" si="937"/>
        <v>0.52</v>
      </c>
      <c r="FG188" s="146">
        <f t="shared" si="938"/>
        <v>0.02</v>
      </c>
      <c r="FH188" s="145">
        <f t="shared" si="939"/>
        <v>1</v>
      </c>
      <c r="FJ188" s="52">
        <f t="shared" si="802"/>
        <v>564.03378545544842</v>
      </c>
      <c r="FK188" s="52">
        <f t="shared" si="803"/>
        <v>661.32127079633779</v>
      </c>
      <c r="FL188" s="52">
        <f t="shared" si="804"/>
        <v>244.19572976933327</v>
      </c>
      <c r="FM188" s="52">
        <f t="shared" si="805"/>
        <v>282.68555683772394</v>
      </c>
      <c r="FN188" s="52">
        <f t="shared" si="806"/>
        <v>737.75309796120916</v>
      </c>
      <c r="FO188" s="52">
        <f t="shared" si="807"/>
        <v>1127.9687395155365</v>
      </c>
      <c r="FP188" s="52">
        <f t="shared" si="808"/>
        <v>261.42621494275187</v>
      </c>
      <c r="FQ188" s="52">
        <f t="shared" si="809"/>
        <v>149.35255121284141</v>
      </c>
      <c r="FR188" s="52">
        <f t="shared" si="810"/>
        <v>582.21384633582318</v>
      </c>
      <c r="FS188" s="52">
        <f t="shared" si="811"/>
        <v>754.98482079104622</v>
      </c>
      <c r="FT188" s="52">
        <f t="shared" si="812"/>
        <v>1199.4004000973366</v>
      </c>
      <c r="FU188" s="52">
        <f t="shared" si="813"/>
        <v>400.32361245609877</v>
      </c>
      <c r="FV188" s="52">
        <f t="shared" si="814"/>
        <v>221.81544286080674</v>
      </c>
      <c r="FW188" s="52">
        <f t="shared" si="815"/>
        <v>716.30578481797352</v>
      </c>
      <c r="FX188" s="52">
        <f t="shared" si="816"/>
        <v>1043.6014442441267</v>
      </c>
      <c r="FY188" s="52">
        <f t="shared" si="817"/>
        <v>1103.459566690271</v>
      </c>
      <c r="FZ188" s="52">
        <f t="shared" si="818"/>
        <v>71.40884802867933</v>
      </c>
      <c r="GA188" s="52">
        <f t="shared" si="819"/>
        <v>1251.3927962703365</v>
      </c>
      <c r="GB188" s="52">
        <f t="shared" si="820"/>
        <v>310.71956110615992</v>
      </c>
      <c r="GC188" s="52">
        <f t="shared" si="821"/>
        <v>279.91273963926034</v>
      </c>
      <c r="GD188" s="52">
        <f t="shared" si="822"/>
        <v>784.89374605587841</v>
      </c>
      <c r="GE188" s="52">
        <f t="shared" si="823"/>
        <v>392.54054165900584</v>
      </c>
      <c r="GF188" s="52">
        <f t="shared" si="824"/>
        <v>1034.4705931172887</v>
      </c>
      <c r="GG188" s="52">
        <f t="shared" si="825"/>
        <v>0</v>
      </c>
      <c r="GH188" s="52">
        <f t="shared" si="826"/>
        <v>235.72093437519629</v>
      </c>
      <c r="GI188" s="52">
        <f t="shared" si="827"/>
        <v>0</v>
      </c>
      <c r="GJ188" s="26"/>
      <c r="GL188" s="150">
        <f t="shared" si="828"/>
        <v>5922.3547472822083</v>
      </c>
      <c r="GM188" s="150">
        <f t="shared" si="829"/>
        <v>6943.8733433615471</v>
      </c>
      <c r="GN188" s="150">
        <f t="shared" si="830"/>
        <v>2564.0551625779995</v>
      </c>
      <c r="GO188" s="150">
        <f t="shared" si="831"/>
        <v>2968.1983467961013</v>
      </c>
      <c r="GP188" s="150">
        <f t="shared" si="832"/>
        <v>7746.4075285926965</v>
      </c>
      <c r="GQ188" s="150">
        <f t="shared" si="833"/>
        <v>11843.671764913135</v>
      </c>
      <c r="GR188" s="150">
        <f t="shared" si="834"/>
        <v>2744.9752568988947</v>
      </c>
      <c r="GS188" s="150">
        <f t="shared" si="835"/>
        <v>1568.2017877348349</v>
      </c>
      <c r="GT188" s="150">
        <f t="shared" si="836"/>
        <v>6113.2453865261432</v>
      </c>
      <c r="GU188" s="150">
        <f t="shared" si="837"/>
        <v>7927.340618305986</v>
      </c>
      <c r="GV188" s="150">
        <f t="shared" si="838"/>
        <v>12593.704201022034</v>
      </c>
      <c r="GW188" s="150">
        <f t="shared" si="839"/>
        <v>4203.3979307890377</v>
      </c>
      <c r="GX188" s="150">
        <f t="shared" si="840"/>
        <v>2329.0621500384709</v>
      </c>
      <c r="GY188" s="150">
        <f t="shared" si="841"/>
        <v>7521.2107405887218</v>
      </c>
      <c r="GZ188" s="150">
        <f t="shared" si="842"/>
        <v>10957.81516456333</v>
      </c>
      <c r="HA188" s="150">
        <f t="shared" si="843"/>
        <v>11586.325450247845</v>
      </c>
      <c r="HB188" s="150">
        <f t="shared" si="844"/>
        <v>749.79290430113292</v>
      </c>
      <c r="HC188" s="150">
        <f t="shared" si="845"/>
        <v>13139.624360838536</v>
      </c>
      <c r="HD188" s="150">
        <f t="shared" si="846"/>
        <v>3262.5553916146796</v>
      </c>
      <c r="HE188" s="150">
        <f t="shared" si="847"/>
        <v>2939.0837662122335</v>
      </c>
      <c r="HF188" s="150">
        <f t="shared" si="848"/>
        <v>8241.3843335867241</v>
      </c>
      <c r="HG188" s="150">
        <f t="shared" si="849"/>
        <v>4121.6756874195617</v>
      </c>
      <c r="HH188" s="150">
        <f t="shared" si="850"/>
        <v>10861.941227731531</v>
      </c>
      <c r="HI188" s="150">
        <f t="shared" si="851"/>
        <v>0</v>
      </c>
      <c r="HJ188" s="150">
        <f t="shared" si="852"/>
        <v>2475.0698109395612</v>
      </c>
      <c r="HK188" s="150">
        <f t="shared" si="853"/>
        <v>0</v>
      </c>
      <c r="HL188" s="26"/>
      <c r="HN188" s="147">
        <f t="shared" si="854"/>
        <v>7332.4392109208293</v>
      </c>
      <c r="HO188" s="147">
        <f t="shared" si="855"/>
        <v>8597.1765203523919</v>
      </c>
      <c r="HP188" s="147">
        <f t="shared" si="856"/>
        <v>3174.5444870013325</v>
      </c>
      <c r="HQ188" s="147">
        <f t="shared" si="857"/>
        <v>3674.9122388904111</v>
      </c>
      <c r="HR188" s="147">
        <f t="shared" si="858"/>
        <v>9590.7902734957188</v>
      </c>
      <c r="HS188" s="147">
        <f t="shared" si="859"/>
        <v>14663.593613701976</v>
      </c>
      <c r="HT188" s="147">
        <f t="shared" si="860"/>
        <v>3398.5407942557745</v>
      </c>
      <c r="HU188" s="147">
        <f t="shared" si="861"/>
        <v>1941.5831657669385</v>
      </c>
      <c r="HV188" s="147">
        <f t="shared" si="862"/>
        <v>7568.780002365701</v>
      </c>
      <c r="HW188" s="147">
        <f t="shared" si="863"/>
        <v>9814.8026702836014</v>
      </c>
      <c r="HX188" s="147">
        <f t="shared" si="864"/>
        <v>15592.205201265375</v>
      </c>
      <c r="HY188" s="147">
        <f t="shared" si="865"/>
        <v>5204.2069619292843</v>
      </c>
      <c r="HZ188" s="147">
        <f t="shared" si="866"/>
        <v>2883.6007571904875</v>
      </c>
      <c r="IA188" s="147">
        <f t="shared" si="867"/>
        <v>9311.9752026336555</v>
      </c>
      <c r="IB188" s="147">
        <f t="shared" si="868"/>
        <v>13566.818775173646</v>
      </c>
      <c r="IC188" s="147">
        <f t="shared" si="869"/>
        <v>14344.974366973522</v>
      </c>
      <c r="ID188" s="147">
        <f t="shared" si="870"/>
        <v>928.3150243728312</v>
      </c>
      <c r="IE188" s="147">
        <f t="shared" si="871"/>
        <v>16268.106351514376</v>
      </c>
      <c r="IF188" s="147">
        <f t="shared" si="872"/>
        <v>4039.3542943800794</v>
      </c>
      <c r="IG188" s="147">
        <f t="shared" si="873"/>
        <v>3638.8656153103843</v>
      </c>
      <c r="IH188" s="147">
        <f t="shared" si="874"/>
        <v>10203.618698726421</v>
      </c>
      <c r="II188" s="147">
        <f t="shared" si="875"/>
        <v>5103.0270415670757</v>
      </c>
      <c r="IJ188" s="147">
        <f t="shared" si="876"/>
        <v>13448.117710524753</v>
      </c>
      <c r="IK188" s="147">
        <f t="shared" si="877"/>
        <v>0</v>
      </c>
      <c r="IL188" s="147">
        <f t="shared" si="878"/>
        <v>3064.372146877552</v>
      </c>
      <c r="IM188" s="147">
        <f t="shared" si="879"/>
        <v>0</v>
      </c>
      <c r="IN188" s="26"/>
      <c r="IP188" s="61">
        <f t="shared" si="880"/>
        <v>282.01689272772421</v>
      </c>
      <c r="IQ188" s="61">
        <f t="shared" si="881"/>
        <v>330.66063539816889</v>
      </c>
      <c r="IR188" s="61">
        <f t="shared" si="882"/>
        <v>122.09786488466663</v>
      </c>
      <c r="IS188" s="61">
        <f t="shared" si="883"/>
        <v>141.34277841886197</v>
      </c>
      <c r="IT188" s="61">
        <f t="shared" si="884"/>
        <v>368.87654898060458</v>
      </c>
      <c r="IU188" s="61">
        <f t="shared" si="885"/>
        <v>563.98436975776826</v>
      </c>
      <c r="IV188" s="61">
        <f t="shared" si="886"/>
        <v>130.71310747137593</v>
      </c>
      <c r="IW188" s="61">
        <f t="shared" si="887"/>
        <v>74.676275606420703</v>
      </c>
      <c r="IX188" s="61">
        <f t="shared" si="888"/>
        <v>291.10692316791159</v>
      </c>
      <c r="IY188" s="61">
        <f t="shared" si="889"/>
        <v>377.49241039552311</v>
      </c>
      <c r="IZ188" s="61">
        <f t="shared" si="890"/>
        <v>599.70020004866831</v>
      </c>
      <c r="JA188" s="61">
        <f t="shared" si="891"/>
        <v>200.16180622804939</v>
      </c>
      <c r="JB188" s="61">
        <f t="shared" si="892"/>
        <v>110.90772143040337</v>
      </c>
      <c r="JC188" s="61">
        <f t="shared" si="893"/>
        <v>358.15289240898676</v>
      </c>
      <c r="JD188" s="61">
        <f t="shared" si="894"/>
        <v>521.80072212206335</v>
      </c>
      <c r="JE188" s="61">
        <f t="shared" si="895"/>
        <v>551.7297833451355</v>
      </c>
      <c r="JF188" s="61">
        <f t="shared" si="896"/>
        <v>35.704424014339665</v>
      </c>
      <c r="JG188" s="61">
        <f t="shared" si="897"/>
        <v>625.69639813516824</v>
      </c>
      <c r="JH188" s="61">
        <f t="shared" si="898"/>
        <v>155.35978055307996</v>
      </c>
      <c r="JI188" s="61">
        <f t="shared" si="899"/>
        <v>139.95636981963017</v>
      </c>
      <c r="JJ188" s="61">
        <f t="shared" si="900"/>
        <v>392.4468730279392</v>
      </c>
      <c r="JK188" s="61">
        <f t="shared" si="901"/>
        <v>196.27027082950292</v>
      </c>
      <c r="JL188" s="61">
        <f t="shared" si="902"/>
        <v>517.23529655864434</v>
      </c>
      <c r="JM188" s="61">
        <f t="shared" si="903"/>
        <v>0</v>
      </c>
      <c r="JN188" s="61">
        <f t="shared" si="904"/>
        <v>117.86046718759815</v>
      </c>
      <c r="JO188" s="61">
        <f t="shared" si="905"/>
        <v>0</v>
      </c>
      <c r="JQ188" s="26">
        <f t="shared" si="969"/>
        <v>360297.54062591185</v>
      </c>
      <c r="JR188" s="156">
        <f t="shared" si="970"/>
        <v>1.0000000000000004</v>
      </c>
      <c r="JT188" s="157">
        <f t="shared" si="906"/>
        <v>14100.844636386211</v>
      </c>
      <c r="JU188" s="29">
        <f t="shared" si="907"/>
        <v>1.0000000000000002</v>
      </c>
    </row>
    <row r="189" spans="1:281" ht="18.75" x14ac:dyDescent="0.3">
      <c r="A189" t="s">
        <v>234</v>
      </c>
      <c r="B189" s="10" t="s">
        <v>116</v>
      </c>
      <c r="C189" t="s">
        <v>145</v>
      </c>
      <c r="D189" t="s">
        <v>141</v>
      </c>
      <c r="E189" t="s">
        <v>146</v>
      </c>
      <c r="F189" s="114"/>
      <c r="G189" s="17">
        <v>755023.38</v>
      </c>
      <c r="H189" s="21">
        <v>346341</v>
      </c>
      <c r="I189" s="25">
        <f t="shared" si="713"/>
        <v>2.1800000000000002</v>
      </c>
      <c r="J189" s="106">
        <v>3.9136666356062583E-2</v>
      </c>
      <c r="K189" s="106">
        <v>4.5887162430215692E-2</v>
      </c>
      <c r="L189" s="106">
        <v>1.6944032517201932E-2</v>
      </c>
      <c r="M189" s="106">
        <v>1.9614729838749411E-2</v>
      </c>
      <c r="N189" s="106">
        <v>5.1190544950680116E-2</v>
      </c>
      <c r="O189" s="106">
        <v>7.8266475088618462E-2</v>
      </c>
      <c r="P189" s="106">
        <v>1.813960584414483E-2</v>
      </c>
      <c r="Q189" s="106">
        <v>1.0363139792280084E-2</v>
      </c>
      <c r="R189" s="106">
        <v>4.0398127983637962E-2</v>
      </c>
      <c r="S189" s="106">
        <v>5.2386204155007603E-2</v>
      </c>
      <c r="T189" s="106">
        <v>8.3222910570922085E-2</v>
      </c>
      <c r="U189" s="106">
        <v>2.7777292884143302E-2</v>
      </c>
      <c r="V189" s="106">
        <v>1.5391129403455489E-2</v>
      </c>
      <c r="W189" s="106">
        <v>4.9702378177047889E-2</v>
      </c>
      <c r="X189" s="106">
        <v>7.2412473481721112E-2</v>
      </c>
      <c r="Y189" s="106">
        <v>7.6565854763630384E-2</v>
      </c>
      <c r="Z189" s="106">
        <v>4.9548525854927654E-3</v>
      </c>
      <c r="AA189" s="106">
        <v>8.6830511949679653E-2</v>
      </c>
      <c r="AB189" s="106">
        <v>2.1559927981077493E-2</v>
      </c>
      <c r="AC189" s="106">
        <v>1.9422332105916804E-2</v>
      </c>
      <c r="AD189" s="106">
        <v>5.4461497620297027E-2</v>
      </c>
      <c r="AE189" s="106">
        <v>2.7237248204434131E-2</v>
      </c>
      <c r="AF189" s="106">
        <v>7.1778910239034543E-2</v>
      </c>
      <c r="AG189" s="106">
        <v>0</v>
      </c>
      <c r="AH189" s="106">
        <v>1.6355991076548847E-2</v>
      </c>
      <c r="AJ189" s="8">
        <f t="shared" si="940"/>
        <v>1.0000000000000004</v>
      </c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159"/>
      <c r="BG189" s="159"/>
      <c r="BH189" s="159"/>
      <c r="BI189" s="159"/>
      <c r="BJ189" s="159"/>
      <c r="BM189" s="26">
        <f t="shared" si="941"/>
        <v>29549.098114086653</v>
      </c>
      <c r="BN189" s="26">
        <f t="shared" si="942"/>
        <v>34645.880476670463</v>
      </c>
      <c r="BO189" s="26">
        <f t="shared" si="943"/>
        <v>12793.14070196771</v>
      </c>
      <c r="BP189" s="26">
        <f t="shared" si="944"/>
        <v>14809.579620639435</v>
      </c>
      <c r="BQ189" s="26">
        <f t="shared" si="945"/>
        <v>38650.058272704431</v>
      </c>
      <c r="BR189" s="26">
        <f t="shared" si="946"/>
        <v>59093.018562094512</v>
      </c>
      <c r="BS189" s="26">
        <f t="shared" si="947"/>
        <v>13695.826516313982</v>
      </c>
      <c r="BT189" s="26">
        <f t="shared" si="948"/>
        <v>7824.4128333798071</v>
      </c>
      <c r="BU189" s="26">
        <f t="shared" si="949"/>
        <v>30501.531135878919</v>
      </c>
      <c r="BV189" s="26">
        <f t="shared" si="950"/>
        <v>39552.808926483885</v>
      </c>
      <c r="BW189" s="26">
        <f t="shared" si="951"/>
        <v>62835.24323269532</v>
      </c>
      <c r="BX189" s="26">
        <f t="shared" si="952"/>
        <v>20972.505560635826</v>
      </c>
      <c r="BY189" s="26">
        <f t="shared" si="953"/>
        <v>11620.662544214347</v>
      </c>
      <c r="BZ189" s="26">
        <f t="shared" si="954"/>
        <v>37526.457565272933</v>
      </c>
      <c r="CA189" s="26">
        <f t="shared" si="955"/>
        <v>54673.110482329444</v>
      </c>
      <c r="CB189" s="26">
        <f t="shared" si="956"/>
        <v>57809.010456225311</v>
      </c>
      <c r="CC189" s="26">
        <f t="shared" si="957"/>
        <v>3741.029546500487</v>
      </c>
      <c r="CD189" s="26">
        <f t="shared" si="958"/>
        <v>65559.066619377525</v>
      </c>
      <c r="CE189" s="26">
        <f t="shared" si="959"/>
        <v>16278.249696829705</v>
      </c>
      <c r="CF189" s="26">
        <f t="shared" si="960"/>
        <v>14664.314834091823</v>
      </c>
      <c r="CG189" s="26">
        <f t="shared" si="961"/>
        <v>41119.704013138617</v>
      </c>
      <c r="CH189" s="26">
        <f t="shared" si="962"/>
        <v>20564.759201210789</v>
      </c>
      <c r="CI189" s="26">
        <f t="shared" si="963"/>
        <v>54194.755421392467</v>
      </c>
      <c r="CJ189" s="26">
        <f t="shared" si="964"/>
        <v>0</v>
      </c>
      <c r="CK189" s="26">
        <f t="shared" si="965"/>
        <v>12349.15566586575</v>
      </c>
      <c r="CL189" s="26">
        <f t="shared" si="966"/>
        <v>0</v>
      </c>
      <c r="CM189" s="110">
        <f t="shared" si="967"/>
        <v>1.0000000000000002</v>
      </c>
      <c r="CN189" s="27">
        <f t="shared" si="933"/>
        <v>13554.63216242507</v>
      </c>
      <c r="CO189" s="27">
        <f t="shared" si="908"/>
        <v>15892.605723243332</v>
      </c>
      <c r="CP189" s="27">
        <f t="shared" si="909"/>
        <v>5868.4131660402345</v>
      </c>
      <c r="CQ189" s="27">
        <f t="shared" si="910"/>
        <v>6793.3851470823101</v>
      </c>
      <c r="CR189" s="27">
        <f t="shared" si="911"/>
        <v>17729.384528763501</v>
      </c>
      <c r="CS189" s="27">
        <f t="shared" si="912"/>
        <v>27106.889248667208</v>
      </c>
      <c r="CT189" s="27">
        <f t="shared" si="913"/>
        <v>6282.4892276669643</v>
      </c>
      <c r="CU189" s="27">
        <f t="shared" si="914"/>
        <v>3589.1801987980766</v>
      </c>
      <c r="CV189" s="27">
        <f t="shared" si="915"/>
        <v>13991.528043981156</v>
      </c>
      <c r="CW189" s="27">
        <f t="shared" si="916"/>
        <v>18143.490333249487</v>
      </c>
      <c r="CX189" s="27">
        <f t="shared" si="917"/>
        <v>28823.506070043724</v>
      </c>
      <c r="CY189" s="27">
        <f t="shared" si="918"/>
        <v>9620.4153947870745</v>
      </c>
      <c r="CZ189" s="27">
        <f t="shared" si="919"/>
        <v>5330.5791487221777</v>
      </c>
      <c r="DA189" s="27">
        <f t="shared" si="920"/>
        <v>17213.971360216943</v>
      </c>
      <c r="DB189" s="27">
        <f t="shared" si="921"/>
        <v>25079.408478132773</v>
      </c>
      <c r="DC189" s="27">
        <f t="shared" si="922"/>
        <v>26517.894704690512</v>
      </c>
      <c r="DD189" s="27">
        <f t="shared" si="923"/>
        <v>1716.0685993121499</v>
      </c>
      <c r="DE189" s="27">
        <f t="shared" si="924"/>
        <v>30072.966339164002</v>
      </c>
      <c r="DF189" s="27">
        <f t="shared" si="925"/>
        <v>7467.0870168943602</v>
      </c>
      <c r="DG189" s="27">
        <f t="shared" si="926"/>
        <v>6726.7499238953314</v>
      </c>
      <c r="DH189" s="27">
        <f t="shared" si="927"/>
        <v>18862.249547311294</v>
      </c>
      <c r="DI189" s="27">
        <f t="shared" si="928"/>
        <v>9433.3757803719218</v>
      </c>
      <c r="DJ189" s="27">
        <f t="shared" si="929"/>
        <v>24859.979551097462</v>
      </c>
      <c r="DK189" s="27">
        <f t="shared" si="930"/>
        <v>0</v>
      </c>
      <c r="DL189" s="27">
        <f t="shared" si="931"/>
        <v>5664.7503054430044</v>
      </c>
      <c r="DM189" s="27">
        <f t="shared" si="932"/>
        <v>0</v>
      </c>
      <c r="DN189" s="110">
        <f t="shared" si="968"/>
        <v>1.0000000000000002</v>
      </c>
      <c r="DO189" s="28">
        <f t="shared" si="771"/>
        <v>15994.465951661583</v>
      </c>
      <c r="DP189" s="28">
        <f t="shared" si="772"/>
        <v>18753.274753427133</v>
      </c>
      <c r="DQ189" s="28">
        <f t="shared" si="773"/>
        <v>6924.7275359274754</v>
      </c>
      <c r="DR189" s="28">
        <f t="shared" si="774"/>
        <v>8016.1944735571251</v>
      </c>
      <c r="DS189" s="28">
        <f t="shared" si="775"/>
        <v>20920.67374394093</v>
      </c>
      <c r="DT189" s="28">
        <f t="shared" si="776"/>
        <v>31986.129313427304</v>
      </c>
      <c r="DU189" s="28">
        <f t="shared" si="777"/>
        <v>7413.3372886470179</v>
      </c>
      <c r="DV189" s="28">
        <f t="shared" si="778"/>
        <v>4235.232634581731</v>
      </c>
      <c r="DW189" s="28">
        <f t="shared" si="779"/>
        <v>16510.003091897765</v>
      </c>
      <c r="DX189" s="28">
        <f t="shared" si="780"/>
        <v>21409.318593234399</v>
      </c>
      <c r="DY189" s="28">
        <f t="shared" si="781"/>
        <v>34011.737162651596</v>
      </c>
      <c r="DZ189" s="28">
        <f t="shared" si="782"/>
        <v>11352.090165848751</v>
      </c>
      <c r="EA189" s="28">
        <f t="shared" si="783"/>
        <v>6290.0833954921691</v>
      </c>
      <c r="EB189" s="28">
        <f t="shared" si="784"/>
        <v>20312.48620505599</v>
      </c>
      <c r="EC189" s="28">
        <f t="shared" si="785"/>
        <v>29593.702004196672</v>
      </c>
      <c r="ED189" s="28">
        <f t="shared" si="786"/>
        <v>31291.115751534799</v>
      </c>
      <c r="EE189" s="28">
        <f t="shared" si="787"/>
        <v>2024.9609471883371</v>
      </c>
      <c r="EF189" s="28">
        <f t="shared" si="788"/>
        <v>35486.100280213519</v>
      </c>
      <c r="EG189" s="28">
        <f t="shared" si="789"/>
        <v>8811.1626799353453</v>
      </c>
      <c r="EH189" s="28">
        <f t="shared" si="790"/>
        <v>7937.5649101964918</v>
      </c>
      <c r="EI189" s="28">
        <f t="shared" si="791"/>
        <v>22257.454465827323</v>
      </c>
      <c r="EJ189" s="28">
        <f t="shared" si="792"/>
        <v>11131.383420838867</v>
      </c>
      <c r="EK189" s="28">
        <f t="shared" si="793"/>
        <v>29334.775870295005</v>
      </c>
      <c r="EL189" s="28">
        <f t="shared" si="794"/>
        <v>0</v>
      </c>
      <c r="EM189" s="28">
        <f t="shared" si="795"/>
        <v>6684.4053604227456</v>
      </c>
      <c r="EN189" s="28">
        <f t="shared" si="796"/>
        <v>0</v>
      </c>
      <c r="EQ189" s="144">
        <v>0</v>
      </c>
      <c r="ER189" s="144">
        <v>0</v>
      </c>
      <c r="ES189" s="144">
        <v>0.04</v>
      </c>
      <c r="ET189" s="144">
        <v>0.09</v>
      </c>
      <c r="EU189" s="144">
        <v>0.12</v>
      </c>
      <c r="EV189" s="144">
        <v>0.22</v>
      </c>
      <c r="EW189" s="144">
        <v>0.25</v>
      </c>
      <c r="EX189" s="144">
        <v>0.2</v>
      </c>
      <c r="EY189" s="144">
        <v>0.02</v>
      </c>
      <c r="EZ189" s="144">
        <v>0.02</v>
      </c>
      <c r="FA189" s="144">
        <v>0.02</v>
      </c>
      <c r="FB189" s="144">
        <v>0.02</v>
      </c>
      <c r="FC189" s="145">
        <f t="shared" si="797"/>
        <v>1</v>
      </c>
      <c r="FD189" s="146">
        <f t="shared" si="935"/>
        <v>0.04</v>
      </c>
      <c r="FE189" s="146">
        <f t="shared" si="936"/>
        <v>0.43</v>
      </c>
      <c r="FF189" s="146">
        <f t="shared" si="937"/>
        <v>0.47000000000000003</v>
      </c>
      <c r="FG189" s="146">
        <f t="shared" si="938"/>
        <v>0.06</v>
      </c>
      <c r="FH189" s="145">
        <f t="shared" si="939"/>
        <v>1</v>
      </c>
      <c r="FJ189" s="52">
        <f t="shared" si="802"/>
        <v>1181.9639245634662</v>
      </c>
      <c r="FK189" s="52">
        <f t="shared" si="803"/>
        <v>1385.8352190668186</v>
      </c>
      <c r="FL189" s="52">
        <f t="shared" si="804"/>
        <v>511.72562807870838</v>
      </c>
      <c r="FM189" s="52">
        <f t="shared" si="805"/>
        <v>592.38318482557747</v>
      </c>
      <c r="FN189" s="52">
        <f t="shared" si="806"/>
        <v>1546.0023309081773</v>
      </c>
      <c r="FO189" s="52">
        <f t="shared" si="807"/>
        <v>2363.7207424837807</v>
      </c>
      <c r="FP189" s="52">
        <f t="shared" si="808"/>
        <v>547.83306065255931</v>
      </c>
      <c r="FQ189" s="52">
        <f t="shared" si="809"/>
        <v>312.97651333519229</v>
      </c>
      <c r="FR189" s="52">
        <f t="shared" si="810"/>
        <v>1220.0612454351567</v>
      </c>
      <c r="FS189" s="52">
        <f t="shared" si="811"/>
        <v>1582.1123570593554</v>
      </c>
      <c r="FT189" s="52">
        <f t="shared" si="812"/>
        <v>2513.409729307813</v>
      </c>
      <c r="FU189" s="52">
        <f t="shared" si="813"/>
        <v>838.90022242543307</v>
      </c>
      <c r="FV189" s="52">
        <f t="shared" si="814"/>
        <v>464.82650176857391</v>
      </c>
      <c r="FW189" s="52">
        <f t="shared" si="815"/>
        <v>1501.0583026109173</v>
      </c>
      <c r="FX189" s="52">
        <f t="shared" si="816"/>
        <v>2186.9244192931778</v>
      </c>
      <c r="FY189" s="52">
        <f t="shared" si="817"/>
        <v>2312.3604182490126</v>
      </c>
      <c r="FZ189" s="52">
        <f t="shared" si="818"/>
        <v>149.64118186001949</v>
      </c>
      <c r="GA189" s="52">
        <f t="shared" si="819"/>
        <v>2622.3626647751012</v>
      </c>
      <c r="GB189" s="52">
        <f t="shared" si="820"/>
        <v>651.12998787318827</v>
      </c>
      <c r="GC189" s="52">
        <f t="shared" si="821"/>
        <v>586.57259336367292</v>
      </c>
      <c r="GD189" s="52">
        <f t="shared" si="822"/>
        <v>1644.7881605255448</v>
      </c>
      <c r="GE189" s="52">
        <f t="shared" si="823"/>
        <v>822.59036804843163</v>
      </c>
      <c r="GF189" s="52">
        <f t="shared" si="824"/>
        <v>2167.7902168556989</v>
      </c>
      <c r="GG189" s="52">
        <f t="shared" si="825"/>
        <v>0</v>
      </c>
      <c r="GH189" s="52">
        <f t="shared" si="826"/>
        <v>493.96622663463</v>
      </c>
      <c r="GI189" s="52">
        <f t="shared" si="827"/>
        <v>0</v>
      </c>
      <c r="GJ189" s="26"/>
      <c r="GL189" s="150">
        <f t="shared" si="828"/>
        <v>12706.112189057261</v>
      </c>
      <c r="GM189" s="150">
        <f t="shared" si="829"/>
        <v>14897.728604968299</v>
      </c>
      <c r="GN189" s="150">
        <f t="shared" si="830"/>
        <v>5501.0505018461154</v>
      </c>
      <c r="GO189" s="150">
        <f t="shared" si="831"/>
        <v>6368.1192368749571</v>
      </c>
      <c r="GP189" s="150">
        <f t="shared" si="832"/>
        <v>16619.525057262905</v>
      </c>
      <c r="GQ189" s="150">
        <f t="shared" si="833"/>
        <v>25409.997981700639</v>
      </c>
      <c r="GR189" s="150">
        <f t="shared" si="834"/>
        <v>5889.2054020150126</v>
      </c>
      <c r="GS189" s="150">
        <f t="shared" si="835"/>
        <v>3364.497518353317</v>
      </c>
      <c r="GT189" s="150">
        <f t="shared" si="836"/>
        <v>13115.658388427935</v>
      </c>
      <c r="GU189" s="150">
        <f t="shared" si="837"/>
        <v>17007.707838388069</v>
      </c>
      <c r="GV189" s="150">
        <f t="shared" si="838"/>
        <v>27019.154590058988</v>
      </c>
      <c r="GW189" s="150">
        <f t="shared" si="839"/>
        <v>9018.1773910734046</v>
      </c>
      <c r="GX189" s="150">
        <f t="shared" si="840"/>
        <v>4996.8848940121688</v>
      </c>
      <c r="GY189" s="150">
        <f t="shared" si="841"/>
        <v>16136.376753067361</v>
      </c>
      <c r="GZ189" s="150">
        <f t="shared" si="842"/>
        <v>23509.437507401661</v>
      </c>
      <c r="HA189" s="150">
        <f t="shared" si="843"/>
        <v>24857.874496176883</v>
      </c>
      <c r="HB189" s="150">
        <f t="shared" si="844"/>
        <v>1608.6427049952094</v>
      </c>
      <c r="HC189" s="150">
        <f t="shared" si="845"/>
        <v>28190.398646332334</v>
      </c>
      <c r="HD189" s="150">
        <f t="shared" si="846"/>
        <v>6999.647369636773</v>
      </c>
      <c r="HE189" s="150">
        <f t="shared" si="847"/>
        <v>6305.6553786594841</v>
      </c>
      <c r="HF189" s="150">
        <f t="shared" si="848"/>
        <v>17681.472725649604</v>
      </c>
      <c r="HG189" s="150">
        <f t="shared" si="849"/>
        <v>8842.8464565206395</v>
      </c>
      <c r="HH189" s="150">
        <f t="shared" si="850"/>
        <v>23303.744831198761</v>
      </c>
      <c r="HI189" s="150">
        <f t="shared" si="851"/>
        <v>0</v>
      </c>
      <c r="HJ189" s="150">
        <f t="shared" si="852"/>
        <v>5310.136936322272</v>
      </c>
      <c r="HK189" s="150">
        <f t="shared" si="853"/>
        <v>0</v>
      </c>
      <c r="HL189" s="26"/>
      <c r="HN189" s="147">
        <f t="shared" si="854"/>
        <v>13888.076113620727</v>
      </c>
      <c r="HO189" s="147">
        <f t="shared" si="855"/>
        <v>16283.563824035118</v>
      </c>
      <c r="HP189" s="147">
        <f t="shared" si="856"/>
        <v>6012.7761299248241</v>
      </c>
      <c r="HQ189" s="147">
        <f t="shared" si="857"/>
        <v>6960.5024217005348</v>
      </c>
      <c r="HR189" s="147">
        <f t="shared" si="858"/>
        <v>18165.527388171085</v>
      </c>
      <c r="HS189" s="147">
        <f t="shared" si="859"/>
        <v>27773.718724184422</v>
      </c>
      <c r="HT189" s="147">
        <f t="shared" si="860"/>
        <v>6437.0384626675723</v>
      </c>
      <c r="HU189" s="147">
        <f t="shared" si="861"/>
        <v>3677.4740316885095</v>
      </c>
      <c r="HV189" s="147">
        <f t="shared" si="862"/>
        <v>14335.719633863093</v>
      </c>
      <c r="HW189" s="147">
        <f t="shared" si="863"/>
        <v>18589.820195447428</v>
      </c>
      <c r="HX189" s="147">
        <f t="shared" si="864"/>
        <v>29532.564319366804</v>
      </c>
      <c r="HY189" s="147">
        <f t="shared" si="865"/>
        <v>9857.0776134988391</v>
      </c>
      <c r="HZ189" s="147">
        <f t="shared" si="866"/>
        <v>5461.7113957807433</v>
      </c>
      <c r="IA189" s="147">
        <f t="shared" si="867"/>
        <v>17637.435055678281</v>
      </c>
      <c r="IB189" s="147">
        <f t="shared" si="868"/>
        <v>25696.361926694841</v>
      </c>
      <c r="IC189" s="147">
        <f t="shared" si="869"/>
        <v>27170.234914425899</v>
      </c>
      <c r="ID189" s="147">
        <f t="shared" si="870"/>
        <v>1758.283886855229</v>
      </c>
      <c r="IE189" s="147">
        <f t="shared" si="871"/>
        <v>30812.761311107439</v>
      </c>
      <c r="IF189" s="147">
        <f t="shared" si="872"/>
        <v>7650.7773575099618</v>
      </c>
      <c r="IG189" s="147">
        <f t="shared" si="873"/>
        <v>6892.2279720231572</v>
      </c>
      <c r="IH189" s="147">
        <f t="shared" si="874"/>
        <v>19326.260886175151</v>
      </c>
      <c r="II189" s="147">
        <f t="shared" si="875"/>
        <v>9665.4368245690712</v>
      </c>
      <c r="IJ189" s="147">
        <f t="shared" si="876"/>
        <v>25471.535048054462</v>
      </c>
      <c r="IK189" s="147">
        <f t="shared" si="877"/>
        <v>0</v>
      </c>
      <c r="IL189" s="147">
        <f t="shared" si="878"/>
        <v>5804.1031629569025</v>
      </c>
      <c r="IM189" s="147">
        <f t="shared" si="879"/>
        <v>0</v>
      </c>
      <c r="IN189" s="26"/>
      <c r="IP189" s="61">
        <f t="shared" si="880"/>
        <v>1772.9458868451991</v>
      </c>
      <c r="IQ189" s="61">
        <f t="shared" si="881"/>
        <v>2078.7528286002275</v>
      </c>
      <c r="IR189" s="61">
        <f t="shared" si="882"/>
        <v>767.58844211806252</v>
      </c>
      <c r="IS189" s="61">
        <f t="shared" si="883"/>
        <v>888.5747772383661</v>
      </c>
      <c r="IT189" s="61">
        <f t="shared" si="884"/>
        <v>2319.0034963622657</v>
      </c>
      <c r="IU189" s="61">
        <f t="shared" si="885"/>
        <v>3545.5811137256705</v>
      </c>
      <c r="IV189" s="61">
        <f t="shared" si="886"/>
        <v>821.74959097883891</v>
      </c>
      <c r="IW189" s="61">
        <f t="shared" si="887"/>
        <v>469.46477000278838</v>
      </c>
      <c r="IX189" s="61">
        <f t="shared" si="888"/>
        <v>1830.0918681527351</v>
      </c>
      <c r="IY189" s="61">
        <f t="shared" si="889"/>
        <v>2373.1685355890331</v>
      </c>
      <c r="IZ189" s="61">
        <f t="shared" si="890"/>
        <v>3770.114593961719</v>
      </c>
      <c r="JA189" s="61">
        <f t="shared" si="891"/>
        <v>1258.3503336381496</v>
      </c>
      <c r="JB189" s="61">
        <f t="shared" si="892"/>
        <v>697.23975265286083</v>
      </c>
      <c r="JC189" s="61">
        <f t="shared" si="893"/>
        <v>2251.587453916376</v>
      </c>
      <c r="JD189" s="61">
        <f t="shared" si="894"/>
        <v>3280.3866289397665</v>
      </c>
      <c r="JE189" s="61">
        <f t="shared" si="895"/>
        <v>3468.5406273735184</v>
      </c>
      <c r="JF189" s="61">
        <f t="shared" si="896"/>
        <v>224.46177279002922</v>
      </c>
      <c r="JG189" s="61">
        <f t="shared" si="897"/>
        <v>3933.5439971626515</v>
      </c>
      <c r="JH189" s="61">
        <f t="shared" si="898"/>
        <v>976.69498180978235</v>
      </c>
      <c r="JI189" s="61">
        <f t="shared" si="899"/>
        <v>879.85889004550938</v>
      </c>
      <c r="JJ189" s="61">
        <f t="shared" si="900"/>
        <v>2467.1822407883169</v>
      </c>
      <c r="JK189" s="61">
        <f t="shared" si="901"/>
        <v>1233.8855520726472</v>
      </c>
      <c r="JL189" s="61">
        <f t="shared" si="902"/>
        <v>3251.6853252835481</v>
      </c>
      <c r="JM189" s="61">
        <f t="shared" si="903"/>
        <v>0</v>
      </c>
      <c r="JN189" s="61">
        <f t="shared" si="904"/>
        <v>740.94933995194492</v>
      </c>
      <c r="JO189" s="61">
        <f t="shared" si="905"/>
        <v>0</v>
      </c>
      <c r="JQ189" s="26">
        <f t="shared" si="969"/>
        <v>755023.38000000012</v>
      </c>
      <c r="JR189" s="156">
        <f t="shared" si="970"/>
        <v>1.0000000000000002</v>
      </c>
      <c r="JT189" s="157">
        <f t="shared" si="906"/>
        <v>29549.098114086657</v>
      </c>
      <c r="JU189" s="29">
        <f t="shared" si="907"/>
        <v>1.0000000000000002</v>
      </c>
    </row>
    <row r="190" spans="1:281" ht="18.75" x14ac:dyDescent="0.3">
      <c r="A190" t="s">
        <v>234</v>
      </c>
      <c r="B190" s="10" t="s">
        <v>117</v>
      </c>
      <c r="C190" t="s">
        <v>147</v>
      </c>
      <c r="D190" t="s">
        <v>141</v>
      </c>
      <c r="E190" t="s">
        <v>148</v>
      </c>
      <c r="F190" s="114"/>
      <c r="G190" s="17">
        <v>619750</v>
      </c>
      <c r="H190" s="21">
        <v>335000</v>
      </c>
      <c r="I190" s="25">
        <f t="shared" si="713"/>
        <v>1.85</v>
      </c>
      <c r="J190" s="106">
        <v>3.9136666356062583E-2</v>
      </c>
      <c r="K190" s="106">
        <v>4.5887162430215692E-2</v>
      </c>
      <c r="L190" s="106">
        <v>1.6944032517201932E-2</v>
      </c>
      <c r="M190" s="106">
        <v>1.9614729838749411E-2</v>
      </c>
      <c r="N190" s="106">
        <v>5.1190544950680116E-2</v>
      </c>
      <c r="O190" s="106">
        <v>7.8266475088618462E-2</v>
      </c>
      <c r="P190" s="106">
        <v>1.813960584414483E-2</v>
      </c>
      <c r="Q190" s="106">
        <v>1.0363139792280084E-2</v>
      </c>
      <c r="R190" s="106">
        <v>4.0398127983637962E-2</v>
      </c>
      <c r="S190" s="106">
        <v>5.2386204155007603E-2</v>
      </c>
      <c r="T190" s="106">
        <v>8.3222910570922085E-2</v>
      </c>
      <c r="U190" s="106">
        <v>2.7777292884143302E-2</v>
      </c>
      <c r="V190" s="106">
        <v>1.5391129403455489E-2</v>
      </c>
      <c r="W190" s="106">
        <v>4.9702378177047889E-2</v>
      </c>
      <c r="X190" s="106">
        <v>7.2412473481721112E-2</v>
      </c>
      <c r="Y190" s="106">
        <v>7.6565854763630384E-2</v>
      </c>
      <c r="Z190" s="106">
        <v>4.9548525854927654E-3</v>
      </c>
      <c r="AA190" s="106">
        <v>8.6830511949679653E-2</v>
      </c>
      <c r="AB190" s="106">
        <v>2.1559927981077493E-2</v>
      </c>
      <c r="AC190" s="106">
        <v>1.9422332105916804E-2</v>
      </c>
      <c r="AD190" s="106">
        <v>5.4461497620297027E-2</v>
      </c>
      <c r="AE190" s="106">
        <v>2.7237248204434131E-2</v>
      </c>
      <c r="AF190" s="106">
        <v>7.1778910239034543E-2</v>
      </c>
      <c r="AG190" s="106">
        <v>0</v>
      </c>
      <c r="AH190" s="106">
        <v>1.6355991076548847E-2</v>
      </c>
      <c r="AJ190" s="8">
        <f t="shared" si="940"/>
        <v>1.0000000000000004</v>
      </c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159"/>
      <c r="BG190" s="159"/>
      <c r="BH190" s="159"/>
      <c r="BI190" s="159"/>
      <c r="BJ190" s="159"/>
      <c r="BM190" s="26">
        <f t="shared" si="941"/>
        <v>24254.948974169787</v>
      </c>
      <c r="BN190" s="26">
        <f t="shared" si="942"/>
        <v>28438.568916126176</v>
      </c>
      <c r="BO190" s="26">
        <f t="shared" si="943"/>
        <v>10501.064152535897</v>
      </c>
      <c r="BP190" s="26">
        <f t="shared" si="944"/>
        <v>12156.228817564948</v>
      </c>
      <c r="BQ190" s="26">
        <f t="shared" si="945"/>
        <v>31725.340233184001</v>
      </c>
      <c r="BR190" s="26">
        <f t="shared" si="946"/>
        <v>48505.647936171292</v>
      </c>
      <c r="BS190" s="26">
        <f t="shared" si="947"/>
        <v>11242.020721908759</v>
      </c>
      <c r="BT190" s="26">
        <f t="shared" si="948"/>
        <v>6422.5558862655816</v>
      </c>
      <c r="BU190" s="26">
        <f t="shared" si="949"/>
        <v>25036.739817859627</v>
      </c>
      <c r="BV190" s="26">
        <f t="shared" si="950"/>
        <v>32466.350025065964</v>
      </c>
      <c r="BW190" s="26">
        <f t="shared" si="951"/>
        <v>51577.398826328965</v>
      </c>
      <c r="BX190" s="26">
        <f t="shared" si="952"/>
        <v>17214.977264947811</v>
      </c>
      <c r="BY190" s="26">
        <f t="shared" si="953"/>
        <v>9538.6524477915391</v>
      </c>
      <c r="BZ190" s="26">
        <f t="shared" si="954"/>
        <v>30803.048875225428</v>
      </c>
      <c r="CA190" s="26">
        <f t="shared" si="955"/>
        <v>44877.630440296656</v>
      </c>
      <c r="CB190" s="26">
        <f t="shared" si="956"/>
        <v>47451.68848975993</v>
      </c>
      <c r="CC190" s="26">
        <f t="shared" si="957"/>
        <v>3070.7698898591416</v>
      </c>
      <c r="CD190" s="26">
        <f t="shared" si="958"/>
        <v>53813.209780813966</v>
      </c>
      <c r="CE190" s="26">
        <f t="shared" si="959"/>
        <v>13361.765366272777</v>
      </c>
      <c r="CF190" s="26">
        <f t="shared" si="960"/>
        <v>12036.990322641939</v>
      </c>
      <c r="CG190" s="26">
        <f t="shared" si="961"/>
        <v>33752.513150179082</v>
      </c>
      <c r="CH190" s="26">
        <f t="shared" si="962"/>
        <v>16880.284574698053</v>
      </c>
      <c r="CI190" s="26">
        <f t="shared" si="963"/>
        <v>44484.979620641658</v>
      </c>
      <c r="CJ190" s="26">
        <f t="shared" si="964"/>
        <v>0</v>
      </c>
      <c r="CK190" s="26">
        <f t="shared" si="965"/>
        <v>10136.625469691147</v>
      </c>
      <c r="CL190" s="26">
        <f t="shared" si="966"/>
        <v>0</v>
      </c>
      <c r="CM190" s="110">
        <f t="shared" si="967"/>
        <v>1.0000000000000002</v>
      </c>
      <c r="CN190" s="27">
        <f t="shared" si="933"/>
        <v>13110.783229280965</v>
      </c>
      <c r="CO190" s="27">
        <f t="shared" si="908"/>
        <v>15372.199414122257</v>
      </c>
      <c r="CP190" s="27">
        <f t="shared" si="909"/>
        <v>5676.250893262647</v>
      </c>
      <c r="CQ190" s="27">
        <f t="shared" si="910"/>
        <v>6570.9344959810524</v>
      </c>
      <c r="CR190" s="27">
        <f t="shared" si="911"/>
        <v>17148.832558477839</v>
      </c>
      <c r="CS190" s="27">
        <f t="shared" si="912"/>
        <v>26219.269154687183</v>
      </c>
      <c r="CT190" s="27">
        <f t="shared" si="913"/>
        <v>6076.7679577885183</v>
      </c>
      <c r="CU190" s="27">
        <f t="shared" si="914"/>
        <v>3471.6518304138281</v>
      </c>
      <c r="CV190" s="27">
        <f t="shared" si="915"/>
        <v>13533.372874518716</v>
      </c>
      <c r="CW190" s="27">
        <f t="shared" si="916"/>
        <v>17549.378391927548</v>
      </c>
      <c r="CX190" s="27">
        <f t="shared" si="917"/>
        <v>27879.675041258899</v>
      </c>
      <c r="CY190" s="27">
        <f t="shared" si="918"/>
        <v>9305.3931161880064</v>
      </c>
      <c r="CZ190" s="27">
        <f t="shared" si="919"/>
        <v>5156.0283501575886</v>
      </c>
      <c r="DA190" s="27">
        <f t="shared" si="920"/>
        <v>16650.296689311042</v>
      </c>
      <c r="DB190" s="27">
        <f t="shared" si="921"/>
        <v>24258.178616376572</v>
      </c>
      <c r="DC190" s="27">
        <f t="shared" si="922"/>
        <v>25649.561345816179</v>
      </c>
      <c r="DD190" s="27">
        <f t="shared" si="923"/>
        <v>1659.8756161400763</v>
      </c>
      <c r="DE190" s="27">
        <f t="shared" si="924"/>
        <v>29088.221503142682</v>
      </c>
      <c r="DF190" s="27">
        <f t="shared" si="925"/>
        <v>7222.5758736609605</v>
      </c>
      <c r="DG190" s="27">
        <f t="shared" si="926"/>
        <v>6506.4812554821292</v>
      </c>
      <c r="DH190" s="27">
        <f t="shared" si="927"/>
        <v>18244.601702799504</v>
      </c>
      <c r="DI190" s="27">
        <f t="shared" si="928"/>
        <v>9124.4781484854338</v>
      </c>
      <c r="DJ190" s="27">
        <f t="shared" si="929"/>
        <v>24045.934930076572</v>
      </c>
      <c r="DK190" s="27">
        <f t="shared" si="930"/>
        <v>0</v>
      </c>
      <c r="DL190" s="27">
        <f t="shared" si="931"/>
        <v>5479.2570106438643</v>
      </c>
      <c r="DM190" s="27">
        <f t="shared" si="932"/>
        <v>0</v>
      </c>
      <c r="DN190" s="110">
        <f t="shared" si="968"/>
        <v>1</v>
      </c>
      <c r="DO190" s="28">
        <f t="shared" si="771"/>
        <v>11144.165744888822</v>
      </c>
      <c r="DP190" s="28">
        <f t="shared" si="772"/>
        <v>13066.369502003919</v>
      </c>
      <c r="DQ190" s="28">
        <f t="shared" si="773"/>
        <v>4824.81325927325</v>
      </c>
      <c r="DR190" s="28">
        <f t="shared" si="774"/>
        <v>5585.2943215838959</v>
      </c>
      <c r="DS190" s="28">
        <f t="shared" si="775"/>
        <v>14576.507674706161</v>
      </c>
      <c r="DT190" s="28">
        <f t="shared" si="776"/>
        <v>22286.378781484109</v>
      </c>
      <c r="DU190" s="28">
        <f t="shared" si="777"/>
        <v>5165.2527641202405</v>
      </c>
      <c r="DV190" s="28">
        <f t="shared" si="778"/>
        <v>2950.9040558517536</v>
      </c>
      <c r="DW190" s="28">
        <f t="shared" si="779"/>
        <v>11503.36694334091</v>
      </c>
      <c r="DX190" s="28">
        <f t="shared" si="780"/>
        <v>14916.971633138415</v>
      </c>
      <c r="DY190" s="28">
        <f t="shared" si="781"/>
        <v>23697.723785070066</v>
      </c>
      <c r="DZ190" s="28">
        <f t="shared" si="782"/>
        <v>7909.5841487598045</v>
      </c>
      <c r="EA190" s="28">
        <f t="shared" si="783"/>
        <v>4382.6240976339504</v>
      </c>
      <c r="EB190" s="28">
        <f t="shared" si="784"/>
        <v>14152.752185914385</v>
      </c>
      <c r="EC190" s="28">
        <f t="shared" si="785"/>
        <v>20619.451823920084</v>
      </c>
      <c r="ED190" s="28">
        <f t="shared" si="786"/>
        <v>21802.127143943751</v>
      </c>
      <c r="EE190" s="28">
        <f t="shared" si="787"/>
        <v>1410.8942737190653</v>
      </c>
      <c r="EF190" s="28">
        <f t="shared" si="788"/>
        <v>24724.988277671284</v>
      </c>
      <c r="EG190" s="28">
        <f t="shared" si="789"/>
        <v>6139.1894926118166</v>
      </c>
      <c r="EH190" s="28">
        <f t="shared" si="790"/>
        <v>5530.50906715981</v>
      </c>
      <c r="EI190" s="28">
        <f t="shared" si="791"/>
        <v>15507.911447379578</v>
      </c>
      <c r="EJ190" s="28">
        <f t="shared" si="792"/>
        <v>7755.806426212619</v>
      </c>
      <c r="EK190" s="28">
        <f t="shared" si="793"/>
        <v>20439.044690565086</v>
      </c>
      <c r="EL190" s="28">
        <f t="shared" si="794"/>
        <v>0</v>
      </c>
      <c r="EM190" s="28">
        <f t="shared" si="795"/>
        <v>4657.3684590472831</v>
      </c>
      <c r="EN190" s="28">
        <f t="shared" si="796"/>
        <v>0</v>
      </c>
      <c r="EQ190" s="144">
        <v>0</v>
      </c>
      <c r="ER190" s="144">
        <v>0</v>
      </c>
      <c r="ES190" s="144">
        <v>0.04</v>
      </c>
      <c r="ET190" s="144">
        <v>0.09</v>
      </c>
      <c r="EU190" s="144">
        <v>0.12</v>
      </c>
      <c r="EV190" s="144">
        <v>0.22</v>
      </c>
      <c r="EW190" s="144">
        <v>0.25</v>
      </c>
      <c r="EX190" s="144">
        <v>0.2</v>
      </c>
      <c r="EY190" s="144">
        <v>0.02</v>
      </c>
      <c r="EZ190" s="144">
        <v>0.02</v>
      </c>
      <c r="FA190" s="144">
        <v>0.02</v>
      </c>
      <c r="FB190" s="144">
        <v>0.02</v>
      </c>
      <c r="FC190" s="145">
        <f t="shared" si="797"/>
        <v>1</v>
      </c>
      <c r="FD190" s="146">
        <f t="shared" si="935"/>
        <v>0.04</v>
      </c>
      <c r="FE190" s="146">
        <f t="shared" si="936"/>
        <v>0.43</v>
      </c>
      <c r="FF190" s="146">
        <f t="shared" si="937"/>
        <v>0.47000000000000003</v>
      </c>
      <c r="FG190" s="146">
        <f t="shared" si="938"/>
        <v>0.06</v>
      </c>
      <c r="FH190" s="145">
        <f t="shared" si="939"/>
        <v>1</v>
      </c>
      <c r="FJ190" s="52">
        <f t="shared" si="802"/>
        <v>970.19795896679148</v>
      </c>
      <c r="FK190" s="52">
        <f t="shared" si="803"/>
        <v>1137.5427566450471</v>
      </c>
      <c r="FL190" s="52">
        <f t="shared" si="804"/>
        <v>420.04256610143591</v>
      </c>
      <c r="FM190" s="52">
        <f t="shared" si="805"/>
        <v>486.24915270259794</v>
      </c>
      <c r="FN190" s="52">
        <f t="shared" si="806"/>
        <v>1269.01360932736</v>
      </c>
      <c r="FO190" s="52">
        <f t="shared" si="807"/>
        <v>1940.2259174468518</v>
      </c>
      <c r="FP190" s="52">
        <f t="shared" si="808"/>
        <v>449.68082887635035</v>
      </c>
      <c r="FQ190" s="52">
        <f t="shared" si="809"/>
        <v>256.90223545062327</v>
      </c>
      <c r="FR190" s="52">
        <f t="shared" si="810"/>
        <v>1001.469592714385</v>
      </c>
      <c r="FS190" s="52">
        <f t="shared" si="811"/>
        <v>1298.6540010026386</v>
      </c>
      <c r="FT190" s="52">
        <f t="shared" si="812"/>
        <v>2063.0959530531586</v>
      </c>
      <c r="FU190" s="52">
        <f t="shared" si="813"/>
        <v>688.59909059791244</v>
      </c>
      <c r="FV190" s="52">
        <f t="shared" si="814"/>
        <v>381.54609791166155</v>
      </c>
      <c r="FW190" s="52">
        <f t="shared" si="815"/>
        <v>1232.121955009017</v>
      </c>
      <c r="FX190" s="52">
        <f t="shared" si="816"/>
        <v>1795.1052176118662</v>
      </c>
      <c r="FY190" s="52">
        <f t="shared" si="817"/>
        <v>1898.0675395903972</v>
      </c>
      <c r="FZ190" s="52">
        <f t="shared" si="818"/>
        <v>122.83079559436567</v>
      </c>
      <c r="GA190" s="52">
        <f t="shared" si="819"/>
        <v>2152.5283912325585</v>
      </c>
      <c r="GB190" s="52">
        <f t="shared" si="820"/>
        <v>534.4706146509111</v>
      </c>
      <c r="GC190" s="52">
        <f t="shared" si="821"/>
        <v>481.47961290567758</v>
      </c>
      <c r="GD190" s="52">
        <f t="shared" si="822"/>
        <v>1350.1005260071634</v>
      </c>
      <c r="GE190" s="52">
        <f t="shared" si="823"/>
        <v>675.21138298792209</v>
      </c>
      <c r="GF190" s="52">
        <f t="shared" si="824"/>
        <v>1779.3991848256665</v>
      </c>
      <c r="GG190" s="52">
        <f t="shared" si="825"/>
        <v>0</v>
      </c>
      <c r="GH190" s="52">
        <f t="shared" si="826"/>
        <v>405.46501878764593</v>
      </c>
      <c r="GI190" s="52">
        <f t="shared" si="827"/>
        <v>0</v>
      </c>
      <c r="GJ190" s="26"/>
      <c r="GL190" s="150">
        <f t="shared" si="828"/>
        <v>10429.628058893008</v>
      </c>
      <c r="GM190" s="150">
        <f t="shared" si="829"/>
        <v>12228.584633934255</v>
      </c>
      <c r="GN190" s="150">
        <f t="shared" si="830"/>
        <v>4515.4575855904359</v>
      </c>
      <c r="GO190" s="150">
        <f t="shared" si="831"/>
        <v>5227.1783915529277</v>
      </c>
      <c r="GP190" s="150">
        <f t="shared" si="832"/>
        <v>13641.89630026912</v>
      </c>
      <c r="GQ190" s="150">
        <f t="shared" si="833"/>
        <v>20857.428612553656</v>
      </c>
      <c r="GR190" s="150">
        <f t="shared" si="834"/>
        <v>4834.0689104207659</v>
      </c>
      <c r="GS190" s="150">
        <f t="shared" si="835"/>
        <v>2761.6990310942001</v>
      </c>
      <c r="GT190" s="150">
        <f t="shared" si="836"/>
        <v>10765.79812167964</v>
      </c>
      <c r="GU190" s="150">
        <f t="shared" si="837"/>
        <v>13960.530510778364</v>
      </c>
      <c r="GV190" s="150">
        <f t="shared" si="838"/>
        <v>22178.281495321455</v>
      </c>
      <c r="GW190" s="150">
        <f t="shared" si="839"/>
        <v>7402.4402239275587</v>
      </c>
      <c r="GX190" s="150">
        <f t="shared" si="840"/>
        <v>4101.6205525503619</v>
      </c>
      <c r="GY190" s="150">
        <f t="shared" si="841"/>
        <v>13245.311016346934</v>
      </c>
      <c r="GZ190" s="150">
        <f t="shared" si="842"/>
        <v>19297.381089327562</v>
      </c>
      <c r="HA190" s="150">
        <f t="shared" si="843"/>
        <v>20404.226050596768</v>
      </c>
      <c r="HB190" s="150">
        <f t="shared" si="844"/>
        <v>1320.4310526394308</v>
      </c>
      <c r="HC190" s="150">
        <f t="shared" si="845"/>
        <v>23139.680205750006</v>
      </c>
      <c r="HD190" s="150">
        <f t="shared" si="846"/>
        <v>5745.5591074972945</v>
      </c>
      <c r="HE190" s="150">
        <f t="shared" si="847"/>
        <v>5175.9058387360337</v>
      </c>
      <c r="HF190" s="150">
        <f t="shared" si="848"/>
        <v>14513.580654577005</v>
      </c>
      <c r="HG190" s="150">
        <f t="shared" si="849"/>
        <v>7258.5223671201629</v>
      </c>
      <c r="HH190" s="150">
        <f t="shared" si="850"/>
        <v>19128.541236875913</v>
      </c>
      <c r="HI190" s="150">
        <f t="shared" si="851"/>
        <v>0</v>
      </c>
      <c r="HJ190" s="150">
        <f t="shared" si="852"/>
        <v>4358.7489519671935</v>
      </c>
      <c r="HK190" s="150">
        <f t="shared" si="853"/>
        <v>0</v>
      </c>
      <c r="HL190" s="26"/>
      <c r="HN190" s="147">
        <f t="shared" si="854"/>
        <v>11399.826017859801</v>
      </c>
      <c r="HO190" s="147">
        <f t="shared" si="855"/>
        <v>13366.127390579304</v>
      </c>
      <c r="HP190" s="147">
        <f t="shared" si="856"/>
        <v>4935.5001516918719</v>
      </c>
      <c r="HQ190" s="147">
        <f t="shared" si="857"/>
        <v>5713.4275442555263</v>
      </c>
      <c r="HR190" s="147">
        <f t="shared" si="858"/>
        <v>14910.909909596481</v>
      </c>
      <c r="HS190" s="147">
        <f t="shared" si="859"/>
        <v>22797.654530000509</v>
      </c>
      <c r="HT190" s="147">
        <f t="shared" si="860"/>
        <v>5283.7497392971172</v>
      </c>
      <c r="HU190" s="147">
        <f t="shared" si="861"/>
        <v>3018.6012665448234</v>
      </c>
      <c r="HV190" s="147">
        <f t="shared" si="862"/>
        <v>11767.267714394025</v>
      </c>
      <c r="HW190" s="147">
        <f t="shared" si="863"/>
        <v>15259.184511781004</v>
      </c>
      <c r="HX190" s="147">
        <f t="shared" si="864"/>
        <v>24241.377448374617</v>
      </c>
      <c r="HY190" s="147">
        <f t="shared" si="865"/>
        <v>8091.039314525472</v>
      </c>
      <c r="HZ190" s="147">
        <f t="shared" si="866"/>
        <v>4483.1666504620234</v>
      </c>
      <c r="IA190" s="147">
        <f t="shared" si="867"/>
        <v>14477.432971355953</v>
      </c>
      <c r="IB190" s="147">
        <f t="shared" si="868"/>
        <v>21092.486306939431</v>
      </c>
      <c r="IC190" s="147">
        <f t="shared" si="869"/>
        <v>22302.293590187168</v>
      </c>
      <c r="ID190" s="147">
        <f t="shared" si="870"/>
        <v>1443.2618482337966</v>
      </c>
      <c r="IE190" s="147">
        <f t="shared" si="871"/>
        <v>25292.208596982564</v>
      </c>
      <c r="IF190" s="147">
        <f t="shared" si="872"/>
        <v>6280.029722148206</v>
      </c>
      <c r="IG190" s="147">
        <f t="shared" si="873"/>
        <v>5657.3854516417114</v>
      </c>
      <c r="IH190" s="147">
        <f t="shared" si="874"/>
        <v>15863.68118058417</v>
      </c>
      <c r="II190" s="147">
        <f t="shared" si="875"/>
        <v>7933.7337501080856</v>
      </c>
      <c r="IJ190" s="147">
        <f t="shared" si="876"/>
        <v>20907.94042170158</v>
      </c>
      <c r="IK190" s="147">
        <f t="shared" si="877"/>
        <v>0</v>
      </c>
      <c r="IL190" s="147">
        <f t="shared" si="878"/>
        <v>4764.2139707548395</v>
      </c>
      <c r="IM190" s="147">
        <f t="shared" si="879"/>
        <v>0</v>
      </c>
      <c r="IN190" s="26"/>
      <c r="IP190" s="61">
        <f t="shared" si="880"/>
        <v>1455.2969384501871</v>
      </c>
      <c r="IQ190" s="61">
        <f t="shared" si="881"/>
        <v>1706.3141349675705</v>
      </c>
      <c r="IR190" s="61">
        <f t="shared" si="882"/>
        <v>630.06384915215381</v>
      </c>
      <c r="IS190" s="61">
        <f t="shared" si="883"/>
        <v>729.37372905389691</v>
      </c>
      <c r="IT190" s="61">
        <f t="shared" si="884"/>
        <v>1903.52041399104</v>
      </c>
      <c r="IU190" s="61">
        <f t="shared" si="885"/>
        <v>2910.3388761702772</v>
      </c>
      <c r="IV190" s="61">
        <f t="shared" si="886"/>
        <v>674.52124331452546</v>
      </c>
      <c r="IW190" s="61">
        <f t="shared" si="887"/>
        <v>385.3533531759349</v>
      </c>
      <c r="IX190" s="61">
        <f t="shared" si="888"/>
        <v>1502.2043890715775</v>
      </c>
      <c r="IY190" s="61">
        <f t="shared" si="889"/>
        <v>1947.9810015039577</v>
      </c>
      <c r="IZ190" s="61">
        <f t="shared" si="890"/>
        <v>3094.6439295797377</v>
      </c>
      <c r="JA190" s="61">
        <f t="shared" si="891"/>
        <v>1032.8986358968687</v>
      </c>
      <c r="JB190" s="61">
        <f t="shared" si="892"/>
        <v>572.31914686749235</v>
      </c>
      <c r="JC190" s="61">
        <f t="shared" si="893"/>
        <v>1848.1829325135257</v>
      </c>
      <c r="JD190" s="61">
        <f t="shared" si="894"/>
        <v>2692.6578264177992</v>
      </c>
      <c r="JE190" s="61">
        <f t="shared" si="895"/>
        <v>2847.1013093855959</v>
      </c>
      <c r="JF190" s="61">
        <f t="shared" si="896"/>
        <v>184.2461933915485</v>
      </c>
      <c r="JG190" s="61">
        <f t="shared" si="897"/>
        <v>3228.7925868488378</v>
      </c>
      <c r="JH190" s="61">
        <f t="shared" si="898"/>
        <v>801.70592197636654</v>
      </c>
      <c r="JI190" s="61">
        <f t="shared" si="899"/>
        <v>722.21941935851635</v>
      </c>
      <c r="JJ190" s="61">
        <f t="shared" si="900"/>
        <v>2025.1507890107448</v>
      </c>
      <c r="JK190" s="61">
        <f t="shared" si="901"/>
        <v>1012.8170744818831</v>
      </c>
      <c r="JL190" s="61">
        <f t="shared" si="902"/>
        <v>2669.0987772384992</v>
      </c>
      <c r="JM190" s="61">
        <f t="shared" si="903"/>
        <v>0</v>
      </c>
      <c r="JN190" s="61">
        <f t="shared" si="904"/>
        <v>608.19752818146878</v>
      </c>
      <c r="JO190" s="61">
        <f t="shared" si="905"/>
        <v>0</v>
      </c>
      <c r="JQ190" s="26">
        <f t="shared" si="969"/>
        <v>619750.00000000012</v>
      </c>
      <c r="JR190" s="156">
        <f t="shared" si="970"/>
        <v>1.0000000000000002</v>
      </c>
      <c r="JT190" s="157">
        <f t="shared" si="906"/>
        <v>24254.948974169783</v>
      </c>
      <c r="JU190" s="29">
        <f t="shared" si="907"/>
        <v>0.99999999999999989</v>
      </c>
    </row>
    <row r="191" spans="1:281" ht="18.75" x14ac:dyDescent="0.3">
      <c r="A191" t="s">
        <v>234</v>
      </c>
      <c r="B191" s="10" t="s">
        <v>233</v>
      </c>
      <c r="C191" t="s">
        <v>76</v>
      </c>
      <c r="D191" t="s">
        <v>317</v>
      </c>
      <c r="E191" t="s">
        <v>316</v>
      </c>
      <c r="F191" s="114"/>
      <c r="G191" s="17">
        <v>625016</v>
      </c>
      <c r="H191" s="21">
        <v>312480</v>
      </c>
      <c r="I191" s="25">
        <f t="shared" si="713"/>
        <v>2.000179211469534</v>
      </c>
      <c r="J191" s="106">
        <v>3.9136666356062583E-2</v>
      </c>
      <c r="K191" s="106">
        <v>4.5887162430215692E-2</v>
      </c>
      <c r="L191" s="106">
        <v>1.6944032517201932E-2</v>
      </c>
      <c r="M191" s="106">
        <v>1.9614729838749411E-2</v>
      </c>
      <c r="N191" s="106">
        <v>5.1190544950680116E-2</v>
      </c>
      <c r="O191" s="106">
        <v>7.8266475088618462E-2</v>
      </c>
      <c r="P191" s="106">
        <v>1.813960584414483E-2</v>
      </c>
      <c r="Q191" s="106">
        <v>1.0363139792280084E-2</v>
      </c>
      <c r="R191" s="106">
        <v>4.0398127983637962E-2</v>
      </c>
      <c r="S191" s="106">
        <v>5.2386204155007603E-2</v>
      </c>
      <c r="T191" s="106">
        <v>8.3222910570922085E-2</v>
      </c>
      <c r="U191" s="106">
        <v>2.7777292884143302E-2</v>
      </c>
      <c r="V191" s="106">
        <v>1.5391129403455489E-2</v>
      </c>
      <c r="W191" s="106">
        <v>4.9702378177047889E-2</v>
      </c>
      <c r="X191" s="106">
        <v>7.2412473481721112E-2</v>
      </c>
      <c r="Y191" s="106">
        <v>7.6565854763630384E-2</v>
      </c>
      <c r="Z191" s="106">
        <v>4.9548525854927654E-3</v>
      </c>
      <c r="AA191" s="106">
        <v>8.6830511949679653E-2</v>
      </c>
      <c r="AB191" s="106">
        <v>2.1559927981077493E-2</v>
      </c>
      <c r="AC191" s="106">
        <v>1.9422332105916804E-2</v>
      </c>
      <c r="AD191" s="106">
        <v>5.4461497620297027E-2</v>
      </c>
      <c r="AE191" s="106">
        <v>2.7237248204434131E-2</v>
      </c>
      <c r="AF191" s="106">
        <v>7.1778910239034543E-2</v>
      </c>
      <c r="AG191" s="106">
        <v>0</v>
      </c>
      <c r="AH191" s="106">
        <v>1.6355991076548847E-2</v>
      </c>
      <c r="AJ191" s="8">
        <f t="shared" si="940"/>
        <v>1.0000000000000004</v>
      </c>
      <c r="BM191" s="26">
        <f t="shared" si="941"/>
        <v>24461.042659200812</v>
      </c>
      <c r="BN191" s="26">
        <f t="shared" si="942"/>
        <v>28680.210713483692</v>
      </c>
      <c r="BO191" s="26">
        <f t="shared" si="943"/>
        <v>10590.291427771483</v>
      </c>
      <c r="BP191" s="26">
        <f t="shared" si="944"/>
        <v>12259.519984895802</v>
      </c>
      <c r="BQ191" s="26">
        <f t="shared" si="945"/>
        <v>31994.909642894283</v>
      </c>
      <c r="BR191" s="26">
        <f t="shared" si="946"/>
        <v>48917.799193987958</v>
      </c>
      <c r="BS191" s="26">
        <f t="shared" si="947"/>
        <v>11337.543886284026</v>
      </c>
      <c r="BT191" s="26">
        <f t="shared" si="948"/>
        <v>6477.1281804117289</v>
      </c>
      <c r="BU191" s="26">
        <f t="shared" si="949"/>
        <v>25249.476359821463</v>
      </c>
      <c r="BV191" s="26">
        <f t="shared" si="950"/>
        <v>32742.215776146233</v>
      </c>
      <c r="BW191" s="26">
        <f t="shared" si="951"/>
        <v>52015.650673395437</v>
      </c>
      <c r="BX191" s="26">
        <f t="shared" si="952"/>
        <v>17361.25248927571</v>
      </c>
      <c r="BY191" s="26">
        <f t="shared" si="953"/>
        <v>9619.7021352301363</v>
      </c>
      <c r="BZ191" s="26">
        <f t="shared" si="954"/>
        <v>31064.781598705762</v>
      </c>
      <c r="CA191" s="26">
        <f t="shared" si="955"/>
        <v>45258.954525651403</v>
      </c>
      <c r="CB191" s="26">
        <f t="shared" si="956"/>
        <v>47854.884280945211</v>
      </c>
      <c r="CC191" s="26">
        <f t="shared" si="957"/>
        <v>3096.8621435743462</v>
      </c>
      <c r="CD191" s="26">
        <f t="shared" si="958"/>
        <v>54270.459256740978</v>
      </c>
      <c r="CE191" s="26">
        <f t="shared" si="959"/>
        <v>13475.299947021131</v>
      </c>
      <c r="CF191" s="26">
        <f t="shared" si="960"/>
        <v>12139.268323511697</v>
      </c>
      <c r="CG191" s="26">
        <f t="shared" si="961"/>
        <v>34039.307396647564</v>
      </c>
      <c r="CH191" s="26">
        <f t="shared" si="962"/>
        <v>17023.715923742602</v>
      </c>
      <c r="CI191" s="26">
        <f t="shared" si="963"/>
        <v>44862.967361960415</v>
      </c>
      <c r="CJ191" s="26">
        <f t="shared" si="964"/>
        <v>0</v>
      </c>
      <c r="CK191" s="26">
        <f t="shared" si="965"/>
        <v>10222.756118700254</v>
      </c>
      <c r="CL191" s="26">
        <f t="shared" si="966"/>
        <v>0</v>
      </c>
      <c r="CM191" s="110">
        <f t="shared" si="967"/>
        <v>1.0000000000000004</v>
      </c>
      <c r="CN191" s="27">
        <f t="shared" si="933"/>
        <v>12229.425502942437</v>
      </c>
      <c r="CO191" s="27">
        <f t="shared" si="908"/>
        <v>14338.820516193799</v>
      </c>
      <c r="CP191" s="27">
        <f t="shared" si="909"/>
        <v>5294.6712809752598</v>
      </c>
      <c r="CQ191" s="27">
        <f t="shared" si="910"/>
        <v>6129.2107800124159</v>
      </c>
      <c r="CR191" s="27">
        <f t="shared" si="911"/>
        <v>15996.021486188523</v>
      </c>
      <c r="CS191" s="27">
        <f t="shared" si="912"/>
        <v>24456.708135691497</v>
      </c>
      <c r="CT191" s="27">
        <f t="shared" si="913"/>
        <v>5668.2640341783763</v>
      </c>
      <c r="CU191" s="27">
        <f t="shared" si="914"/>
        <v>3238.2739222916807</v>
      </c>
      <c r="CV191" s="27">
        <f t="shared" si="915"/>
        <v>12623.607032327191</v>
      </c>
      <c r="CW191" s="27">
        <f t="shared" si="916"/>
        <v>16369.641074356776</v>
      </c>
      <c r="CX191" s="27">
        <f t="shared" si="917"/>
        <v>26005.495095201732</v>
      </c>
      <c r="CY191" s="27">
        <f t="shared" si="918"/>
        <v>8679.8484804370983</v>
      </c>
      <c r="CZ191" s="27">
        <f t="shared" si="919"/>
        <v>4809.4201159917711</v>
      </c>
      <c r="DA191" s="27">
        <f t="shared" si="920"/>
        <v>15530.999132763924</v>
      </c>
      <c r="DB191" s="27">
        <f t="shared" si="921"/>
        <v>22627.449713568214</v>
      </c>
      <c r="DC191" s="27">
        <f t="shared" si="922"/>
        <v>23925.298296539222</v>
      </c>
      <c r="DD191" s="27">
        <f t="shared" si="923"/>
        <v>1548.2923359147794</v>
      </c>
      <c r="DE191" s="27">
        <f t="shared" si="924"/>
        <v>27132.798374035898</v>
      </c>
      <c r="DF191" s="27">
        <f t="shared" si="925"/>
        <v>6737.046295527095</v>
      </c>
      <c r="DG191" s="27">
        <f t="shared" si="926"/>
        <v>6069.0903364568831</v>
      </c>
      <c r="DH191" s="27">
        <f t="shared" si="927"/>
        <v>17018.128776390415</v>
      </c>
      <c r="DI191" s="27">
        <f t="shared" si="928"/>
        <v>8511.0953189215779</v>
      </c>
      <c r="DJ191" s="27">
        <f t="shared" si="929"/>
        <v>22429.473871493516</v>
      </c>
      <c r="DK191" s="27">
        <f t="shared" si="930"/>
        <v>0</v>
      </c>
      <c r="DL191" s="27">
        <f t="shared" si="931"/>
        <v>5110.9200915999836</v>
      </c>
      <c r="DM191" s="27">
        <f t="shared" si="932"/>
        <v>0</v>
      </c>
      <c r="DN191" s="110">
        <f t="shared" si="968"/>
        <v>1.0000000000000002</v>
      </c>
      <c r="DO191" s="28">
        <f t="shared" si="771"/>
        <v>12231.617156258375</v>
      </c>
      <c r="DP191" s="28">
        <f t="shared" si="772"/>
        <v>14341.390197289893</v>
      </c>
      <c r="DQ191" s="28">
        <f t="shared" si="773"/>
        <v>5295.6201467962228</v>
      </c>
      <c r="DR191" s="28">
        <f t="shared" si="774"/>
        <v>6130.309204883386</v>
      </c>
      <c r="DS191" s="28">
        <f t="shared" si="775"/>
        <v>15998.88815670576</v>
      </c>
      <c r="DT191" s="28">
        <f t="shared" si="776"/>
        <v>24461.091058296461</v>
      </c>
      <c r="DU191" s="28">
        <f t="shared" si="777"/>
        <v>5669.2798521056493</v>
      </c>
      <c r="DV191" s="28">
        <f t="shared" si="778"/>
        <v>3238.8542581200481</v>
      </c>
      <c r="DW191" s="28">
        <f t="shared" si="779"/>
        <v>12625.869327494273</v>
      </c>
      <c r="DX191" s="28">
        <f t="shared" si="780"/>
        <v>16372.574701789457</v>
      </c>
      <c r="DY191" s="28">
        <f t="shared" si="781"/>
        <v>26010.155578193706</v>
      </c>
      <c r="DZ191" s="28">
        <f t="shared" si="782"/>
        <v>8681.4040088386118</v>
      </c>
      <c r="EA191" s="28">
        <f t="shared" si="783"/>
        <v>4810.2820192383651</v>
      </c>
      <c r="EB191" s="28">
        <f t="shared" si="784"/>
        <v>15533.782465941838</v>
      </c>
      <c r="EC191" s="28">
        <f t="shared" si="785"/>
        <v>22631.504812083189</v>
      </c>
      <c r="ED191" s="28">
        <f t="shared" si="786"/>
        <v>23929.585984405989</v>
      </c>
      <c r="EE191" s="28">
        <f t="shared" si="787"/>
        <v>1548.5698076595668</v>
      </c>
      <c r="EF191" s="28">
        <f t="shared" si="788"/>
        <v>27137.66088270508</v>
      </c>
      <c r="EG191" s="28">
        <f t="shared" si="789"/>
        <v>6738.2536514940357</v>
      </c>
      <c r="EH191" s="28">
        <f t="shared" si="790"/>
        <v>6070.1779870548135</v>
      </c>
      <c r="EI191" s="28">
        <f t="shared" si="791"/>
        <v>17021.178620257149</v>
      </c>
      <c r="EJ191" s="28">
        <f t="shared" si="792"/>
        <v>8512.6206048210242</v>
      </c>
      <c r="EK191" s="28">
        <f t="shared" si="793"/>
        <v>22433.493490466899</v>
      </c>
      <c r="EL191" s="28">
        <f t="shared" si="794"/>
        <v>0</v>
      </c>
      <c r="EM191" s="28">
        <f t="shared" si="795"/>
        <v>5111.8360271002703</v>
      </c>
      <c r="EN191" s="28">
        <f t="shared" si="796"/>
        <v>0</v>
      </c>
      <c r="EQ191" s="144">
        <v>3.999991920004202E-2</v>
      </c>
      <c r="ER191" s="144">
        <v>4.9999994000003115E-2</v>
      </c>
      <c r="ES191" s="144">
        <v>6.0000068799964223E-2</v>
      </c>
      <c r="ET191" s="144">
        <v>6.9999963600018922E-2</v>
      </c>
      <c r="EU191" s="144">
        <v>8.9999933200034729E-2</v>
      </c>
      <c r="EV191" s="144">
        <v>0.11000006279996735</v>
      </c>
      <c r="EW191" s="144">
        <v>0.12000013759992845</v>
      </c>
      <c r="EX191" s="144">
        <v>0.10000000799999584</v>
      </c>
      <c r="EY191" s="144">
        <v>0.10000000799999584</v>
      </c>
      <c r="EZ191" s="144">
        <v>8.0000038399980031E-2</v>
      </c>
      <c r="FA191" s="144">
        <v>8.9999933200034729E-2</v>
      </c>
      <c r="FB191" s="144">
        <v>8.9999933200034729E-2</v>
      </c>
      <c r="FC191" s="145">
        <f t="shared" si="797"/>
        <v>1</v>
      </c>
      <c r="FD191" s="146">
        <f t="shared" si="935"/>
        <v>0.14999998200000936</v>
      </c>
      <c r="FE191" s="146">
        <f t="shared" si="936"/>
        <v>0.26999995960002099</v>
      </c>
      <c r="FF191" s="146">
        <f t="shared" si="937"/>
        <v>0.32000015359992012</v>
      </c>
      <c r="FG191" s="146">
        <f t="shared" si="938"/>
        <v>0.25999990480004948</v>
      </c>
      <c r="FH191" s="145">
        <f t="shared" si="939"/>
        <v>1</v>
      </c>
      <c r="FJ191" s="52">
        <f t="shared" si="802"/>
        <v>3669.1559585815826</v>
      </c>
      <c r="FK191" s="52">
        <f t="shared" si="803"/>
        <v>4302.031090779029</v>
      </c>
      <c r="FL191" s="52">
        <f t="shared" si="804"/>
        <v>1588.5435235405757</v>
      </c>
      <c r="FM191" s="52">
        <f t="shared" si="805"/>
        <v>1838.9277770631252</v>
      </c>
      <c r="FN191" s="52">
        <f t="shared" si="806"/>
        <v>4799.2358705260685</v>
      </c>
      <c r="FO191" s="52">
        <f t="shared" si="807"/>
        <v>7337.6689985782659</v>
      </c>
      <c r="FP191" s="52">
        <f t="shared" si="808"/>
        <v>1700.6313788669199</v>
      </c>
      <c r="FQ191" s="52">
        <f t="shared" si="809"/>
        <v>971.56911047351264</v>
      </c>
      <c r="FR191" s="52">
        <f t="shared" si="810"/>
        <v>3787.4209994828811</v>
      </c>
      <c r="FS191" s="52">
        <f t="shared" si="811"/>
        <v>4911.3317770623571</v>
      </c>
      <c r="FT191" s="52">
        <f t="shared" si="812"/>
        <v>7802.3466647280902</v>
      </c>
      <c r="FU191" s="52">
        <f t="shared" si="813"/>
        <v>2604.1875608889741</v>
      </c>
      <c r="FV191" s="52">
        <f t="shared" si="814"/>
        <v>1442.9551471299719</v>
      </c>
      <c r="FW191" s="52">
        <f t="shared" si="815"/>
        <v>4659.7166806400865</v>
      </c>
      <c r="FX191" s="52">
        <f t="shared" si="816"/>
        <v>6788.8423641869522</v>
      </c>
      <c r="FY191" s="52">
        <f t="shared" si="817"/>
        <v>7178.2317807543122</v>
      </c>
      <c r="FZ191" s="52">
        <f t="shared" si="818"/>
        <v>464.52926579266233</v>
      </c>
      <c r="GA191" s="52">
        <f t="shared" si="819"/>
        <v>8140.5679116433876</v>
      </c>
      <c r="GB191" s="52">
        <f t="shared" si="820"/>
        <v>2021.2947494978966</v>
      </c>
      <c r="GC191" s="52">
        <f t="shared" si="821"/>
        <v>1820.8900300200382</v>
      </c>
      <c r="GD191" s="52">
        <f t="shared" si="822"/>
        <v>5105.8954967899199</v>
      </c>
      <c r="GE191" s="52">
        <f t="shared" si="823"/>
        <v>2553.5570821346628</v>
      </c>
      <c r="GF191" s="52">
        <f t="shared" si="824"/>
        <v>6729.4442967610694</v>
      </c>
      <c r="GG191" s="52">
        <f t="shared" si="825"/>
        <v>0</v>
      </c>
      <c r="GH191" s="52">
        <f t="shared" si="826"/>
        <v>1533.4132337955236</v>
      </c>
      <c r="GI191" s="52">
        <f t="shared" si="827"/>
        <v>0</v>
      </c>
      <c r="GJ191" s="26"/>
      <c r="GL191" s="150">
        <f t="shared" si="828"/>
        <v>6604.480529758609</v>
      </c>
      <c r="GM191" s="150">
        <f t="shared" si="829"/>
        <v>7743.6557339606861</v>
      </c>
      <c r="GN191" s="150">
        <f t="shared" si="830"/>
        <v>2859.3782576507488</v>
      </c>
      <c r="GO191" s="150">
        <f t="shared" si="831"/>
        <v>3310.0699006375166</v>
      </c>
      <c r="GP191" s="150">
        <f t="shared" si="832"/>
        <v>8638.6243109877778</v>
      </c>
      <c r="GQ191" s="150">
        <f t="shared" si="833"/>
        <v>13207.803806098687</v>
      </c>
      <c r="GR191" s="150">
        <f t="shared" si="834"/>
        <v>3061.1363912601519</v>
      </c>
      <c r="GS191" s="150">
        <f t="shared" si="835"/>
        <v>1748.8243470353243</v>
      </c>
      <c r="GT191" s="150">
        <f t="shared" si="836"/>
        <v>6817.3575970734801</v>
      </c>
      <c r="GU191" s="150">
        <f t="shared" si="837"/>
        <v>8840.3969367746522</v>
      </c>
      <c r="GV191" s="150">
        <f t="shared" si="838"/>
        <v>14044.223580385573</v>
      </c>
      <c r="GW191" s="150">
        <f t="shared" si="839"/>
        <v>4687.5374707102055</v>
      </c>
      <c r="GX191" s="150">
        <f t="shared" si="840"/>
        <v>2597.3191878763723</v>
      </c>
      <c r="GY191" s="150">
        <f t="shared" si="841"/>
        <v>8387.4897766340309</v>
      </c>
      <c r="GZ191" s="150">
        <f t="shared" si="842"/>
        <v>12219.915893465066</v>
      </c>
      <c r="HA191" s="150">
        <f t="shared" si="843"/>
        <v>12920.816822518886</v>
      </c>
      <c r="HB191" s="150">
        <f t="shared" si="844"/>
        <v>836.15265365190783</v>
      </c>
      <c r="HC191" s="150">
        <f t="shared" si="845"/>
        <v>14653.02180679465</v>
      </c>
      <c r="HD191" s="150">
        <f t="shared" si="846"/>
        <v>3638.3304412938701</v>
      </c>
      <c r="HE191" s="150">
        <f t="shared" si="847"/>
        <v>3277.6019569219725</v>
      </c>
      <c r="HF191" s="150">
        <f t="shared" si="848"/>
        <v>9190.6116219075375</v>
      </c>
      <c r="HG191" s="150">
        <f t="shared" si="849"/>
        <v>4596.4026116527366</v>
      </c>
      <c r="HH191" s="150">
        <f t="shared" si="850"/>
        <v>12112.999375266372</v>
      </c>
      <c r="HI191" s="150">
        <f t="shared" si="851"/>
        <v>0</v>
      </c>
      <c r="HJ191" s="150">
        <f t="shared" si="852"/>
        <v>2760.1437390499359</v>
      </c>
      <c r="HK191" s="150">
        <f t="shared" si="853"/>
        <v>0</v>
      </c>
      <c r="HL191" s="26"/>
      <c r="HN191" s="147">
        <f t="shared" si="854"/>
        <v>7827.5374081584587</v>
      </c>
      <c r="HO191" s="147">
        <f t="shared" si="855"/>
        <v>9177.6718335928563</v>
      </c>
      <c r="HP191" s="147">
        <f t="shared" si="856"/>
        <v>3388.8948835547917</v>
      </c>
      <c r="HQ191" s="147">
        <f t="shared" si="857"/>
        <v>3923.0482782279469</v>
      </c>
      <c r="HR191" s="147">
        <f t="shared" si="858"/>
        <v>10238.376000141736</v>
      </c>
      <c r="HS191" s="147">
        <f t="shared" si="859"/>
        <v>15653.703255846196</v>
      </c>
      <c r="HT191" s="147">
        <f t="shared" si="860"/>
        <v>3628.0157850567234</v>
      </c>
      <c r="HU191" s="147">
        <f t="shared" si="861"/>
        <v>2072.6820126181242</v>
      </c>
      <c r="HV191" s="147">
        <f t="shared" si="862"/>
        <v>8079.8363134604206</v>
      </c>
      <c r="HW191" s="147">
        <f t="shared" si="863"/>
        <v>10477.514077568523</v>
      </c>
      <c r="HX191" s="147">
        <f t="shared" si="864"/>
        <v>16645.016205086329</v>
      </c>
      <c r="HY191" s="147">
        <f t="shared" si="865"/>
        <v>5555.6034632552228</v>
      </c>
      <c r="HZ191" s="147">
        <f t="shared" si="866"/>
        <v>3078.3061608591233</v>
      </c>
      <c r="IA191" s="147">
        <f t="shared" si="867"/>
        <v>9940.7348831338168</v>
      </c>
      <c r="IB191" s="147">
        <f t="shared" si="868"/>
        <v>14482.87239998025</v>
      </c>
      <c r="IC191" s="147">
        <f t="shared" si="869"/>
        <v>15313.570320408871</v>
      </c>
      <c r="ID191" s="147">
        <f t="shared" si="870"/>
        <v>990.99636162156867</v>
      </c>
      <c r="IE191" s="147">
        <f t="shared" si="871"/>
        <v>17366.555298095322</v>
      </c>
      <c r="IF191" s="147">
        <f t="shared" si="872"/>
        <v>4312.0980528517575</v>
      </c>
      <c r="IG191" s="147">
        <f t="shared" si="873"/>
        <v>3884.5677281143876</v>
      </c>
      <c r="IH191" s="147">
        <f t="shared" si="874"/>
        <v>10892.583595362117</v>
      </c>
      <c r="II191" s="147">
        <f t="shared" si="875"/>
        <v>5447.5917104390392</v>
      </c>
      <c r="IJ191" s="147">
        <f t="shared" si="876"/>
        <v>14356.156446775536</v>
      </c>
      <c r="IK191" s="147">
        <f t="shared" si="877"/>
        <v>0</v>
      </c>
      <c r="IL191" s="147">
        <f t="shared" si="878"/>
        <v>3271.2835281986045</v>
      </c>
      <c r="IM191" s="147">
        <f t="shared" si="879"/>
        <v>0</v>
      </c>
      <c r="IN191" s="26"/>
      <c r="IP191" s="61">
        <f t="shared" si="880"/>
        <v>6359.86876270216</v>
      </c>
      <c r="IQ191" s="61">
        <f t="shared" si="881"/>
        <v>7456.8520551511192</v>
      </c>
      <c r="IR191" s="61">
        <f t="shared" si="882"/>
        <v>2753.4747630253655</v>
      </c>
      <c r="IS191" s="61">
        <f t="shared" si="883"/>
        <v>3187.4740289672122</v>
      </c>
      <c r="IT191" s="61">
        <f t="shared" si="884"/>
        <v>8318.673461238699</v>
      </c>
      <c r="IU191" s="61">
        <f t="shared" si="885"/>
        <v>12718.623133464806</v>
      </c>
      <c r="IV191" s="61">
        <f t="shared" si="886"/>
        <v>2947.7603311002295</v>
      </c>
      <c r="IW191" s="61">
        <f t="shared" si="887"/>
        <v>1684.0527102847673</v>
      </c>
      <c r="IX191" s="61">
        <f t="shared" si="888"/>
        <v>6564.86144980468</v>
      </c>
      <c r="IY191" s="61">
        <f t="shared" si="889"/>
        <v>8512.9729847406979</v>
      </c>
      <c r="IZ191" s="61">
        <f t="shared" si="890"/>
        <v>13524.064223195443</v>
      </c>
      <c r="JA191" s="61">
        <f t="shared" si="891"/>
        <v>4513.9239944213068</v>
      </c>
      <c r="JB191" s="61">
        <f t="shared" si="892"/>
        <v>2501.1216393646682</v>
      </c>
      <c r="JC191" s="61">
        <f t="shared" si="893"/>
        <v>8076.8402582978269</v>
      </c>
      <c r="JD191" s="61">
        <f t="shared" si="894"/>
        <v>11767.323868019133</v>
      </c>
      <c r="JE191" s="61">
        <f t="shared" si="895"/>
        <v>12442.265357263139</v>
      </c>
      <c r="JF191" s="61">
        <f t="shared" si="896"/>
        <v>805.1838625082072</v>
      </c>
      <c r="JG191" s="61">
        <f t="shared" si="897"/>
        <v>14110.314240207617</v>
      </c>
      <c r="JH191" s="61">
        <f t="shared" si="898"/>
        <v>3503.5767033776056</v>
      </c>
      <c r="JI191" s="61">
        <f t="shared" si="899"/>
        <v>3156.2086084552975</v>
      </c>
      <c r="JJ191" s="61">
        <f t="shared" si="900"/>
        <v>8850.2166825879867</v>
      </c>
      <c r="JK191" s="61">
        <f t="shared" si="901"/>
        <v>4426.1645195161627</v>
      </c>
      <c r="JL191" s="61">
        <f t="shared" si="902"/>
        <v>11664.367243157434</v>
      </c>
      <c r="JM191" s="61">
        <f t="shared" si="903"/>
        <v>0</v>
      </c>
      <c r="JN191" s="61">
        <f t="shared" si="904"/>
        <v>2657.9156176561892</v>
      </c>
      <c r="JO191" s="61">
        <f t="shared" si="905"/>
        <v>0</v>
      </c>
      <c r="JQ191" s="26">
        <f t="shared" si="969"/>
        <v>625016.00000000012</v>
      </c>
      <c r="JR191" s="156">
        <f t="shared" si="970"/>
        <v>1.0000000000000002</v>
      </c>
      <c r="JT191" s="157">
        <f t="shared" si="906"/>
        <v>24461.042659200808</v>
      </c>
      <c r="JU191" s="29">
        <f t="shared" si="907"/>
        <v>0.99999999999999989</v>
      </c>
    </row>
  </sheetData>
  <autoFilter ref="A19:I191" xr:uid="{F0CA8C60-FA39-4F34-89F4-1B175E677F83}"/>
  <conditionalFormatting sqref="AK20:BJ20 AK32:BJ36">
    <cfRule type="cellIs" dxfId="5" priority="7" operator="lessThan">
      <formula>0</formula>
    </cfRule>
  </conditionalFormatting>
  <conditionalFormatting sqref="AK71:BJ144">
    <cfRule type="cellIs" dxfId="4" priority="8" operator="lessThan">
      <formula>0</formula>
    </cfRule>
  </conditionalFormatting>
  <conditionalFormatting sqref="AK21:BK31 J69:AF69 AI67:AI68 AI70 AH69:AI69 J63:AF66 AH63:AI66 AG63:AG112 AG120 AG125 AG127:AG144 BK20 AK37:BK70 J20:AI62 BK32:BK36">
    <cfRule type="colorScale" priority="17">
      <colorScale>
        <cfvo type="min"/>
        <cfvo type="max"/>
        <color rgb="FFFCFCFF"/>
        <color rgb="FF63BE7B"/>
      </colorScale>
    </cfRule>
  </conditionalFormatting>
  <conditionalFormatting sqref="BM20:CL191">
    <cfRule type="cellIs" dxfId="3" priority="9" operator="lessThan">
      <formula>0</formula>
    </cfRule>
  </conditionalFormatting>
  <conditionalFormatting sqref="EQ20:FB19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20:HL191">
    <cfRule type="cellIs" dxfId="2" priority="3" operator="lessThan">
      <formula>0</formula>
    </cfRule>
  </conditionalFormatting>
  <conditionalFormatting sqref="IN20:IN191">
    <cfRule type="cellIs" dxfId="1" priority="2" operator="lessThan">
      <formula>0</formula>
    </cfRule>
  </conditionalFormatting>
  <conditionalFormatting sqref="JQ20:JQ19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063-56A0-4080-A723-7440B5915F1B}">
  <dimension ref="B2:AC33"/>
  <sheetViews>
    <sheetView workbookViewId="0">
      <selection activeCell="AC9" sqref="AC9"/>
    </sheetView>
  </sheetViews>
  <sheetFormatPr defaultRowHeight="16.5" x14ac:dyDescent="0.3"/>
  <cols>
    <col min="2" max="2" width="44.28515625" bestFit="1" customWidth="1"/>
    <col min="3" max="28" width="8.140625" customWidth="1"/>
    <col min="29" max="29" width="11.5703125" bestFit="1" customWidth="1"/>
  </cols>
  <sheetData>
    <row r="2" spans="2:29" x14ac:dyDescent="0.3">
      <c r="B2" s="3" t="s">
        <v>66</v>
      </c>
      <c r="C2" s="3" t="s">
        <v>91</v>
      </c>
    </row>
    <row r="3" spans="2:29" x14ac:dyDescent="0.3">
      <c r="B3" s="3" t="s">
        <v>67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69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70</v>
      </c>
    </row>
    <row r="4" spans="2:29" x14ac:dyDescent="0.3">
      <c r="B4" s="4" t="s">
        <v>68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2:29" x14ac:dyDescent="0.3">
      <c r="B5" s="5" t="s">
        <v>24</v>
      </c>
      <c r="C5" s="6">
        <v>2.439024390243898E-2</v>
      </c>
      <c r="D5" s="6">
        <v>1.219512195121949E-2</v>
      </c>
      <c r="E5" s="6">
        <v>1.219512195121949E-2</v>
      </c>
      <c r="F5" s="6">
        <v>0</v>
      </c>
      <c r="G5" s="6">
        <v>1.219512195121949E-2</v>
      </c>
      <c r="H5" s="6">
        <v>4.8780487804877856E-2</v>
      </c>
      <c r="I5" s="6">
        <v>1.2195121951219466E-2</v>
      </c>
      <c r="J5" s="6">
        <v>0</v>
      </c>
      <c r="K5" s="6">
        <v>1.219512195121949E-2</v>
      </c>
      <c r="L5" s="6">
        <v>1.219512195121949E-2</v>
      </c>
      <c r="M5" s="6">
        <v>0</v>
      </c>
      <c r="N5" s="6">
        <v>1.219512195121949E-2</v>
      </c>
      <c r="O5" s="6">
        <v>1.219512195121949E-2</v>
      </c>
      <c r="P5" s="6">
        <v>8.5365853658536314E-2</v>
      </c>
      <c r="Q5" s="6">
        <v>0</v>
      </c>
      <c r="R5" s="6">
        <v>1.2195121951219483E-2</v>
      </c>
      <c r="S5" s="6">
        <v>4.8780487804877919E-2</v>
      </c>
      <c r="T5" s="6">
        <v>1.219512195121949E-2</v>
      </c>
      <c r="U5" s="6">
        <v>2.439024390243898E-2</v>
      </c>
      <c r="V5" s="6">
        <v>1.2195121951219499E-2</v>
      </c>
      <c r="W5" s="6">
        <v>1.219512195121949E-2</v>
      </c>
      <c r="X5" s="6">
        <v>0.34146341463414531</v>
      </c>
      <c r="Y5" s="6">
        <v>1.2195121951219457E-2</v>
      </c>
      <c r="Z5" s="6">
        <v>0.26829268292682856</v>
      </c>
      <c r="AA5" s="6">
        <v>0</v>
      </c>
      <c r="AB5" s="6">
        <v>0</v>
      </c>
      <c r="AC5" s="6">
        <v>1</v>
      </c>
    </row>
    <row r="6" spans="2:29" x14ac:dyDescent="0.3">
      <c r="B6" s="5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29" x14ac:dyDescent="0.3">
      <c r="B7" s="5" t="s">
        <v>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2:29" x14ac:dyDescent="0.3">
      <c r="B8" s="5" t="s">
        <v>16</v>
      </c>
      <c r="C8" s="6">
        <v>2.4390243902439022E-2</v>
      </c>
      <c r="D8" s="6">
        <v>1.2195121951219488E-2</v>
      </c>
      <c r="E8" s="6">
        <v>1.2195121951219488E-2</v>
      </c>
      <c r="F8" s="6">
        <v>0</v>
      </c>
      <c r="G8" s="6">
        <v>1.219512195121948E-2</v>
      </c>
      <c r="H8" s="6">
        <v>4.8780487804877939E-2</v>
      </c>
      <c r="I8" s="6">
        <v>1.2195121951219488E-2</v>
      </c>
      <c r="J8" s="6">
        <v>0</v>
      </c>
      <c r="K8" s="6">
        <v>1.2195121951219488E-2</v>
      </c>
      <c r="L8" s="6">
        <v>1.2195121951219488E-2</v>
      </c>
      <c r="M8" s="6">
        <v>0</v>
      </c>
      <c r="N8" s="6">
        <v>1.2195121951219488E-2</v>
      </c>
      <c r="O8" s="6">
        <v>1.2195121951219476E-2</v>
      </c>
      <c r="P8" s="6">
        <v>8.5365853658536592E-2</v>
      </c>
      <c r="Q8" s="6">
        <v>0</v>
      </c>
      <c r="R8" s="6">
        <v>1.2195121951219495E-2</v>
      </c>
      <c r="S8" s="6">
        <v>4.8780487804878085E-2</v>
      </c>
      <c r="T8" s="6">
        <v>1.2195121951219488E-2</v>
      </c>
      <c r="U8" s="6">
        <v>2.4390243902438977E-2</v>
      </c>
      <c r="V8" s="6">
        <v>1.2195121951219488E-2</v>
      </c>
      <c r="W8" s="6">
        <v>1.2195121951219488E-2</v>
      </c>
      <c r="X8" s="6">
        <v>0.34146341463414542</v>
      </c>
      <c r="Y8" s="6">
        <v>1.2195121951219499E-2</v>
      </c>
      <c r="Z8" s="6">
        <v>0.26829268292682878</v>
      </c>
      <c r="AA8" s="6">
        <v>0</v>
      </c>
      <c r="AB8" s="6">
        <v>0</v>
      </c>
      <c r="AC8" s="6">
        <v>1</v>
      </c>
    </row>
    <row r="9" spans="2:29" x14ac:dyDescent="0.3">
      <c r="B9" s="5" t="s">
        <v>13</v>
      </c>
      <c r="C9" s="6">
        <v>2.4390243902439296E-2</v>
      </c>
      <c r="D9" s="6">
        <v>1.2195121951219648E-2</v>
      </c>
      <c r="E9" s="6">
        <v>1.2195121951219648E-2</v>
      </c>
      <c r="F9" s="6">
        <v>0</v>
      </c>
      <c r="G9" s="6">
        <v>1.2195121951219636E-2</v>
      </c>
      <c r="H9" s="6">
        <v>4.8780487804878522E-2</v>
      </c>
      <c r="I9" s="6">
        <v>1.2195121951219643E-2</v>
      </c>
      <c r="J9" s="6">
        <v>0</v>
      </c>
      <c r="K9" s="6">
        <v>1.2195121951219648E-2</v>
      </c>
      <c r="L9" s="6">
        <v>1.2195121951219648E-2</v>
      </c>
      <c r="M9" s="6">
        <v>0</v>
      </c>
      <c r="N9" s="6">
        <v>1.2195121951219646E-2</v>
      </c>
      <c r="O9" s="6">
        <v>1.2195121951219639E-2</v>
      </c>
      <c r="P9" s="6">
        <v>8.536585365853766E-2</v>
      </c>
      <c r="Q9" s="6">
        <v>0</v>
      </c>
      <c r="R9" s="6">
        <v>1.2195121951219648E-2</v>
      </c>
      <c r="S9" s="6">
        <v>4.8780487804878592E-2</v>
      </c>
      <c r="T9" s="6">
        <v>1.2195121951219648E-2</v>
      </c>
      <c r="U9" s="6">
        <v>2.4390243902439296E-2</v>
      </c>
      <c r="V9" s="6">
        <v>1.2195121951219648E-2</v>
      </c>
      <c r="W9" s="6">
        <v>1.2195121951219627E-2</v>
      </c>
      <c r="X9" s="6">
        <v>0.34146341463414981</v>
      </c>
      <c r="Y9" s="6">
        <v>1.2195121951219648E-2</v>
      </c>
      <c r="Z9" s="6">
        <v>0.268292682926832</v>
      </c>
      <c r="AA9" s="6">
        <v>0</v>
      </c>
      <c r="AB9" s="6">
        <v>0</v>
      </c>
      <c r="AC9" s="6">
        <v>1</v>
      </c>
    </row>
    <row r="10" spans="2:29" x14ac:dyDescent="0.3">
      <c r="B10" s="5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29" x14ac:dyDescent="0.3">
      <c r="B11" s="5" t="s">
        <v>74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2:29" x14ac:dyDescent="0.3">
      <c r="B12" s="5" t="s">
        <v>75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2:29" x14ac:dyDescent="0.3">
      <c r="B13" s="5" t="s">
        <v>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2:29" x14ac:dyDescent="0.3">
      <c r="B14" s="5" t="s">
        <v>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2:29" x14ac:dyDescent="0.3">
      <c r="B15" s="5" t="s">
        <v>78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2:29" x14ac:dyDescent="0.3">
      <c r="B16" s="5" t="s">
        <v>31</v>
      </c>
      <c r="C16" s="6">
        <v>2.4390243902438831E-2</v>
      </c>
      <c r="D16" s="6">
        <v>1.2195121951219415E-2</v>
      </c>
      <c r="E16" s="6">
        <v>1.2195121951219415E-2</v>
      </c>
      <c r="F16" s="6">
        <v>0</v>
      </c>
      <c r="G16" s="6">
        <v>1.2195121951219436E-2</v>
      </c>
      <c r="H16" s="6">
        <v>4.8780487804877669E-2</v>
      </c>
      <c r="I16" s="6">
        <v>1.2195121951219415E-2</v>
      </c>
      <c r="J16" s="6">
        <v>0</v>
      </c>
      <c r="K16" s="6">
        <v>1.2195121951219417E-2</v>
      </c>
      <c r="L16" s="6">
        <v>1.2195121951219419E-2</v>
      </c>
      <c r="M16" s="6">
        <v>0</v>
      </c>
      <c r="N16" s="6">
        <v>1.2195121951219464E-2</v>
      </c>
      <c r="O16" s="6">
        <v>1.219512195121944E-2</v>
      </c>
      <c r="P16" s="6">
        <v>8.5365853658535898E-2</v>
      </c>
      <c r="Q16" s="6">
        <v>0</v>
      </c>
      <c r="R16" s="6">
        <v>1.2195121951219415E-2</v>
      </c>
      <c r="S16" s="6">
        <v>4.8780487804877662E-2</v>
      </c>
      <c r="T16" s="6">
        <v>1.2195121951219459E-2</v>
      </c>
      <c r="U16" s="6">
        <v>2.4390243902438831E-2</v>
      </c>
      <c r="V16" s="6">
        <v>1.2195121951219459E-2</v>
      </c>
      <c r="W16" s="6">
        <v>1.2195121951219445E-2</v>
      </c>
      <c r="X16" s="6">
        <v>0.34146341463414426</v>
      </c>
      <c r="Y16" s="6">
        <v>1.2195121951219415E-2</v>
      </c>
      <c r="Z16" s="6">
        <v>0.26829268292682756</v>
      </c>
      <c r="AA16" s="6">
        <v>0</v>
      </c>
      <c r="AB16" s="6">
        <v>0</v>
      </c>
      <c r="AC16" s="6">
        <v>1</v>
      </c>
    </row>
    <row r="17" spans="2:29" x14ac:dyDescent="0.3">
      <c r="B17" s="5" t="s">
        <v>79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2:29" x14ac:dyDescent="0.3">
      <c r="B18" s="5" t="s">
        <v>80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2:29" x14ac:dyDescent="0.3">
      <c r="B19" s="5" t="s">
        <v>81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2:29" x14ac:dyDescent="0.3">
      <c r="B20" s="5" t="s">
        <v>82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2:29" x14ac:dyDescent="0.3">
      <c r="B21" s="5" t="s">
        <v>83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2:29" x14ac:dyDescent="0.3">
      <c r="B22" s="5" t="s">
        <v>84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29" x14ac:dyDescent="0.3">
      <c r="B23" s="5" t="s">
        <v>85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29" x14ac:dyDescent="0.3">
      <c r="B24" s="5" t="s">
        <v>28</v>
      </c>
      <c r="C24" s="6">
        <v>2.4390243902438935E-2</v>
      </c>
      <c r="D24" s="6">
        <v>1.2195121951219471E-2</v>
      </c>
      <c r="E24" s="6">
        <v>1.2195121951219468E-2</v>
      </c>
      <c r="F24" s="6">
        <v>0</v>
      </c>
      <c r="G24" s="6">
        <v>1.2195121951219474E-2</v>
      </c>
      <c r="H24" s="6">
        <v>4.878048780487787E-2</v>
      </c>
      <c r="I24" s="6">
        <v>1.2195121951219468E-2</v>
      </c>
      <c r="J24" s="6">
        <v>0</v>
      </c>
      <c r="K24" s="6">
        <v>1.2195121951219468E-2</v>
      </c>
      <c r="L24" s="6">
        <v>1.2195121951219474E-2</v>
      </c>
      <c r="M24" s="6">
        <v>0</v>
      </c>
      <c r="N24" s="6">
        <v>1.2195121951219462E-2</v>
      </c>
      <c r="O24" s="6">
        <v>1.2195121951219468E-2</v>
      </c>
      <c r="P24" s="6">
        <v>8.5365853658536217E-2</v>
      </c>
      <c r="Q24" s="6">
        <v>0</v>
      </c>
      <c r="R24" s="6">
        <v>1.2195121951219469E-2</v>
      </c>
      <c r="S24" s="6">
        <v>4.878048780487787E-2</v>
      </c>
      <c r="T24" s="6">
        <v>1.2195121951219468E-2</v>
      </c>
      <c r="U24" s="6">
        <v>2.4390243902438939E-2</v>
      </c>
      <c r="V24" s="6">
        <v>1.2195121951219468E-2</v>
      </c>
      <c r="W24" s="6">
        <v>1.2195121951219464E-2</v>
      </c>
      <c r="X24" s="6">
        <v>0.34146341463414487</v>
      </c>
      <c r="Y24" s="6">
        <v>1.219512195121949E-2</v>
      </c>
      <c r="Z24" s="6">
        <v>0.26829268292682817</v>
      </c>
      <c r="AA24" s="6">
        <v>0</v>
      </c>
      <c r="AB24" s="6">
        <v>0</v>
      </c>
      <c r="AC24" s="6">
        <v>1</v>
      </c>
    </row>
    <row r="25" spans="2:29" x14ac:dyDescent="0.3">
      <c r="B25" s="5" t="s">
        <v>86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29" x14ac:dyDescent="0.3">
      <c r="B26" s="5" t="s">
        <v>33</v>
      </c>
      <c r="C26" s="6">
        <v>2.4390243902439324E-2</v>
      </c>
      <c r="D26" s="6">
        <v>1.219512195121965E-2</v>
      </c>
      <c r="E26" s="6">
        <v>1.219512195121966E-2</v>
      </c>
      <c r="F26" s="6">
        <v>0</v>
      </c>
      <c r="G26" s="6">
        <v>1.2195121951219693E-2</v>
      </c>
      <c r="H26" s="6">
        <v>4.8780487804878703E-2</v>
      </c>
      <c r="I26" s="6">
        <v>1.2195121951219651E-2</v>
      </c>
      <c r="J26" s="6">
        <v>0</v>
      </c>
      <c r="K26" s="6">
        <v>1.219512195121967E-2</v>
      </c>
      <c r="L26" s="6">
        <v>1.2195121951219662E-2</v>
      </c>
      <c r="M26" s="6">
        <v>0</v>
      </c>
      <c r="N26" s="6">
        <v>1.2195121951219608E-2</v>
      </c>
      <c r="O26" s="6">
        <v>1.2195121951219587E-2</v>
      </c>
      <c r="P26" s="6">
        <v>8.5365853658537535E-2</v>
      </c>
      <c r="Q26" s="6">
        <v>0</v>
      </c>
      <c r="R26" s="6">
        <v>1.2195121951219651E-2</v>
      </c>
      <c r="S26" s="6">
        <v>4.8780487804878599E-2</v>
      </c>
      <c r="T26" s="6">
        <v>1.2195121951219676E-2</v>
      </c>
      <c r="U26" s="6">
        <v>2.4390243902439351E-2</v>
      </c>
      <c r="V26" s="6">
        <v>1.2195121951219665E-2</v>
      </c>
      <c r="W26" s="6">
        <v>1.219512195121965E-2</v>
      </c>
      <c r="X26" s="6">
        <v>0.34146341463414998</v>
      </c>
      <c r="Y26" s="6">
        <v>1.2195121951219676E-2</v>
      </c>
      <c r="Z26" s="6">
        <v>0.26829268292683273</v>
      </c>
      <c r="AA26" s="6">
        <v>0</v>
      </c>
      <c r="AB26" s="6">
        <v>0</v>
      </c>
      <c r="AC26" s="6">
        <v>1</v>
      </c>
    </row>
    <row r="27" spans="2:29" x14ac:dyDescent="0.3">
      <c r="B27" s="5" t="s">
        <v>87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29" x14ac:dyDescent="0.3">
      <c r="B28" s="5" t="s">
        <v>88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2:29" x14ac:dyDescent="0.3">
      <c r="B29" s="5" t="s">
        <v>89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29" x14ac:dyDescent="0.3">
      <c r="B30" s="5" t="s">
        <v>26</v>
      </c>
      <c r="C30" s="6">
        <v>2.4390243902439011E-2</v>
      </c>
      <c r="D30" s="6">
        <v>1.2195121951219553E-2</v>
      </c>
      <c r="E30" s="6">
        <v>1.2195121951219506E-2</v>
      </c>
      <c r="F30" s="6">
        <v>0</v>
      </c>
      <c r="G30" s="6">
        <v>1.2195121951219506E-2</v>
      </c>
      <c r="H30" s="6">
        <v>4.8780487804878203E-2</v>
      </c>
      <c r="I30" s="6">
        <v>1.2195121951219523E-2</v>
      </c>
      <c r="J30" s="6">
        <v>0</v>
      </c>
      <c r="K30" s="6">
        <v>1.2195121951219511E-2</v>
      </c>
      <c r="L30" s="6">
        <v>1.2195121951219506E-2</v>
      </c>
      <c r="M30" s="6">
        <v>0</v>
      </c>
      <c r="N30" s="6">
        <v>1.2195121951219506E-2</v>
      </c>
      <c r="O30" s="6">
        <v>1.2195121951219514E-2</v>
      </c>
      <c r="P30" s="6">
        <v>8.5365853658536939E-2</v>
      </c>
      <c r="Q30" s="6">
        <v>0</v>
      </c>
      <c r="R30" s="6">
        <v>1.2195121951219521E-2</v>
      </c>
      <c r="S30" s="6">
        <v>4.8780487804878092E-2</v>
      </c>
      <c r="T30" s="6">
        <v>1.2195121951219506E-2</v>
      </c>
      <c r="U30" s="6">
        <v>2.4390243902439011E-2</v>
      </c>
      <c r="V30" s="6">
        <v>1.2195121951219506E-2</v>
      </c>
      <c r="W30" s="6">
        <v>1.2195121951219506E-2</v>
      </c>
      <c r="X30" s="6">
        <v>0.34146341463414764</v>
      </c>
      <c r="Y30" s="6">
        <v>1.2195121951219556E-2</v>
      </c>
      <c r="Z30" s="6">
        <v>0.26829268292683073</v>
      </c>
      <c r="AA30" s="6">
        <v>0</v>
      </c>
      <c r="AB30" s="6">
        <v>0</v>
      </c>
      <c r="AC30" s="6">
        <v>1</v>
      </c>
    </row>
    <row r="31" spans="2:29" x14ac:dyDescent="0.3">
      <c r="B31" s="5" t="s">
        <v>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2:29" x14ac:dyDescent="0.3">
      <c r="B32" s="5" t="s">
        <v>19</v>
      </c>
      <c r="C32" s="6">
        <v>2.4390243902439157E-2</v>
      </c>
      <c r="D32" s="6">
        <v>1.2195121951219596E-2</v>
      </c>
      <c r="E32" s="6">
        <v>1.2195121951219634E-2</v>
      </c>
      <c r="F32" s="6">
        <v>0</v>
      </c>
      <c r="G32" s="6">
        <v>1.2195121951219603E-2</v>
      </c>
      <c r="H32" s="6">
        <v>4.8780487804878495E-2</v>
      </c>
      <c r="I32" s="6">
        <v>1.2195121951219598E-2</v>
      </c>
      <c r="J32" s="6">
        <v>0</v>
      </c>
      <c r="K32" s="6">
        <v>1.2195121951219596E-2</v>
      </c>
      <c r="L32" s="6">
        <v>1.2195121951219591E-2</v>
      </c>
      <c r="M32" s="6">
        <v>0</v>
      </c>
      <c r="N32" s="6">
        <v>1.2195121951219603E-2</v>
      </c>
      <c r="O32" s="6">
        <v>1.2195121951219601E-2</v>
      </c>
      <c r="P32" s="6">
        <v>8.536585365853698E-2</v>
      </c>
      <c r="Q32" s="6">
        <v>0</v>
      </c>
      <c r="R32" s="6">
        <v>1.2195121951219591E-2</v>
      </c>
      <c r="S32" s="6">
        <v>4.8780487804878411E-2</v>
      </c>
      <c r="T32" s="6">
        <v>1.2195121951219572E-2</v>
      </c>
      <c r="U32" s="6">
        <v>2.4390243902439195E-2</v>
      </c>
      <c r="V32" s="6">
        <v>1.2195121951219591E-2</v>
      </c>
      <c r="W32" s="6">
        <v>1.2195121951219587E-2</v>
      </c>
      <c r="X32" s="6">
        <v>0.34146341463414981</v>
      </c>
      <c r="Y32" s="6">
        <v>1.2195121951219533E-2</v>
      </c>
      <c r="Z32" s="6">
        <v>0.2682926829268315</v>
      </c>
      <c r="AA32" s="6">
        <v>0</v>
      </c>
      <c r="AB32" s="6">
        <v>0</v>
      </c>
      <c r="AC32" s="6">
        <v>1</v>
      </c>
    </row>
    <row r="33" spans="2:29" x14ac:dyDescent="0.3">
      <c r="B33" s="4" t="s">
        <v>70</v>
      </c>
      <c r="C33" s="6">
        <v>2.4390243902439868E-2</v>
      </c>
      <c r="D33" s="6">
        <v>1.2195121951219938E-2</v>
      </c>
      <c r="E33" s="6">
        <v>1.2195121951219957E-2</v>
      </c>
      <c r="F33" s="6">
        <v>0</v>
      </c>
      <c r="G33" s="6">
        <v>1.2195121951219957E-2</v>
      </c>
      <c r="H33" s="6">
        <v>4.8780487804879834E-2</v>
      </c>
      <c r="I33" s="6">
        <v>1.2195121951219938E-2</v>
      </c>
      <c r="J33" s="6">
        <v>0</v>
      </c>
      <c r="K33" s="6">
        <v>1.2195121951219945E-2</v>
      </c>
      <c r="L33" s="6">
        <v>1.2195121951219938E-2</v>
      </c>
      <c r="M33" s="6">
        <v>0</v>
      </c>
      <c r="N33" s="6">
        <v>1.2195121951219927E-2</v>
      </c>
      <c r="O33" s="6">
        <v>1.2195121951219919E-2</v>
      </c>
      <c r="P33" s="6">
        <v>8.5365853658539478E-2</v>
      </c>
      <c r="Q33" s="6">
        <v>0</v>
      </c>
      <c r="R33" s="6">
        <v>1.2195121951219936E-2</v>
      </c>
      <c r="S33" s="6">
        <v>4.8780487804879778E-2</v>
      </c>
      <c r="T33" s="6">
        <v>1.2195121951219936E-2</v>
      </c>
      <c r="U33" s="6">
        <v>2.4390243902439893E-2</v>
      </c>
      <c r="V33" s="6">
        <v>1.2195121951219943E-2</v>
      </c>
      <c r="W33" s="6">
        <v>1.2195121951219931E-2</v>
      </c>
      <c r="X33" s="6">
        <v>0.34146341463415869</v>
      </c>
      <c r="Y33" s="6">
        <v>1.219512195121992E-2</v>
      </c>
      <c r="Z33" s="6">
        <v>0.268292682926839</v>
      </c>
      <c r="AA33" s="6">
        <v>0</v>
      </c>
      <c r="AB33" s="6">
        <v>0</v>
      </c>
      <c r="AC33" s="6">
        <v>1</v>
      </c>
    </row>
  </sheetData>
  <conditionalFormatting pivot="1" sqref="C5:AB32 C33:A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375-6ACA-4726-ADEB-BD4DF1EBBFA2}">
  <dimension ref="A1:AB173"/>
  <sheetViews>
    <sheetView tabSelected="1" topLeftCell="A156" workbookViewId="0">
      <selection activeCell="AB173" sqref="AB53:AB173"/>
    </sheetView>
  </sheetViews>
  <sheetFormatPr defaultRowHeight="16.5" x14ac:dyDescent="0.3"/>
  <cols>
    <col min="1" max="1" width="16.42578125" bestFit="1" customWidth="1"/>
    <col min="2" max="2" width="44.28515625" bestFit="1" customWidth="1"/>
    <col min="3" max="4" width="8.5703125" bestFit="1" customWidth="1"/>
    <col min="5" max="5" width="7.5703125" bestFit="1" customWidth="1"/>
    <col min="6" max="6" width="8.7109375" bestFit="1" customWidth="1"/>
    <col min="8" max="8" width="7.42578125" bestFit="1" customWidth="1"/>
    <col min="9" max="10" width="8.42578125" bestFit="1" customWidth="1"/>
    <col min="11" max="11" width="9" bestFit="1" customWidth="1"/>
    <col min="12" max="12" width="7.140625" bestFit="1" customWidth="1"/>
    <col min="13" max="13" width="9" bestFit="1" customWidth="1"/>
    <col min="14" max="14" width="7.28515625" bestFit="1" customWidth="1"/>
    <col min="15" max="15" width="7" bestFit="1" customWidth="1"/>
    <col min="16" max="16" width="7.7109375" bestFit="1" customWidth="1"/>
    <col min="17" max="17" width="8.5703125" bestFit="1" customWidth="1"/>
    <col min="18" max="18" width="8.85546875" bestFit="1" customWidth="1"/>
    <col min="19" max="20" width="6.85546875" bestFit="1" customWidth="1"/>
    <col min="21" max="21" width="6.28515625" bestFit="1" customWidth="1"/>
    <col min="23" max="23" width="6.7109375" bestFit="1" customWidth="1"/>
    <col min="25" max="25" width="5" bestFit="1" customWidth="1"/>
    <col min="26" max="26" width="7.28515625" bestFit="1" customWidth="1"/>
    <col min="28" max="28" width="5.7109375" bestFit="1" customWidth="1"/>
  </cols>
  <sheetData>
    <row r="1" spans="1:28" ht="49.5" x14ac:dyDescent="0.3">
      <c r="A1" t="s">
        <v>352</v>
      </c>
      <c r="B1" t="s">
        <v>353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69</v>
      </c>
    </row>
    <row r="2" spans="1:28" x14ac:dyDescent="0.3">
      <c r="A2" t="s">
        <v>12</v>
      </c>
      <c r="B2" t="s">
        <v>30</v>
      </c>
      <c r="C2" s="9">
        <v>2.3782025992521376E-2</v>
      </c>
      <c r="D2" s="9">
        <v>0</v>
      </c>
      <c r="E2" s="9">
        <v>0</v>
      </c>
      <c r="F2" s="9">
        <v>0</v>
      </c>
      <c r="G2" s="9">
        <v>0</v>
      </c>
      <c r="H2" s="9">
        <v>0.18299040359183794</v>
      </c>
      <c r="I2" s="9">
        <v>1.0494290365582073E-2</v>
      </c>
      <c r="J2" s="9">
        <v>0</v>
      </c>
      <c r="K2" s="9">
        <v>1.2194007339393844E-2</v>
      </c>
      <c r="L2" s="9">
        <v>0</v>
      </c>
      <c r="M2" s="9">
        <v>0</v>
      </c>
      <c r="N2" s="9">
        <v>0</v>
      </c>
      <c r="O2" s="9">
        <v>0</v>
      </c>
      <c r="P2" s="9">
        <v>0.15102655957040612</v>
      </c>
      <c r="Q2" s="9">
        <v>1.2194007339393844E-2</v>
      </c>
      <c r="R2" s="9">
        <v>4.8776029357575378E-2</v>
      </c>
      <c r="S2" s="9">
        <v>1.2194007339393844E-2</v>
      </c>
      <c r="T2" s="9">
        <v>2.4388014678787689E-2</v>
      </c>
      <c r="U2" s="9">
        <v>0</v>
      </c>
      <c r="V2" s="9">
        <v>0</v>
      </c>
      <c r="W2" s="9">
        <v>0.2808334846785151</v>
      </c>
      <c r="X2" s="9">
        <v>1.5149717156657775E-2</v>
      </c>
      <c r="Y2" s="9">
        <v>0.22597745258993496</v>
      </c>
      <c r="Z2" s="9">
        <v>0</v>
      </c>
      <c r="AA2" s="9">
        <v>0</v>
      </c>
      <c r="AB2" s="9">
        <v>0</v>
      </c>
    </row>
    <row r="3" spans="1:28" x14ac:dyDescent="0.3">
      <c r="A3" t="s">
        <v>12</v>
      </c>
      <c r="B3" t="s">
        <v>24</v>
      </c>
      <c r="C3" s="9">
        <v>2.3782025992521376E-2</v>
      </c>
      <c r="D3" s="9">
        <v>0</v>
      </c>
      <c r="E3" s="9">
        <v>0</v>
      </c>
      <c r="F3" s="9">
        <v>0</v>
      </c>
      <c r="G3" s="9">
        <v>0</v>
      </c>
      <c r="H3" s="9">
        <v>0.18299040359183794</v>
      </c>
      <c r="I3" s="9">
        <v>1.0494290365582073E-2</v>
      </c>
      <c r="J3" s="9">
        <v>0</v>
      </c>
      <c r="K3" s="9">
        <v>1.2194007339393844E-2</v>
      </c>
      <c r="L3" s="9">
        <v>0</v>
      </c>
      <c r="M3" s="9">
        <v>0</v>
      </c>
      <c r="N3" s="9">
        <v>0</v>
      </c>
      <c r="O3" s="9">
        <v>0</v>
      </c>
      <c r="P3" s="9">
        <v>0.15102655957040612</v>
      </c>
      <c r="Q3" s="9">
        <v>1.2194007339393844E-2</v>
      </c>
      <c r="R3" s="9">
        <v>4.8776029357575378E-2</v>
      </c>
      <c r="S3" s="9">
        <v>1.2194007339393844E-2</v>
      </c>
      <c r="T3" s="9">
        <v>2.4388014678787689E-2</v>
      </c>
      <c r="U3" s="9">
        <v>0</v>
      </c>
      <c r="V3" s="9">
        <v>0</v>
      </c>
      <c r="W3" s="9">
        <v>0.2808334846785151</v>
      </c>
      <c r="X3" s="9">
        <v>1.5149717156657775E-2</v>
      </c>
      <c r="Y3" s="9">
        <v>0.22597745258993496</v>
      </c>
      <c r="Z3" s="9">
        <v>0</v>
      </c>
      <c r="AA3" s="9">
        <v>0</v>
      </c>
      <c r="AB3" s="9">
        <v>0</v>
      </c>
    </row>
    <row r="4" spans="1:28" x14ac:dyDescent="0.3">
      <c r="A4" t="s">
        <v>12</v>
      </c>
      <c r="B4" t="s">
        <v>34</v>
      </c>
      <c r="C4" s="9">
        <v>2.3782025992521376E-2</v>
      </c>
      <c r="D4" s="9">
        <v>0</v>
      </c>
      <c r="E4" s="9">
        <v>0</v>
      </c>
      <c r="F4" s="9">
        <v>0</v>
      </c>
      <c r="G4" s="9">
        <v>0</v>
      </c>
      <c r="H4" s="9">
        <v>0.18299040359183794</v>
      </c>
      <c r="I4" s="9">
        <v>1.0494290365582073E-2</v>
      </c>
      <c r="J4" s="9">
        <v>0</v>
      </c>
      <c r="K4" s="9">
        <v>1.2194007339393844E-2</v>
      </c>
      <c r="L4" s="9">
        <v>0</v>
      </c>
      <c r="M4" s="9">
        <v>0</v>
      </c>
      <c r="N4" s="9">
        <v>0</v>
      </c>
      <c r="O4" s="9">
        <v>0</v>
      </c>
      <c r="P4" s="9">
        <v>0.15102655957040612</v>
      </c>
      <c r="Q4" s="9">
        <v>1.2194007339393844E-2</v>
      </c>
      <c r="R4" s="9">
        <v>4.8776029357575378E-2</v>
      </c>
      <c r="S4" s="9">
        <v>1.2194007339393844E-2</v>
      </c>
      <c r="T4" s="9">
        <v>2.4388014678787689E-2</v>
      </c>
      <c r="U4" s="9">
        <v>0</v>
      </c>
      <c r="V4" s="9">
        <v>0</v>
      </c>
      <c r="W4" s="9">
        <v>0.2808334846785151</v>
      </c>
      <c r="X4" s="9">
        <v>1.5149717156657775E-2</v>
      </c>
      <c r="Y4" s="9">
        <v>0.22597745258993496</v>
      </c>
      <c r="Z4" s="9">
        <v>0</v>
      </c>
      <c r="AA4" s="9">
        <v>0</v>
      </c>
      <c r="AB4" s="9">
        <v>0</v>
      </c>
    </row>
    <row r="5" spans="1:28" x14ac:dyDescent="0.3">
      <c r="A5" t="s">
        <v>12</v>
      </c>
      <c r="B5" t="s">
        <v>35</v>
      </c>
      <c r="C5" s="9">
        <v>2.3782025992521376E-2</v>
      </c>
      <c r="D5" s="9">
        <v>0</v>
      </c>
      <c r="E5" s="9">
        <v>0</v>
      </c>
      <c r="F5" s="9">
        <v>0</v>
      </c>
      <c r="G5" s="9">
        <v>0</v>
      </c>
      <c r="H5" s="9">
        <v>0.18299040359183794</v>
      </c>
      <c r="I5" s="9">
        <v>1.0494290365582073E-2</v>
      </c>
      <c r="J5" s="9">
        <v>0</v>
      </c>
      <c r="K5" s="9">
        <v>1.2194007339393844E-2</v>
      </c>
      <c r="L5" s="9">
        <v>0</v>
      </c>
      <c r="M5" s="9">
        <v>0</v>
      </c>
      <c r="N5" s="9">
        <v>0</v>
      </c>
      <c r="O5" s="9">
        <v>0</v>
      </c>
      <c r="P5" s="9">
        <v>0.15102655957040612</v>
      </c>
      <c r="Q5" s="9">
        <v>1.2194007339393844E-2</v>
      </c>
      <c r="R5" s="9">
        <v>4.8776029357575378E-2</v>
      </c>
      <c r="S5" s="9">
        <v>1.2194007339393844E-2</v>
      </c>
      <c r="T5" s="9">
        <v>2.4388014678787689E-2</v>
      </c>
      <c r="U5" s="9">
        <v>0</v>
      </c>
      <c r="V5" s="9">
        <v>0</v>
      </c>
      <c r="W5" s="9">
        <v>0.2808334846785151</v>
      </c>
      <c r="X5" s="9">
        <v>1.5149717156657775E-2</v>
      </c>
      <c r="Y5" s="9">
        <v>0.22597745258993496</v>
      </c>
      <c r="Z5" s="9">
        <v>0</v>
      </c>
      <c r="AA5" s="9">
        <v>0</v>
      </c>
      <c r="AB5" s="9">
        <v>0</v>
      </c>
    </row>
    <row r="6" spans="1:28" x14ac:dyDescent="0.3">
      <c r="A6" t="s">
        <v>12</v>
      </c>
      <c r="B6" t="s">
        <v>36</v>
      </c>
      <c r="C6" s="9">
        <v>2.3782025992521376E-2</v>
      </c>
      <c r="D6" s="9">
        <v>0</v>
      </c>
      <c r="E6" s="9">
        <v>0</v>
      </c>
      <c r="F6" s="9">
        <v>0</v>
      </c>
      <c r="G6" s="9">
        <v>0</v>
      </c>
      <c r="H6" s="9">
        <v>0.18299040359183794</v>
      </c>
      <c r="I6" s="9">
        <v>1.0494290365582073E-2</v>
      </c>
      <c r="J6" s="9">
        <v>0</v>
      </c>
      <c r="K6" s="9">
        <v>1.2194007339393844E-2</v>
      </c>
      <c r="L6" s="9">
        <v>0</v>
      </c>
      <c r="M6" s="9">
        <v>0</v>
      </c>
      <c r="N6" s="9">
        <v>0</v>
      </c>
      <c r="O6" s="9">
        <v>0</v>
      </c>
      <c r="P6" s="9">
        <v>0.15102655957040612</v>
      </c>
      <c r="Q6" s="9">
        <v>1.2194007339393844E-2</v>
      </c>
      <c r="R6" s="9">
        <v>4.8776029357575378E-2</v>
      </c>
      <c r="S6" s="9">
        <v>1.2194007339393844E-2</v>
      </c>
      <c r="T6" s="9">
        <v>2.4388014678787689E-2</v>
      </c>
      <c r="U6" s="9">
        <v>0</v>
      </c>
      <c r="V6" s="9">
        <v>0</v>
      </c>
      <c r="W6" s="9">
        <v>0.2808334846785151</v>
      </c>
      <c r="X6" s="9">
        <v>1.5149717156657775E-2</v>
      </c>
      <c r="Y6" s="9">
        <v>0.22597745258993496</v>
      </c>
      <c r="Z6" s="9">
        <v>0</v>
      </c>
      <c r="AA6" s="9">
        <v>0</v>
      </c>
      <c r="AB6" s="9">
        <v>0</v>
      </c>
    </row>
    <row r="7" spans="1:28" x14ac:dyDescent="0.3">
      <c r="A7" t="s">
        <v>12</v>
      </c>
      <c r="B7" t="s">
        <v>18</v>
      </c>
      <c r="C7" s="9">
        <v>2.3782025992521376E-2</v>
      </c>
      <c r="D7" s="9">
        <v>0</v>
      </c>
      <c r="E7" s="9">
        <v>0</v>
      </c>
      <c r="F7" s="9">
        <v>0</v>
      </c>
      <c r="G7" s="9">
        <v>0</v>
      </c>
      <c r="H7" s="9">
        <v>0.18299040359183794</v>
      </c>
      <c r="I7" s="9">
        <v>1.0494290365582073E-2</v>
      </c>
      <c r="J7" s="9">
        <v>0</v>
      </c>
      <c r="K7" s="9">
        <v>1.2194007339393844E-2</v>
      </c>
      <c r="L7" s="9">
        <v>0</v>
      </c>
      <c r="M7" s="9">
        <v>0</v>
      </c>
      <c r="N7" s="9">
        <v>0</v>
      </c>
      <c r="O7" s="9">
        <v>0</v>
      </c>
      <c r="P7" s="9">
        <v>0.15102655957040612</v>
      </c>
      <c r="Q7" s="9">
        <v>1.2194007339393844E-2</v>
      </c>
      <c r="R7" s="9">
        <v>4.8776029357575378E-2</v>
      </c>
      <c r="S7" s="9">
        <v>1.2194007339393844E-2</v>
      </c>
      <c r="T7" s="9">
        <v>2.4388014678787689E-2</v>
      </c>
      <c r="U7" s="9">
        <v>0</v>
      </c>
      <c r="V7" s="9">
        <v>0</v>
      </c>
      <c r="W7" s="9">
        <v>0.2808334846785151</v>
      </c>
      <c r="X7" s="9">
        <v>1.5149717156657775E-2</v>
      </c>
      <c r="Y7" s="9">
        <v>0.22597745258993496</v>
      </c>
      <c r="Z7" s="9">
        <v>0</v>
      </c>
      <c r="AA7" s="9">
        <v>0</v>
      </c>
      <c r="AB7" s="9">
        <v>0</v>
      </c>
    </row>
    <row r="8" spans="1:28" x14ac:dyDescent="0.3">
      <c r="A8" t="s">
        <v>12</v>
      </c>
      <c r="B8" t="s">
        <v>21</v>
      </c>
      <c r="C8" s="9">
        <v>2.4389870318773949E-2</v>
      </c>
      <c r="D8" s="9">
        <v>1.2194935159386975E-2</v>
      </c>
      <c r="E8" s="9">
        <v>1.2194935159386975E-2</v>
      </c>
      <c r="F8" s="9">
        <v>0</v>
      </c>
      <c r="G8" s="9">
        <v>1.2194935159386975E-2</v>
      </c>
      <c r="H8" s="9">
        <v>5.0310142004735152E-2</v>
      </c>
      <c r="I8" s="9">
        <v>1.2194935159386975E-2</v>
      </c>
      <c r="J8" s="9">
        <v>0</v>
      </c>
      <c r="K8" s="9">
        <v>1.2194935159386975E-2</v>
      </c>
      <c r="L8" s="9">
        <v>1.2194935159386975E-2</v>
      </c>
      <c r="M8" s="9">
        <v>0</v>
      </c>
      <c r="N8" s="9">
        <v>1.2194935159386975E-2</v>
      </c>
      <c r="O8" s="9">
        <v>1.3239511053877672E-2</v>
      </c>
      <c r="P8" s="9">
        <v>8.5364546115708831E-2</v>
      </c>
      <c r="Q8" s="9">
        <v>9.6352748279770403E-3</v>
      </c>
      <c r="R8" s="9">
        <v>4.8779740637547898E-2</v>
      </c>
      <c r="S8" s="9">
        <v>1.2194935159386975E-2</v>
      </c>
      <c r="T8" s="9">
        <v>2.4389870318773949E-2</v>
      </c>
      <c r="U8" s="9">
        <v>1.2194935159386975E-2</v>
      </c>
      <c r="V8" s="9">
        <v>1.2194935159386975E-2</v>
      </c>
      <c r="W8" s="9">
        <v>0.34145818446283532</v>
      </c>
      <c r="X8" s="9">
        <v>1.2194935159386975E-2</v>
      </c>
      <c r="Y8" s="9">
        <v>0.26828857350651347</v>
      </c>
      <c r="Z8" s="9">
        <v>0</v>
      </c>
      <c r="AA8" s="9">
        <v>0</v>
      </c>
      <c r="AB8" s="9">
        <v>0</v>
      </c>
    </row>
    <row r="9" spans="1:28" x14ac:dyDescent="0.3">
      <c r="A9" t="s">
        <v>12</v>
      </c>
      <c r="B9" t="s">
        <v>22</v>
      </c>
      <c r="C9" s="9">
        <v>2.4389870318773949E-2</v>
      </c>
      <c r="D9" s="9">
        <v>1.2194935159386975E-2</v>
      </c>
      <c r="E9" s="9">
        <v>1.2194935159386975E-2</v>
      </c>
      <c r="F9" s="9">
        <v>0</v>
      </c>
      <c r="G9" s="9">
        <v>1.2194935159386975E-2</v>
      </c>
      <c r="H9" s="9">
        <v>5.0310142004735152E-2</v>
      </c>
      <c r="I9" s="9">
        <v>1.2194935159386975E-2</v>
      </c>
      <c r="J9" s="9">
        <v>0</v>
      </c>
      <c r="K9" s="9">
        <v>1.2194935159386975E-2</v>
      </c>
      <c r="L9" s="9">
        <v>1.2194935159386975E-2</v>
      </c>
      <c r="M9" s="9">
        <v>0</v>
      </c>
      <c r="N9" s="9">
        <v>1.2194935159386975E-2</v>
      </c>
      <c r="O9" s="9">
        <v>1.3239511053877672E-2</v>
      </c>
      <c r="P9" s="9">
        <v>8.5364546115708831E-2</v>
      </c>
      <c r="Q9" s="9">
        <v>9.6352748279770403E-3</v>
      </c>
      <c r="R9" s="9">
        <v>4.8779740637547898E-2</v>
      </c>
      <c r="S9" s="9">
        <v>1.2194935159386975E-2</v>
      </c>
      <c r="T9" s="9">
        <v>2.4389870318773949E-2</v>
      </c>
      <c r="U9" s="9">
        <v>1.2194935159386975E-2</v>
      </c>
      <c r="V9" s="9">
        <v>1.2194935159386975E-2</v>
      </c>
      <c r="W9" s="9">
        <v>0.34145818446283532</v>
      </c>
      <c r="X9" s="9">
        <v>1.2194935159386975E-2</v>
      </c>
      <c r="Y9" s="9">
        <v>0.26828857350651347</v>
      </c>
      <c r="Z9" s="9">
        <v>0</v>
      </c>
      <c r="AA9" s="9">
        <v>0</v>
      </c>
      <c r="AB9" s="9">
        <v>0</v>
      </c>
    </row>
    <row r="10" spans="1:28" x14ac:dyDescent="0.3">
      <c r="A10" t="s">
        <v>12</v>
      </c>
      <c r="B10" t="s">
        <v>23</v>
      </c>
      <c r="C10" s="9">
        <v>2.4389870318773949E-2</v>
      </c>
      <c r="D10" s="9">
        <v>1.2194935159386975E-2</v>
      </c>
      <c r="E10" s="9">
        <v>1.2194935159386975E-2</v>
      </c>
      <c r="F10" s="9">
        <v>0</v>
      </c>
      <c r="G10" s="9">
        <v>1.2194935159386975E-2</v>
      </c>
      <c r="H10" s="9">
        <v>5.0310142004735152E-2</v>
      </c>
      <c r="I10" s="9">
        <v>1.2194935159386975E-2</v>
      </c>
      <c r="J10" s="9">
        <v>0</v>
      </c>
      <c r="K10" s="9">
        <v>1.2194935159386975E-2</v>
      </c>
      <c r="L10" s="9">
        <v>1.2194935159386975E-2</v>
      </c>
      <c r="M10" s="9">
        <v>0</v>
      </c>
      <c r="N10" s="9">
        <v>1.2194935159386975E-2</v>
      </c>
      <c r="O10" s="9">
        <v>1.3239511053877672E-2</v>
      </c>
      <c r="P10" s="9">
        <v>8.5364546115708831E-2</v>
      </c>
      <c r="Q10" s="9">
        <v>9.6352748279770403E-3</v>
      </c>
      <c r="R10" s="9">
        <v>4.8779740637547898E-2</v>
      </c>
      <c r="S10" s="9">
        <v>1.2194935159386975E-2</v>
      </c>
      <c r="T10" s="9">
        <v>2.4389870318773949E-2</v>
      </c>
      <c r="U10" s="9">
        <v>1.2194935159386975E-2</v>
      </c>
      <c r="V10" s="9">
        <v>1.2194935159386975E-2</v>
      </c>
      <c r="W10" s="9">
        <v>0.34145818446283532</v>
      </c>
      <c r="X10" s="9">
        <v>1.2194935159386975E-2</v>
      </c>
      <c r="Y10" s="9">
        <v>0.26828857350651347</v>
      </c>
      <c r="Z10" s="9">
        <v>0</v>
      </c>
      <c r="AA10" s="9">
        <v>0</v>
      </c>
      <c r="AB10" s="9">
        <v>0</v>
      </c>
    </row>
    <row r="11" spans="1:28" x14ac:dyDescent="0.3">
      <c r="A11" t="s">
        <v>12</v>
      </c>
      <c r="B11" t="s">
        <v>27</v>
      </c>
      <c r="C11" s="9">
        <v>2.4389870318773949E-2</v>
      </c>
      <c r="D11" s="9">
        <v>1.2194935159386975E-2</v>
      </c>
      <c r="E11" s="9">
        <v>1.2194935159386975E-2</v>
      </c>
      <c r="F11" s="9">
        <v>0</v>
      </c>
      <c r="G11" s="9">
        <v>1.2194935159386975E-2</v>
      </c>
      <c r="H11" s="9">
        <v>5.0310142004735152E-2</v>
      </c>
      <c r="I11" s="9">
        <v>1.2194935159386975E-2</v>
      </c>
      <c r="J11" s="9">
        <v>0</v>
      </c>
      <c r="K11" s="9">
        <v>1.2194935159386975E-2</v>
      </c>
      <c r="L11" s="9">
        <v>1.2194935159386975E-2</v>
      </c>
      <c r="M11" s="9">
        <v>0</v>
      </c>
      <c r="N11" s="9">
        <v>1.2194935159386975E-2</v>
      </c>
      <c r="O11" s="9">
        <v>1.3239511053877672E-2</v>
      </c>
      <c r="P11" s="9">
        <v>8.5364546115708831E-2</v>
      </c>
      <c r="Q11" s="9">
        <v>9.6352748279770403E-3</v>
      </c>
      <c r="R11" s="9">
        <v>4.8779740637547898E-2</v>
      </c>
      <c r="S11" s="9">
        <v>1.2194935159386975E-2</v>
      </c>
      <c r="T11" s="9">
        <v>2.4389870318773949E-2</v>
      </c>
      <c r="U11" s="9">
        <v>1.2194935159386975E-2</v>
      </c>
      <c r="V11" s="9">
        <v>1.2194935159386975E-2</v>
      </c>
      <c r="W11" s="9">
        <v>0.34145818446283532</v>
      </c>
      <c r="X11" s="9">
        <v>1.2194935159386975E-2</v>
      </c>
      <c r="Y11" s="9">
        <v>0.26828857350651347</v>
      </c>
      <c r="Z11" s="9">
        <v>0</v>
      </c>
      <c r="AA11" s="9">
        <v>0</v>
      </c>
      <c r="AB11" s="9">
        <v>0</v>
      </c>
    </row>
    <row r="12" spans="1:28" x14ac:dyDescent="0.3">
      <c r="A12" t="s">
        <v>12</v>
      </c>
      <c r="B12" t="s">
        <v>32</v>
      </c>
      <c r="C12" s="9">
        <v>2.4389870318773949E-2</v>
      </c>
      <c r="D12" s="9">
        <v>1.2194935159386975E-2</v>
      </c>
      <c r="E12" s="9">
        <v>1.2194935159386975E-2</v>
      </c>
      <c r="F12" s="9">
        <v>0</v>
      </c>
      <c r="G12" s="9">
        <v>1.2194935159386975E-2</v>
      </c>
      <c r="H12" s="9">
        <v>5.0310142004735152E-2</v>
      </c>
      <c r="I12" s="9">
        <v>1.2194935159386975E-2</v>
      </c>
      <c r="J12" s="9">
        <v>0</v>
      </c>
      <c r="K12" s="9">
        <v>1.2194935159386975E-2</v>
      </c>
      <c r="L12" s="9">
        <v>1.2194935159386975E-2</v>
      </c>
      <c r="M12" s="9">
        <v>0</v>
      </c>
      <c r="N12" s="9">
        <v>1.2194935159386975E-2</v>
      </c>
      <c r="O12" s="9">
        <v>1.3239511053877672E-2</v>
      </c>
      <c r="P12" s="9">
        <v>8.5364546115708831E-2</v>
      </c>
      <c r="Q12" s="9">
        <v>9.6352748279770403E-3</v>
      </c>
      <c r="R12" s="9">
        <v>4.8779740637547898E-2</v>
      </c>
      <c r="S12" s="9">
        <v>1.2194935159386975E-2</v>
      </c>
      <c r="T12" s="9">
        <v>2.4389870318773949E-2</v>
      </c>
      <c r="U12" s="9">
        <v>1.2194935159386975E-2</v>
      </c>
      <c r="V12" s="9">
        <v>1.2194935159386975E-2</v>
      </c>
      <c r="W12" s="9">
        <v>0.34145818446283532</v>
      </c>
      <c r="X12" s="9">
        <v>1.2194935159386975E-2</v>
      </c>
      <c r="Y12" s="9">
        <v>0.26828857350651347</v>
      </c>
      <c r="Z12" s="9">
        <v>0</v>
      </c>
      <c r="AA12" s="9">
        <v>0</v>
      </c>
      <c r="AB12" s="9">
        <v>0</v>
      </c>
    </row>
    <row r="13" spans="1:28" x14ac:dyDescent="0.3">
      <c r="A13" t="s">
        <v>12</v>
      </c>
      <c r="B13" t="s">
        <v>15</v>
      </c>
      <c r="C13" s="9">
        <v>2.4389870318773949E-2</v>
      </c>
      <c r="D13" s="9">
        <v>1.2194935159386975E-2</v>
      </c>
      <c r="E13" s="9">
        <v>1.2194935159386975E-2</v>
      </c>
      <c r="F13" s="9">
        <v>0</v>
      </c>
      <c r="G13" s="9">
        <v>1.2194935159386975E-2</v>
      </c>
      <c r="H13" s="9">
        <v>5.0310142004735152E-2</v>
      </c>
      <c r="I13" s="9">
        <v>1.2194935159386975E-2</v>
      </c>
      <c r="J13" s="9">
        <v>0</v>
      </c>
      <c r="K13" s="9">
        <v>1.2194935159386975E-2</v>
      </c>
      <c r="L13" s="9">
        <v>1.2194935159386975E-2</v>
      </c>
      <c r="M13" s="9">
        <v>0</v>
      </c>
      <c r="N13" s="9">
        <v>1.2194935159386975E-2</v>
      </c>
      <c r="O13" s="9">
        <v>1.3239511053877672E-2</v>
      </c>
      <c r="P13" s="9">
        <v>8.5364546115708831E-2</v>
      </c>
      <c r="Q13" s="9">
        <v>9.6352748279770403E-3</v>
      </c>
      <c r="R13" s="9">
        <v>4.8779740637547898E-2</v>
      </c>
      <c r="S13" s="9">
        <v>1.2194935159386975E-2</v>
      </c>
      <c r="T13" s="9">
        <v>2.4389870318773949E-2</v>
      </c>
      <c r="U13" s="9">
        <v>1.2194935159386975E-2</v>
      </c>
      <c r="V13" s="9">
        <v>1.2194935159386975E-2</v>
      </c>
      <c r="W13" s="9">
        <v>0.34145818446283532</v>
      </c>
      <c r="X13" s="9">
        <v>1.2194935159386975E-2</v>
      </c>
      <c r="Y13" s="9">
        <v>0.26828857350651347</v>
      </c>
      <c r="Z13" s="9">
        <v>0</v>
      </c>
      <c r="AA13" s="9">
        <v>0</v>
      </c>
      <c r="AB13" s="9">
        <v>0</v>
      </c>
    </row>
    <row r="14" spans="1:28" x14ac:dyDescent="0.3">
      <c r="A14" t="s">
        <v>69</v>
      </c>
      <c r="B14" t="s">
        <v>124</v>
      </c>
      <c r="C14" s="9">
        <v>0</v>
      </c>
      <c r="D14" s="9">
        <v>3.3299275869560488E-3</v>
      </c>
      <c r="E14" s="9">
        <v>0</v>
      </c>
      <c r="F14" s="9">
        <v>0</v>
      </c>
      <c r="G14" s="9">
        <v>0</v>
      </c>
      <c r="H14" s="9">
        <v>2.0138546937758208E-2</v>
      </c>
      <c r="I14" s="9">
        <v>0</v>
      </c>
      <c r="J14" s="9">
        <v>7.2044027593464038E-3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6.2405134361561219E-2</v>
      </c>
      <c r="Q14" s="9">
        <v>0</v>
      </c>
      <c r="R14" s="9">
        <v>1.6649637934780241E-2</v>
      </c>
      <c r="S14" s="9">
        <v>4.9948913804340727E-3</v>
      </c>
      <c r="T14" s="9">
        <v>1.3319710347824195E-2</v>
      </c>
      <c r="U14" s="9">
        <v>0</v>
      </c>
      <c r="V14" s="9">
        <v>0</v>
      </c>
      <c r="W14" s="9">
        <v>9.9897827608681454E-3</v>
      </c>
      <c r="X14" s="9">
        <v>0</v>
      </c>
      <c r="Y14" s="9">
        <v>7.009202711717917E-2</v>
      </c>
      <c r="Z14" s="9">
        <v>0</v>
      </c>
      <c r="AA14" s="9">
        <v>0</v>
      </c>
      <c r="AB14" s="9">
        <v>0.79187593881329232</v>
      </c>
    </row>
    <row r="15" spans="1:28" x14ac:dyDescent="0.3">
      <c r="A15" t="s">
        <v>69</v>
      </c>
      <c r="B15" t="s">
        <v>30</v>
      </c>
      <c r="C15" s="9">
        <v>0</v>
      </c>
      <c r="D15" s="9">
        <v>3.3299275869560488E-3</v>
      </c>
      <c r="E15" s="9">
        <v>0</v>
      </c>
      <c r="F15" s="9">
        <v>0</v>
      </c>
      <c r="G15" s="9">
        <v>0</v>
      </c>
      <c r="H15" s="9">
        <v>2.0138546937758208E-2</v>
      </c>
      <c r="I15" s="9">
        <v>0</v>
      </c>
      <c r="J15" s="9">
        <v>7.2044027593464038E-3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6.2405134361561219E-2</v>
      </c>
      <c r="Q15" s="9">
        <v>0</v>
      </c>
      <c r="R15" s="9">
        <v>1.6649637934780241E-2</v>
      </c>
      <c r="S15" s="9">
        <v>4.9948913804340727E-3</v>
      </c>
      <c r="T15" s="9">
        <v>1.3319710347824195E-2</v>
      </c>
      <c r="U15" s="9">
        <v>0</v>
      </c>
      <c r="V15" s="9">
        <v>0</v>
      </c>
      <c r="W15" s="9">
        <v>9.9897827608681454E-3</v>
      </c>
      <c r="X15" s="9">
        <v>0</v>
      </c>
      <c r="Y15" s="9">
        <v>7.009202711717917E-2</v>
      </c>
      <c r="Z15" s="9">
        <v>0</v>
      </c>
      <c r="AA15" s="9">
        <v>0</v>
      </c>
      <c r="AB15" s="9">
        <v>0.79187593881329232</v>
      </c>
    </row>
    <row r="16" spans="1:28" x14ac:dyDescent="0.3">
      <c r="A16" t="s">
        <v>69</v>
      </c>
      <c r="B16" t="s">
        <v>127</v>
      </c>
      <c r="C16" s="9">
        <v>0</v>
      </c>
      <c r="D16" s="9">
        <v>3.3299275869560488E-3</v>
      </c>
      <c r="E16" s="9">
        <v>0</v>
      </c>
      <c r="F16" s="9">
        <v>0</v>
      </c>
      <c r="G16" s="9">
        <v>0</v>
      </c>
      <c r="H16" s="9">
        <v>2.0138546937758208E-2</v>
      </c>
      <c r="I16" s="9">
        <v>0</v>
      </c>
      <c r="J16" s="9">
        <v>7.2044027593464038E-3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6.2405134361561219E-2</v>
      </c>
      <c r="Q16" s="9">
        <v>0</v>
      </c>
      <c r="R16" s="9">
        <v>1.6649637934780241E-2</v>
      </c>
      <c r="S16" s="9">
        <v>4.9948913804340727E-3</v>
      </c>
      <c r="T16" s="9">
        <v>1.3319710347824195E-2</v>
      </c>
      <c r="U16" s="9">
        <v>0</v>
      </c>
      <c r="V16" s="9">
        <v>0</v>
      </c>
      <c r="W16" s="9">
        <v>9.9897827608681454E-3</v>
      </c>
      <c r="X16" s="9">
        <v>0</v>
      </c>
      <c r="Y16" s="9">
        <v>7.009202711717917E-2</v>
      </c>
      <c r="Z16" s="9">
        <v>0</v>
      </c>
      <c r="AA16" s="9">
        <v>0</v>
      </c>
      <c r="AB16" s="9">
        <v>0.79187593881329232</v>
      </c>
    </row>
    <row r="17" spans="1:28" x14ac:dyDescent="0.3">
      <c r="A17" t="s">
        <v>69</v>
      </c>
      <c r="B17" t="s">
        <v>128</v>
      </c>
      <c r="C17" s="9">
        <v>0</v>
      </c>
      <c r="D17" s="9">
        <v>3.3299275869560488E-3</v>
      </c>
      <c r="E17" s="9">
        <v>0</v>
      </c>
      <c r="F17" s="9">
        <v>0</v>
      </c>
      <c r="G17" s="9">
        <v>0</v>
      </c>
      <c r="H17" s="9">
        <v>2.0138546937758208E-2</v>
      </c>
      <c r="I17" s="9">
        <v>0</v>
      </c>
      <c r="J17" s="9">
        <v>7.2044027593464038E-3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6.2405134361561219E-2</v>
      </c>
      <c r="Q17" s="9">
        <v>0</v>
      </c>
      <c r="R17" s="9">
        <v>1.6649637934780241E-2</v>
      </c>
      <c r="S17" s="9">
        <v>4.9948913804340727E-3</v>
      </c>
      <c r="T17" s="9">
        <v>1.3319710347824195E-2</v>
      </c>
      <c r="U17" s="9">
        <v>0</v>
      </c>
      <c r="V17" s="9">
        <v>0</v>
      </c>
      <c r="W17" s="9">
        <v>9.9897827608681454E-3</v>
      </c>
      <c r="X17" s="9">
        <v>0</v>
      </c>
      <c r="Y17" s="9">
        <v>7.009202711717917E-2</v>
      </c>
      <c r="Z17" s="9">
        <v>0</v>
      </c>
      <c r="AA17" s="9">
        <v>0</v>
      </c>
      <c r="AB17" s="9">
        <v>0.79187593881329232</v>
      </c>
    </row>
    <row r="18" spans="1:28" x14ac:dyDescent="0.3">
      <c r="A18" t="s">
        <v>69</v>
      </c>
      <c r="B18" t="s">
        <v>129</v>
      </c>
      <c r="C18" s="9">
        <v>0</v>
      </c>
      <c r="D18" s="9">
        <v>3.3299275869560488E-3</v>
      </c>
      <c r="E18" s="9">
        <v>0</v>
      </c>
      <c r="F18" s="9">
        <v>0</v>
      </c>
      <c r="G18" s="9">
        <v>0</v>
      </c>
      <c r="H18" s="9">
        <v>2.0138546937758208E-2</v>
      </c>
      <c r="I18" s="9">
        <v>0</v>
      </c>
      <c r="J18" s="9">
        <v>7.2044027593464038E-3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6.2405134361561219E-2</v>
      </c>
      <c r="Q18" s="9">
        <v>0</v>
      </c>
      <c r="R18" s="9">
        <v>1.6649637934780241E-2</v>
      </c>
      <c r="S18" s="9">
        <v>4.9948913804340727E-3</v>
      </c>
      <c r="T18" s="9">
        <v>1.3319710347824195E-2</v>
      </c>
      <c r="U18" s="9">
        <v>0</v>
      </c>
      <c r="V18" s="9">
        <v>0</v>
      </c>
      <c r="W18" s="9">
        <v>9.9897827608681454E-3</v>
      </c>
      <c r="X18" s="9">
        <v>0</v>
      </c>
      <c r="Y18" s="9">
        <v>7.009202711717917E-2</v>
      </c>
      <c r="Z18" s="9">
        <v>0</v>
      </c>
      <c r="AA18" s="9">
        <v>0</v>
      </c>
      <c r="AB18" s="9">
        <v>0.79187593881329232</v>
      </c>
    </row>
    <row r="19" spans="1:28" x14ac:dyDescent="0.3">
      <c r="A19" t="s">
        <v>69</v>
      </c>
      <c r="B19" t="s">
        <v>120</v>
      </c>
      <c r="C19" s="9">
        <v>0</v>
      </c>
      <c r="D19" s="9">
        <v>3.3299275869560488E-3</v>
      </c>
      <c r="E19" s="9">
        <v>0</v>
      </c>
      <c r="F19" s="9">
        <v>0</v>
      </c>
      <c r="G19" s="9">
        <v>0</v>
      </c>
      <c r="H19" s="9">
        <v>2.0138546937758208E-2</v>
      </c>
      <c r="I19" s="9">
        <v>0</v>
      </c>
      <c r="J19" s="9">
        <v>7.2044027593464038E-3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6.2405134361561219E-2</v>
      </c>
      <c r="Q19" s="9">
        <v>0</v>
      </c>
      <c r="R19" s="9">
        <v>1.6649637934780241E-2</v>
      </c>
      <c r="S19" s="9">
        <v>4.9948913804340727E-3</v>
      </c>
      <c r="T19" s="9">
        <v>1.3319710347824195E-2</v>
      </c>
      <c r="U19" s="9">
        <v>0</v>
      </c>
      <c r="V19" s="9">
        <v>0</v>
      </c>
      <c r="W19" s="9">
        <v>9.9897827608681454E-3</v>
      </c>
      <c r="X19" s="9">
        <v>0</v>
      </c>
      <c r="Y19" s="9">
        <v>7.009202711717917E-2</v>
      </c>
      <c r="Z19" s="9">
        <v>0</v>
      </c>
      <c r="AA19" s="9">
        <v>0</v>
      </c>
      <c r="AB19" s="9">
        <v>0.79187593881329232</v>
      </c>
    </row>
    <row r="20" spans="1:28" x14ac:dyDescent="0.3">
      <c r="A20" t="s">
        <v>69</v>
      </c>
      <c r="B20" t="s">
        <v>24</v>
      </c>
      <c r="C20" s="9">
        <v>0</v>
      </c>
      <c r="D20" s="9">
        <v>3.3299275869560488E-3</v>
      </c>
      <c r="E20" s="9">
        <v>0</v>
      </c>
      <c r="F20" s="9">
        <v>0</v>
      </c>
      <c r="G20" s="9">
        <v>0</v>
      </c>
      <c r="H20" s="9">
        <v>2.0138546937758208E-2</v>
      </c>
      <c r="I20" s="9">
        <v>0</v>
      </c>
      <c r="J20" s="9">
        <v>7.2044027593464038E-3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6.2405134361561219E-2</v>
      </c>
      <c r="Q20" s="9">
        <v>0</v>
      </c>
      <c r="R20" s="9">
        <v>1.6649637934780241E-2</v>
      </c>
      <c r="S20" s="9">
        <v>4.9948913804340727E-3</v>
      </c>
      <c r="T20" s="9">
        <v>1.3319710347824195E-2</v>
      </c>
      <c r="U20" s="9">
        <v>0</v>
      </c>
      <c r="V20" s="9">
        <v>0</v>
      </c>
      <c r="W20" s="9">
        <v>9.9897827608681454E-3</v>
      </c>
      <c r="X20" s="9">
        <v>0</v>
      </c>
      <c r="Y20" s="9">
        <v>7.009202711717917E-2</v>
      </c>
      <c r="Z20" s="9">
        <v>0</v>
      </c>
      <c r="AA20" s="9">
        <v>0</v>
      </c>
      <c r="AB20" s="9">
        <v>0.79187593881329232</v>
      </c>
    </row>
    <row r="21" spans="1:28" x14ac:dyDescent="0.3">
      <c r="A21" t="s">
        <v>69</v>
      </c>
      <c r="B21" t="s">
        <v>135</v>
      </c>
      <c r="C21" s="9">
        <v>0</v>
      </c>
      <c r="D21" s="9">
        <v>3.3299275869560488E-3</v>
      </c>
      <c r="E21" s="9">
        <v>0</v>
      </c>
      <c r="F21" s="9">
        <v>0</v>
      </c>
      <c r="G21" s="9">
        <v>0</v>
      </c>
      <c r="H21" s="9">
        <v>2.0138546937758208E-2</v>
      </c>
      <c r="I21" s="9">
        <v>0</v>
      </c>
      <c r="J21" s="9">
        <v>7.2044027593464038E-3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6.2405134361561219E-2</v>
      </c>
      <c r="Q21" s="9">
        <v>0</v>
      </c>
      <c r="R21" s="9">
        <v>1.6649637934780241E-2</v>
      </c>
      <c r="S21" s="9">
        <v>4.9948913804340727E-3</v>
      </c>
      <c r="T21" s="9">
        <v>1.3319710347824195E-2</v>
      </c>
      <c r="U21" s="9">
        <v>0</v>
      </c>
      <c r="V21" s="9">
        <v>0</v>
      </c>
      <c r="W21" s="9">
        <v>9.9897827608681454E-3</v>
      </c>
      <c r="X21" s="9">
        <v>0</v>
      </c>
      <c r="Y21" s="9">
        <v>7.009202711717917E-2</v>
      </c>
      <c r="Z21" s="9">
        <v>0</v>
      </c>
      <c r="AA21" s="9">
        <v>0</v>
      </c>
      <c r="AB21" s="9">
        <v>0.79187593881329232</v>
      </c>
    </row>
    <row r="22" spans="1:28" x14ac:dyDescent="0.3">
      <c r="A22" t="s">
        <v>69</v>
      </c>
      <c r="B22" t="s">
        <v>34</v>
      </c>
      <c r="C22" s="9">
        <v>0</v>
      </c>
      <c r="D22" s="9">
        <v>3.3299275869560488E-3</v>
      </c>
      <c r="E22" s="9">
        <v>0</v>
      </c>
      <c r="F22" s="9">
        <v>0</v>
      </c>
      <c r="G22" s="9">
        <v>0</v>
      </c>
      <c r="H22" s="9">
        <v>2.0138546937758208E-2</v>
      </c>
      <c r="I22" s="9">
        <v>0</v>
      </c>
      <c r="J22" s="9">
        <v>7.2044027593464038E-3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6.2405134361561219E-2</v>
      </c>
      <c r="Q22" s="9">
        <v>0</v>
      </c>
      <c r="R22" s="9">
        <v>1.6649637934780241E-2</v>
      </c>
      <c r="S22" s="9">
        <v>4.9948913804340727E-3</v>
      </c>
      <c r="T22" s="9">
        <v>1.3319710347824195E-2</v>
      </c>
      <c r="U22" s="9">
        <v>0</v>
      </c>
      <c r="V22" s="9">
        <v>0</v>
      </c>
      <c r="W22" s="9">
        <v>9.9897827608681454E-3</v>
      </c>
      <c r="X22" s="9">
        <v>0</v>
      </c>
      <c r="Y22" s="9">
        <v>7.009202711717917E-2</v>
      </c>
      <c r="Z22" s="9">
        <v>0</v>
      </c>
      <c r="AA22" s="9">
        <v>0</v>
      </c>
      <c r="AB22" s="9">
        <v>0.79187593881329232</v>
      </c>
    </row>
    <row r="23" spans="1:28" x14ac:dyDescent="0.3">
      <c r="A23" t="s">
        <v>69</v>
      </c>
      <c r="B23" t="s">
        <v>35</v>
      </c>
      <c r="C23" s="9">
        <v>0</v>
      </c>
      <c r="D23" s="9">
        <v>3.3299275869560488E-3</v>
      </c>
      <c r="E23" s="9">
        <v>0</v>
      </c>
      <c r="F23" s="9">
        <v>0</v>
      </c>
      <c r="G23" s="9">
        <v>0</v>
      </c>
      <c r="H23" s="9">
        <v>2.0138546937758208E-2</v>
      </c>
      <c r="I23" s="9">
        <v>0</v>
      </c>
      <c r="J23" s="9">
        <v>7.2044027593464038E-3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6.2405134361561219E-2</v>
      </c>
      <c r="Q23" s="9">
        <v>0</v>
      </c>
      <c r="R23" s="9">
        <v>1.6649637934780241E-2</v>
      </c>
      <c r="S23" s="9">
        <v>4.9948913804340727E-3</v>
      </c>
      <c r="T23" s="9">
        <v>1.3319710347824195E-2</v>
      </c>
      <c r="U23" s="9">
        <v>0</v>
      </c>
      <c r="V23" s="9">
        <v>0</v>
      </c>
      <c r="W23" s="9">
        <v>9.9897827608681454E-3</v>
      </c>
      <c r="X23" s="9">
        <v>0</v>
      </c>
      <c r="Y23" s="9">
        <v>7.009202711717917E-2</v>
      </c>
      <c r="Z23" s="9">
        <v>0</v>
      </c>
      <c r="AA23" s="9">
        <v>0</v>
      </c>
      <c r="AB23" s="9">
        <v>0.79187593881329232</v>
      </c>
    </row>
    <row r="24" spans="1:28" x14ac:dyDescent="0.3">
      <c r="A24" t="s">
        <v>69</v>
      </c>
      <c r="B24" t="s">
        <v>36</v>
      </c>
      <c r="C24" s="9">
        <v>0</v>
      </c>
      <c r="D24" s="9">
        <v>3.3299275869560501E-3</v>
      </c>
      <c r="E24" s="9">
        <v>0</v>
      </c>
      <c r="F24" s="9">
        <v>0</v>
      </c>
      <c r="G24" s="9">
        <v>0</v>
      </c>
      <c r="H24" s="9">
        <v>2.0138546937758201E-2</v>
      </c>
      <c r="I24" s="9">
        <v>0</v>
      </c>
      <c r="J24" s="9">
        <v>7.2044027593464004E-3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6.2405134361561199E-2</v>
      </c>
      <c r="Q24" s="9">
        <v>0</v>
      </c>
      <c r="R24" s="9">
        <v>1.66496379347802E-2</v>
      </c>
      <c r="S24" s="9">
        <v>4.9948913804340701E-3</v>
      </c>
      <c r="T24" s="9">
        <v>1.33197103478242E-2</v>
      </c>
      <c r="U24" s="9">
        <v>0</v>
      </c>
      <c r="V24" s="9">
        <v>0</v>
      </c>
      <c r="W24" s="9">
        <v>9.9897827608681506E-3</v>
      </c>
      <c r="X24" s="9">
        <v>0</v>
      </c>
      <c r="Y24" s="9">
        <v>7.0092027117179198E-2</v>
      </c>
      <c r="Z24" s="9">
        <v>0</v>
      </c>
      <c r="AA24" s="9">
        <v>0</v>
      </c>
      <c r="AB24" s="9">
        <v>0.79187593881329199</v>
      </c>
    </row>
    <row r="25" spans="1:28" x14ac:dyDescent="0.3">
      <c r="A25" t="s">
        <v>69</v>
      </c>
      <c r="B25" t="s">
        <v>18</v>
      </c>
      <c r="C25" s="9">
        <v>0</v>
      </c>
      <c r="D25" s="9">
        <v>3.3299275869560488E-3</v>
      </c>
      <c r="E25" s="9">
        <v>0</v>
      </c>
      <c r="F25" s="9">
        <v>0</v>
      </c>
      <c r="G25" s="9">
        <v>0</v>
      </c>
      <c r="H25" s="9">
        <v>2.0138546937758208E-2</v>
      </c>
      <c r="I25" s="9">
        <v>0</v>
      </c>
      <c r="J25" s="9">
        <v>7.2044027593464038E-3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6.2405134361561219E-2</v>
      </c>
      <c r="Q25" s="9">
        <v>0</v>
      </c>
      <c r="R25" s="9">
        <v>1.6649637934780241E-2</v>
      </c>
      <c r="S25" s="9">
        <v>4.9948913804340727E-3</v>
      </c>
      <c r="T25" s="9">
        <v>1.3319710347824195E-2</v>
      </c>
      <c r="U25" s="9">
        <v>0</v>
      </c>
      <c r="V25" s="9">
        <v>0</v>
      </c>
      <c r="W25" s="9">
        <v>9.9897827608681454E-3</v>
      </c>
      <c r="X25" s="9">
        <v>0</v>
      </c>
      <c r="Y25" s="9">
        <v>7.009202711717917E-2</v>
      </c>
      <c r="Z25" s="9">
        <v>0</v>
      </c>
      <c r="AA25" s="9">
        <v>0</v>
      </c>
      <c r="AB25" s="9">
        <v>0.79187593881329232</v>
      </c>
    </row>
    <row r="26" spans="1:28" x14ac:dyDescent="0.3">
      <c r="A26" t="s">
        <v>69</v>
      </c>
      <c r="B26" t="s">
        <v>18</v>
      </c>
      <c r="C26" s="9">
        <v>0</v>
      </c>
      <c r="D26" s="9">
        <v>3.3299275869560488E-3</v>
      </c>
      <c r="E26" s="9">
        <v>0</v>
      </c>
      <c r="F26" s="9">
        <v>0</v>
      </c>
      <c r="G26" s="9">
        <v>0</v>
      </c>
      <c r="H26" s="9">
        <v>2.0138546937758208E-2</v>
      </c>
      <c r="I26" s="9">
        <v>0</v>
      </c>
      <c r="J26" s="9">
        <v>7.2044027593464038E-3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6.2405134361561219E-2</v>
      </c>
      <c r="Q26" s="9">
        <v>0</v>
      </c>
      <c r="R26" s="9">
        <v>1.6649637934780241E-2</v>
      </c>
      <c r="S26" s="9">
        <v>4.9948913804340727E-3</v>
      </c>
      <c r="T26" s="9">
        <v>1.3319710347824195E-2</v>
      </c>
      <c r="U26" s="9">
        <v>0</v>
      </c>
      <c r="V26" s="9">
        <v>0</v>
      </c>
      <c r="W26" s="9">
        <v>9.9897827608681454E-3</v>
      </c>
      <c r="X26" s="9">
        <v>0</v>
      </c>
      <c r="Y26" s="9">
        <v>7.009202711717917E-2</v>
      </c>
      <c r="Z26" s="9">
        <v>0</v>
      </c>
      <c r="AA26" s="9">
        <v>0</v>
      </c>
      <c r="AB26" s="9">
        <v>0.79187593881329232</v>
      </c>
    </row>
    <row r="27" spans="1:28" x14ac:dyDescent="0.3">
      <c r="A27" t="s">
        <v>69</v>
      </c>
      <c r="B27" t="s">
        <v>121</v>
      </c>
      <c r="C27" s="9">
        <v>0</v>
      </c>
      <c r="D27" s="9">
        <v>3.3299426404357251E-3</v>
      </c>
      <c r="E27" s="9">
        <v>0</v>
      </c>
      <c r="F27" s="9">
        <v>0</v>
      </c>
      <c r="G27" s="9">
        <v>0</v>
      </c>
      <c r="H27" s="9">
        <v>2.3866732025892779E-2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5.9380900340398494E-2</v>
      </c>
      <c r="Q27" s="9">
        <v>0</v>
      </c>
      <c r="R27" s="9">
        <v>1.6649713202178625E-2</v>
      </c>
      <c r="S27" s="9">
        <v>4.9949139606535872E-3</v>
      </c>
      <c r="T27" s="9">
        <v>1.33197705617429E-2</v>
      </c>
      <c r="U27" s="9">
        <v>0</v>
      </c>
      <c r="V27" s="9">
        <v>0</v>
      </c>
      <c r="W27" s="9">
        <v>9.9898279213071744E-3</v>
      </c>
      <c r="X27" s="9">
        <v>0</v>
      </c>
      <c r="Y27" s="9">
        <v>7.6588680730021688E-2</v>
      </c>
      <c r="Z27" s="9">
        <v>0</v>
      </c>
      <c r="AA27" s="9">
        <v>0</v>
      </c>
      <c r="AB27" s="9">
        <v>0.79187951861736916</v>
      </c>
    </row>
    <row r="28" spans="1:28" x14ac:dyDescent="0.3">
      <c r="A28" t="s">
        <v>69</v>
      </c>
      <c r="B28" t="s">
        <v>21</v>
      </c>
      <c r="C28" s="9">
        <v>0</v>
      </c>
      <c r="D28" s="9">
        <v>3.3299426404357251E-3</v>
      </c>
      <c r="E28" s="9">
        <v>0</v>
      </c>
      <c r="F28" s="9">
        <v>0</v>
      </c>
      <c r="G28" s="9">
        <v>0</v>
      </c>
      <c r="H28" s="9">
        <v>2.3866732025892779E-2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5.9380900340398494E-2</v>
      </c>
      <c r="Q28" s="9">
        <v>0</v>
      </c>
      <c r="R28" s="9">
        <v>1.6649713202178625E-2</v>
      </c>
      <c r="S28" s="9">
        <v>4.9949139606535872E-3</v>
      </c>
      <c r="T28" s="9">
        <v>1.33197705617429E-2</v>
      </c>
      <c r="U28" s="9">
        <v>0</v>
      </c>
      <c r="V28" s="9">
        <v>0</v>
      </c>
      <c r="W28" s="9">
        <v>9.9898279213071744E-3</v>
      </c>
      <c r="X28" s="9">
        <v>0</v>
      </c>
      <c r="Y28" s="9">
        <v>7.6588680730021688E-2</v>
      </c>
      <c r="Z28" s="9">
        <v>0</v>
      </c>
      <c r="AA28" s="9">
        <v>0</v>
      </c>
      <c r="AB28" s="9">
        <v>0.79187951861736916</v>
      </c>
    </row>
    <row r="29" spans="1:28" x14ac:dyDescent="0.3">
      <c r="A29" t="s">
        <v>69</v>
      </c>
      <c r="B29" t="s">
        <v>22</v>
      </c>
      <c r="C29" s="9">
        <v>0</v>
      </c>
      <c r="D29" s="9">
        <v>3.3299426404357251E-3</v>
      </c>
      <c r="E29" s="9">
        <v>0</v>
      </c>
      <c r="F29" s="9">
        <v>0</v>
      </c>
      <c r="G29" s="9">
        <v>0</v>
      </c>
      <c r="H29" s="9">
        <v>2.3866732025892779E-2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5.9380900340398494E-2</v>
      </c>
      <c r="Q29" s="9">
        <v>0</v>
      </c>
      <c r="R29" s="9">
        <v>1.6649713202178625E-2</v>
      </c>
      <c r="S29" s="9">
        <v>4.9949139606535872E-3</v>
      </c>
      <c r="T29" s="9">
        <v>1.33197705617429E-2</v>
      </c>
      <c r="U29" s="9">
        <v>0</v>
      </c>
      <c r="V29" s="9">
        <v>0</v>
      </c>
      <c r="W29" s="9">
        <v>9.9898279213071744E-3</v>
      </c>
      <c r="X29" s="9">
        <v>0</v>
      </c>
      <c r="Y29" s="9">
        <v>7.6588680730021688E-2</v>
      </c>
      <c r="Z29" s="9">
        <v>0</v>
      </c>
      <c r="AA29" s="9">
        <v>0</v>
      </c>
      <c r="AB29" s="9">
        <v>0.79187951861736916</v>
      </c>
    </row>
    <row r="30" spans="1:28" x14ac:dyDescent="0.3">
      <c r="A30" t="s">
        <v>69</v>
      </c>
      <c r="B30" t="s">
        <v>23</v>
      </c>
      <c r="C30" s="9">
        <v>0</v>
      </c>
      <c r="D30" s="9">
        <v>3.3299426404357251E-3</v>
      </c>
      <c r="E30" s="9">
        <v>0</v>
      </c>
      <c r="F30" s="9">
        <v>0</v>
      </c>
      <c r="G30" s="9">
        <v>0</v>
      </c>
      <c r="H30" s="9">
        <v>2.3866732025892779E-2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5.9380900340398494E-2</v>
      </c>
      <c r="Q30" s="9">
        <v>0</v>
      </c>
      <c r="R30" s="9">
        <v>1.6649713202178625E-2</v>
      </c>
      <c r="S30" s="9">
        <v>4.9949139606535872E-3</v>
      </c>
      <c r="T30" s="9">
        <v>1.33197705617429E-2</v>
      </c>
      <c r="U30" s="9">
        <v>0</v>
      </c>
      <c r="V30" s="9">
        <v>0</v>
      </c>
      <c r="W30" s="9">
        <v>9.9898279213071744E-3</v>
      </c>
      <c r="X30" s="9">
        <v>0</v>
      </c>
      <c r="Y30" s="9">
        <v>7.6588680730021688E-2</v>
      </c>
      <c r="Z30" s="9">
        <v>0</v>
      </c>
      <c r="AA30" s="9">
        <v>0</v>
      </c>
      <c r="AB30" s="9">
        <v>0.79187951861736916</v>
      </c>
    </row>
    <row r="31" spans="1:28" x14ac:dyDescent="0.3">
      <c r="A31" t="s">
        <v>69</v>
      </c>
      <c r="B31" t="s">
        <v>122</v>
      </c>
      <c r="C31" s="9">
        <v>0</v>
      </c>
      <c r="D31" s="9">
        <v>3.3299426404357251E-3</v>
      </c>
      <c r="E31" s="9">
        <v>0</v>
      </c>
      <c r="F31" s="9">
        <v>0</v>
      </c>
      <c r="G31" s="9">
        <v>0</v>
      </c>
      <c r="H31" s="9">
        <v>2.3866732025892779E-2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5.9380900340398494E-2</v>
      </c>
      <c r="Q31" s="9">
        <v>0</v>
      </c>
      <c r="R31" s="9">
        <v>1.6649713202178625E-2</v>
      </c>
      <c r="S31" s="9">
        <v>4.9949139606535872E-3</v>
      </c>
      <c r="T31" s="9">
        <v>1.33197705617429E-2</v>
      </c>
      <c r="U31" s="9">
        <v>0</v>
      </c>
      <c r="V31" s="9">
        <v>0</v>
      </c>
      <c r="W31" s="9">
        <v>9.9898279213071744E-3</v>
      </c>
      <c r="X31" s="9">
        <v>0</v>
      </c>
      <c r="Y31" s="9">
        <v>7.6588680730021688E-2</v>
      </c>
      <c r="Z31" s="9">
        <v>0</v>
      </c>
      <c r="AA31" s="9">
        <v>0</v>
      </c>
      <c r="AB31" s="9">
        <v>0.79187951861736916</v>
      </c>
    </row>
    <row r="32" spans="1:28" x14ac:dyDescent="0.3">
      <c r="A32" t="s">
        <v>69</v>
      </c>
      <c r="B32" t="s">
        <v>123</v>
      </c>
      <c r="C32" s="9">
        <v>0</v>
      </c>
      <c r="D32" s="9">
        <v>3.3299426404357251E-3</v>
      </c>
      <c r="E32" s="9">
        <v>0</v>
      </c>
      <c r="F32" s="9">
        <v>0</v>
      </c>
      <c r="G32" s="9">
        <v>0</v>
      </c>
      <c r="H32" s="9">
        <v>2.3866732025892779E-2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5.9380900340398494E-2</v>
      </c>
      <c r="Q32" s="9">
        <v>0</v>
      </c>
      <c r="R32" s="9">
        <v>1.6649713202178625E-2</v>
      </c>
      <c r="S32" s="9">
        <v>4.9949139606535872E-3</v>
      </c>
      <c r="T32" s="9">
        <v>1.33197705617429E-2</v>
      </c>
      <c r="U32" s="9">
        <v>0</v>
      </c>
      <c r="V32" s="9">
        <v>0</v>
      </c>
      <c r="W32" s="9">
        <v>9.9898279213071744E-3</v>
      </c>
      <c r="X32" s="9">
        <v>0</v>
      </c>
      <c r="Y32" s="9">
        <v>7.6588680730021688E-2</v>
      </c>
      <c r="Z32" s="9">
        <v>0</v>
      </c>
      <c r="AA32" s="9">
        <v>0</v>
      </c>
      <c r="AB32" s="9">
        <v>0.79187951861736916</v>
      </c>
    </row>
    <row r="33" spans="1:28" x14ac:dyDescent="0.3">
      <c r="A33" t="s">
        <v>69</v>
      </c>
      <c r="B33" t="s">
        <v>125</v>
      </c>
      <c r="C33" s="9">
        <v>0</v>
      </c>
      <c r="D33" s="9">
        <v>3.3299426404357251E-3</v>
      </c>
      <c r="E33" s="9">
        <v>0</v>
      </c>
      <c r="F33" s="9">
        <v>0</v>
      </c>
      <c r="G33" s="9">
        <v>0</v>
      </c>
      <c r="H33" s="9">
        <v>2.3866732025892779E-2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5.9380900340398494E-2</v>
      </c>
      <c r="Q33" s="9">
        <v>0</v>
      </c>
      <c r="R33" s="9">
        <v>1.6649713202178625E-2</v>
      </c>
      <c r="S33" s="9">
        <v>4.9949139606535872E-3</v>
      </c>
      <c r="T33" s="9">
        <v>1.33197705617429E-2</v>
      </c>
      <c r="U33" s="9">
        <v>0</v>
      </c>
      <c r="V33" s="9">
        <v>0</v>
      </c>
      <c r="W33" s="9">
        <v>9.9898279213071744E-3</v>
      </c>
      <c r="X33" s="9">
        <v>0</v>
      </c>
      <c r="Y33" s="9">
        <v>7.6588680730021688E-2</v>
      </c>
      <c r="Z33" s="9">
        <v>0</v>
      </c>
      <c r="AA33" s="9">
        <v>0</v>
      </c>
      <c r="AB33" s="9">
        <v>0.79187951861736916</v>
      </c>
    </row>
    <row r="34" spans="1:28" x14ac:dyDescent="0.3">
      <c r="A34" t="s">
        <v>69</v>
      </c>
      <c r="B34" t="s">
        <v>27</v>
      </c>
      <c r="C34" s="9">
        <v>0</v>
      </c>
      <c r="D34" s="9">
        <v>3.3299426404357251E-3</v>
      </c>
      <c r="E34" s="9">
        <v>0</v>
      </c>
      <c r="F34" s="9">
        <v>0</v>
      </c>
      <c r="G34" s="9">
        <v>0</v>
      </c>
      <c r="H34" s="9">
        <v>2.3866732025892779E-2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5.9380900340398494E-2</v>
      </c>
      <c r="Q34" s="9">
        <v>0</v>
      </c>
      <c r="R34" s="9">
        <v>1.6649713202178625E-2</v>
      </c>
      <c r="S34" s="9">
        <v>4.9949139606535872E-3</v>
      </c>
      <c r="T34" s="9">
        <v>1.33197705617429E-2</v>
      </c>
      <c r="U34" s="9">
        <v>0</v>
      </c>
      <c r="V34" s="9">
        <v>0</v>
      </c>
      <c r="W34" s="9">
        <v>9.9898279213071744E-3</v>
      </c>
      <c r="X34" s="9">
        <v>0</v>
      </c>
      <c r="Y34" s="9">
        <v>7.6588680730021688E-2</v>
      </c>
      <c r="Z34" s="9">
        <v>0</v>
      </c>
      <c r="AA34" s="9">
        <v>0</v>
      </c>
      <c r="AB34" s="9">
        <v>0.79187951861736916</v>
      </c>
    </row>
    <row r="35" spans="1:28" x14ac:dyDescent="0.3">
      <c r="A35" t="s">
        <v>69</v>
      </c>
      <c r="B35" t="s">
        <v>126</v>
      </c>
      <c r="C35" s="9">
        <v>0</v>
      </c>
      <c r="D35" s="9">
        <v>3.3299426404357299E-3</v>
      </c>
      <c r="E35" s="9">
        <v>0</v>
      </c>
      <c r="F35" s="9">
        <v>0</v>
      </c>
      <c r="G35" s="9">
        <v>0</v>
      </c>
      <c r="H35" s="9">
        <v>2.38667320258928E-2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5.9380900340398501E-2</v>
      </c>
      <c r="Q35" s="9">
        <v>0</v>
      </c>
      <c r="R35" s="9">
        <v>1.66497132021786E-2</v>
      </c>
      <c r="S35" s="9">
        <v>4.9949139606535898E-3</v>
      </c>
      <c r="T35" s="9">
        <v>1.33197705617429E-2</v>
      </c>
      <c r="U35" s="9">
        <v>0</v>
      </c>
      <c r="V35" s="9">
        <v>0</v>
      </c>
      <c r="W35" s="9">
        <v>9.9898279213071692E-3</v>
      </c>
      <c r="X35" s="9">
        <v>0</v>
      </c>
      <c r="Y35" s="9">
        <v>7.6588680730021702E-2</v>
      </c>
      <c r="Z35" s="9">
        <v>0</v>
      </c>
      <c r="AA35" s="9">
        <v>0</v>
      </c>
      <c r="AB35" s="9">
        <v>0.79187951861736905</v>
      </c>
    </row>
    <row r="36" spans="1:28" x14ac:dyDescent="0.3">
      <c r="A36" t="s">
        <v>69</v>
      </c>
      <c r="B36" t="s">
        <v>75</v>
      </c>
      <c r="C36" s="9">
        <v>0</v>
      </c>
      <c r="D36" s="9">
        <v>3.3299426404357299E-3</v>
      </c>
      <c r="E36" s="9">
        <v>0</v>
      </c>
      <c r="F36" s="9">
        <v>0</v>
      </c>
      <c r="G36" s="9">
        <v>0</v>
      </c>
      <c r="H36" s="9">
        <v>2.38667320258928E-2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5.9380900340398501E-2</v>
      </c>
      <c r="Q36" s="9">
        <v>0</v>
      </c>
      <c r="R36" s="9">
        <v>1.66497132021786E-2</v>
      </c>
      <c r="S36" s="9">
        <v>4.9949139606535898E-3</v>
      </c>
      <c r="T36" s="9">
        <v>1.33197705617429E-2</v>
      </c>
      <c r="U36" s="9">
        <v>0</v>
      </c>
      <c r="V36" s="9">
        <v>0</v>
      </c>
      <c r="W36" s="9">
        <v>9.9898279213071692E-3</v>
      </c>
      <c r="X36" s="9">
        <v>0</v>
      </c>
      <c r="Y36" s="9">
        <v>7.6588680730021702E-2</v>
      </c>
      <c r="Z36" s="9">
        <v>0</v>
      </c>
      <c r="AA36" s="9">
        <v>0</v>
      </c>
      <c r="AB36" s="9">
        <v>0.79187951861736905</v>
      </c>
    </row>
    <row r="37" spans="1:28" x14ac:dyDescent="0.3">
      <c r="A37" t="s">
        <v>69</v>
      </c>
      <c r="B37" t="s">
        <v>130</v>
      </c>
      <c r="C37" s="9">
        <v>0</v>
      </c>
      <c r="D37" s="9">
        <v>3.3299426404357299E-3</v>
      </c>
      <c r="E37" s="9">
        <v>0</v>
      </c>
      <c r="F37" s="9">
        <v>0</v>
      </c>
      <c r="G37" s="9">
        <v>0</v>
      </c>
      <c r="H37" s="9">
        <v>2.38667320258928E-2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5.9380900340398501E-2</v>
      </c>
      <c r="Q37" s="9">
        <v>0</v>
      </c>
      <c r="R37" s="9">
        <v>1.66497132021786E-2</v>
      </c>
      <c r="S37" s="9">
        <v>4.9949139606535898E-3</v>
      </c>
      <c r="T37" s="9">
        <v>1.33197705617429E-2</v>
      </c>
      <c r="U37" s="9">
        <v>0</v>
      </c>
      <c r="V37" s="9">
        <v>0</v>
      </c>
      <c r="W37" s="9">
        <v>9.9898279213071692E-3</v>
      </c>
      <c r="X37" s="9">
        <v>0</v>
      </c>
      <c r="Y37" s="9">
        <v>7.6588680730021702E-2</v>
      </c>
      <c r="Z37" s="9">
        <v>0</v>
      </c>
      <c r="AA37" s="9">
        <v>0</v>
      </c>
      <c r="AB37" s="9">
        <v>0.79187951861736905</v>
      </c>
    </row>
    <row r="38" spans="1:28" x14ac:dyDescent="0.3">
      <c r="A38" t="s">
        <v>69</v>
      </c>
      <c r="B38" t="s">
        <v>131</v>
      </c>
      <c r="C38" s="9">
        <v>0</v>
      </c>
      <c r="D38" s="9">
        <v>3.3299426404357299E-3</v>
      </c>
      <c r="E38" s="9">
        <v>0</v>
      </c>
      <c r="F38" s="9">
        <v>0</v>
      </c>
      <c r="G38" s="9">
        <v>0</v>
      </c>
      <c r="H38" s="9">
        <v>2.38667320258928E-2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5.9380900340398501E-2</v>
      </c>
      <c r="Q38" s="9">
        <v>0</v>
      </c>
      <c r="R38" s="9">
        <v>1.66497132021786E-2</v>
      </c>
      <c r="S38" s="9">
        <v>4.9949139606535898E-3</v>
      </c>
      <c r="T38" s="9">
        <v>1.33197705617429E-2</v>
      </c>
      <c r="U38" s="9">
        <v>0</v>
      </c>
      <c r="V38" s="9">
        <v>0</v>
      </c>
      <c r="W38" s="9">
        <v>9.9898279213071692E-3</v>
      </c>
      <c r="X38" s="9">
        <v>0</v>
      </c>
      <c r="Y38" s="9">
        <v>7.6588680730021702E-2</v>
      </c>
      <c r="Z38" s="9">
        <v>0</v>
      </c>
      <c r="AA38" s="9">
        <v>0</v>
      </c>
      <c r="AB38" s="9">
        <v>0.79187951861736905</v>
      </c>
    </row>
    <row r="39" spans="1:28" x14ac:dyDescent="0.3">
      <c r="A39" t="s">
        <v>69</v>
      </c>
      <c r="B39" t="s">
        <v>32</v>
      </c>
      <c r="C39" s="9">
        <v>0</v>
      </c>
      <c r="D39" s="9">
        <v>3.3299426404357299E-3</v>
      </c>
      <c r="E39" s="9">
        <v>0</v>
      </c>
      <c r="F39" s="9">
        <v>0</v>
      </c>
      <c r="G39" s="9">
        <v>0</v>
      </c>
      <c r="H39" s="9">
        <v>2.38667320258928E-2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5.9380900340398501E-2</v>
      </c>
      <c r="Q39" s="9">
        <v>0</v>
      </c>
      <c r="R39" s="9">
        <v>1.66497132021786E-2</v>
      </c>
      <c r="S39" s="9">
        <v>4.9949139606535898E-3</v>
      </c>
      <c r="T39" s="9">
        <v>1.33197705617429E-2</v>
      </c>
      <c r="U39" s="9">
        <v>0</v>
      </c>
      <c r="V39" s="9">
        <v>0</v>
      </c>
      <c r="W39" s="9">
        <v>9.9898279213071692E-3</v>
      </c>
      <c r="X39" s="9">
        <v>0</v>
      </c>
      <c r="Y39" s="9">
        <v>7.6588680730021702E-2</v>
      </c>
      <c r="Z39" s="9">
        <v>0</v>
      </c>
      <c r="AA39" s="9">
        <v>0</v>
      </c>
      <c r="AB39" s="9">
        <v>0.79187951861736905</v>
      </c>
    </row>
    <row r="40" spans="1:28" x14ac:dyDescent="0.3">
      <c r="A40" t="s">
        <v>69</v>
      </c>
      <c r="B40" t="s">
        <v>132</v>
      </c>
      <c r="C40" s="9">
        <v>0</v>
      </c>
      <c r="D40" s="9">
        <v>3.3299426404357299E-3</v>
      </c>
      <c r="E40" s="9">
        <v>0</v>
      </c>
      <c r="F40" s="9">
        <v>0</v>
      </c>
      <c r="G40" s="9">
        <v>0</v>
      </c>
      <c r="H40" s="9">
        <v>2.38667320258928E-2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5.9380900340398501E-2</v>
      </c>
      <c r="Q40" s="9">
        <v>0</v>
      </c>
      <c r="R40" s="9">
        <v>1.66497132021786E-2</v>
      </c>
      <c r="S40" s="9">
        <v>4.9949139606535898E-3</v>
      </c>
      <c r="T40" s="9">
        <v>1.33197705617429E-2</v>
      </c>
      <c r="U40" s="9">
        <v>0</v>
      </c>
      <c r="V40" s="9">
        <v>0</v>
      </c>
      <c r="W40" s="9">
        <v>9.9898279213071692E-3</v>
      </c>
      <c r="X40" s="9">
        <v>0</v>
      </c>
      <c r="Y40" s="9">
        <v>7.6588680730021702E-2</v>
      </c>
      <c r="Z40" s="9">
        <v>0</v>
      </c>
      <c r="AA40" s="9">
        <v>0</v>
      </c>
      <c r="AB40" s="9">
        <v>0.79187951861736905</v>
      </c>
    </row>
    <row r="41" spans="1:28" x14ac:dyDescent="0.3">
      <c r="A41" t="s">
        <v>69</v>
      </c>
      <c r="B41" t="s">
        <v>133</v>
      </c>
      <c r="C41" s="9">
        <v>0</v>
      </c>
      <c r="D41" s="9">
        <v>3.3299426404357299E-3</v>
      </c>
      <c r="E41" s="9">
        <v>0</v>
      </c>
      <c r="F41" s="9">
        <v>0</v>
      </c>
      <c r="G41" s="9">
        <v>0</v>
      </c>
      <c r="H41" s="9">
        <v>2.38667320258928E-2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5.9380900340398501E-2</v>
      </c>
      <c r="Q41" s="9">
        <v>0</v>
      </c>
      <c r="R41" s="9">
        <v>1.66497132021786E-2</v>
      </c>
      <c r="S41" s="9">
        <v>4.9949139606535898E-3</v>
      </c>
      <c r="T41" s="9">
        <v>1.33197705617429E-2</v>
      </c>
      <c r="U41" s="9">
        <v>0</v>
      </c>
      <c r="V41" s="9">
        <v>0</v>
      </c>
      <c r="W41" s="9">
        <v>9.9898279213071692E-3</v>
      </c>
      <c r="X41" s="9">
        <v>0</v>
      </c>
      <c r="Y41" s="9">
        <v>7.6588680730021702E-2</v>
      </c>
      <c r="Z41" s="9">
        <v>0</v>
      </c>
      <c r="AA41" s="9">
        <v>0</v>
      </c>
      <c r="AB41" s="9">
        <v>0.79187951861736905</v>
      </c>
    </row>
    <row r="42" spans="1:28" x14ac:dyDescent="0.3">
      <c r="A42" t="s">
        <v>69</v>
      </c>
      <c r="B42" t="s">
        <v>134</v>
      </c>
      <c r="C42" s="9">
        <v>0</v>
      </c>
      <c r="D42" s="9">
        <v>3.3299426404357299E-3</v>
      </c>
      <c r="E42" s="9">
        <v>0</v>
      </c>
      <c r="F42" s="9">
        <v>0</v>
      </c>
      <c r="G42" s="9">
        <v>0</v>
      </c>
      <c r="H42" s="9">
        <v>2.38667320258928E-2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5.9380900340398501E-2</v>
      </c>
      <c r="Q42" s="9">
        <v>0</v>
      </c>
      <c r="R42" s="9">
        <v>1.66497132021786E-2</v>
      </c>
      <c r="S42" s="9">
        <v>4.9949139606535898E-3</v>
      </c>
      <c r="T42" s="9">
        <v>1.33197705617429E-2</v>
      </c>
      <c r="U42" s="9">
        <v>0</v>
      </c>
      <c r="V42" s="9">
        <v>0</v>
      </c>
      <c r="W42" s="9">
        <v>9.9898279213071692E-3</v>
      </c>
      <c r="X42" s="9">
        <v>0</v>
      </c>
      <c r="Y42" s="9">
        <v>7.6588680730021702E-2</v>
      </c>
      <c r="Z42" s="9">
        <v>0</v>
      </c>
      <c r="AA42" s="9">
        <v>0</v>
      </c>
      <c r="AB42" s="9">
        <v>0.79187951861736905</v>
      </c>
    </row>
    <row r="43" spans="1:28" x14ac:dyDescent="0.3">
      <c r="A43" t="s">
        <v>69</v>
      </c>
      <c r="B43" t="s">
        <v>85</v>
      </c>
      <c r="C43" s="9">
        <v>0</v>
      </c>
      <c r="D43" s="9">
        <v>3.3299426404357299E-3</v>
      </c>
      <c r="E43" s="9">
        <v>0</v>
      </c>
      <c r="F43" s="9">
        <v>0</v>
      </c>
      <c r="G43" s="9">
        <v>0</v>
      </c>
      <c r="H43" s="9">
        <v>2.38667320258928E-2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5.9380900340398501E-2</v>
      </c>
      <c r="Q43" s="9">
        <v>0</v>
      </c>
      <c r="R43" s="9">
        <v>1.66497132021786E-2</v>
      </c>
      <c r="S43" s="9">
        <v>4.9949139606535898E-3</v>
      </c>
      <c r="T43" s="9">
        <v>1.33197705617429E-2</v>
      </c>
      <c r="U43" s="9">
        <v>0</v>
      </c>
      <c r="V43" s="9">
        <v>0</v>
      </c>
      <c r="W43" s="9">
        <v>9.9898279213071692E-3</v>
      </c>
      <c r="X43" s="9">
        <v>0</v>
      </c>
      <c r="Y43" s="9">
        <v>7.6588680730021702E-2</v>
      </c>
      <c r="Z43" s="9">
        <v>0</v>
      </c>
      <c r="AA43" s="9">
        <v>0</v>
      </c>
      <c r="AB43" s="9">
        <v>0.79187951861736905</v>
      </c>
    </row>
    <row r="44" spans="1:28" x14ac:dyDescent="0.3">
      <c r="A44" t="s">
        <v>69</v>
      </c>
      <c r="B44" t="s">
        <v>15</v>
      </c>
      <c r="C44" s="9">
        <v>0</v>
      </c>
      <c r="D44" s="9">
        <v>3.3299426404357299E-3</v>
      </c>
      <c r="E44" s="9">
        <v>0</v>
      </c>
      <c r="F44" s="9">
        <v>0</v>
      </c>
      <c r="G44" s="9">
        <v>0</v>
      </c>
      <c r="H44" s="9">
        <v>2.38667320258928E-2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5.9380900340398501E-2</v>
      </c>
      <c r="Q44" s="9">
        <v>0</v>
      </c>
      <c r="R44" s="9">
        <v>1.66497132021786E-2</v>
      </c>
      <c r="S44" s="9">
        <v>4.9949139606535898E-3</v>
      </c>
      <c r="T44" s="9">
        <v>1.33197705617429E-2</v>
      </c>
      <c r="U44" s="9">
        <v>0</v>
      </c>
      <c r="V44" s="9">
        <v>0</v>
      </c>
      <c r="W44" s="9">
        <v>9.9898279213071692E-3</v>
      </c>
      <c r="X44" s="9">
        <v>0</v>
      </c>
      <c r="Y44" s="9">
        <v>7.6588680730021702E-2</v>
      </c>
      <c r="Z44" s="9">
        <v>0</v>
      </c>
      <c r="AA44" s="9">
        <v>0</v>
      </c>
      <c r="AB44" s="9">
        <v>0.79187951861736905</v>
      </c>
    </row>
    <row r="45" spans="1:28" x14ac:dyDescent="0.3">
      <c r="A45" t="s">
        <v>69</v>
      </c>
      <c r="B45" t="s">
        <v>137</v>
      </c>
      <c r="C45" s="9">
        <v>0</v>
      </c>
      <c r="D45" s="9">
        <v>3.3299251460454666E-3</v>
      </c>
      <c r="E45" s="9">
        <v>0</v>
      </c>
      <c r="F45" s="9">
        <v>0</v>
      </c>
      <c r="G45" s="9">
        <v>0</v>
      </c>
      <c r="H45" s="9">
        <v>2.1583968174373365E-2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6.1668480498209617E-2</v>
      </c>
      <c r="Q45" s="9">
        <v>0</v>
      </c>
      <c r="R45" s="9">
        <v>1.6649625730227331E-2</v>
      </c>
      <c r="S45" s="9">
        <v>4.994887719068199E-3</v>
      </c>
      <c r="T45" s="9">
        <v>1.3319700584181866E-2</v>
      </c>
      <c r="U45" s="9">
        <v>0</v>
      </c>
      <c r="V45" s="9">
        <v>0</v>
      </c>
      <c r="W45" s="9">
        <v>9.989775438136398E-3</v>
      </c>
      <c r="X45" s="9">
        <v>0</v>
      </c>
      <c r="Y45" s="9">
        <v>7.6588278359045719E-2</v>
      </c>
      <c r="Z45" s="9">
        <v>0</v>
      </c>
      <c r="AA45" s="9">
        <v>0</v>
      </c>
      <c r="AB45" s="9">
        <v>0.7918753583507121</v>
      </c>
    </row>
    <row r="46" spans="1:28" x14ac:dyDescent="0.3">
      <c r="A46" t="s">
        <v>69</v>
      </c>
      <c r="B46" t="s">
        <v>138</v>
      </c>
      <c r="C46" s="9">
        <v>0</v>
      </c>
      <c r="D46" s="9">
        <v>3.3299251460454666E-3</v>
      </c>
      <c r="E46" s="9">
        <v>0</v>
      </c>
      <c r="F46" s="9">
        <v>0</v>
      </c>
      <c r="G46" s="9">
        <v>0</v>
      </c>
      <c r="H46" s="9">
        <v>2.1583968174373365E-2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6.1668480498209617E-2</v>
      </c>
      <c r="Q46" s="9">
        <v>0</v>
      </c>
      <c r="R46" s="9">
        <v>1.6649625730227331E-2</v>
      </c>
      <c r="S46" s="9">
        <v>4.994887719068199E-3</v>
      </c>
      <c r="T46" s="9">
        <v>1.3319700584181866E-2</v>
      </c>
      <c r="U46" s="9">
        <v>0</v>
      </c>
      <c r="V46" s="9">
        <v>0</v>
      </c>
      <c r="W46" s="9">
        <v>9.989775438136398E-3</v>
      </c>
      <c r="X46" s="9">
        <v>0</v>
      </c>
      <c r="Y46" s="9">
        <v>7.6588278359045719E-2</v>
      </c>
      <c r="Z46" s="9">
        <v>0</v>
      </c>
      <c r="AA46" s="9">
        <v>0</v>
      </c>
      <c r="AB46" s="9">
        <v>0.7918753583507121</v>
      </c>
    </row>
    <row r="47" spans="1:28" x14ac:dyDescent="0.3">
      <c r="A47" t="s">
        <v>69</v>
      </c>
      <c r="B47" t="s">
        <v>139</v>
      </c>
      <c r="C47" s="9">
        <v>0</v>
      </c>
      <c r="D47" s="9">
        <v>3.3299251460454666E-3</v>
      </c>
      <c r="E47" s="9">
        <v>0</v>
      </c>
      <c r="F47" s="9">
        <v>0</v>
      </c>
      <c r="G47" s="9">
        <v>0</v>
      </c>
      <c r="H47" s="9">
        <v>2.1583968174373365E-2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6.1668480498209617E-2</v>
      </c>
      <c r="Q47" s="9">
        <v>0</v>
      </c>
      <c r="R47" s="9">
        <v>1.6649625730227331E-2</v>
      </c>
      <c r="S47" s="9">
        <v>4.994887719068199E-3</v>
      </c>
      <c r="T47" s="9">
        <v>1.3319700584181866E-2</v>
      </c>
      <c r="U47" s="9">
        <v>0</v>
      </c>
      <c r="V47" s="9">
        <v>0</v>
      </c>
      <c r="W47" s="9">
        <v>9.989775438136398E-3</v>
      </c>
      <c r="X47" s="9">
        <v>0</v>
      </c>
      <c r="Y47" s="9">
        <v>7.6588278359045719E-2</v>
      </c>
      <c r="Z47" s="9">
        <v>0</v>
      </c>
      <c r="AA47" s="9">
        <v>0</v>
      </c>
      <c r="AB47" s="9">
        <v>0.7918753583507121</v>
      </c>
    </row>
    <row r="48" spans="1:28" x14ac:dyDescent="0.3">
      <c r="A48" t="s">
        <v>69</v>
      </c>
      <c r="B48" t="s">
        <v>150</v>
      </c>
      <c r="C48" s="9">
        <v>0</v>
      </c>
      <c r="D48" s="9">
        <v>3.3299747258002162E-3</v>
      </c>
      <c r="E48" s="9">
        <v>0</v>
      </c>
      <c r="F48" s="9">
        <v>0</v>
      </c>
      <c r="G48" s="9">
        <v>0</v>
      </c>
      <c r="H48" s="9">
        <v>4.7460090514421696E-2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5.2172002317372478E-2</v>
      </c>
      <c r="Q48" s="9">
        <v>0</v>
      </c>
      <c r="R48" s="9">
        <v>1.6649873629001079E-2</v>
      </c>
      <c r="S48" s="9">
        <v>4.9949620887003235E-3</v>
      </c>
      <c r="T48" s="9">
        <v>1.3319898903200865E-2</v>
      </c>
      <c r="U48" s="9">
        <v>0</v>
      </c>
      <c r="V48" s="9">
        <v>0</v>
      </c>
      <c r="W48" s="9">
        <v>9.989924177400647E-3</v>
      </c>
      <c r="X48" s="9">
        <v>0</v>
      </c>
      <c r="Y48" s="9">
        <v>7.6589418693404965E-2</v>
      </c>
      <c r="Z48" s="9">
        <v>0</v>
      </c>
      <c r="AA48" s="9">
        <v>0</v>
      </c>
      <c r="AB48" s="9">
        <v>0.77549385495069778</v>
      </c>
    </row>
    <row r="49" spans="1:28" x14ac:dyDescent="0.3">
      <c r="A49" t="s">
        <v>69</v>
      </c>
      <c r="B49" t="s">
        <v>142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9">
        <v>0</v>
      </c>
      <c r="AA49" s="13">
        <v>0</v>
      </c>
      <c r="AB49" s="9">
        <v>1</v>
      </c>
    </row>
    <row r="50" spans="1:28" x14ac:dyDescent="0.3">
      <c r="A50" t="s">
        <v>69</v>
      </c>
      <c r="B50" t="s">
        <v>144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9">
        <v>0</v>
      </c>
      <c r="AA50" s="13">
        <v>0</v>
      </c>
      <c r="AB50" s="9">
        <v>1</v>
      </c>
    </row>
    <row r="51" spans="1:28" x14ac:dyDescent="0.3">
      <c r="A51" t="s">
        <v>69</v>
      </c>
      <c r="B51" t="s">
        <v>146</v>
      </c>
      <c r="C51" s="9">
        <v>0</v>
      </c>
      <c r="D51" s="9">
        <v>3.3299275869560488E-3</v>
      </c>
      <c r="E51" s="9">
        <v>0</v>
      </c>
      <c r="F51" s="9">
        <v>0</v>
      </c>
      <c r="G51" s="9">
        <v>0</v>
      </c>
      <c r="H51" s="9">
        <v>2.0138546937758208E-2</v>
      </c>
      <c r="I51" s="9">
        <v>0</v>
      </c>
      <c r="J51" s="9">
        <v>7.2044027593464038E-3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6.2405134361561219E-2</v>
      </c>
      <c r="Q51" s="9">
        <v>0</v>
      </c>
      <c r="R51" s="9">
        <v>1.6649637934780241E-2</v>
      </c>
      <c r="S51" s="9">
        <v>4.9948913804340727E-3</v>
      </c>
      <c r="T51" s="9">
        <v>1.3319710347824195E-2</v>
      </c>
      <c r="U51" s="9">
        <v>0</v>
      </c>
      <c r="V51" s="9">
        <v>0</v>
      </c>
      <c r="W51" s="9">
        <v>9.9897827608681454E-3</v>
      </c>
      <c r="X51" s="9">
        <v>0</v>
      </c>
      <c r="Y51" s="9">
        <v>7.009202711717917E-2</v>
      </c>
      <c r="Z51" s="9">
        <v>0</v>
      </c>
      <c r="AA51" s="9">
        <v>0</v>
      </c>
      <c r="AB51" s="9">
        <v>0.79187593881329232</v>
      </c>
    </row>
    <row r="52" spans="1:28" x14ac:dyDescent="0.3">
      <c r="A52" t="s">
        <v>69</v>
      </c>
      <c r="B52" t="s">
        <v>148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9">
        <v>0</v>
      </c>
      <c r="AA52" s="13">
        <v>0</v>
      </c>
      <c r="AB52" s="9">
        <v>1</v>
      </c>
    </row>
    <row r="53" spans="1:28" x14ac:dyDescent="0.3">
      <c r="A53" t="s">
        <v>234</v>
      </c>
      <c r="B53" s="11" t="s">
        <v>235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9">
        <v>0</v>
      </c>
      <c r="AA53" s="13">
        <v>1</v>
      </c>
      <c r="AB53" s="7">
        <v>0</v>
      </c>
    </row>
    <row r="54" spans="1:28" x14ac:dyDescent="0.3">
      <c r="A54" t="s">
        <v>234</v>
      </c>
      <c r="B54" s="11" t="s">
        <v>236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9">
        <v>0</v>
      </c>
      <c r="AA54" s="13">
        <v>1</v>
      </c>
      <c r="AB54" s="7">
        <v>0</v>
      </c>
    </row>
    <row r="55" spans="1:28" x14ac:dyDescent="0.3">
      <c r="A55" t="s">
        <v>234</v>
      </c>
      <c r="B55" s="11" t="s">
        <v>237</v>
      </c>
      <c r="C55" s="13">
        <v>4.0000000000000008E-2</v>
      </c>
      <c r="D55" s="13">
        <v>6.0000000000000032E-2</v>
      </c>
      <c r="E55" s="13">
        <v>1.4999999999999977E-2</v>
      </c>
      <c r="F55" s="13">
        <v>2.0000000000000035E-2</v>
      </c>
      <c r="G55" s="13">
        <v>3.0170639096024542E-2</v>
      </c>
      <c r="H55" s="13">
        <v>4.5000000000000082E-2</v>
      </c>
      <c r="I55" s="13">
        <v>2.2000000000000013E-2</v>
      </c>
      <c r="J55" s="13">
        <v>2.2000000000000006E-2</v>
      </c>
      <c r="K55" s="13">
        <v>5.9083215151653733E-2</v>
      </c>
      <c r="L55" s="13">
        <v>6.5000000000000169E-2</v>
      </c>
      <c r="M55" s="13">
        <v>4.0000000000000077E-2</v>
      </c>
      <c r="N55" s="13">
        <v>3.4999999999999969E-2</v>
      </c>
      <c r="O55" s="13">
        <v>1.9999999999999973E-2</v>
      </c>
      <c r="P55" s="13">
        <v>4.2362413651127674E-2</v>
      </c>
      <c r="Q55" s="13">
        <v>8.4862070543025733E-2</v>
      </c>
      <c r="R55" s="13">
        <v>6.000000000000006E-2</v>
      </c>
      <c r="S55" s="13">
        <v>3.6666819159156358E-2</v>
      </c>
      <c r="T55" s="13">
        <v>7.6490232856031848E-2</v>
      </c>
      <c r="U55" s="13">
        <v>2.9164188663708259E-2</v>
      </c>
      <c r="V55" s="13">
        <v>3.9320188480717159E-2</v>
      </c>
      <c r="W55" s="13">
        <v>6.1667962852829487E-2</v>
      </c>
      <c r="X55" s="13">
        <v>4.9289999999999848E-2</v>
      </c>
      <c r="Y55" s="13">
        <v>3.6918431767235388E-2</v>
      </c>
      <c r="Z55" s="9">
        <v>0</v>
      </c>
      <c r="AA55" s="13">
        <v>1.0000000000000012E-2</v>
      </c>
      <c r="AB55" s="7">
        <v>0</v>
      </c>
    </row>
    <row r="56" spans="1:28" x14ac:dyDescent="0.3">
      <c r="A56" t="s">
        <v>234</v>
      </c>
      <c r="B56" s="11" t="s">
        <v>238</v>
      </c>
      <c r="C56" s="13">
        <v>3.9999999999999952E-2</v>
      </c>
      <c r="D56" s="13">
        <v>5.9999999999999991E-2</v>
      </c>
      <c r="E56" s="13">
        <v>1.4999999999999975E-2</v>
      </c>
      <c r="F56" s="13">
        <v>1.9999999999999969E-2</v>
      </c>
      <c r="G56" s="13">
        <v>3.0170639096024521E-2</v>
      </c>
      <c r="H56" s="13">
        <v>4.4999999999999971E-2</v>
      </c>
      <c r="I56" s="13">
        <v>2.1999999999999933E-2</v>
      </c>
      <c r="J56" s="13">
        <v>2.1999999999999954E-2</v>
      </c>
      <c r="K56" s="13">
        <v>5.908321515165367E-2</v>
      </c>
      <c r="L56" s="13">
        <v>6.5000000000000044E-2</v>
      </c>
      <c r="M56" s="13">
        <v>4.0000000000000049E-2</v>
      </c>
      <c r="N56" s="13">
        <v>3.4999999999999962E-2</v>
      </c>
      <c r="O56" s="13">
        <v>1.9999999999999931E-2</v>
      </c>
      <c r="P56" s="13">
        <v>4.2362413651127868E-2</v>
      </c>
      <c r="Q56" s="13">
        <v>8.4862070543025692E-2</v>
      </c>
      <c r="R56" s="13">
        <v>5.9999999999999991E-2</v>
      </c>
      <c r="S56" s="13">
        <v>3.6666819159156448E-2</v>
      </c>
      <c r="T56" s="13">
        <v>7.6490232856032139E-2</v>
      </c>
      <c r="U56" s="13">
        <v>2.916418866370827E-2</v>
      </c>
      <c r="V56" s="13">
        <v>3.9320188480717326E-2</v>
      </c>
      <c r="W56" s="13">
        <v>6.166796285282948E-2</v>
      </c>
      <c r="X56" s="13">
        <v>4.9289999999999959E-2</v>
      </c>
      <c r="Y56" s="13">
        <v>3.6918431767235305E-2</v>
      </c>
      <c r="Z56" s="9">
        <v>0</v>
      </c>
      <c r="AA56" s="13">
        <v>1.0000000000000018E-2</v>
      </c>
      <c r="AB56" s="7">
        <v>0</v>
      </c>
    </row>
    <row r="57" spans="1:28" x14ac:dyDescent="0.3">
      <c r="A57" t="s">
        <v>234</v>
      </c>
      <c r="B57" s="11" t="s">
        <v>239</v>
      </c>
      <c r="C57" s="13">
        <v>4.0000000000000042E-2</v>
      </c>
      <c r="D57" s="13">
        <v>6.000000000000006E-2</v>
      </c>
      <c r="E57" s="13">
        <v>1.4999999999999994E-2</v>
      </c>
      <c r="F57" s="13">
        <v>2.0000000000000025E-2</v>
      </c>
      <c r="G57" s="13">
        <v>3.0170639096024535E-2</v>
      </c>
      <c r="H57" s="13">
        <v>4.4999999999999984E-2</v>
      </c>
      <c r="I57" s="13">
        <v>2.1999999999999971E-2</v>
      </c>
      <c r="J57" s="13">
        <v>2.2000000000000013E-2</v>
      </c>
      <c r="K57" s="13">
        <v>5.9083215151653753E-2</v>
      </c>
      <c r="L57" s="13">
        <v>6.5000000000000072E-2</v>
      </c>
      <c r="M57" s="13">
        <v>3.9999999999999952E-2</v>
      </c>
      <c r="N57" s="13">
        <v>3.5000000000000031E-2</v>
      </c>
      <c r="O57" s="13">
        <v>1.9999999999999993E-2</v>
      </c>
      <c r="P57" s="13">
        <v>4.2362413651127535E-2</v>
      </c>
      <c r="Q57" s="13">
        <v>8.486207054302583E-2</v>
      </c>
      <c r="R57" s="13">
        <v>5.9999999999999852E-2</v>
      </c>
      <c r="S57" s="13">
        <v>3.6666819159156289E-2</v>
      </c>
      <c r="T57" s="13">
        <v>7.6490232856031695E-2</v>
      </c>
      <c r="U57" s="13">
        <v>2.9164188663708207E-2</v>
      </c>
      <c r="V57" s="13">
        <v>3.932018848071734E-2</v>
      </c>
      <c r="W57" s="13">
        <v>6.166796285282964E-2</v>
      </c>
      <c r="X57" s="13">
        <v>4.9289999999999931E-2</v>
      </c>
      <c r="Y57" s="13">
        <v>3.6918431767235436E-2</v>
      </c>
      <c r="Z57" s="9">
        <v>0</v>
      </c>
      <c r="AA57" s="13">
        <v>1.0000000000000012E-2</v>
      </c>
      <c r="AB57" s="7">
        <v>0</v>
      </c>
    </row>
    <row r="58" spans="1:28" x14ac:dyDescent="0.3">
      <c r="A58" t="s">
        <v>234</v>
      </c>
      <c r="B58" s="11" t="s">
        <v>240</v>
      </c>
      <c r="C58" s="13">
        <v>4.0000000000000029E-2</v>
      </c>
      <c r="D58" s="13">
        <v>5.9999999999999915E-2</v>
      </c>
      <c r="E58" s="13">
        <v>1.4999999999999996E-2</v>
      </c>
      <c r="F58" s="13">
        <v>1.9999999999999993E-2</v>
      </c>
      <c r="G58" s="13">
        <v>3.0170639096024583E-2</v>
      </c>
      <c r="H58" s="13">
        <v>4.4999999999999936E-2</v>
      </c>
      <c r="I58" s="13">
        <v>2.200000000000002E-2</v>
      </c>
      <c r="J58" s="13">
        <v>2.1999999999999967E-2</v>
      </c>
      <c r="K58" s="13">
        <v>5.9083215151653858E-2</v>
      </c>
      <c r="L58" s="13">
        <v>6.4999999999999947E-2</v>
      </c>
      <c r="M58" s="13">
        <v>3.9999999999999987E-2</v>
      </c>
      <c r="N58" s="13">
        <v>3.4999999999999989E-2</v>
      </c>
      <c r="O58" s="13">
        <v>2.0000000000000018E-2</v>
      </c>
      <c r="P58" s="13">
        <v>4.2362413651127577E-2</v>
      </c>
      <c r="Q58" s="13">
        <v>8.4862070543025608E-2</v>
      </c>
      <c r="R58" s="13">
        <v>6.0000000000000053E-2</v>
      </c>
      <c r="S58" s="13">
        <v>3.6666819159156372E-2</v>
      </c>
      <c r="T58" s="13">
        <v>7.6490232856031834E-2</v>
      </c>
      <c r="U58" s="13">
        <v>2.9164188663708256E-2</v>
      </c>
      <c r="V58" s="13">
        <v>3.9320188480717312E-2</v>
      </c>
      <c r="W58" s="13">
        <v>6.166796285282948E-2</v>
      </c>
      <c r="X58" s="13">
        <v>4.9289999999999938E-2</v>
      </c>
      <c r="Y58" s="13">
        <v>3.6918431767235416E-2</v>
      </c>
      <c r="Z58" s="9">
        <v>0</v>
      </c>
      <c r="AA58" s="13">
        <v>1.0000000000000005E-2</v>
      </c>
      <c r="AB58" s="7">
        <v>0</v>
      </c>
    </row>
    <row r="59" spans="1:28" x14ac:dyDescent="0.3">
      <c r="A59" t="s">
        <v>234</v>
      </c>
      <c r="B59" s="11" t="s">
        <v>241</v>
      </c>
      <c r="C59" s="13">
        <v>9.999999999999995E-3</v>
      </c>
      <c r="D59" s="13">
        <v>5.5922724961870824E-3</v>
      </c>
      <c r="E59" s="13">
        <v>0</v>
      </c>
      <c r="F59" s="13">
        <v>0</v>
      </c>
      <c r="G59" s="13">
        <v>0</v>
      </c>
      <c r="H59" s="13">
        <v>3.3045246568378307E-3</v>
      </c>
      <c r="I59" s="13">
        <v>0</v>
      </c>
      <c r="J59" s="13">
        <v>0</v>
      </c>
      <c r="K59" s="13">
        <v>0</v>
      </c>
      <c r="L59" s="13">
        <v>0.22000000000000033</v>
      </c>
      <c r="M59" s="13">
        <v>0</v>
      </c>
      <c r="N59" s="13">
        <v>0</v>
      </c>
      <c r="O59" s="13">
        <v>0</v>
      </c>
      <c r="P59" s="13">
        <v>0</v>
      </c>
      <c r="Q59" s="13">
        <v>0.44999999999999979</v>
      </c>
      <c r="R59" s="13">
        <v>0</v>
      </c>
      <c r="S59" s="13">
        <v>1.0167768174885612E-2</v>
      </c>
      <c r="T59" s="13">
        <v>0.11283</v>
      </c>
      <c r="U59" s="13">
        <v>1.5251652262328404E-3</v>
      </c>
      <c r="V59" s="13">
        <v>0</v>
      </c>
      <c r="W59" s="13">
        <v>0</v>
      </c>
      <c r="X59" s="13">
        <v>0</v>
      </c>
      <c r="Y59" s="13">
        <v>0.18657854600915089</v>
      </c>
      <c r="Z59" s="9">
        <v>0</v>
      </c>
      <c r="AA59" s="13">
        <v>0</v>
      </c>
      <c r="AB59" s="7">
        <v>0</v>
      </c>
    </row>
    <row r="60" spans="1:28" x14ac:dyDescent="0.3">
      <c r="A60" t="s">
        <v>234</v>
      </c>
      <c r="B60" s="11" t="s">
        <v>242</v>
      </c>
      <c r="C60" s="13">
        <v>9.9999999999999898E-3</v>
      </c>
      <c r="D60" s="13">
        <v>5.5922724961870859E-3</v>
      </c>
      <c r="E60" s="13">
        <v>0</v>
      </c>
      <c r="F60" s="13">
        <v>0</v>
      </c>
      <c r="G60" s="13">
        <v>0</v>
      </c>
      <c r="H60" s="13">
        <v>3.3045246568378242E-3</v>
      </c>
      <c r="I60" s="13">
        <v>0</v>
      </c>
      <c r="J60" s="13">
        <v>0</v>
      </c>
      <c r="K60" s="13">
        <v>0</v>
      </c>
      <c r="L60" s="13">
        <v>0.2200000000000002</v>
      </c>
      <c r="M60" s="13">
        <v>0</v>
      </c>
      <c r="N60" s="13">
        <v>0</v>
      </c>
      <c r="O60" s="13">
        <v>0</v>
      </c>
      <c r="P60" s="13">
        <v>0</v>
      </c>
      <c r="Q60" s="13">
        <v>0.44999999999999979</v>
      </c>
      <c r="R60" s="13">
        <v>0</v>
      </c>
      <c r="S60" s="13">
        <v>1.0167768174885594E-2</v>
      </c>
      <c r="T60" s="13">
        <v>0.11282999999999976</v>
      </c>
      <c r="U60" s="13">
        <v>1.5251652262328319E-3</v>
      </c>
      <c r="V60" s="13">
        <v>0</v>
      </c>
      <c r="W60" s="13">
        <v>0</v>
      </c>
      <c r="X60" s="13">
        <v>0</v>
      </c>
      <c r="Y60" s="13">
        <v>0.18657854600915103</v>
      </c>
      <c r="Z60" s="9">
        <v>0</v>
      </c>
      <c r="AA60" s="13">
        <v>0</v>
      </c>
      <c r="AB60" s="7">
        <v>0</v>
      </c>
    </row>
    <row r="61" spans="1:28" x14ac:dyDescent="0.3">
      <c r="A61" t="s">
        <v>234</v>
      </c>
      <c r="B61" s="11" t="s">
        <v>243</v>
      </c>
      <c r="C61" s="13">
        <v>4.0000000000000063E-2</v>
      </c>
      <c r="D61" s="13">
        <v>1.7500847656555685E-2</v>
      </c>
      <c r="E61" s="13">
        <v>7.9288490128061277E-3</v>
      </c>
      <c r="F61" s="13">
        <v>2.9999999999999978E-2</v>
      </c>
      <c r="G61" s="13">
        <v>3.5079940533632427E-2</v>
      </c>
      <c r="H61" s="13">
        <v>6.3639446023838697E-2</v>
      </c>
      <c r="I61" s="13">
        <v>8.6591377376698669E-3</v>
      </c>
      <c r="J61" s="13">
        <v>1.5000000000000001E-2</v>
      </c>
      <c r="K61" s="13">
        <v>1.8518035523330114E-2</v>
      </c>
      <c r="L61" s="13">
        <v>0.17000000000000021</v>
      </c>
      <c r="M61" s="13">
        <v>6.4710000000000073E-2</v>
      </c>
      <c r="N61" s="13">
        <v>4.9999999999999878E-2</v>
      </c>
      <c r="O61" s="13">
        <v>1.3953730992931875E-2</v>
      </c>
      <c r="P61" s="13">
        <v>5.3806629978352213E-2</v>
      </c>
      <c r="Q61" s="13">
        <v>5.1276701181502918E-2</v>
      </c>
      <c r="R61" s="13">
        <v>4.8329464541874124E-2</v>
      </c>
      <c r="S61" s="13">
        <v>1.1528129156777365E-2</v>
      </c>
      <c r="T61" s="13">
        <v>4.825121932135313E-2</v>
      </c>
      <c r="U61" s="13">
        <v>1.7631256357424099E-2</v>
      </c>
      <c r="V61" s="13">
        <v>1.6014188466654478E-2</v>
      </c>
      <c r="W61" s="13">
        <v>6.872538535771118E-2</v>
      </c>
      <c r="X61" s="13">
        <v>1.7396520695860857E-2</v>
      </c>
      <c r="Y61" s="13">
        <v>0.13205185049946505</v>
      </c>
      <c r="Z61" s="9">
        <v>0</v>
      </c>
      <c r="AA61" s="13">
        <v>0</v>
      </c>
      <c r="AB61" s="7">
        <v>0</v>
      </c>
    </row>
    <row r="62" spans="1:28" x14ac:dyDescent="0.3">
      <c r="A62" t="s">
        <v>234</v>
      </c>
      <c r="B62" s="11" t="s">
        <v>124</v>
      </c>
      <c r="C62" s="13">
        <v>3.7533959906414074E-2</v>
      </c>
      <c r="D62" s="13">
        <v>1.7408318894169862E-2</v>
      </c>
      <c r="E62" s="13">
        <v>7.4400275237669067E-3</v>
      </c>
      <c r="F62" s="13">
        <v>2.8150469929810577E-2</v>
      </c>
      <c r="G62" s="13">
        <v>3.2917227037718724E-2</v>
      </c>
      <c r="H62" s="13">
        <v>6.3661674537866461E-2</v>
      </c>
      <c r="I62" s="13">
        <v>8.1252932167454692E-3</v>
      </c>
      <c r="J62" s="13">
        <v>1.4075234964905311E-2</v>
      </c>
      <c r="K62" s="13">
        <v>1.7376380071955654E-2</v>
      </c>
      <c r="L62" s="13">
        <v>0.15951932960225973</v>
      </c>
      <c r="M62" s="13">
        <v>6.072056363860142E-2</v>
      </c>
      <c r="N62" s="13">
        <v>4.6917449883017631E-2</v>
      </c>
      <c r="O62" s="13">
        <v>1.3093469490839782E-2</v>
      </c>
      <c r="P62" s="13">
        <v>7.1204134093789895E-2</v>
      </c>
      <c r="Q62" s="13">
        <v>4.8115441156992581E-2</v>
      </c>
      <c r="R62" s="13">
        <v>5.0281984797501164E-2</v>
      </c>
      <c r="S62" s="13">
        <v>1.2297032495312646E-2</v>
      </c>
      <c r="T62" s="13">
        <v>4.9222147435818923E-2</v>
      </c>
      <c r="U62" s="13">
        <v>1.6544271730481695E-2</v>
      </c>
      <c r="V62" s="13">
        <v>1.502689769602919E-2</v>
      </c>
      <c r="W62" s="13">
        <v>6.7447644576532712E-2</v>
      </c>
      <c r="X62" s="13">
        <v>1.6324007757738512E-2</v>
      </c>
      <c r="Y62" s="13">
        <v>0.14659829041635861</v>
      </c>
      <c r="Z62" s="9">
        <v>0</v>
      </c>
      <c r="AA62" s="13">
        <v>0</v>
      </c>
      <c r="AB62" s="7">
        <v>0</v>
      </c>
    </row>
    <row r="63" spans="1:28" x14ac:dyDescent="0.3">
      <c r="A63" t="s">
        <v>234</v>
      </c>
      <c r="B63" s="11" t="s">
        <v>244</v>
      </c>
      <c r="C63" s="13">
        <v>3.9999999999999959E-2</v>
      </c>
      <c r="D63" s="13">
        <v>1.7500847656555636E-2</v>
      </c>
      <c r="E63" s="13">
        <v>7.928849012806145E-3</v>
      </c>
      <c r="F63" s="13">
        <v>3.0000000000000034E-2</v>
      </c>
      <c r="G63" s="13">
        <v>3.5079940533632406E-2</v>
      </c>
      <c r="H63" s="13">
        <v>6.3639446023838836E-2</v>
      </c>
      <c r="I63" s="13">
        <v>8.6591377376698392E-3</v>
      </c>
      <c r="J63" s="13">
        <v>1.5000000000000019E-2</v>
      </c>
      <c r="K63" s="13">
        <v>1.8518035523330093E-2</v>
      </c>
      <c r="L63" s="13">
        <v>0.17000000000000004</v>
      </c>
      <c r="M63" s="13">
        <v>6.4709999999999906E-2</v>
      </c>
      <c r="N63" s="13">
        <v>5.000000000000001E-2</v>
      </c>
      <c r="O63" s="13">
        <v>1.395373099293189E-2</v>
      </c>
      <c r="P63" s="13">
        <v>5.3806629978352137E-2</v>
      </c>
      <c r="Q63" s="13">
        <v>5.1276701181502869E-2</v>
      </c>
      <c r="R63" s="13">
        <v>4.8329464541874111E-2</v>
      </c>
      <c r="S63" s="13">
        <v>1.1528129156777362E-2</v>
      </c>
      <c r="T63" s="13">
        <v>4.8251219321353081E-2</v>
      </c>
      <c r="U63" s="13">
        <v>1.763125635742421E-2</v>
      </c>
      <c r="V63" s="13">
        <v>1.6014188466654526E-2</v>
      </c>
      <c r="W63" s="13">
        <v>6.8725385357711125E-2</v>
      </c>
      <c r="X63" s="13">
        <v>1.7396520695860857E-2</v>
      </c>
      <c r="Y63" s="13">
        <v>0.13205185049946533</v>
      </c>
      <c r="Z63" s="9">
        <v>0</v>
      </c>
      <c r="AA63" s="13">
        <v>0</v>
      </c>
      <c r="AB63" s="7">
        <v>0</v>
      </c>
    </row>
    <row r="64" spans="1:28" x14ac:dyDescent="0.3">
      <c r="A64" t="s">
        <v>234</v>
      </c>
      <c r="B64" s="11" t="s">
        <v>245</v>
      </c>
      <c r="C64" s="13">
        <v>3.9999999999999786E-2</v>
      </c>
      <c r="D64" s="13">
        <v>1.7500847656555543E-2</v>
      </c>
      <c r="E64" s="13">
        <v>7.9288490128061485E-3</v>
      </c>
      <c r="F64" s="13">
        <v>0.03</v>
      </c>
      <c r="G64" s="13">
        <v>3.5079940533632309E-2</v>
      </c>
      <c r="H64" s="13">
        <v>6.3639446023838628E-2</v>
      </c>
      <c r="I64" s="13">
        <v>8.6591377376698687E-3</v>
      </c>
      <c r="J64" s="13">
        <v>1.5000000000000003E-2</v>
      </c>
      <c r="K64" s="13">
        <v>1.8518035523330124E-2</v>
      </c>
      <c r="L64" s="13">
        <v>0.17000000000000051</v>
      </c>
      <c r="M64" s="13">
        <v>6.4709999999999865E-2</v>
      </c>
      <c r="N64" s="13">
        <v>4.9999999999999885E-2</v>
      </c>
      <c r="O64" s="13">
        <v>1.3953730992931835E-2</v>
      </c>
      <c r="P64" s="13">
        <v>5.3806629978352248E-2</v>
      </c>
      <c r="Q64" s="13">
        <v>5.127670118150289E-2</v>
      </c>
      <c r="R64" s="13">
        <v>4.8329464541874124E-2</v>
      </c>
      <c r="S64" s="13">
        <v>1.152812915677735E-2</v>
      </c>
      <c r="T64" s="13">
        <v>4.8251219321353005E-2</v>
      </c>
      <c r="U64" s="13">
        <v>1.7631256357424227E-2</v>
      </c>
      <c r="V64" s="13">
        <v>1.6014188466654523E-2</v>
      </c>
      <c r="W64" s="13">
        <v>6.8725385357710875E-2</v>
      </c>
      <c r="X64" s="13">
        <v>1.7396520695860816E-2</v>
      </c>
      <c r="Y64" s="13">
        <v>0.13205185049946586</v>
      </c>
      <c r="Z64" s="9">
        <v>0</v>
      </c>
      <c r="AA64" s="13">
        <v>0</v>
      </c>
      <c r="AB64" s="7">
        <v>0</v>
      </c>
    </row>
    <row r="65" spans="1:28" x14ac:dyDescent="0.3">
      <c r="A65" t="s">
        <v>234</v>
      </c>
      <c r="B65" s="11" t="s">
        <v>246</v>
      </c>
      <c r="C65" s="13">
        <v>4.0000000000000084E-2</v>
      </c>
      <c r="D65" s="13">
        <v>1.7500847656555636E-2</v>
      </c>
      <c r="E65" s="13">
        <v>7.9288490128061224E-3</v>
      </c>
      <c r="F65" s="13">
        <v>2.9999999999999957E-2</v>
      </c>
      <c r="G65" s="13">
        <v>3.5079940533632427E-2</v>
      </c>
      <c r="H65" s="13">
        <v>6.36394460238386E-2</v>
      </c>
      <c r="I65" s="13">
        <v>8.6591377376698496E-3</v>
      </c>
      <c r="J65" s="13">
        <v>1.4999999999999979E-2</v>
      </c>
      <c r="K65" s="13">
        <v>1.8518035523330114E-2</v>
      </c>
      <c r="L65" s="13">
        <v>0.1700000000000006</v>
      </c>
      <c r="M65" s="13">
        <v>6.4710000000000004E-2</v>
      </c>
      <c r="N65" s="13">
        <v>5.0000000000000142E-2</v>
      </c>
      <c r="O65" s="13">
        <v>1.395373099293189E-2</v>
      </c>
      <c r="P65" s="13">
        <v>5.3806629978352123E-2</v>
      </c>
      <c r="Q65" s="13">
        <v>5.1276701181502841E-2</v>
      </c>
      <c r="R65" s="13">
        <v>4.8329464541874124E-2</v>
      </c>
      <c r="S65" s="13">
        <v>1.1528129156777339E-2</v>
      </c>
      <c r="T65" s="13">
        <v>4.8251219321353109E-2</v>
      </c>
      <c r="U65" s="13">
        <v>1.7631256357424106E-2</v>
      </c>
      <c r="V65" s="13">
        <v>1.6014188466654478E-2</v>
      </c>
      <c r="W65" s="13">
        <v>6.8725385357711166E-2</v>
      </c>
      <c r="X65" s="13">
        <v>1.7396520695860854E-2</v>
      </c>
      <c r="Y65" s="13">
        <v>0.13205185049946469</v>
      </c>
      <c r="Z65" s="9">
        <v>0</v>
      </c>
      <c r="AA65" s="13">
        <v>0</v>
      </c>
      <c r="AB65" s="7">
        <v>0</v>
      </c>
    </row>
    <row r="66" spans="1:28" x14ac:dyDescent="0.3">
      <c r="A66" t="s">
        <v>234</v>
      </c>
      <c r="B66" s="12" t="s">
        <v>247</v>
      </c>
      <c r="C66" s="13">
        <v>6.9148936170212658E-2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0.76462765957446732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0.16622340425532003</v>
      </c>
      <c r="Z66" s="9">
        <v>0</v>
      </c>
      <c r="AA66" s="13">
        <v>0</v>
      </c>
      <c r="AB66" s="7">
        <v>0</v>
      </c>
    </row>
    <row r="67" spans="1:28" x14ac:dyDescent="0.3">
      <c r="A67" t="s">
        <v>234</v>
      </c>
      <c r="B67" s="11" t="s">
        <v>248</v>
      </c>
      <c r="C67" s="13">
        <v>3.9999999999999994E-2</v>
      </c>
      <c r="D67" s="13">
        <v>1.7500847656555678E-2</v>
      </c>
      <c r="E67" s="13">
        <v>7.9288490128061242E-3</v>
      </c>
      <c r="F67" s="13">
        <v>2.9999999999999912E-2</v>
      </c>
      <c r="G67" s="13">
        <v>3.5079940533632455E-2</v>
      </c>
      <c r="H67" s="13">
        <v>6.3639446023838697E-2</v>
      </c>
      <c r="I67" s="13">
        <v>8.6591377376698635E-3</v>
      </c>
      <c r="J67" s="13">
        <v>1.4999999999999956E-2</v>
      </c>
      <c r="K67" s="13">
        <v>1.8518035523330145E-2</v>
      </c>
      <c r="L67" s="13">
        <v>0.17000000000000037</v>
      </c>
      <c r="M67" s="13">
        <v>6.4710000000000045E-2</v>
      </c>
      <c r="N67" s="13">
        <v>5.0000000000000024E-2</v>
      </c>
      <c r="O67" s="13">
        <v>1.3953730992931873E-2</v>
      </c>
      <c r="P67" s="13">
        <v>5.3806629978352019E-2</v>
      </c>
      <c r="Q67" s="13">
        <v>5.1276701181502828E-2</v>
      </c>
      <c r="R67" s="13">
        <v>4.8329464541874284E-2</v>
      </c>
      <c r="S67" s="13">
        <v>1.1528129156777362E-2</v>
      </c>
      <c r="T67" s="13">
        <v>4.8251219321352991E-2</v>
      </c>
      <c r="U67" s="13">
        <v>1.7631256357424182E-2</v>
      </c>
      <c r="V67" s="13">
        <v>1.6014188466654488E-2</v>
      </c>
      <c r="W67" s="13">
        <v>6.8725385357711E-2</v>
      </c>
      <c r="X67" s="13">
        <v>1.7396520695860798E-2</v>
      </c>
      <c r="Y67" s="13">
        <v>0.1320518504994653</v>
      </c>
      <c r="Z67" s="9">
        <v>0</v>
      </c>
      <c r="AA67" s="13">
        <v>0</v>
      </c>
      <c r="AB67" s="7">
        <v>0</v>
      </c>
    </row>
    <row r="68" spans="1:28" x14ac:dyDescent="0.3">
      <c r="A68" t="s">
        <v>234</v>
      </c>
      <c r="B68" s="11" t="s">
        <v>249</v>
      </c>
      <c r="C68" s="13">
        <v>4.0000000000000008E-2</v>
      </c>
      <c r="D68" s="13">
        <v>1.750084765655573E-2</v>
      </c>
      <c r="E68" s="13">
        <v>7.9288490128061224E-3</v>
      </c>
      <c r="F68" s="13">
        <v>0.03</v>
      </c>
      <c r="G68" s="13">
        <v>3.5079940533632469E-2</v>
      </c>
      <c r="H68" s="13">
        <v>6.3639446023838669E-2</v>
      </c>
      <c r="I68" s="13">
        <v>8.6591377376698565E-3</v>
      </c>
      <c r="J68" s="13">
        <v>1.4999999999999996E-2</v>
      </c>
      <c r="K68" s="13">
        <v>1.8518035523330145E-2</v>
      </c>
      <c r="L68" s="13">
        <v>0.17000000000000018</v>
      </c>
      <c r="M68" s="13">
        <v>6.4709999999999782E-2</v>
      </c>
      <c r="N68" s="13">
        <v>5.0000000000000031E-2</v>
      </c>
      <c r="O68" s="13">
        <v>1.3953730992931856E-2</v>
      </c>
      <c r="P68" s="13">
        <v>5.3806629978352068E-2</v>
      </c>
      <c r="Q68" s="13">
        <v>5.1276701181502682E-2</v>
      </c>
      <c r="R68" s="13">
        <v>4.8329464541874083E-2</v>
      </c>
      <c r="S68" s="13">
        <v>1.1528129156777355E-2</v>
      </c>
      <c r="T68" s="13">
        <v>4.8251219321353081E-2</v>
      </c>
      <c r="U68" s="13">
        <v>1.7631256357424217E-2</v>
      </c>
      <c r="V68" s="13">
        <v>1.6014188466654502E-2</v>
      </c>
      <c r="W68" s="13">
        <v>6.8725385357711069E-2</v>
      </c>
      <c r="X68" s="13">
        <v>1.7396520695860892E-2</v>
      </c>
      <c r="Y68" s="13">
        <v>0.13205185049946563</v>
      </c>
      <c r="Z68" s="9">
        <v>0</v>
      </c>
      <c r="AA68" s="13">
        <v>0</v>
      </c>
      <c r="AB68" s="7">
        <v>0</v>
      </c>
    </row>
    <row r="69" spans="1:28" x14ac:dyDescent="0.3">
      <c r="A69" t="s">
        <v>234</v>
      </c>
      <c r="B69" s="11" t="s">
        <v>250</v>
      </c>
      <c r="C69" s="13">
        <v>4.0000000000000029E-2</v>
      </c>
      <c r="D69" s="13">
        <v>1.7500847656555643E-2</v>
      </c>
      <c r="E69" s="13">
        <v>7.9288490128061381E-3</v>
      </c>
      <c r="F69" s="13">
        <v>2.9999999999999992E-2</v>
      </c>
      <c r="G69" s="13">
        <v>3.5079940533632462E-2</v>
      </c>
      <c r="H69" s="13">
        <v>6.3639446023838711E-2</v>
      </c>
      <c r="I69" s="13">
        <v>8.6591377376698513E-3</v>
      </c>
      <c r="J69" s="13">
        <v>1.4999999999999996E-2</v>
      </c>
      <c r="K69" s="13">
        <v>1.8518035523330121E-2</v>
      </c>
      <c r="L69" s="13">
        <v>0.17000000000000035</v>
      </c>
      <c r="M69" s="13">
        <v>6.4710000000000295E-2</v>
      </c>
      <c r="N69" s="13">
        <v>4.9999999999999829E-2</v>
      </c>
      <c r="O69" s="13">
        <v>1.3953730992931812E-2</v>
      </c>
      <c r="P69" s="13">
        <v>5.3806629978352429E-2</v>
      </c>
      <c r="Q69" s="13">
        <v>5.127670118150271E-2</v>
      </c>
      <c r="R69" s="13">
        <v>4.8329464541874201E-2</v>
      </c>
      <c r="S69" s="13">
        <v>1.1528129156777344E-2</v>
      </c>
      <c r="T69" s="13">
        <v>4.8251219321353185E-2</v>
      </c>
      <c r="U69" s="13">
        <v>1.7631256357424224E-2</v>
      </c>
      <c r="V69" s="13">
        <v>1.6014188466654505E-2</v>
      </c>
      <c r="W69" s="13">
        <v>6.8725385357711083E-2</v>
      </c>
      <c r="X69" s="13">
        <v>1.7396520695860861E-2</v>
      </c>
      <c r="Y69" s="13">
        <v>0.13205185049946483</v>
      </c>
      <c r="Z69" s="9">
        <v>0</v>
      </c>
      <c r="AA69" s="13">
        <v>0</v>
      </c>
      <c r="AB69" s="7">
        <v>0</v>
      </c>
    </row>
    <row r="70" spans="1:28" x14ac:dyDescent="0.3">
      <c r="A70" t="s">
        <v>234</v>
      </c>
      <c r="B70" s="11" t="s">
        <v>251</v>
      </c>
      <c r="C70" s="13">
        <v>3.9999999999999938E-2</v>
      </c>
      <c r="D70" s="13">
        <v>1.7500847656555647E-2</v>
      </c>
      <c r="E70" s="13">
        <v>7.9288490128061363E-3</v>
      </c>
      <c r="F70" s="13">
        <v>2.9999999999999995E-2</v>
      </c>
      <c r="G70" s="13">
        <v>3.5079940533632462E-2</v>
      </c>
      <c r="H70" s="13">
        <v>6.3639446023838919E-2</v>
      </c>
      <c r="I70" s="13">
        <v>8.65913773766986E-3</v>
      </c>
      <c r="J70" s="13">
        <v>1.4999999999999984E-2</v>
      </c>
      <c r="K70" s="13">
        <v>1.8518035523330142E-2</v>
      </c>
      <c r="L70" s="13">
        <v>0.16999999999999979</v>
      </c>
      <c r="M70" s="13">
        <v>6.4710000000000073E-2</v>
      </c>
      <c r="N70" s="13">
        <v>4.9999999999999857E-2</v>
      </c>
      <c r="O70" s="13">
        <v>1.3953730992931863E-2</v>
      </c>
      <c r="P70" s="13">
        <v>5.3806629978352151E-2</v>
      </c>
      <c r="Q70" s="13">
        <v>5.1276701181502779E-2</v>
      </c>
      <c r="R70" s="13">
        <v>4.8329464541874277E-2</v>
      </c>
      <c r="S70" s="13">
        <v>1.1528129156777339E-2</v>
      </c>
      <c r="T70" s="13">
        <v>4.8251219321353178E-2</v>
      </c>
      <c r="U70" s="13">
        <v>1.7631256357424099E-2</v>
      </c>
      <c r="V70" s="13">
        <v>1.6014188466654502E-2</v>
      </c>
      <c r="W70" s="13">
        <v>6.8725385357710958E-2</v>
      </c>
      <c r="X70" s="13">
        <v>1.7396520695860895E-2</v>
      </c>
      <c r="Y70" s="13">
        <v>0.13205185049946563</v>
      </c>
      <c r="Z70" s="9">
        <v>0</v>
      </c>
      <c r="AA70" s="13">
        <v>0</v>
      </c>
      <c r="AB70" s="7">
        <v>0</v>
      </c>
    </row>
    <row r="71" spans="1:28" x14ac:dyDescent="0.3">
      <c r="A71" t="s">
        <v>234</v>
      </c>
      <c r="B71" s="11" t="s">
        <v>252</v>
      </c>
      <c r="C71" s="13">
        <v>4.0000000000000008E-2</v>
      </c>
      <c r="D71" s="13">
        <v>1.7500847656555647E-2</v>
      </c>
      <c r="E71" s="13">
        <v>7.9288490128061433E-3</v>
      </c>
      <c r="F71" s="13">
        <v>2.9999999999999985E-2</v>
      </c>
      <c r="G71" s="13">
        <v>3.5079940533632399E-2</v>
      </c>
      <c r="H71" s="13">
        <v>6.3639446023838933E-2</v>
      </c>
      <c r="I71" s="13">
        <v>8.6591377376698444E-3</v>
      </c>
      <c r="J71" s="13">
        <v>1.4999999999999968E-2</v>
      </c>
      <c r="K71" s="13">
        <v>1.8518035523330124E-2</v>
      </c>
      <c r="L71" s="13">
        <v>0.16999999999999985</v>
      </c>
      <c r="M71" s="13">
        <v>6.4709999999999976E-2</v>
      </c>
      <c r="N71" s="13">
        <v>5.0000000000000065E-2</v>
      </c>
      <c r="O71" s="13">
        <v>1.3953730992931835E-2</v>
      </c>
      <c r="P71" s="13">
        <v>5.3806629978352123E-2</v>
      </c>
      <c r="Q71" s="13">
        <v>5.1276701181502786E-2</v>
      </c>
      <c r="R71" s="13">
        <v>4.8329464541874444E-2</v>
      </c>
      <c r="S71" s="13">
        <v>1.1528129156777287E-2</v>
      </c>
      <c r="T71" s="13">
        <v>4.8251219321353137E-2</v>
      </c>
      <c r="U71" s="13">
        <v>1.7631256357424144E-2</v>
      </c>
      <c r="V71" s="13">
        <v>1.601418846665445E-2</v>
      </c>
      <c r="W71" s="13">
        <v>6.8725385357711014E-2</v>
      </c>
      <c r="X71" s="13">
        <v>1.7396520695860784E-2</v>
      </c>
      <c r="Y71" s="13">
        <v>0.13205185049946525</v>
      </c>
      <c r="Z71" s="9">
        <v>0</v>
      </c>
      <c r="AA71" s="13">
        <v>0</v>
      </c>
      <c r="AB71" s="7">
        <v>0</v>
      </c>
    </row>
    <row r="72" spans="1:28" x14ac:dyDescent="0.3">
      <c r="A72" t="s">
        <v>234</v>
      </c>
      <c r="B72" s="11" t="s">
        <v>253</v>
      </c>
      <c r="C72" s="13">
        <v>3.9999999999999945E-2</v>
      </c>
      <c r="D72" s="13">
        <v>1.7500847656555626E-2</v>
      </c>
      <c r="E72" s="13">
        <v>7.9288490128061294E-3</v>
      </c>
      <c r="F72" s="13">
        <v>2.9999999999999902E-2</v>
      </c>
      <c r="G72" s="13">
        <v>3.5079940533632448E-2</v>
      </c>
      <c r="H72" s="13">
        <v>6.3639446023838739E-2</v>
      </c>
      <c r="I72" s="13">
        <v>8.6591377376698565E-3</v>
      </c>
      <c r="J72" s="13">
        <v>1.4999999999999951E-2</v>
      </c>
      <c r="K72" s="13">
        <v>1.8518035523330076E-2</v>
      </c>
      <c r="L72" s="13">
        <v>0.17000000000000026</v>
      </c>
      <c r="M72" s="13">
        <v>6.4710000000000101E-2</v>
      </c>
      <c r="N72" s="13">
        <v>4.9999999999999878E-2</v>
      </c>
      <c r="O72" s="13">
        <v>1.3953730992931838E-2</v>
      </c>
      <c r="P72" s="13">
        <v>5.3806629978352095E-2</v>
      </c>
      <c r="Q72" s="13">
        <v>5.1276701181502918E-2</v>
      </c>
      <c r="R72" s="13">
        <v>4.832946454187402E-2</v>
      </c>
      <c r="S72" s="13">
        <v>1.1528129156777306E-2</v>
      </c>
      <c r="T72" s="13">
        <v>4.8251219321353178E-2</v>
      </c>
      <c r="U72" s="13">
        <v>1.7631256357424116E-2</v>
      </c>
      <c r="V72" s="13">
        <v>1.6014188466654509E-2</v>
      </c>
      <c r="W72" s="13">
        <v>6.8725385357711027E-2</v>
      </c>
      <c r="X72" s="13">
        <v>1.7396520695860833E-2</v>
      </c>
      <c r="Y72" s="13">
        <v>0.13205185049946544</v>
      </c>
      <c r="Z72" s="9">
        <v>0</v>
      </c>
      <c r="AA72" s="13">
        <v>0</v>
      </c>
      <c r="AB72" s="7">
        <v>0</v>
      </c>
    </row>
    <row r="73" spans="1:28" x14ac:dyDescent="0.3">
      <c r="A73" t="s">
        <v>234</v>
      </c>
      <c r="B73" s="11" t="s">
        <v>254</v>
      </c>
      <c r="C73" s="13">
        <v>3.999999999999998E-2</v>
      </c>
      <c r="D73" s="13">
        <v>1.7500847656555688E-2</v>
      </c>
      <c r="E73" s="13">
        <v>7.9288490128061016E-3</v>
      </c>
      <c r="F73" s="13">
        <v>3.0000000000000023E-2</v>
      </c>
      <c r="G73" s="13">
        <v>3.5079940533632503E-2</v>
      </c>
      <c r="H73" s="13">
        <v>6.3639446023838739E-2</v>
      </c>
      <c r="I73" s="13">
        <v>8.6591377376698947E-3</v>
      </c>
      <c r="J73" s="13">
        <v>1.5000000000000024E-2</v>
      </c>
      <c r="K73" s="13">
        <v>1.8518035523330083E-2</v>
      </c>
      <c r="L73" s="13">
        <v>0.16999999999999979</v>
      </c>
      <c r="M73" s="13">
        <v>6.4709999999999851E-2</v>
      </c>
      <c r="N73" s="13">
        <v>5.0000000000000058E-2</v>
      </c>
      <c r="O73" s="13">
        <v>1.3953730992931894E-2</v>
      </c>
      <c r="P73" s="13">
        <v>5.380662997835229E-2</v>
      </c>
      <c r="Q73" s="13">
        <v>5.1276701181502911E-2</v>
      </c>
      <c r="R73" s="13">
        <v>4.8329464541874291E-2</v>
      </c>
      <c r="S73" s="13">
        <v>1.1528129156777396E-2</v>
      </c>
      <c r="T73" s="13">
        <v>4.825121932135306E-2</v>
      </c>
      <c r="U73" s="13">
        <v>1.7631256357424137E-2</v>
      </c>
      <c r="V73" s="13">
        <v>1.6014188466654519E-2</v>
      </c>
      <c r="W73" s="13">
        <v>6.8725385357711014E-2</v>
      </c>
      <c r="X73" s="13">
        <v>1.7396520695860888E-2</v>
      </c>
      <c r="Y73" s="13">
        <v>0.1320518504994655</v>
      </c>
      <c r="Z73" s="9">
        <v>0</v>
      </c>
      <c r="AA73" s="13">
        <v>0</v>
      </c>
      <c r="AB73" s="7">
        <v>0</v>
      </c>
    </row>
    <row r="74" spans="1:28" x14ac:dyDescent="0.3">
      <c r="A74" t="s">
        <v>234</v>
      </c>
      <c r="B74" s="11" t="s">
        <v>255</v>
      </c>
      <c r="C74" s="13">
        <v>1.4999999999999994E-2</v>
      </c>
      <c r="D74" s="13">
        <v>1.3694366635543118E-2</v>
      </c>
      <c r="E74" s="13">
        <v>4.6685340802987765E-3</v>
      </c>
      <c r="F74" s="13">
        <v>4.0460628695922754E-3</v>
      </c>
      <c r="G74" s="13">
        <v>6.2247121070650325E-3</v>
      </c>
      <c r="H74" s="13">
        <v>1.6806722689075612E-2</v>
      </c>
      <c r="I74" s="13">
        <v>2.7388733271086239E-2</v>
      </c>
      <c r="J74" s="13">
        <v>3.9999999999999869E-2</v>
      </c>
      <c r="K74" s="13">
        <v>1.1204481792717068E-2</v>
      </c>
      <c r="L74" s="13">
        <v>2.2097727980080913E-2</v>
      </c>
      <c r="M74" s="13">
        <v>0.34516028633675711</v>
      </c>
      <c r="N74" s="13">
        <v>2.3342670401493869E-2</v>
      </c>
      <c r="O74" s="13">
        <v>5.6022408963585339E-3</v>
      </c>
      <c r="P74" s="13">
        <v>6.131341425459088E-2</v>
      </c>
      <c r="Q74" s="13">
        <v>3.9838157485216366E-2</v>
      </c>
      <c r="R74" s="13">
        <v>2.27201991907874E-2</v>
      </c>
      <c r="S74" s="13">
        <v>4.0460628695922748E-2</v>
      </c>
      <c r="T74" s="13">
        <v>6.3803299097416902E-2</v>
      </c>
      <c r="U74" s="13">
        <v>2.0541549953314711E-2</v>
      </c>
      <c r="V74" s="13">
        <v>1.8674136321195128E-3</v>
      </c>
      <c r="W74" s="13">
        <v>3.1746031746031807E-2</v>
      </c>
      <c r="X74" s="13">
        <v>1.8362900715841853E-2</v>
      </c>
      <c r="Y74" s="13">
        <v>2.5521319638966644E-2</v>
      </c>
      <c r="Z74" s="9">
        <v>0</v>
      </c>
      <c r="AA74" s="13">
        <v>0.13858999999999994</v>
      </c>
      <c r="AB74" s="7">
        <v>0</v>
      </c>
    </row>
    <row r="75" spans="1:28" x14ac:dyDescent="0.3">
      <c r="A75" t="s">
        <v>234</v>
      </c>
      <c r="B75" s="11" t="s">
        <v>256</v>
      </c>
      <c r="C75" s="13">
        <v>0.19999999999999998</v>
      </c>
      <c r="D75" s="13">
        <v>0</v>
      </c>
      <c r="E75" s="13">
        <v>0</v>
      </c>
      <c r="F75" s="13">
        <v>9.9999999999999992E-2</v>
      </c>
      <c r="G75" s="13">
        <v>9.9999999999999992E-2</v>
      </c>
      <c r="H75" s="13">
        <v>0</v>
      </c>
      <c r="I75" s="13">
        <v>0</v>
      </c>
      <c r="J75" s="13">
        <v>0</v>
      </c>
      <c r="K75" s="13">
        <v>0</v>
      </c>
      <c r="L75" s="13">
        <v>0.39999999999999997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0.19999999999999998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9">
        <v>0</v>
      </c>
      <c r="AA75" s="13">
        <v>0</v>
      </c>
      <c r="AB75" s="7">
        <v>0</v>
      </c>
    </row>
    <row r="76" spans="1:28" x14ac:dyDescent="0.3">
      <c r="A76" t="s">
        <v>234</v>
      </c>
      <c r="B76" s="11" t="s">
        <v>257</v>
      </c>
      <c r="C76" s="13">
        <v>0.20000000000000057</v>
      </c>
      <c r="D76" s="13">
        <v>0</v>
      </c>
      <c r="E76" s="13">
        <v>0</v>
      </c>
      <c r="F76" s="13">
        <v>0.10000000000000028</v>
      </c>
      <c r="G76" s="13">
        <v>0.10000000000000028</v>
      </c>
      <c r="H76" s="13">
        <v>0</v>
      </c>
      <c r="I76" s="13">
        <v>0</v>
      </c>
      <c r="J76" s="13">
        <v>0</v>
      </c>
      <c r="K76" s="13">
        <v>0</v>
      </c>
      <c r="L76" s="13">
        <v>0.39999999999999825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0.20000000000000057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9">
        <v>0</v>
      </c>
      <c r="AA76" s="13">
        <v>0</v>
      </c>
      <c r="AB76" s="7">
        <v>0</v>
      </c>
    </row>
    <row r="77" spans="1:28" x14ac:dyDescent="0.3">
      <c r="A77" t="s">
        <v>234</v>
      </c>
      <c r="B77" s="11" t="s">
        <v>258</v>
      </c>
      <c r="C77" s="13">
        <v>3.9136666356062624E-2</v>
      </c>
      <c r="D77" s="13">
        <v>4.5887162430215504E-2</v>
      </c>
      <c r="E77" s="13">
        <v>1.6944032517201901E-2</v>
      </c>
      <c r="F77" s="13">
        <v>1.9614729838749467E-2</v>
      </c>
      <c r="G77" s="13">
        <v>5.1190544950680213E-2</v>
      </c>
      <c r="H77" s="13">
        <v>7.8266475088618156E-2</v>
      </c>
      <c r="I77" s="13">
        <v>1.8139605844144854E-2</v>
      </c>
      <c r="J77" s="13">
        <v>1.0363139792280053E-2</v>
      </c>
      <c r="K77" s="13">
        <v>4.0398127983638184E-2</v>
      </c>
      <c r="L77" s="13">
        <v>5.2386204155007755E-2</v>
      </c>
      <c r="M77" s="13">
        <v>8.3222910570922015E-2</v>
      </c>
      <c r="N77" s="13">
        <v>2.7777292884143306E-2</v>
      </c>
      <c r="O77" s="13">
        <v>1.5391129403455415E-2</v>
      </c>
      <c r="P77" s="13">
        <v>4.9702378177047583E-2</v>
      </c>
      <c r="Q77" s="13">
        <v>7.2412473481721473E-2</v>
      </c>
      <c r="R77" s="13">
        <v>7.6565854763630439E-2</v>
      </c>
      <c r="S77" s="13">
        <v>4.9548525854927819E-3</v>
      </c>
      <c r="T77" s="13">
        <v>8.6830511949679931E-2</v>
      </c>
      <c r="U77" s="13">
        <v>2.1559927981077531E-2</v>
      </c>
      <c r="V77" s="13">
        <v>1.9422332105916821E-2</v>
      </c>
      <c r="W77" s="13">
        <v>5.4461497620297034E-2</v>
      </c>
      <c r="X77" s="13">
        <v>2.7237248204433913E-2</v>
      </c>
      <c r="Y77" s="13">
        <v>7.1778910239034377E-2</v>
      </c>
      <c r="Z77" s="9">
        <v>0</v>
      </c>
      <c r="AA77" s="13">
        <v>1.6355991076548827E-2</v>
      </c>
      <c r="AB77" s="7">
        <v>0</v>
      </c>
    </row>
    <row r="78" spans="1:28" x14ac:dyDescent="0.3">
      <c r="A78" t="s">
        <v>234</v>
      </c>
      <c r="B78" s="11" t="s">
        <v>259</v>
      </c>
      <c r="C78" s="13">
        <v>3.9136666356062465E-2</v>
      </c>
      <c r="D78" s="13">
        <v>4.5887162430215719E-2</v>
      </c>
      <c r="E78" s="13">
        <v>1.6944032517201855E-2</v>
      </c>
      <c r="F78" s="13">
        <v>1.9614729838749425E-2</v>
      </c>
      <c r="G78" s="13">
        <v>5.1190544950680122E-2</v>
      </c>
      <c r="H78" s="13">
        <v>7.8266475088618462E-2</v>
      </c>
      <c r="I78" s="13">
        <v>1.8139605844144927E-2</v>
      </c>
      <c r="J78" s="13">
        <v>1.0363139792280051E-2</v>
      </c>
      <c r="K78" s="13">
        <v>4.0398127983638073E-2</v>
      </c>
      <c r="L78" s="13">
        <v>5.2386204155007804E-2</v>
      </c>
      <c r="M78" s="13">
        <v>8.322291057092146E-2</v>
      </c>
      <c r="N78" s="13">
        <v>2.7777292884143222E-2</v>
      </c>
      <c r="O78" s="13">
        <v>1.539112940345542E-2</v>
      </c>
      <c r="P78" s="13">
        <v>4.9702378177047743E-2</v>
      </c>
      <c r="Q78" s="13">
        <v>7.2412473481721432E-2</v>
      </c>
      <c r="R78" s="13">
        <v>7.656585476363037E-2</v>
      </c>
      <c r="S78" s="13">
        <v>4.9548525854927507E-3</v>
      </c>
      <c r="T78" s="13">
        <v>8.683051194968E-2</v>
      </c>
      <c r="U78" s="13">
        <v>2.1559927981077507E-2</v>
      </c>
      <c r="V78" s="13">
        <v>1.9422332105916842E-2</v>
      </c>
      <c r="W78" s="13">
        <v>5.446149762029695E-2</v>
      </c>
      <c r="X78" s="13">
        <v>2.7237248204434013E-2</v>
      </c>
      <c r="Y78" s="13">
        <v>7.1778910239034446E-2</v>
      </c>
      <c r="Z78" s="9">
        <v>0</v>
      </c>
      <c r="AA78" s="13">
        <v>1.6355991076548872E-2</v>
      </c>
      <c r="AB78" s="7">
        <v>0</v>
      </c>
    </row>
    <row r="79" spans="1:28" x14ac:dyDescent="0.3">
      <c r="A79" t="s">
        <v>234</v>
      </c>
      <c r="B79" s="11" t="s">
        <v>260</v>
      </c>
      <c r="C79" s="13">
        <v>3.9136666356062409E-2</v>
      </c>
      <c r="D79" s="13">
        <v>4.588716243021565E-2</v>
      </c>
      <c r="E79" s="13">
        <v>1.6944032517201901E-2</v>
      </c>
      <c r="F79" s="13">
        <v>1.9614729838749501E-2</v>
      </c>
      <c r="G79" s="13">
        <v>5.1190544950680164E-2</v>
      </c>
      <c r="H79" s="13">
        <v>7.8266475088618309E-2</v>
      </c>
      <c r="I79" s="13">
        <v>1.8139605844144844E-2</v>
      </c>
      <c r="J79" s="13">
        <v>1.0363139792280025E-2</v>
      </c>
      <c r="K79" s="13">
        <v>4.0398127983638073E-2</v>
      </c>
      <c r="L79" s="13">
        <v>5.2386204155007492E-2</v>
      </c>
      <c r="M79" s="13">
        <v>8.3222910570921904E-2</v>
      </c>
      <c r="N79" s="13">
        <v>2.7777292884143205E-2</v>
      </c>
      <c r="O79" s="13">
        <v>1.5391129403455394E-2</v>
      </c>
      <c r="P79" s="13">
        <v>4.970237817704784E-2</v>
      </c>
      <c r="Q79" s="13">
        <v>7.2412473481721529E-2</v>
      </c>
      <c r="R79" s="13">
        <v>7.6565854763630509E-2</v>
      </c>
      <c r="S79" s="13">
        <v>4.9548525854927672E-3</v>
      </c>
      <c r="T79" s="13">
        <v>8.6830511949679876E-2</v>
      </c>
      <c r="U79" s="13">
        <v>2.155992798107749E-2</v>
      </c>
      <c r="V79" s="13">
        <v>1.9422332105916831E-2</v>
      </c>
      <c r="W79" s="13">
        <v>5.4461497620297068E-2</v>
      </c>
      <c r="X79" s="13">
        <v>2.7237248204434118E-2</v>
      </c>
      <c r="Y79" s="13">
        <v>7.1778910239034308E-2</v>
      </c>
      <c r="Z79" s="9">
        <v>0</v>
      </c>
      <c r="AA79" s="13">
        <v>1.6355991076548834E-2</v>
      </c>
      <c r="AB79" s="7">
        <v>0</v>
      </c>
    </row>
    <row r="80" spans="1:28" x14ac:dyDescent="0.3">
      <c r="A80" t="s">
        <v>234</v>
      </c>
      <c r="B80" s="11" t="s">
        <v>261</v>
      </c>
      <c r="C80" s="13">
        <v>3.913666635606261E-2</v>
      </c>
      <c r="D80" s="13">
        <v>4.5887162430215699E-2</v>
      </c>
      <c r="E80" s="13">
        <v>1.6944032517201828E-2</v>
      </c>
      <c r="F80" s="13">
        <v>1.9614729838749394E-2</v>
      </c>
      <c r="G80" s="13">
        <v>5.1190544950680192E-2</v>
      </c>
      <c r="H80" s="13">
        <v>7.8266475088618198E-2</v>
      </c>
      <c r="I80" s="13">
        <v>1.8139605844144872E-2</v>
      </c>
      <c r="J80" s="13">
        <v>1.0363139792280027E-2</v>
      </c>
      <c r="K80" s="13">
        <v>4.0398127983638094E-2</v>
      </c>
      <c r="L80" s="13">
        <v>5.2386204155007672E-2</v>
      </c>
      <c r="M80" s="13">
        <v>8.3222910570921751E-2</v>
      </c>
      <c r="N80" s="13">
        <v>2.777729288414317E-2</v>
      </c>
      <c r="O80" s="13">
        <v>1.5391129403455536E-2</v>
      </c>
      <c r="P80" s="13">
        <v>4.9702378177047701E-2</v>
      </c>
      <c r="Q80" s="13">
        <v>7.2412473481721265E-2</v>
      </c>
      <c r="R80" s="13">
        <v>7.6565854763630245E-2</v>
      </c>
      <c r="S80" s="13">
        <v>4.9548525854927672E-3</v>
      </c>
      <c r="T80" s="13">
        <v>8.6830511949679903E-2</v>
      </c>
      <c r="U80" s="13">
        <v>2.1559927981077604E-2</v>
      </c>
      <c r="V80" s="13">
        <v>1.9422332105916873E-2</v>
      </c>
      <c r="W80" s="13">
        <v>5.4461497620297249E-2</v>
      </c>
      <c r="X80" s="13">
        <v>2.72372482044341E-2</v>
      </c>
      <c r="Y80" s="13">
        <v>7.1778910239034391E-2</v>
      </c>
      <c r="Z80" s="9">
        <v>0</v>
      </c>
      <c r="AA80" s="13">
        <v>1.6355991076548809E-2</v>
      </c>
      <c r="AB80" s="7">
        <v>0</v>
      </c>
    </row>
    <row r="81" spans="1:28" x14ac:dyDescent="0.3">
      <c r="A81" t="s">
        <v>234</v>
      </c>
      <c r="B81" s="11" t="s">
        <v>262</v>
      </c>
      <c r="C81" s="13">
        <v>3.9136666356062444E-2</v>
      </c>
      <c r="D81" s="13">
        <v>4.5887162430215706E-2</v>
      </c>
      <c r="E81" s="13">
        <v>1.6944032517201849E-2</v>
      </c>
      <c r="F81" s="13">
        <v>1.9614729838749373E-2</v>
      </c>
      <c r="G81" s="13">
        <v>5.1190544950680233E-2</v>
      </c>
      <c r="H81" s="13">
        <v>7.826647508861842E-2</v>
      </c>
      <c r="I81" s="13">
        <v>1.8139605844144872E-2</v>
      </c>
      <c r="J81" s="13">
        <v>1.0363139792280074E-2</v>
      </c>
      <c r="K81" s="13">
        <v>4.0398127983638107E-2</v>
      </c>
      <c r="L81" s="13">
        <v>5.2386204155007693E-2</v>
      </c>
      <c r="M81" s="13">
        <v>8.3222910570921585E-2</v>
      </c>
      <c r="N81" s="13">
        <v>2.7777292884143337E-2</v>
      </c>
      <c r="O81" s="13">
        <v>1.5391129403455413E-2</v>
      </c>
      <c r="P81" s="13">
        <v>4.9702378177047771E-2</v>
      </c>
      <c r="Q81" s="13">
        <v>7.2412473481721251E-2</v>
      </c>
      <c r="R81" s="13">
        <v>7.6565854763630134E-2</v>
      </c>
      <c r="S81" s="13">
        <v>4.9548525854927732E-3</v>
      </c>
      <c r="T81" s="13">
        <v>8.6830511949679848E-2</v>
      </c>
      <c r="U81" s="13">
        <v>2.1559927981077417E-2</v>
      </c>
      <c r="V81" s="13">
        <v>1.9422332105916873E-2</v>
      </c>
      <c r="W81" s="13">
        <v>5.4461497620297346E-2</v>
      </c>
      <c r="X81" s="13">
        <v>2.7237248204433993E-2</v>
      </c>
      <c r="Y81" s="13">
        <v>7.1778910239034682E-2</v>
      </c>
      <c r="Z81" s="9">
        <v>0</v>
      </c>
      <c r="AA81" s="13">
        <v>1.635599107654884E-2</v>
      </c>
      <c r="AB81" s="7">
        <v>0</v>
      </c>
    </row>
    <row r="82" spans="1:28" x14ac:dyDescent="0.3">
      <c r="A82" t="s">
        <v>234</v>
      </c>
      <c r="B82" s="11" t="s">
        <v>263</v>
      </c>
      <c r="C82" s="13">
        <v>3.9136666356062506E-2</v>
      </c>
      <c r="D82" s="13">
        <v>4.5887162430215678E-2</v>
      </c>
      <c r="E82" s="13">
        <v>1.6944032517201914E-2</v>
      </c>
      <c r="F82" s="13">
        <v>1.9614729838749397E-2</v>
      </c>
      <c r="G82" s="13">
        <v>5.1190544950680199E-2</v>
      </c>
      <c r="H82" s="13">
        <v>7.8266475088618143E-2</v>
      </c>
      <c r="I82" s="13">
        <v>1.8139605844144879E-2</v>
      </c>
      <c r="J82" s="13">
        <v>1.0363139792280074E-2</v>
      </c>
      <c r="K82" s="13">
        <v>4.0398127983638135E-2</v>
      </c>
      <c r="L82" s="13">
        <v>5.2386204155007401E-2</v>
      </c>
      <c r="M82" s="13">
        <v>8.322291057092232E-2</v>
      </c>
      <c r="N82" s="13">
        <v>2.7777292884143299E-2</v>
      </c>
      <c r="O82" s="13">
        <v>1.5391129403455465E-2</v>
      </c>
      <c r="P82" s="13">
        <v>4.9702378177047882E-2</v>
      </c>
      <c r="Q82" s="13">
        <v>7.2412473481721196E-2</v>
      </c>
      <c r="R82" s="13">
        <v>7.6565854763630273E-2</v>
      </c>
      <c r="S82" s="13">
        <v>4.9548525854927828E-3</v>
      </c>
      <c r="T82" s="13">
        <v>8.6830511949679806E-2</v>
      </c>
      <c r="U82" s="13">
        <v>2.1559927981077545E-2</v>
      </c>
      <c r="V82" s="13">
        <v>1.9422332105916838E-2</v>
      </c>
      <c r="W82" s="13">
        <v>5.4461497620297117E-2</v>
      </c>
      <c r="X82" s="13">
        <v>2.7237248204433965E-2</v>
      </c>
      <c r="Y82" s="13">
        <v>7.1778910239034391E-2</v>
      </c>
      <c r="Z82" s="9">
        <v>0</v>
      </c>
      <c r="AA82" s="13">
        <v>1.6355991076548875E-2</v>
      </c>
      <c r="AB82" s="7">
        <v>0</v>
      </c>
    </row>
    <row r="83" spans="1:28" x14ac:dyDescent="0.3">
      <c r="A83" t="s">
        <v>234</v>
      </c>
      <c r="B83" s="11" t="s">
        <v>264</v>
      </c>
      <c r="C83" s="13">
        <v>3.9136666356062458E-2</v>
      </c>
      <c r="D83" s="13">
        <v>4.588716243021556E-2</v>
      </c>
      <c r="E83" s="13">
        <v>1.6944032517201928E-2</v>
      </c>
      <c r="F83" s="13">
        <v>1.9614729838749456E-2</v>
      </c>
      <c r="G83" s="13">
        <v>5.1190544950680365E-2</v>
      </c>
      <c r="H83" s="13">
        <v>7.8266475088618212E-2</v>
      </c>
      <c r="I83" s="13">
        <v>1.8139605844144813E-2</v>
      </c>
      <c r="J83" s="13">
        <v>1.0363139792280084E-2</v>
      </c>
      <c r="K83" s="13">
        <v>4.0398127983638059E-2</v>
      </c>
      <c r="L83" s="13">
        <v>5.2386204155007748E-2</v>
      </c>
      <c r="M83" s="13">
        <v>8.3222910570921835E-2</v>
      </c>
      <c r="N83" s="13">
        <v>2.7777292884143299E-2</v>
      </c>
      <c r="O83" s="13">
        <v>1.5391129403455404E-2</v>
      </c>
      <c r="P83" s="13">
        <v>4.9702378177047757E-2</v>
      </c>
      <c r="Q83" s="13">
        <v>7.2412473481721418E-2</v>
      </c>
      <c r="R83" s="13">
        <v>7.6565854763630328E-2</v>
      </c>
      <c r="S83" s="13">
        <v>4.9548525854927758E-3</v>
      </c>
      <c r="T83" s="13">
        <v>8.6830511949679973E-2</v>
      </c>
      <c r="U83" s="13">
        <v>2.1559927981077514E-2</v>
      </c>
      <c r="V83" s="13">
        <v>1.942233210591689E-2</v>
      </c>
      <c r="W83" s="13">
        <v>5.4461497620296978E-2</v>
      </c>
      <c r="X83" s="13">
        <v>2.7237248204433951E-2</v>
      </c>
      <c r="Y83" s="13">
        <v>7.177891023903428E-2</v>
      </c>
      <c r="Z83" s="9">
        <v>0</v>
      </c>
      <c r="AA83" s="13">
        <v>1.6355991076548827E-2</v>
      </c>
      <c r="AB83" s="7">
        <v>0</v>
      </c>
    </row>
    <row r="84" spans="1:28" x14ac:dyDescent="0.3">
      <c r="A84" t="s">
        <v>234</v>
      </c>
      <c r="B84" s="11" t="s">
        <v>265</v>
      </c>
      <c r="C84" s="13">
        <v>3.9136666356062479E-2</v>
      </c>
      <c r="D84" s="13">
        <v>4.5887162430215817E-2</v>
      </c>
      <c r="E84" s="13">
        <v>1.6944032517201859E-2</v>
      </c>
      <c r="F84" s="13">
        <v>1.9614729838749411E-2</v>
      </c>
      <c r="G84" s="13">
        <v>5.1190544950680046E-2</v>
      </c>
      <c r="H84" s="13">
        <v>7.8266475088618059E-2</v>
      </c>
      <c r="I84" s="13">
        <v>1.8139605844144917E-2</v>
      </c>
      <c r="J84" s="13">
        <v>1.0363139792280077E-2</v>
      </c>
      <c r="K84" s="13">
        <v>4.0398127983637934E-2</v>
      </c>
      <c r="L84" s="13">
        <v>5.2386204155007811E-2</v>
      </c>
      <c r="M84" s="13">
        <v>8.322291057092196E-2</v>
      </c>
      <c r="N84" s="13">
        <v>2.7777292884143288E-2</v>
      </c>
      <c r="O84" s="13">
        <v>1.5391129403455455E-2</v>
      </c>
      <c r="P84" s="13">
        <v>4.9702378177047646E-2</v>
      </c>
      <c r="Q84" s="13">
        <v>7.2412473481721168E-2</v>
      </c>
      <c r="R84" s="13">
        <v>7.6565854763630287E-2</v>
      </c>
      <c r="S84" s="13">
        <v>4.9548525854927923E-3</v>
      </c>
      <c r="T84" s="13">
        <v>8.6830511949679751E-2</v>
      </c>
      <c r="U84" s="13">
        <v>2.1559927981077476E-2</v>
      </c>
      <c r="V84" s="13">
        <v>1.9422332105916835E-2</v>
      </c>
      <c r="W84" s="13">
        <v>5.4461497620297145E-2</v>
      </c>
      <c r="X84" s="13">
        <v>2.7237248204434118E-2</v>
      </c>
      <c r="Y84" s="13">
        <v>7.1778910239034779E-2</v>
      </c>
      <c r="Z84" s="9">
        <v>0</v>
      </c>
      <c r="AA84" s="13">
        <v>1.6355991076548861E-2</v>
      </c>
      <c r="AB84" s="7">
        <v>0</v>
      </c>
    </row>
    <row r="85" spans="1:28" x14ac:dyDescent="0.3">
      <c r="A85" t="s">
        <v>234</v>
      </c>
      <c r="B85" s="11" t="s">
        <v>127</v>
      </c>
      <c r="C85" s="13">
        <v>3.4537273174692351E-2</v>
      </c>
      <c r="D85" s="13">
        <v>4.2374783275552642E-2</v>
      </c>
      <c r="E85" s="13">
        <v>1.4952747237165233E-2</v>
      </c>
      <c r="F85" s="13">
        <v>1.7309580650671275E-2</v>
      </c>
      <c r="G85" s="13">
        <v>4.5174563894585046E-2</v>
      </c>
      <c r="H85" s="13">
        <v>7.6589859925543249E-2</v>
      </c>
      <c r="I85" s="13">
        <v>1.6007815193575612E-2</v>
      </c>
      <c r="J85" s="13">
        <v>9.145249794584441E-3</v>
      </c>
      <c r="K85" s="13">
        <v>3.5650486150845942E-2</v>
      </c>
      <c r="L85" s="13">
        <v>4.6229707635955353E-2</v>
      </c>
      <c r="M85" s="13">
        <v>7.3442443222701131E-2</v>
      </c>
      <c r="N85" s="13">
        <v>2.4512868410021916E-2</v>
      </c>
      <c r="O85" s="13">
        <v>1.3582343366653113E-2</v>
      </c>
      <c r="P85" s="13">
        <v>8.3348456196950638E-2</v>
      </c>
      <c r="Q85" s="13">
        <v>6.3902463105572321E-2</v>
      </c>
      <c r="R85" s="13">
        <v>7.6969440087947191E-2</v>
      </c>
      <c r="S85" s="13">
        <v>7.1930636880821316E-3</v>
      </c>
      <c r="T85" s="13">
        <v>8.4147439762764301E-2</v>
      </c>
      <c r="U85" s="13">
        <v>1.9026176515257082E-2</v>
      </c>
      <c r="V85" s="13">
        <v>1.7139793755779016E-2</v>
      </c>
      <c r="W85" s="13">
        <v>5.3702133809750474E-2</v>
      </c>
      <c r="X85" s="13">
        <v>2.403629050070373E-2</v>
      </c>
      <c r="Y85" s="13">
        <v>0.10659120743443891</v>
      </c>
      <c r="Z85" s="9">
        <v>0</v>
      </c>
      <c r="AA85" s="13">
        <v>1.443381321020692E-2</v>
      </c>
      <c r="AB85" s="7">
        <v>0</v>
      </c>
    </row>
    <row r="86" spans="1:28" x14ac:dyDescent="0.3">
      <c r="A86" t="s">
        <v>234</v>
      </c>
      <c r="B86" s="11" t="s">
        <v>266</v>
      </c>
      <c r="C86" s="13">
        <v>3.9136666356062375E-2</v>
      </c>
      <c r="D86" s="13">
        <v>4.5887162430215594E-2</v>
      </c>
      <c r="E86" s="13">
        <v>1.6944032517201911E-2</v>
      </c>
      <c r="F86" s="13">
        <v>1.9614729838749428E-2</v>
      </c>
      <c r="G86" s="13">
        <v>5.1190544950680254E-2</v>
      </c>
      <c r="H86" s="13">
        <v>7.8266475088618462E-2</v>
      </c>
      <c r="I86" s="13">
        <v>1.8139605844144858E-2</v>
      </c>
      <c r="J86" s="13">
        <v>1.0363139792280054E-2</v>
      </c>
      <c r="K86" s="13">
        <v>4.0398127983638212E-2</v>
      </c>
      <c r="L86" s="13">
        <v>5.2386204155007533E-2</v>
      </c>
      <c r="M86" s="13">
        <v>8.3222910570922015E-2</v>
      </c>
      <c r="N86" s="13">
        <v>2.7777292884143268E-2</v>
      </c>
      <c r="O86" s="13">
        <v>1.5391129403455441E-2</v>
      </c>
      <c r="P86" s="13">
        <v>4.9702378177047708E-2</v>
      </c>
      <c r="Q86" s="13">
        <v>7.241247348172121E-2</v>
      </c>
      <c r="R86" s="13">
        <v>7.6565854763630536E-2</v>
      </c>
      <c r="S86" s="13">
        <v>4.9548525854927654E-3</v>
      </c>
      <c r="T86" s="13">
        <v>8.6830511949679709E-2</v>
      </c>
      <c r="U86" s="13">
        <v>2.1559927981077476E-2</v>
      </c>
      <c r="V86" s="13">
        <v>1.9422332105916925E-2</v>
      </c>
      <c r="W86" s="13">
        <v>5.4461497620297242E-2</v>
      </c>
      <c r="X86" s="13">
        <v>2.7237248204433986E-2</v>
      </c>
      <c r="Y86" s="13">
        <v>7.1778910239034294E-2</v>
      </c>
      <c r="Z86" s="9">
        <v>0</v>
      </c>
      <c r="AA86" s="13">
        <v>1.6355991076548823E-2</v>
      </c>
      <c r="AB86" s="7">
        <v>0</v>
      </c>
    </row>
    <row r="87" spans="1:28" x14ac:dyDescent="0.3">
      <c r="A87" t="s">
        <v>234</v>
      </c>
      <c r="B87" s="11" t="s">
        <v>128</v>
      </c>
      <c r="C87" s="13">
        <v>3.8068833134687952E-2</v>
      </c>
      <c r="D87" s="13">
        <v>4.5071699389872731E-2</v>
      </c>
      <c r="E87" s="13">
        <v>1.6481719231207982E-2</v>
      </c>
      <c r="F87" s="13">
        <v>1.9079547307883225E-2</v>
      </c>
      <c r="G87" s="13">
        <v>4.9793824953599061E-2</v>
      </c>
      <c r="H87" s="13">
        <v>7.7877218223638273E-2</v>
      </c>
      <c r="I87" s="13">
        <v>1.7644671667411661E-2</v>
      </c>
      <c r="J87" s="13">
        <v>1.0080384361675273E-2</v>
      </c>
      <c r="K87" s="13">
        <v>3.9295876127289388E-2</v>
      </c>
      <c r="L87" s="13">
        <v>5.0956860924046554E-2</v>
      </c>
      <c r="M87" s="13">
        <v>8.0952196252063319E-2</v>
      </c>
      <c r="N87" s="13">
        <v>2.7019397056438299E-2</v>
      </c>
      <c r="O87" s="13">
        <v>1.4971186653555442E-2</v>
      </c>
      <c r="P87" s="13">
        <v>5.751393036704968E-2</v>
      </c>
      <c r="Q87" s="13">
        <v>7.0436718977692173E-2</v>
      </c>
      <c r="R87" s="13">
        <v>7.6659554475738134E-2</v>
      </c>
      <c r="S87" s="13">
        <v>5.4744942159311374E-3</v>
      </c>
      <c r="T87" s="13">
        <v>8.6207587684769924E-2</v>
      </c>
      <c r="U87" s="13">
        <v>2.0971671251718348E-2</v>
      </c>
      <c r="V87" s="13">
        <v>1.889239909449018E-2</v>
      </c>
      <c r="W87" s="13">
        <v>5.4285197427633422E-2</v>
      </c>
      <c r="X87" s="13">
        <v>2.6494087347888259E-2</v>
      </c>
      <c r="Y87" s="13">
        <v>7.9861221533530521E-2</v>
      </c>
      <c r="Z87" s="9">
        <v>0</v>
      </c>
      <c r="AA87" s="13">
        <v>1.5909722340189333E-2</v>
      </c>
      <c r="AB87" s="7">
        <v>0</v>
      </c>
    </row>
    <row r="88" spans="1:28" x14ac:dyDescent="0.3">
      <c r="A88" t="s">
        <v>234</v>
      </c>
      <c r="B88" s="11" t="s">
        <v>267</v>
      </c>
      <c r="C88" s="13">
        <v>3.9136666356062479E-2</v>
      </c>
      <c r="D88" s="13">
        <v>4.5887162430215588E-2</v>
      </c>
      <c r="E88" s="13">
        <v>1.6944032517201817E-2</v>
      </c>
      <c r="F88" s="13">
        <v>1.961472983874948E-2</v>
      </c>
      <c r="G88" s="13">
        <v>5.1190544950680102E-2</v>
      </c>
      <c r="H88" s="13">
        <v>7.8266475088618281E-2</v>
      </c>
      <c r="I88" s="13">
        <v>1.8139605844144903E-2</v>
      </c>
      <c r="J88" s="13">
        <v>1.0363139792280061E-2</v>
      </c>
      <c r="K88" s="13">
        <v>4.0398127983638038E-2</v>
      </c>
      <c r="L88" s="13">
        <v>5.2386204155007797E-2</v>
      </c>
      <c r="M88" s="13">
        <v>8.3222910570921904E-2</v>
      </c>
      <c r="N88" s="13">
        <v>2.7777292884143268E-2</v>
      </c>
      <c r="O88" s="13">
        <v>1.5391129403455443E-2</v>
      </c>
      <c r="P88" s="13">
        <v>4.9702378177048021E-2</v>
      </c>
      <c r="Q88" s="13">
        <v>7.2412473481721334E-2</v>
      </c>
      <c r="R88" s="13">
        <v>7.6565854763630245E-2</v>
      </c>
      <c r="S88" s="13">
        <v>4.9548525854927698E-3</v>
      </c>
      <c r="T88" s="13">
        <v>8.6830511949679862E-2</v>
      </c>
      <c r="U88" s="13">
        <v>2.1559927981077538E-2</v>
      </c>
      <c r="V88" s="13">
        <v>1.9422332105916821E-2</v>
      </c>
      <c r="W88" s="13">
        <v>5.4461497620297061E-2</v>
      </c>
      <c r="X88" s="13">
        <v>2.72372482044341E-2</v>
      </c>
      <c r="Y88" s="13">
        <v>7.1778910239034474E-2</v>
      </c>
      <c r="Z88" s="9">
        <v>0</v>
      </c>
      <c r="AA88" s="13">
        <v>1.635599107654891E-2</v>
      </c>
      <c r="AB88" s="7">
        <v>0</v>
      </c>
    </row>
    <row r="89" spans="1:28" x14ac:dyDescent="0.3">
      <c r="A89" t="s">
        <v>234</v>
      </c>
      <c r="B89" s="11" t="s">
        <v>268</v>
      </c>
      <c r="C89" s="13">
        <v>3.9136666356062465E-2</v>
      </c>
      <c r="D89" s="13">
        <v>4.5887162430215504E-2</v>
      </c>
      <c r="E89" s="13">
        <v>1.6944032517201911E-2</v>
      </c>
      <c r="F89" s="13">
        <v>1.9614729838749363E-2</v>
      </c>
      <c r="G89" s="13">
        <v>5.1190544950680102E-2</v>
      </c>
      <c r="H89" s="13">
        <v>7.8266475088618379E-2</v>
      </c>
      <c r="I89" s="13">
        <v>1.8139605844144858E-2</v>
      </c>
      <c r="J89" s="13">
        <v>1.0363139792280042E-2</v>
      </c>
      <c r="K89" s="13">
        <v>4.0398127983637934E-2</v>
      </c>
      <c r="L89" s="13">
        <v>5.2386204155007887E-2</v>
      </c>
      <c r="M89" s="13">
        <v>8.3222910570922029E-2</v>
      </c>
      <c r="N89" s="13">
        <v>2.7777292884143275E-2</v>
      </c>
      <c r="O89" s="13">
        <v>1.5391129403455417E-2</v>
      </c>
      <c r="P89" s="13">
        <v>4.9702378177047708E-2</v>
      </c>
      <c r="Q89" s="13">
        <v>7.2412473481721126E-2</v>
      </c>
      <c r="R89" s="13">
        <v>7.6565854763630398E-2</v>
      </c>
      <c r="S89" s="13">
        <v>4.9548525854927732E-3</v>
      </c>
      <c r="T89" s="13">
        <v>8.6830511949679723E-2</v>
      </c>
      <c r="U89" s="13">
        <v>2.1559927981077497E-2</v>
      </c>
      <c r="V89" s="13">
        <v>1.9422332105916863E-2</v>
      </c>
      <c r="W89" s="13">
        <v>5.4461497620297034E-2</v>
      </c>
      <c r="X89" s="13">
        <v>2.7237248204434111E-2</v>
      </c>
      <c r="Y89" s="13">
        <v>7.177891023903446E-2</v>
      </c>
      <c r="Z89" s="9">
        <v>0</v>
      </c>
      <c r="AA89" s="13">
        <v>1.6355991076548858E-2</v>
      </c>
      <c r="AB89" s="7">
        <v>0</v>
      </c>
    </row>
    <row r="90" spans="1:28" x14ac:dyDescent="0.3">
      <c r="A90" t="s">
        <v>234</v>
      </c>
      <c r="B90" s="11" t="s">
        <v>269</v>
      </c>
      <c r="C90" s="13">
        <v>3.9136666356062583E-2</v>
      </c>
      <c r="D90" s="13">
        <v>4.5887162430215692E-2</v>
      </c>
      <c r="E90" s="13">
        <v>1.6944032517201932E-2</v>
      </c>
      <c r="F90" s="13">
        <v>1.9614729838749411E-2</v>
      </c>
      <c r="G90" s="13">
        <v>5.1190544950680116E-2</v>
      </c>
      <c r="H90" s="13">
        <v>7.8266475088618462E-2</v>
      </c>
      <c r="I90" s="13">
        <v>1.813960584414483E-2</v>
      </c>
      <c r="J90" s="13">
        <v>1.0363139792280084E-2</v>
      </c>
      <c r="K90" s="13">
        <v>4.0398127983637962E-2</v>
      </c>
      <c r="L90" s="13">
        <v>5.2386204155007603E-2</v>
      </c>
      <c r="M90" s="13">
        <v>8.3222910570922085E-2</v>
      </c>
      <c r="N90" s="13">
        <v>2.7777292884143302E-2</v>
      </c>
      <c r="O90" s="13">
        <v>1.5391129403455489E-2</v>
      </c>
      <c r="P90" s="13">
        <v>4.9702378177047889E-2</v>
      </c>
      <c r="Q90" s="13">
        <v>7.2412473481721112E-2</v>
      </c>
      <c r="R90" s="13">
        <v>7.6565854763630384E-2</v>
      </c>
      <c r="S90" s="13">
        <v>4.9548525854927654E-3</v>
      </c>
      <c r="T90" s="13">
        <v>8.6830511949679653E-2</v>
      </c>
      <c r="U90" s="13">
        <v>2.1559927981077493E-2</v>
      </c>
      <c r="V90" s="13">
        <v>1.9422332105916804E-2</v>
      </c>
      <c r="W90" s="13">
        <v>5.4461497620297027E-2</v>
      </c>
      <c r="X90" s="13">
        <v>2.7237248204434131E-2</v>
      </c>
      <c r="Y90" s="13">
        <v>7.1778910239034543E-2</v>
      </c>
      <c r="Z90" s="9">
        <v>0</v>
      </c>
      <c r="AA90" s="13">
        <v>1.6355991076548847E-2</v>
      </c>
      <c r="AB90" s="7">
        <v>0</v>
      </c>
    </row>
    <row r="91" spans="1:28" x14ac:dyDescent="0.3">
      <c r="A91" t="s">
        <v>234</v>
      </c>
      <c r="B91" s="11" t="s">
        <v>129</v>
      </c>
      <c r="C91" s="13">
        <v>3.826755299678377E-2</v>
      </c>
      <c r="D91" s="13">
        <v>4.522345408309391E-2</v>
      </c>
      <c r="E91" s="13">
        <v>1.6567754045071041E-2</v>
      </c>
      <c r="F91" s="13">
        <v>1.9179142822052492E-2</v>
      </c>
      <c r="G91" s="13">
        <v>5.0053749443351447E-2</v>
      </c>
      <c r="H91" s="13">
        <v>7.7949657504398737E-2</v>
      </c>
      <c r="I91" s="13">
        <v>1.7736777109889221E-2</v>
      </c>
      <c r="J91" s="13">
        <v>1.0133004114509197E-2</v>
      </c>
      <c r="K91" s="13">
        <v>3.9501001171635138E-2</v>
      </c>
      <c r="L91" s="13">
        <v>5.1222856478463204E-2</v>
      </c>
      <c r="M91" s="13">
        <v>8.1374767892718414E-2</v>
      </c>
      <c r="N91" s="13">
        <v>2.7160438701659528E-2</v>
      </c>
      <c r="O91" s="13">
        <v>1.5049336465415411E-2</v>
      </c>
      <c r="P91" s="13">
        <v>5.6060229037217697E-2</v>
      </c>
      <c r="Q91" s="13">
        <v>7.0804399674187196E-2</v>
      </c>
      <c r="R91" s="13">
        <v>7.6642117301565435E-2</v>
      </c>
      <c r="S91" s="13">
        <v>5.3777908065663115E-3</v>
      </c>
      <c r="T91" s="13">
        <v>8.6323511615156695E-2</v>
      </c>
      <c r="U91" s="13">
        <v>2.1081143680366628E-2</v>
      </c>
      <c r="V91" s="13">
        <v>1.8991017692266313E-2</v>
      </c>
      <c r="W91" s="13">
        <v>5.4318006249528324E-2</v>
      </c>
      <c r="X91" s="13">
        <v>2.6632386868798128E-2</v>
      </c>
      <c r="Y91" s="13">
        <v>7.8357132923335779E-2</v>
      </c>
      <c r="Z91" s="9">
        <v>0</v>
      </c>
      <c r="AA91" s="13">
        <v>1.5992771321970287E-2</v>
      </c>
      <c r="AB91" s="7">
        <v>0</v>
      </c>
    </row>
    <row r="92" spans="1:28" x14ac:dyDescent="0.3">
      <c r="A92" t="s">
        <v>234</v>
      </c>
      <c r="B92" s="11" t="s">
        <v>270</v>
      </c>
      <c r="C92" s="13">
        <v>3.9136666356062534E-2</v>
      </c>
      <c r="D92" s="13">
        <v>4.5887162430215657E-2</v>
      </c>
      <c r="E92" s="13">
        <v>1.6944032517201901E-2</v>
      </c>
      <c r="F92" s="13">
        <v>1.9614729838749456E-2</v>
      </c>
      <c r="G92" s="13">
        <v>5.1190544950680206E-2</v>
      </c>
      <c r="H92" s="13">
        <v>7.8266475088618392E-2</v>
      </c>
      <c r="I92" s="13">
        <v>1.8139605844144927E-2</v>
      </c>
      <c r="J92" s="13">
        <v>1.0363139792280061E-2</v>
      </c>
      <c r="K92" s="13">
        <v>4.03981279836381E-2</v>
      </c>
      <c r="L92" s="13">
        <v>5.2386204155007783E-2</v>
      </c>
      <c r="M92" s="13">
        <v>8.3222910570921835E-2</v>
      </c>
      <c r="N92" s="13">
        <v>2.7777292884143236E-2</v>
      </c>
      <c r="O92" s="13">
        <v>1.5391129403455455E-2</v>
      </c>
      <c r="P92" s="13">
        <v>4.9702378177047903E-2</v>
      </c>
      <c r="Q92" s="13">
        <v>7.2412473481721404E-2</v>
      </c>
      <c r="R92" s="13">
        <v>7.6565854763630245E-2</v>
      </c>
      <c r="S92" s="13">
        <v>4.9548525854927819E-3</v>
      </c>
      <c r="T92" s="13">
        <v>8.683051194967939E-2</v>
      </c>
      <c r="U92" s="13">
        <v>2.1559927981077587E-2</v>
      </c>
      <c r="V92" s="13">
        <v>1.9422332105916845E-2</v>
      </c>
      <c r="W92" s="13">
        <v>5.4461497620297082E-2</v>
      </c>
      <c r="X92" s="13">
        <v>2.7237248204434086E-2</v>
      </c>
      <c r="Y92" s="13">
        <v>7.1778910239034141E-2</v>
      </c>
      <c r="Z92" s="9">
        <v>0</v>
      </c>
      <c r="AA92" s="13">
        <v>1.6355991076548851E-2</v>
      </c>
      <c r="AB92" s="7">
        <v>0</v>
      </c>
    </row>
    <row r="93" spans="1:28" x14ac:dyDescent="0.3">
      <c r="A93" t="s">
        <v>234</v>
      </c>
      <c r="B93" s="11" t="s">
        <v>271</v>
      </c>
      <c r="C93" s="13">
        <v>3.9136666356062444E-2</v>
      </c>
      <c r="D93" s="13">
        <v>4.5887162430215574E-2</v>
      </c>
      <c r="E93" s="13">
        <v>1.6944032517201908E-2</v>
      </c>
      <c r="F93" s="13">
        <v>1.9614729838749411E-2</v>
      </c>
      <c r="G93" s="13">
        <v>5.1190544950680233E-2</v>
      </c>
      <c r="H93" s="13">
        <v>7.8266475088618309E-2</v>
      </c>
      <c r="I93" s="13">
        <v>1.8139605844144854E-2</v>
      </c>
      <c r="J93" s="13">
        <v>1.0363139792280067E-2</v>
      </c>
      <c r="K93" s="13">
        <v>4.0398127983638107E-2</v>
      </c>
      <c r="L93" s="13">
        <v>5.2386204155007679E-2</v>
      </c>
      <c r="M93" s="13">
        <v>8.3222910570922029E-2</v>
      </c>
      <c r="N93" s="13">
        <v>2.7777292884143271E-2</v>
      </c>
      <c r="O93" s="13">
        <v>1.5391129403455448E-2</v>
      </c>
      <c r="P93" s="13">
        <v>4.970237817704766E-2</v>
      </c>
      <c r="Q93" s="13">
        <v>7.2412473481721279E-2</v>
      </c>
      <c r="R93" s="13">
        <v>7.6565854763630078E-2</v>
      </c>
      <c r="S93" s="13">
        <v>4.9548525854927732E-3</v>
      </c>
      <c r="T93" s="13">
        <v>8.6830511949679876E-2</v>
      </c>
      <c r="U93" s="13">
        <v>2.1559927981077465E-2</v>
      </c>
      <c r="V93" s="13">
        <v>1.9422332105916845E-2</v>
      </c>
      <c r="W93" s="13">
        <v>5.4461497620297152E-2</v>
      </c>
      <c r="X93" s="13">
        <v>2.7237248204433965E-2</v>
      </c>
      <c r="Y93" s="13">
        <v>7.1778910239034432E-2</v>
      </c>
      <c r="Z93" s="9">
        <v>0</v>
      </c>
      <c r="AA93" s="13">
        <v>1.635599107654883E-2</v>
      </c>
      <c r="AB93" s="7">
        <v>0</v>
      </c>
    </row>
    <row r="94" spans="1:28" x14ac:dyDescent="0.3">
      <c r="A94" t="s">
        <v>234</v>
      </c>
      <c r="B94" s="11" t="s">
        <v>272</v>
      </c>
      <c r="C94" s="13">
        <v>3.9136666356062451E-2</v>
      </c>
      <c r="D94" s="13">
        <v>4.5887162430215706E-2</v>
      </c>
      <c r="E94" s="13">
        <v>1.6944032517201873E-2</v>
      </c>
      <c r="F94" s="13">
        <v>1.9614729838749442E-2</v>
      </c>
      <c r="G94" s="13">
        <v>5.1190544950680372E-2</v>
      </c>
      <c r="H94" s="13">
        <v>7.8266475088618281E-2</v>
      </c>
      <c r="I94" s="13">
        <v>1.8139605844144813E-2</v>
      </c>
      <c r="J94" s="13">
        <v>1.0363139792280096E-2</v>
      </c>
      <c r="K94" s="13">
        <v>4.0398127983637948E-2</v>
      </c>
      <c r="L94" s="13">
        <v>5.2386204155007658E-2</v>
      </c>
      <c r="M94" s="13">
        <v>8.3222910570921904E-2</v>
      </c>
      <c r="N94" s="13">
        <v>2.7777292884143299E-2</v>
      </c>
      <c r="O94" s="13">
        <v>1.5391129403455465E-2</v>
      </c>
      <c r="P94" s="13">
        <v>4.9702378177047632E-2</v>
      </c>
      <c r="Q94" s="13">
        <v>7.2412473481721182E-2</v>
      </c>
      <c r="R94" s="13">
        <v>7.6565854763630453E-2</v>
      </c>
      <c r="S94" s="13">
        <v>4.9548525854927663E-3</v>
      </c>
      <c r="T94" s="13">
        <v>8.6830511949679723E-2</v>
      </c>
      <c r="U94" s="13">
        <v>2.1559927981077552E-2</v>
      </c>
      <c r="V94" s="13">
        <v>1.9422332105916835E-2</v>
      </c>
      <c r="W94" s="13">
        <v>5.4461497620297082E-2</v>
      </c>
      <c r="X94" s="13">
        <v>2.7237248204434045E-2</v>
      </c>
      <c r="Y94" s="13">
        <v>7.1778910239034488E-2</v>
      </c>
      <c r="Z94" s="9">
        <v>0</v>
      </c>
      <c r="AA94" s="13">
        <v>1.6355991076548834E-2</v>
      </c>
      <c r="AB94" s="7">
        <v>0</v>
      </c>
    </row>
    <row r="95" spans="1:28" x14ac:dyDescent="0.3">
      <c r="A95" t="s">
        <v>234</v>
      </c>
      <c r="B95" s="11" t="s">
        <v>273</v>
      </c>
      <c r="C95" s="13">
        <v>6.5000000000000141E-2</v>
      </c>
      <c r="D95" s="13">
        <v>1.1035854686685926E-2</v>
      </c>
      <c r="E95" s="13">
        <v>8.0000000000000175E-3</v>
      </c>
      <c r="F95" s="13">
        <v>2.299691848624064E-2</v>
      </c>
      <c r="G95" s="13">
        <v>7.4499999999999731E-3</v>
      </c>
      <c r="H95" s="13">
        <v>4.9999999999999982E-2</v>
      </c>
      <c r="I95" s="13">
        <v>6.867806564675785E-3</v>
      </c>
      <c r="J95" s="13">
        <v>0</v>
      </c>
      <c r="K95" s="13">
        <v>1.999999999999999E-2</v>
      </c>
      <c r="L95" s="13">
        <v>0.12717000000000009</v>
      </c>
      <c r="M95" s="13">
        <v>0.1285108700800458</v>
      </c>
      <c r="N95" s="13">
        <v>1.4999999999999986E-2</v>
      </c>
      <c r="O95" s="13">
        <v>1.5677544640742662E-2</v>
      </c>
      <c r="P95" s="13">
        <v>3.8092644342348395E-2</v>
      </c>
      <c r="Q95" s="13">
        <v>0.20800000000000035</v>
      </c>
      <c r="R95" s="13">
        <v>2.1230995121489106E-2</v>
      </c>
      <c r="S95" s="13">
        <v>2.7044948609861147E-2</v>
      </c>
      <c r="T95" s="13">
        <v>3.259839909060748E-2</v>
      </c>
      <c r="U95" s="13">
        <v>1.2563349595036225E-2</v>
      </c>
      <c r="V95" s="13">
        <v>9.999999999999962E-3</v>
      </c>
      <c r="W95" s="13">
        <v>2.42859849381898E-2</v>
      </c>
      <c r="X95" s="13">
        <v>1.9999999999999924E-2</v>
      </c>
      <c r="Y95" s="13">
        <v>8.810922180646974E-2</v>
      </c>
      <c r="Z95" s="13">
        <v>2.2000000000000013E-2</v>
      </c>
      <c r="AA95" s="13">
        <v>1.8365462037607139E-2</v>
      </c>
      <c r="AB95" s="7">
        <v>0</v>
      </c>
    </row>
    <row r="96" spans="1:28" x14ac:dyDescent="0.3">
      <c r="A96" t="s">
        <v>234</v>
      </c>
      <c r="B96" s="11" t="s">
        <v>274</v>
      </c>
      <c r="C96" s="13">
        <v>6.500000000000003E-2</v>
      </c>
      <c r="D96" s="13">
        <v>1.1035854686685945E-2</v>
      </c>
      <c r="E96" s="13">
        <v>7.9999999999999863E-3</v>
      </c>
      <c r="F96" s="13">
        <v>2.2996918486240702E-2</v>
      </c>
      <c r="G96" s="13">
        <v>7.4500000000000061E-3</v>
      </c>
      <c r="H96" s="13">
        <v>4.9999999999999954E-2</v>
      </c>
      <c r="I96" s="13">
        <v>6.8678065646757963E-3</v>
      </c>
      <c r="J96" s="13">
        <v>0</v>
      </c>
      <c r="K96" s="13">
        <v>1.9999999999999973E-2</v>
      </c>
      <c r="L96" s="13">
        <v>0.12717000000000034</v>
      </c>
      <c r="M96" s="13">
        <v>0.12851087008004566</v>
      </c>
      <c r="N96" s="13">
        <v>1.5000000000000012E-2</v>
      </c>
      <c r="O96" s="13">
        <v>1.5677544640742676E-2</v>
      </c>
      <c r="P96" s="13">
        <v>3.8092644342348408E-2</v>
      </c>
      <c r="Q96" s="13">
        <v>0.20799999999999955</v>
      </c>
      <c r="R96" s="13">
        <v>2.1230995121489127E-2</v>
      </c>
      <c r="S96" s="13">
        <v>2.70449486098613E-2</v>
      </c>
      <c r="T96" s="13">
        <v>3.2598399090607716E-2</v>
      </c>
      <c r="U96" s="13">
        <v>1.2563349595036204E-2</v>
      </c>
      <c r="V96" s="13">
        <v>9.9999999999999863E-3</v>
      </c>
      <c r="W96" s="13">
        <v>2.4285984938189786E-2</v>
      </c>
      <c r="X96" s="13">
        <v>1.9999999999999997E-2</v>
      </c>
      <c r="Y96" s="13">
        <v>8.8109221806469934E-2</v>
      </c>
      <c r="Z96" s="13">
        <v>2.2000000000000009E-2</v>
      </c>
      <c r="AA96" s="13">
        <v>1.836546203760716E-2</v>
      </c>
      <c r="AB96" s="7">
        <v>0</v>
      </c>
    </row>
    <row r="97" spans="1:28" x14ac:dyDescent="0.3">
      <c r="A97" t="s">
        <v>234</v>
      </c>
      <c r="B97" s="11" t="s">
        <v>275</v>
      </c>
      <c r="C97" s="13">
        <v>6.4999999999999919E-2</v>
      </c>
      <c r="D97" s="13">
        <v>1.1035854686685925E-2</v>
      </c>
      <c r="E97" s="13">
        <v>8.0000000000000192E-3</v>
      </c>
      <c r="F97" s="13">
        <v>2.2996918486240681E-2</v>
      </c>
      <c r="G97" s="13">
        <v>7.4499999999999992E-3</v>
      </c>
      <c r="H97" s="13">
        <v>5.0000000000000176E-2</v>
      </c>
      <c r="I97" s="13">
        <v>6.8678065646757998E-3</v>
      </c>
      <c r="J97" s="13">
        <v>0</v>
      </c>
      <c r="K97" s="13">
        <v>2.0000000000000007E-2</v>
      </c>
      <c r="L97" s="13">
        <v>0.12717000000000001</v>
      </c>
      <c r="M97" s="13">
        <v>0.12851087008004555</v>
      </c>
      <c r="N97" s="13">
        <v>1.5000000000000036E-2</v>
      </c>
      <c r="O97" s="13">
        <v>1.567754464074269E-2</v>
      </c>
      <c r="P97" s="13">
        <v>3.8092644342348166E-2</v>
      </c>
      <c r="Q97" s="13">
        <v>0.20800000000000041</v>
      </c>
      <c r="R97" s="13">
        <v>2.1230995121489106E-2</v>
      </c>
      <c r="S97" s="13">
        <v>2.7044948609861251E-2</v>
      </c>
      <c r="T97" s="13">
        <v>3.2598399090607702E-2</v>
      </c>
      <c r="U97" s="13">
        <v>1.256334959503622E-2</v>
      </c>
      <c r="V97" s="13">
        <v>1.0000000000000002E-2</v>
      </c>
      <c r="W97" s="13">
        <v>2.4285984938189717E-2</v>
      </c>
      <c r="X97" s="13">
        <v>2.0000000000000004E-2</v>
      </c>
      <c r="Y97" s="13">
        <v>8.8109221806469767E-2</v>
      </c>
      <c r="Z97" s="13">
        <v>2.1999999999999947E-2</v>
      </c>
      <c r="AA97" s="13">
        <v>1.8365462037607097E-2</v>
      </c>
      <c r="AB97" s="7">
        <v>0</v>
      </c>
    </row>
    <row r="98" spans="1:28" x14ac:dyDescent="0.3">
      <c r="A98" t="s">
        <v>234</v>
      </c>
      <c r="B98" s="11" t="s">
        <v>276</v>
      </c>
      <c r="C98" s="13">
        <v>6.5000000000000058E-2</v>
      </c>
      <c r="D98" s="13">
        <v>1.1035854686685932E-2</v>
      </c>
      <c r="E98" s="13">
        <v>8.0000000000000071E-3</v>
      </c>
      <c r="F98" s="13">
        <v>2.2996918486240657E-2</v>
      </c>
      <c r="G98" s="13">
        <v>7.4500000000000078E-3</v>
      </c>
      <c r="H98" s="13">
        <v>4.999999999999994E-2</v>
      </c>
      <c r="I98" s="13">
        <v>6.8678065646757998E-3</v>
      </c>
      <c r="J98" s="13">
        <v>0</v>
      </c>
      <c r="K98" s="13">
        <v>2.0000000000000004E-2</v>
      </c>
      <c r="L98" s="13">
        <v>0.12716999999999964</v>
      </c>
      <c r="M98" s="13">
        <v>0.12851087008004547</v>
      </c>
      <c r="N98" s="13">
        <v>1.4999999999999986E-2</v>
      </c>
      <c r="O98" s="13">
        <v>1.5677544640742655E-2</v>
      </c>
      <c r="P98" s="13">
        <v>3.8092644342348395E-2</v>
      </c>
      <c r="Q98" s="13">
        <v>0.20800000000000021</v>
      </c>
      <c r="R98" s="13">
        <v>2.1230995121489162E-2</v>
      </c>
      <c r="S98" s="13">
        <v>2.7044948609861289E-2</v>
      </c>
      <c r="T98" s="13">
        <v>3.2598399090607598E-2</v>
      </c>
      <c r="U98" s="13">
        <v>1.2563349595036232E-2</v>
      </c>
      <c r="V98" s="13">
        <v>9.9999999999999898E-3</v>
      </c>
      <c r="W98" s="13">
        <v>2.4285984938189772E-2</v>
      </c>
      <c r="X98" s="13">
        <v>1.9999999999999983E-2</v>
      </c>
      <c r="Y98" s="13">
        <v>8.8109221806469962E-2</v>
      </c>
      <c r="Z98" s="13">
        <v>2.1999999999999954E-2</v>
      </c>
      <c r="AA98" s="13">
        <v>1.836546203760717E-2</v>
      </c>
      <c r="AB98" s="7">
        <v>0</v>
      </c>
    </row>
    <row r="99" spans="1:28" x14ac:dyDescent="0.3">
      <c r="A99" t="s">
        <v>234</v>
      </c>
      <c r="B99" s="11" t="s">
        <v>277</v>
      </c>
      <c r="C99" s="13">
        <v>6.5000000000000016E-2</v>
      </c>
      <c r="D99" s="13">
        <v>1.1035854686685885E-2</v>
      </c>
      <c r="E99" s="13">
        <v>8.0000000000000123E-3</v>
      </c>
      <c r="F99" s="13">
        <v>2.2996918486240629E-2</v>
      </c>
      <c r="G99" s="13">
        <v>7.4499999999999931E-3</v>
      </c>
      <c r="H99" s="13">
        <v>5.0000000000000204E-2</v>
      </c>
      <c r="I99" s="13">
        <v>6.8678065646757911E-3</v>
      </c>
      <c r="J99" s="13">
        <v>0</v>
      </c>
      <c r="K99" s="13">
        <v>1.9999999999999997E-2</v>
      </c>
      <c r="L99" s="13">
        <v>0.12717000000000012</v>
      </c>
      <c r="M99" s="13">
        <v>0.12851087008004555</v>
      </c>
      <c r="N99" s="13">
        <v>1.5000000000000024E-2</v>
      </c>
      <c r="O99" s="13">
        <v>1.5677544640742669E-2</v>
      </c>
      <c r="P99" s="13">
        <v>3.8092644342348318E-2</v>
      </c>
      <c r="Q99" s="13">
        <v>0.20799999999999955</v>
      </c>
      <c r="R99" s="13">
        <v>2.1230995121489217E-2</v>
      </c>
      <c r="S99" s="13">
        <v>2.7044948609861279E-2</v>
      </c>
      <c r="T99" s="13">
        <v>3.2598399090607647E-2</v>
      </c>
      <c r="U99" s="13">
        <v>1.2563349595036211E-2</v>
      </c>
      <c r="V99" s="13">
        <v>9.9999999999999985E-3</v>
      </c>
      <c r="W99" s="13">
        <v>2.4285984938189779E-2</v>
      </c>
      <c r="X99" s="13">
        <v>2.0000000000000011E-2</v>
      </c>
      <c r="Y99" s="13">
        <v>8.8109221806469878E-2</v>
      </c>
      <c r="Z99" s="13">
        <v>2.1999999999999988E-2</v>
      </c>
      <c r="AA99" s="13">
        <v>1.8365462037607118E-2</v>
      </c>
      <c r="AB99" s="7">
        <v>0</v>
      </c>
    </row>
    <row r="100" spans="1:28" x14ac:dyDescent="0.3">
      <c r="A100" t="s">
        <v>234</v>
      </c>
      <c r="B100" s="11" t="s">
        <v>278</v>
      </c>
      <c r="C100" s="13">
        <v>6.4999999999999877E-2</v>
      </c>
      <c r="D100" s="13">
        <v>1.1035854686685921E-2</v>
      </c>
      <c r="E100" s="13">
        <v>7.9999999999999863E-3</v>
      </c>
      <c r="F100" s="13">
        <v>2.2996918486240716E-2</v>
      </c>
      <c r="G100" s="13">
        <v>7.4500000000000148E-3</v>
      </c>
      <c r="H100" s="13">
        <v>4.999999999999992E-2</v>
      </c>
      <c r="I100" s="13">
        <v>6.8678065646757738E-3</v>
      </c>
      <c r="J100" s="13">
        <v>0</v>
      </c>
      <c r="K100" s="13">
        <v>2.0000000000000025E-2</v>
      </c>
      <c r="L100" s="13">
        <v>0.12717000000000017</v>
      </c>
      <c r="M100" s="13">
        <v>0.12851087008004547</v>
      </c>
      <c r="N100" s="13">
        <v>1.5000000000000001E-2</v>
      </c>
      <c r="O100" s="13">
        <v>1.567754464074262E-2</v>
      </c>
      <c r="P100" s="13">
        <v>3.8092644342348332E-2</v>
      </c>
      <c r="Q100" s="13">
        <v>0.20799999999999982</v>
      </c>
      <c r="R100" s="13">
        <v>2.1230995121489158E-2</v>
      </c>
      <c r="S100" s="13">
        <v>2.7044948609861265E-2</v>
      </c>
      <c r="T100" s="13">
        <v>3.2598399090607577E-2</v>
      </c>
      <c r="U100" s="13">
        <v>1.2563349595036265E-2</v>
      </c>
      <c r="V100" s="13">
        <v>1.0000000000000014E-2</v>
      </c>
      <c r="W100" s="13">
        <v>2.4285984938189793E-2</v>
      </c>
      <c r="X100" s="13">
        <v>2.0000000000000007E-2</v>
      </c>
      <c r="Y100" s="13">
        <v>8.8109221806470128E-2</v>
      </c>
      <c r="Z100" s="13">
        <v>2.2000000000000016E-2</v>
      </c>
      <c r="AA100" s="13">
        <v>1.8365462037607149E-2</v>
      </c>
      <c r="AB100" s="7">
        <v>0</v>
      </c>
    </row>
    <row r="101" spans="1:28" x14ac:dyDescent="0.3">
      <c r="A101" t="s">
        <v>234</v>
      </c>
      <c r="B101" s="11" t="s">
        <v>279</v>
      </c>
      <c r="C101" s="13">
        <v>6.0882200309603694E-2</v>
      </c>
      <c r="D101" s="13">
        <v>1.9786715100621199E-2</v>
      </c>
      <c r="E101" s="13">
        <v>1.4917754075047866E-2</v>
      </c>
      <c r="F101" s="13">
        <v>1.7503632589011043E-2</v>
      </c>
      <c r="G101" s="13">
        <v>7.610275038700434E-3</v>
      </c>
      <c r="H101" s="13">
        <v>1.9025687596751106E-2</v>
      </c>
      <c r="I101" s="13">
        <v>7.6102750387004401E-3</v>
      </c>
      <c r="J101" s="13">
        <v>0</v>
      </c>
      <c r="K101" s="13">
        <v>5.4832088335658741E-3</v>
      </c>
      <c r="L101" s="13">
        <v>3.0441100154801795E-2</v>
      </c>
      <c r="M101" s="13">
        <v>0.21307325249090017</v>
      </c>
      <c r="N101" s="13">
        <v>3.1979577651141247E-2</v>
      </c>
      <c r="O101" s="13">
        <v>3.1202127658671863E-2</v>
      </c>
      <c r="P101" s="13">
        <v>7.2863739943363648E-2</v>
      </c>
      <c r="Q101" s="13">
        <v>5.7381473791801488E-2</v>
      </c>
      <c r="R101" s="13">
        <v>3.8051375193502393E-2</v>
      </c>
      <c r="S101" s="13">
        <v>5.3271925270903367E-2</v>
      </c>
      <c r="T101" s="13">
        <v>6.6209392836694428E-2</v>
      </c>
      <c r="U101" s="13">
        <v>1.6742605085141058E-2</v>
      </c>
      <c r="V101" s="13">
        <v>1.9343571028121738E-2</v>
      </c>
      <c r="W101" s="13">
        <v>3.5007265178022114E-2</v>
      </c>
      <c r="X101" s="13">
        <v>3.7017619399624002E-2</v>
      </c>
      <c r="Y101" s="13">
        <v>7.6102750387004647E-2</v>
      </c>
      <c r="Z101" s="13">
        <v>4.5661650232202922E-2</v>
      </c>
      <c r="AA101" s="13">
        <v>2.2830825116101489E-2</v>
      </c>
      <c r="AB101" s="7">
        <v>0</v>
      </c>
    </row>
    <row r="102" spans="1:28" x14ac:dyDescent="0.3">
      <c r="A102" t="s">
        <v>234</v>
      </c>
      <c r="B102" s="12" t="s">
        <v>280</v>
      </c>
      <c r="C102" s="13">
        <v>0</v>
      </c>
      <c r="D102" s="13">
        <v>0</v>
      </c>
      <c r="E102" s="13">
        <v>0</v>
      </c>
      <c r="F102" s="13">
        <v>7.472892448959674E-2</v>
      </c>
      <c r="G102" s="13">
        <v>0</v>
      </c>
      <c r="H102" s="13">
        <v>6.8379408029696193E-2</v>
      </c>
      <c r="I102" s="13">
        <v>0</v>
      </c>
      <c r="J102" s="13">
        <v>0</v>
      </c>
      <c r="K102" s="13">
        <v>6.2518315912865149E-2</v>
      </c>
      <c r="L102" s="13">
        <v>0.19927713197225841</v>
      </c>
      <c r="M102" s="13">
        <v>3.7901729022174459E-2</v>
      </c>
      <c r="N102" s="13">
        <v>0</v>
      </c>
      <c r="O102" s="13">
        <v>0</v>
      </c>
      <c r="P102" s="13">
        <v>0</v>
      </c>
      <c r="Q102" s="13">
        <v>0.42043567451401631</v>
      </c>
      <c r="R102" s="13">
        <v>0</v>
      </c>
      <c r="S102" s="13">
        <v>0</v>
      </c>
      <c r="T102" s="13">
        <v>0</v>
      </c>
      <c r="U102" s="13">
        <v>6.8379408029696212E-3</v>
      </c>
      <c r="V102" s="13">
        <v>0</v>
      </c>
      <c r="W102" s="13">
        <v>0</v>
      </c>
      <c r="X102" s="13">
        <v>0</v>
      </c>
      <c r="Y102" s="13">
        <v>0.1299208752564231</v>
      </c>
      <c r="Z102" s="9">
        <v>0</v>
      </c>
      <c r="AA102" s="13">
        <v>0</v>
      </c>
      <c r="AB102" s="7">
        <v>0</v>
      </c>
    </row>
    <row r="103" spans="1:28" x14ac:dyDescent="0.3">
      <c r="A103" t="s">
        <v>234</v>
      </c>
      <c r="B103" s="11" t="s">
        <v>281</v>
      </c>
      <c r="C103" s="13">
        <v>5.9979103627431272E-2</v>
      </c>
      <c r="D103" s="13">
        <v>2.0451891072960186E-2</v>
      </c>
      <c r="E103" s="13">
        <v>1.4724484894596703E-2</v>
      </c>
      <c r="F103" s="13">
        <v>1.769875189006179E-2</v>
      </c>
      <c r="G103" s="13">
        <v>3.9330559755692811E-3</v>
      </c>
      <c r="H103" s="13">
        <v>2.4581599847308004E-2</v>
      </c>
      <c r="I103" s="13">
        <v>4.5230143719046665E-3</v>
      </c>
      <c r="J103" s="13">
        <v>0</v>
      </c>
      <c r="K103" s="13">
        <v>6.8828479572461887E-3</v>
      </c>
      <c r="L103" s="13">
        <v>3.1464447804554166E-2</v>
      </c>
      <c r="M103" s="13">
        <v>0.22615071859523311</v>
      </c>
      <c r="N103" s="13">
        <v>3.1505250524703633E-2</v>
      </c>
      <c r="O103" s="13">
        <v>2.1631807865630855E-2</v>
      </c>
      <c r="P103" s="13">
        <v>7.1892323373149131E-2</v>
      </c>
      <c r="Q103" s="13">
        <v>4.9163199694616043E-2</v>
      </c>
      <c r="R103" s="13">
        <v>4.306696293248357E-2</v>
      </c>
      <c r="S103" s="13">
        <v>5.1129727682400428E-2</v>
      </c>
      <c r="T103" s="13">
        <v>5.8995839633538903E-2</v>
      </c>
      <c r="U103" s="13">
        <v>1.7698751890061724E-2</v>
      </c>
      <c r="V103" s="13">
        <v>1.8682015883953938E-2</v>
      </c>
      <c r="W103" s="13">
        <v>4.9163199694615717E-2</v>
      </c>
      <c r="X103" s="13">
        <v>3.736403176790784E-2</v>
      </c>
      <c r="Y103" s="13">
        <v>7.8354605398749222E-2</v>
      </c>
      <c r="Z103" s="13">
        <v>4.129708774347729E-2</v>
      </c>
      <c r="AA103" s="13">
        <v>1.9665279877846397E-2</v>
      </c>
      <c r="AB103" s="7">
        <v>0</v>
      </c>
    </row>
    <row r="104" spans="1:28" x14ac:dyDescent="0.3">
      <c r="A104" t="s">
        <v>234</v>
      </c>
      <c r="B104" s="11" t="s">
        <v>282</v>
      </c>
      <c r="C104" s="13">
        <v>6.4999999999999905E-2</v>
      </c>
      <c r="D104" s="13">
        <v>1.1035854686685961E-2</v>
      </c>
      <c r="E104" s="13">
        <v>8.0000000000000088E-3</v>
      </c>
      <c r="F104" s="13">
        <v>2.2996918486240695E-2</v>
      </c>
      <c r="G104" s="13">
        <v>7.4499999999999896E-3</v>
      </c>
      <c r="H104" s="13">
        <v>4.9999999999999989E-2</v>
      </c>
      <c r="I104" s="13">
        <v>6.8678065646757928E-3</v>
      </c>
      <c r="J104" s="13">
        <v>0</v>
      </c>
      <c r="K104" s="13">
        <v>2.0000000000000046E-2</v>
      </c>
      <c r="L104" s="13">
        <v>0.12717000000000001</v>
      </c>
      <c r="M104" s="13">
        <v>0.12851087008004564</v>
      </c>
      <c r="N104" s="13">
        <v>1.5000000000000053E-2</v>
      </c>
      <c r="O104" s="13">
        <v>1.567754464074269E-2</v>
      </c>
      <c r="P104" s="13">
        <v>3.8092644342348471E-2</v>
      </c>
      <c r="Q104" s="13">
        <v>0.20799999999999935</v>
      </c>
      <c r="R104" s="13">
        <v>2.1230995121489203E-2</v>
      </c>
      <c r="S104" s="13">
        <v>2.7044948609861223E-2</v>
      </c>
      <c r="T104" s="13">
        <v>3.2598399090607827E-2</v>
      </c>
      <c r="U104" s="13">
        <v>1.2563349595036211E-2</v>
      </c>
      <c r="V104" s="13">
        <v>1.0000000000000021E-2</v>
      </c>
      <c r="W104" s="13">
        <v>2.4285984938189797E-2</v>
      </c>
      <c r="X104" s="13">
        <v>2.0000000000000028E-2</v>
      </c>
      <c r="Y104" s="13">
        <v>8.8109221806469865E-2</v>
      </c>
      <c r="Z104" s="13">
        <v>2.1999999999999985E-2</v>
      </c>
      <c r="AA104" s="13">
        <v>1.8365462037607201E-2</v>
      </c>
      <c r="AB104" s="7">
        <v>0</v>
      </c>
    </row>
    <row r="105" spans="1:28" x14ac:dyDescent="0.3">
      <c r="A105" t="s">
        <v>234</v>
      </c>
      <c r="B105" s="11" t="s">
        <v>283</v>
      </c>
      <c r="C105" s="13">
        <v>6.4999999999999974E-2</v>
      </c>
      <c r="D105" s="13">
        <v>1.1035854686685912E-2</v>
      </c>
      <c r="E105" s="13">
        <v>7.9999999999999967E-3</v>
      </c>
      <c r="F105" s="13">
        <v>2.2996918486240563E-2</v>
      </c>
      <c r="G105" s="13">
        <v>7.4500000000000122E-3</v>
      </c>
      <c r="H105" s="13">
        <v>4.9999999999999843E-2</v>
      </c>
      <c r="I105" s="13">
        <v>6.867806564675779E-3</v>
      </c>
      <c r="J105" s="13">
        <v>0</v>
      </c>
      <c r="K105" s="13">
        <v>1.9999999999999948E-2</v>
      </c>
      <c r="L105" s="13">
        <v>0.12717000000000012</v>
      </c>
      <c r="M105" s="13">
        <v>0.12851087008004544</v>
      </c>
      <c r="N105" s="13">
        <v>1.5000000000000053E-2</v>
      </c>
      <c r="O105" s="13">
        <v>1.5677544640742634E-2</v>
      </c>
      <c r="P105" s="13">
        <v>3.8092644342348402E-2</v>
      </c>
      <c r="Q105" s="13">
        <v>0.2080000000000003</v>
      </c>
      <c r="R105" s="13">
        <v>2.1230995121489141E-2</v>
      </c>
      <c r="S105" s="13">
        <v>2.7044948609861168E-2</v>
      </c>
      <c r="T105" s="13">
        <v>3.2598399090607695E-2</v>
      </c>
      <c r="U105" s="13">
        <v>1.2563349595036258E-2</v>
      </c>
      <c r="V105" s="13">
        <v>9.9999999999999742E-3</v>
      </c>
      <c r="W105" s="13">
        <v>2.4285984938189661E-2</v>
      </c>
      <c r="X105" s="13">
        <v>1.9999999999999948E-2</v>
      </c>
      <c r="Y105" s="13">
        <v>8.8109221806469851E-2</v>
      </c>
      <c r="Z105" s="13">
        <v>2.2000000000000079E-2</v>
      </c>
      <c r="AA105" s="13">
        <v>1.8365462037607135E-2</v>
      </c>
      <c r="AB105" s="7">
        <v>0</v>
      </c>
    </row>
    <row r="106" spans="1:28" x14ac:dyDescent="0.3">
      <c r="A106" t="s">
        <v>234</v>
      </c>
      <c r="B106" s="11" t="s">
        <v>284</v>
      </c>
      <c r="C106" s="13">
        <v>5.3401356723906293E-2</v>
      </c>
      <c r="D106" s="13">
        <v>1.8156461286128245E-2</v>
      </c>
      <c r="E106" s="13">
        <v>1.3733253146492598E-2</v>
      </c>
      <c r="F106" s="13">
        <v>1.8156461286128262E-2</v>
      </c>
      <c r="G106" s="13">
        <v>5.340135672390652E-3</v>
      </c>
      <c r="H106" s="13">
        <v>2.6700678361953299E-2</v>
      </c>
      <c r="I106" s="13">
        <v>5.3401356723906572E-3</v>
      </c>
      <c r="J106" s="13">
        <v>0</v>
      </c>
      <c r="K106" s="13">
        <v>7.9689448216422321E-3</v>
      </c>
      <c r="L106" s="13">
        <v>6.9421763741078321E-2</v>
      </c>
      <c r="M106" s="13">
        <v>0.21360542689562634</v>
      </c>
      <c r="N106" s="13">
        <v>2.90722184779942E-2</v>
      </c>
      <c r="O106" s="13">
        <v>2.5632651227475142E-2</v>
      </c>
      <c r="P106" s="13">
        <v>6.6910011798645488E-2</v>
      </c>
      <c r="Q106" s="13">
        <v>6.5149655203165707E-2</v>
      </c>
      <c r="R106" s="13">
        <v>3.6312922572256524E-2</v>
      </c>
      <c r="S106" s="13">
        <v>4.498229832437161E-2</v>
      </c>
      <c r="T106" s="13">
        <v>4.2721085379125071E-2</v>
      </c>
      <c r="U106" s="13">
        <v>1.5699998876828426E-2</v>
      </c>
      <c r="V106" s="13">
        <v>1.7088434151650064E-2</v>
      </c>
      <c r="W106" s="13">
        <v>3.8235371414317161E-2</v>
      </c>
      <c r="X106" s="13">
        <v>3.4710881870539306E-2</v>
      </c>
      <c r="Y106" s="13">
        <v>8.8646252161684563E-2</v>
      </c>
      <c r="Z106" s="13">
        <v>3.6312922572256393E-2</v>
      </c>
      <c r="AA106" s="13">
        <v>2.6700678361953289E-2</v>
      </c>
      <c r="AB106" s="7">
        <v>0</v>
      </c>
    </row>
    <row r="107" spans="1:28" x14ac:dyDescent="0.3">
      <c r="A107" t="s">
        <v>234</v>
      </c>
      <c r="B107" s="12" t="s">
        <v>285</v>
      </c>
      <c r="C107" s="13">
        <v>0.12750248473661779</v>
      </c>
      <c r="D107" s="13">
        <v>0</v>
      </c>
      <c r="E107" s="13">
        <v>0</v>
      </c>
      <c r="F107" s="13">
        <v>0</v>
      </c>
      <c r="G107" s="13">
        <v>0</v>
      </c>
      <c r="H107" s="13">
        <v>0.12778645463580918</v>
      </c>
      <c r="I107" s="13">
        <v>0</v>
      </c>
      <c r="J107" s="13">
        <v>0</v>
      </c>
      <c r="K107" s="13">
        <v>2.2717591935254713E-2</v>
      </c>
      <c r="L107" s="13">
        <v>0.14092006247337788</v>
      </c>
      <c r="M107" s="13">
        <v>1.434047990912957E-2</v>
      </c>
      <c r="N107" s="13">
        <v>0</v>
      </c>
      <c r="O107" s="13">
        <v>0</v>
      </c>
      <c r="P107" s="13">
        <v>0</v>
      </c>
      <c r="Q107" s="13">
        <v>0.48544654266647702</v>
      </c>
      <c r="R107" s="13">
        <v>0</v>
      </c>
      <c r="S107" s="13">
        <v>0</v>
      </c>
      <c r="T107" s="13">
        <v>0</v>
      </c>
      <c r="U107" s="13">
        <v>1.7038193951441193E-2</v>
      </c>
      <c r="V107" s="13">
        <v>0</v>
      </c>
      <c r="W107" s="13">
        <v>0</v>
      </c>
      <c r="X107" s="13">
        <v>0</v>
      </c>
      <c r="Y107" s="13">
        <v>6.4248189691892735E-2</v>
      </c>
      <c r="Z107" s="9">
        <v>0</v>
      </c>
      <c r="AA107" s="13">
        <v>0</v>
      </c>
      <c r="AB107" s="7">
        <v>0</v>
      </c>
    </row>
    <row r="108" spans="1:28" x14ac:dyDescent="0.3">
      <c r="A108" t="s">
        <v>234</v>
      </c>
      <c r="B108" s="11" t="s">
        <v>286</v>
      </c>
      <c r="C108" s="13">
        <v>5.5899874124234361E-2</v>
      </c>
      <c r="D108" s="13">
        <v>1.7840385358798144E-2</v>
      </c>
      <c r="E108" s="13">
        <v>1.3548361622706399E-2</v>
      </c>
      <c r="F108" s="13">
        <v>1.7840385358798155E-2</v>
      </c>
      <c r="G108" s="13">
        <v>2.3787180478397492E-3</v>
      </c>
      <c r="H108" s="13">
        <v>2.9139296086037006E-2</v>
      </c>
      <c r="I108" s="13">
        <v>2.9733975597996932E-3</v>
      </c>
      <c r="J108" s="13">
        <v>0</v>
      </c>
      <c r="K108" s="13">
        <v>8.3576276119309394E-3</v>
      </c>
      <c r="L108" s="13">
        <v>7.7308336554791579E-2</v>
      </c>
      <c r="M108" s="13">
        <v>0.22003141942517765</v>
      </c>
      <c r="N108" s="13">
        <v>2.8618316480567989E-2</v>
      </c>
      <c r="O108" s="13">
        <v>1.308294926311865E-2</v>
      </c>
      <c r="P108" s="13">
        <v>7.1361541435192952E-2</v>
      </c>
      <c r="Q108" s="13">
        <v>6.54147463155932E-2</v>
      </c>
      <c r="R108" s="13">
        <v>4.1627565837195762E-2</v>
      </c>
      <c r="S108" s="13">
        <v>4.7574360956794938E-2</v>
      </c>
      <c r="T108" s="13">
        <v>3.5680770717596531E-2</v>
      </c>
      <c r="U108" s="13">
        <v>1.7245705846838291E-2</v>
      </c>
      <c r="V108" s="13">
        <v>1.7493963141178077E-2</v>
      </c>
      <c r="W108" s="13">
        <v>3.5680770717596497E-2</v>
      </c>
      <c r="X108" s="13">
        <v>3.0923334621916883E-2</v>
      </c>
      <c r="Y108" s="13">
        <v>8.5633849722231287E-2</v>
      </c>
      <c r="Z108" s="13">
        <v>3.7583745155868133E-2</v>
      </c>
      <c r="AA108" s="13">
        <v>2.6760578038197241E-2</v>
      </c>
      <c r="AB108" s="7">
        <v>0</v>
      </c>
    </row>
    <row r="109" spans="1:28" x14ac:dyDescent="0.3">
      <c r="A109" t="s">
        <v>234</v>
      </c>
      <c r="B109" t="s">
        <v>287</v>
      </c>
      <c r="C109" s="13">
        <v>5.0000007042254553E-2</v>
      </c>
      <c r="D109" s="13">
        <v>4.3192494346360792E-2</v>
      </c>
      <c r="E109" s="13">
        <v>9.389672683991501E-4</v>
      </c>
      <c r="F109" s="13">
        <v>0</v>
      </c>
      <c r="G109" s="13">
        <v>0</v>
      </c>
      <c r="H109" s="13">
        <v>0.13169001854789036</v>
      </c>
      <c r="I109" s="13">
        <v>0</v>
      </c>
      <c r="J109" s="13">
        <v>0</v>
      </c>
      <c r="K109" s="13">
        <v>9.3896726839914739E-4</v>
      </c>
      <c r="L109" s="13">
        <v>3.2863854393970263E-3</v>
      </c>
      <c r="M109" s="13">
        <v>0.40000005633803548</v>
      </c>
      <c r="N109" s="13">
        <v>1.4084509025987148E-3</v>
      </c>
      <c r="O109" s="13">
        <v>1.408450902598717E-3</v>
      </c>
      <c r="P109" s="13">
        <v>0.20000002816901807</v>
      </c>
      <c r="Q109" s="13">
        <v>0.10000001408450887</v>
      </c>
      <c r="R109" s="13">
        <v>1.7370894465384208E-2</v>
      </c>
      <c r="S109" s="13">
        <v>1.8779345367983002E-3</v>
      </c>
      <c r="T109" s="13">
        <v>1.3615025391787654E-2</v>
      </c>
      <c r="U109" s="13">
        <v>4.2253527077961558E-3</v>
      </c>
      <c r="V109" s="13">
        <v>0</v>
      </c>
      <c r="W109" s="13">
        <v>1.9248829002182551E-2</v>
      </c>
      <c r="X109" s="13">
        <v>1.8779345367982991E-3</v>
      </c>
      <c r="Y109" s="13">
        <v>9.389672683991501E-4</v>
      </c>
      <c r="Z109" s="9">
        <v>0</v>
      </c>
      <c r="AA109" s="13">
        <v>7.9812217813927527E-3</v>
      </c>
      <c r="AB109" s="7">
        <v>0</v>
      </c>
    </row>
    <row r="110" spans="1:28" x14ac:dyDescent="0.3">
      <c r="A110" t="s">
        <v>234</v>
      </c>
      <c r="B110" t="s">
        <v>288</v>
      </c>
      <c r="C110" s="13">
        <v>5.000000704225456E-2</v>
      </c>
      <c r="D110" s="13">
        <v>4.3192494346360674E-2</v>
      </c>
      <c r="E110" s="13">
        <v>9.3896726839914641E-4</v>
      </c>
      <c r="F110" s="13">
        <v>0</v>
      </c>
      <c r="G110" s="13">
        <v>0</v>
      </c>
      <c r="H110" s="13">
        <v>0.13169001854788945</v>
      </c>
      <c r="I110" s="13">
        <v>0</v>
      </c>
      <c r="J110" s="13">
        <v>0</v>
      </c>
      <c r="K110" s="13">
        <v>9.3896726839914435E-4</v>
      </c>
      <c r="L110" s="13">
        <v>3.2863854393969968E-3</v>
      </c>
      <c r="M110" s="13">
        <v>0.40000005633803654</v>
      </c>
      <c r="N110" s="13">
        <v>1.4084509025987237E-3</v>
      </c>
      <c r="O110" s="13">
        <v>1.4084509025987205E-3</v>
      </c>
      <c r="P110" s="13">
        <v>0.20000002816901852</v>
      </c>
      <c r="Q110" s="13">
        <v>0.10000001408450913</v>
      </c>
      <c r="R110" s="13">
        <v>1.7370894465384177E-2</v>
      </c>
      <c r="S110" s="13">
        <v>1.8779345367982894E-3</v>
      </c>
      <c r="T110" s="13">
        <v>1.3615025391787595E-2</v>
      </c>
      <c r="U110" s="13">
        <v>4.225352707796135E-3</v>
      </c>
      <c r="V110" s="13">
        <v>0</v>
      </c>
      <c r="W110" s="13">
        <v>1.9248829002182478E-2</v>
      </c>
      <c r="X110" s="13">
        <v>1.8779345367982902E-3</v>
      </c>
      <c r="Y110" s="13">
        <v>9.3896726839914619E-4</v>
      </c>
      <c r="Z110" s="9">
        <v>0</v>
      </c>
      <c r="AA110" s="13">
        <v>7.9812217813927232E-3</v>
      </c>
      <c r="AB110" s="7">
        <v>0</v>
      </c>
    </row>
    <row r="111" spans="1:28" x14ac:dyDescent="0.3">
      <c r="A111" t="s">
        <v>234</v>
      </c>
      <c r="B111" t="s">
        <v>289</v>
      </c>
      <c r="C111" s="13">
        <v>0</v>
      </c>
      <c r="D111" s="13">
        <v>6.322436750579836E-3</v>
      </c>
      <c r="E111" s="13">
        <v>0</v>
      </c>
      <c r="F111" s="13">
        <v>0</v>
      </c>
      <c r="G111" s="13">
        <v>0</v>
      </c>
      <c r="H111" s="13">
        <v>1.0537394584299725E-3</v>
      </c>
      <c r="I111" s="13">
        <v>1.0537394584299721E-3</v>
      </c>
      <c r="J111" s="13">
        <v>0.28330964474343778</v>
      </c>
      <c r="K111" s="13">
        <v>2.3182268085459441E-2</v>
      </c>
      <c r="L111" s="13">
        <v>7.3761762090098024E-3</v>
      </c>
      <c r="M111" s="13">
        <v>0.2402525965220336</v>
      </c>
      <c r="N111" s="13">
        <v>0</v>
      </c>
      <c r="O111" s="13">
        <v>0</v>
      </c>
      <c r="P111" s="13">
        <v>2.3182268085459458E-2</v>
      </c>
      <c r="Q111" s="13">
        <v>2.0021049710169471E-2</v>
      </c>
      <c r="R111" s="13">
        <v>2.0547919439384429E-2</v>
      </c>
      <c r="S111" s="13">
        <v>1.580609187644959E-3</v>
      </c>
      <c r="T111" s="13">
        <v>0.35999954857801653</v>
      </c>
      <c r="U111" s="13">
        <v>0</v>
      </c>
      <c r="V111" s="13">
        <v>5.7955670213648601E-3</v>
      </c>
      <c r="W111" s="13">
        <v>5.2686972921498626E-4</v>
      </c>
      <c r="X111" s="13">
        <v>1.5806091876449583E-3</v>
      </c>
      <c r="Y111" s="13">
        <v>2.6343486460749278E-3</v>
      </c>
      <c r="Z111" s="9">
        <v>0</v>
      </c>
      <c r="AA111" s="13">
        <v>1.580609187644959E-3</v>
      </c>
      <c r="AB111" s="7">
        <v>0</v>
      </c>
    </row>
    <row r="112" spans="1:28" x14ac:dyDescent="0.3">
      <c r="A112" t="s">
        <v>234</v>
      </c>
      <c r="B112" t="s">
        <v>290</v>
      </c>
      <c r="C112" s="13">
        <v>3.981264637002329E-2</v>
      </c>
      <c r="D112" s="13">
        <v>2.8883684621389624E-2</v>
      </c>
      <c r="E112" s="13">
        <v>3.5128805620608841E-2</v>
      </c>
      <c r="F112" s="13">
        <v>3.1225604996096747E-3</v>
      </c>
      <c r="G112" s="13">
        <v>6.9476971116315484E-2</v>
      </c>
      <c r="H112" s="13">
        <v>1.6393442622950831E-2</v>
      </c>
      <c r="I112" s="13">
        <v>2.4980483996877408E-2</v>
      </c>
      <c r="J112" s="13">
        <v>1.5612802498048358E-3</v>
      </c>
      <c r="K112" s="13">
        <v>1.4051522248243542E-2</v>
      </c>
      <c r="L112" s="13">
        <v>0.1889149102263854</v>
      </c>
      <c r="M112" s="13">
        <v>6.2451209992193654E-2</v>
      </c>
      <c r="N112" s="13">
        <v>1.2490241998438725E-2</v>
      </c>
      <c r="O112" s="13">
        <v>3.1225604996096765E-3</v>
      </c>
      <c r="P112" s="13">
        <v>0.10616705698672914</v>
      </c>
      <c r="Q112" s="13">
        <v>0.12334113973458219</v>
      </c>
      <c r="R112" s="13">
        <v>4.9180327868852514E-2</v>
      </c>
      <c r="S112" s="13">
        <v>2.185792349726776E-2</v>
      </c>
      <c r="T112" s="13">
        <v>5.9328649492584082E-2</v>
      </c>
      <c r="U112" s="13">
        <v>1.2490241998438704E-2</v>
      </c>
      <c r="V112" s="13">
        <v>1.483216237314602E-2</v>
      </c>
      <c r="W112" s="13">
        <v>5.0741608118657341E-2</v>
      </c>
      <c r="X112" s="13">
        <v>1.0148321623731442E-2</v>
      </c>
      <c r="Y112" s="13">
        <v>3.9032006245120876E-2</v>
      </c>
      <c r="Z112" s="9">
        <v>0</v>
      </c>
      <c r="AA112" s="13">
        <v>1.2490241998438718E-2</v>
      </c>
      <c r="AB112" s="7">
        <v>0</v>
      </c>
    </row>
    <row r="113" spans="1:28" x14ac:dyDescent="0.3">
      <c r="A113" t="s">
        <v>234</v>
      </c>
      <c r="B113" t="s">
        <v>291</v>
      </c>
      <c r="C113" s="13">
        <v>3.9812646370023491E-2</v>
      </c>
      <c r="D113" s="13">
        <v>2.888368462138953E-2</v>
      </c>
      <c r="E113" s="13">
        <v>3.5128805620608876E-2</v>
      </c>
      <c r="F113" s="13">
        <v>3.1225604996096821E-3</v>
      </c>
      <c r="G113" s="13">
        <v>6.9476971116315386E-2</v>
      </c>
      <c r="H113" s="13">
        <v>1.6393442622950824E-2</v>
      </c>
      <c r="I113" s="13">
        <v>2.4980483996877457E-2</v>
      </c>
      <c r="J113" s="13">
        <v>1.561280249804843E-3</v>
      </c>
      <c r="K113" s="13">
        <v>1.4051522248243594E-2</v>
      </c>
      <c r="L113" s="13">
        <v>0.18891491022638593</v>
      </c>
      <c r="M113" s="13">
        <v>6.2451209992193474E-2</v>
      </c>
      <c r="N113" s="13">
        <v>1.2490241998438732E-2</v>
      </c>
      <c r="O113" s="13">
        <v>3.1225604996096821E-3</v>
      </c>
      <c r="P113" s="13">
        <v>0.10616705698672922</v>
      </c>
      <c r="Q113" s="13">
        <v>0.1233411397345819</v>
      </c>
      <c r="R113" s="13">
        <v>4.9180327868852514E-2</v>
      </c>
      <c r="S113" s="13">
        <v>2.1857923497267784E-2</v>
      </c>
      <c r="T113" s="13">
        <v>5.9328649492583908E-2</v>
      </c>
      <c r="U113" s="13">
        <v>1.2490241998438728E-2</v>
      </c>
      <c r="V113" s="13">
        <v>1.4832162373146003E-2</v>
      </c>
      <c r="W113" s="13">
        <v>5.0741608118657328E-2</v>
      </c>
      <c r="X113" s="13">
        <v>1.0148321623731449E-2</v>
      </c>
      <c r="Y113" s="13">
        <v>3.9032006245121015E-2</v>
      </c>
      <c r="Z113" s="9">
        <v>0</v>
      </c>
      <c r="AA113" s="13">
        <v>1.2490241998438735E-2</v>
      </c>
      <c r="AB113" s="7">
        <v>0</v>
      </c>
    </row>
    <row r="114" spans="1:28" x14ac:dyDescent="0.3">
      <c r="A114" t="s">
        <v>234</v>
      </c>
      <c r="B114" t="s">
        <v>292</v>
      </c>
      <c r="C114" s="13">
        <v>8.7976539589442737E-3</v>
      </c>
      <c r="D114" s="13">
        <v>0</v>
      </c>
      <c r="E114" s="13">
        <v>0</v>
      </c>
      <c r="F114" s="13">
        <v>8.7976539589442737E-3</v>
      </c>
      <c r="G114" s="13">
        <v>0</v>
      </c>
      <c r="H114" s="13">
        <v>1.3196480938416459E-2</v>
      </c>
      <c r="I114" s="13">
        <v>0.11436950146627613</v>
      </c>
      <c r="J114" s="13">
        <v>1.7595307917888568E-2</v>
      </c>
      <c r="K114" s="13">
        <v>1.4662756598240478E-3</v>
      </c>
      <c r="L114" s="13">
        <v>1.0263929618768321E-2</v>
      </c>
      <c r="M114" s="13">
        <v>0.36217008797653927</v>
      </c>
      <c r="N114" s="13">
        <v>1.1730205278592403E-2</v>
      </c>
      <c r="O114" s="13">
        <v>0</v>
      </c>
      <c r="P114" s="13">
        <v>8.7976539589442709E-2</v>
      </c>
      <c r="Q114" s="13">
        <v>3.3724340175953119E-2</v>
      </c>
      <c r="R114" s="13">
        <v>1.9061583577712621E-2</v>
      </c>
      <c r="S114" s="13">
        <v>8.7976539589442806E-3</v>
      </c>
      <c r="T114" s="13">
        <v>6.4516129032258104E-2</v>
      </c>
      <c r="U114" s="13">
        <v>1.9061583577712621E-2</v>
      </c>
      <c r="V114" s="13">
        <v>4.3988269794721369E-3</v>
      </c>
      <c r="W114" s="13">
        <v>8.7976539589442737E-3</v>
      </c>
      <c r="X114" s="13">
        <v>7.3313782991202541E-3</v>
      </c>
      <c r="Y114" s="13">
        <v>1.4662756598240508E-2</v>
      </c>
      <c r="Z114" s="9">
        <v>0</v>
      </c>
      <c r="AA114" s="13">
        <v>0.18328445747800551</v>
      </c>
      <c r="AB114" s="7">
        <v>0</v>
      </c>
    </row>
    <row r="115" spans="1:28" x14ac:dyDescent="0.3">
      <c r="A115" t="s">
        <v>234</v>
      </c>
      <c r="B115" t="s">
        <v>293</v>
      </c>
      <c r="C115" s="13">
        <v>3.6643026004728109E-2</v>
      </c>
      <c r="D115" s="13">
        <v>4.8210064167510891E-2</v>
      </c>
      <c r="E115" s="13">
        <v>2.1698750422154647E-2</v>
      </c>
      <c r="F115" s="13">
        <v>3.3772374197906104E-4</v>
      </c>
      <c r="G115" s="13">
        <v>2.4907125970955745E-2</v>
      </c>
      <c r="H115" s="13">
        <v>3.6220871327254343E-2</v>
      </c>
      <c r="I115" s="13">
        <v>2.929753461668351E-2</v>
      </c>
      <c r="J115" s="13">
        <v>2.8537656197230608E-2</v>
      </c>
      <c r="K115" s="13">
        <v>3.275920297196893E-2</v>
      </c>
      <c r="L115" s="13">
        <v>2.6426882809861475E-2</v>
      </c>
      <c r="M115" s="13">
        <v>6.8135764944275465E-2</v>
      </c>
      <c r="N115" s="13">
        <v>1.9587977034785532E-2</v>
      </c>
      <c r="O115" s="13">
        <v>1.82370820668693E-2</v>
      </c>
      <c r="P115" s="13">
        <v>0.10030395136778124</v>
      </c>
      <c r="Q115" s="13">
        <v>9.8446470786896209E-2</v>
      </c>
      <c r="R115" s="13">
        <v>0.10393448159405637</v>
      </c>
      <c r="S115" s="13">
        <v>6.75447483958121E-3</v>
      </c>
      <c r="T115" s="13">
        <v>7.8436339074637124E-2</v>
      </c>
      <c r="U115" s="13">
        <v>1.8828098615332585E-2</v>
      </c>
      <c r="V115" s="13">
        <v>3.8416075650118148E-2</v>
      </c>
      <c r="W115" s="13">
        <v>5.8257345491388016E-2</v>
      </c>
      <c r="X115" s="13">
        <v>2.9550827423167957E-2</v>
      </c>
      <c r="Y115" s="13">
        <v>3.5714285714285685E-2</v>
      </c>
      <c r="Z115" s="9">
        <v>0</v>
      </c>
      <c r="AA115" s="13">
        <v>4.0357987166497786E-2</v>
      </c>
      <c r="AB115" s="7">
        <v>0</v>
      </c>
    </row>
    <row r="116" spans="1:28" x14ac:dyDescent="0.3">
      <c r="A116" t="s">
        <v>234</v>
      </c>
      <c r="B116" t="s">
        <v>30</v>
      </c>
      <c r="C116" s="13">
        <v>3.6643026004728123E-2</v>
      </c>
      <c r="D116" s="13">
        <v>4.8210064167510905E-2</v>
      </c>
      <c r="E116" s="13">
        <v>2.1698750422154633E-2</v>
      </c>
      <c r="F116" s="13">
        <v>3.3772374197906093E-4</v>
      </c>
      <c r="G116" s="13">
        <v>2.4907125970955794E-2</v>
      </c>
      <c r="H116" s="13">
        <v>3.622087132725426E-2</v>
      </c>
      <c r="I116" s="13">
        <v>2.9297534616683538E-2</v>
      </c>
      <c r="J116" s="13">
        <v>2.8537656197230577E-2</v>
      </c>
      <c r="K116" s="13">
        <v>3.2759202971968923E-2</v>
      </c>
      <c r="L116" s="13">
        <v>2.6426882809861572E-2</v>
      </c>
      <c r="M116" s="13">
        <v>6.8135764944275437E-2</v>
      </c>
      <c r="N116" s="13">
        <v>1.9587977034785587E-2</v>
      </c>
      <c r="O116" s="13">
        <v>1.8237082066869283E-2</v>
      </c>
      <c r="P116" s="13">
        <v>0.10030395136778136</v>
      </c>
      <c r="Q116" s="13">
        <v>9.8446470786896112E-2</v>
      </c>
      <c r="R116" s="13">
        <v>0.10393448159405616</v>
      </c>
      <c r="S116" s="13">
        <v>6.7544748395812169E-3</v>
      </c>
      <c r="T116" s="13">
        <v>7.8436339074636957E-2</v>
      </c>
      <c r="U116" s="13">
        <v>1.8828098615332637E-2</v>
      </c>
      <c r="V116" s="13">
        <v>3.8416075650118196E-2</v>
      </c>
      <c r="W116" s="13">
        <v>5.8257345491388106E-2</v>
      </c>
      <c r="X116" s="13">
        <v>2.9550827423167836E-2</v>
      </c>
      <c r="Y116" s="13">
        <v>3.5714285714285761E-2</v>
      </c>
      <c r="Z116" s="9">
        <v>0</v>
      </c>
      <c r="AA116" s="13">
        <v>4.0357987166497827E-2</v>
      </c>
      <c r="AB116" s="7">
        <v>0</v>
      </c>
    </row>
    <row r="117" spans="1:28" x14ac:dyDescent="0.3">
      <c r="A117" t="s">
        <v>234</v>
      </c>
      <c r="B117" t="s">
        <v>294</v>
      </c>
      <c r="C117" s="13">
        <v>3.6643026004728164E-2</v>
      </c>
      <c r="D117" s="13">
        <v>4.8210064167511044E-2</v>
      </c>
      <c r="E117" s="13">
        <v>2.1698750422154706E-2</v>
      </c>
      <c r="F117" s="13">
        <v>3.3772374197906115E-4</v>
      </c>
      <c r="G117" s="13">
        <v>2.4907125970955749E-2</v>
      </c>
      <c r="H117" s="13">
        <v>3.622087132725433E-2</v>
      </c>
      <c r="I117" s="13">
        <v>2.9297534616683531E-2</v>
      </c>
      <c r="J117" s="13">
        <v>2.8537656197230688E-2</v>
      </c>
      <c r="K117" s="13">
        <v>3.2759202971968902E-2</v>
      </c>
      <c r="L117" s="13">
        <v>2.6426882809861548E-2</v>
      </c>
      <c r="M117" s="13">
        <v>6.8135764944275659E-2</v>
      </c>
      <c r="N117" s="13">
        <v>1.9587977034785514E-2</v>
      </c>
      <c r="O117" s="13">
        <v>1.8237082066869349E-2</v>
      </c>
      <c r="P117" s="13">
        <v>0.10030395136778114</v>
      </c>
      <c r="Q117" s="13">
        <v>9.8446470786896348E-2</v>
      </c>
      <c r="R117" s="13">
        <v>0.10393448159405599</v>
      </c>
      <c r="S117" s="13">
        <v>6.7544748395812256E-3</v>
      </c>
      <c r="T117" s="13">
        <v>7.8436339074636957E-2</v>
      </c>
      <c r="U117" s="13">
        <v>1.8828098615332661E-2</v>
      </c>
      <c r="V117" s="13">
        <v>3.8416075650118134E-2</v>
      </c>
      <c r="W117" s="13">
        <v>5.8257345491387912E-2</v>
      </c>
      <c r="X117" s="13">
        <v>2.9550827423167763E-2</v>
      </c>
      <c r="Y117" s="13">
        <v>3.5714285714285747E-2</v>
      </c>
      <c r="Z117" s="9">
        <v>0</v>
      </c>
      <c r="AA117" s="13">
        <v>4.035798716649782E-2</v>
      </c>
      <c r="AB117" s="7">
        <v>0</v>
      </c>
    </row>
    <row r="118" spans="1:28" x14ac:dyDescent="0.3">
      <c r="A118" t="s">
        <v>234</v>
      </c>
      <c r="B118" t="s">
        <v>295</v>
      </c>
      <c r="C118" s="13">
        <v>3.0383091149273421E-2</v>
      </c>
      <c r="D118" s="13">
        <v>4.517833553500672E-2</v>
      </c>
      <c r="E118" s="13">
        <v>1.84940554821665E-2</v>
      </c>
      <c r="F118" s="13">
        <v>2.6420079260237764E-3</v>
      </c>
      <c r="G118" s="13">
        <v>1.9550858652575949E-2</v>
      </c>
      <c r="H118" s="13">
        <v>2.1928665785997292E-2</v>
      </c>
      <c r="I118" s="13">
        <v>9.2470277410832274E-3</v>
      </c>
      <c r="J118" s="13">
        <v>0</v>
      </c>
      <c r="K118" s="13">
        <v>2.140026420079259E-2</v>
      </c>
      <c r="L118" s="13">
        <v>3.9630118890356732E-2</v>
      </c>
      <c r="M118" s="13">
        <v>8.533685601056816E-2</v>
      </c>
      <c r="N118" s="13">
        <v>3.4346103038309143E-2</v>
      </c>
      <c r="O118" s="13">
        <v>2.2457067371202122E-2</v>
      </c>
      <c r="P118" s="13">
        <v>7.9260237780713463E-2</v>
      </c>
      <c r="Q118" s="13">
        <v>0.23672391017172997</v>
      </c>
      <c r="R118" s="13">
        <v>5.2311756935270806E-2</v>
      </c>
      <c r="S118" s="13">
        <v>1.188903566710699E-2</v>
      </c>
      <c r="T118" s="13">
        <v>5.1254953764861319E-2</v>
      </c>
      <c r="U118" s="13">
        <v>3.8044914134742362E-2</v>
      </c>
      <c r="V118" s="13">
        <v>2.0343461030383082E-2</v>
      </c>
      <c r="W118" s="13">
        <v>6.4993394980185137E-2</v>
      </c>
      <c r="X118" s="13">
        <v>1.9815059445178366E-2</v>
      </c>
      <c r="Y118" s="13">
        <v>3.4610303830911515E-2</v>
      </c>
      <c r="Z118" s="9">
        <v>0</v>
      </c>
      <c r="AA118" s="13">
        <v>4.0158520475561503E-2</v>
      </c>
      <c r="AB118" s="7">
        <v>0</v>
      </c>
    </row>
    <row r="119" spans="1:28" x14ac:dyDescent="0.3">
      <c r="A119" t="s">
        <v>234</v>
      </c>
      <c r="B119" t="s">
        <v>296</v>
      </c>
      <c r="C119" s="13">
        <v>3.0383091149273345E-2</v>
      </c>
      <c r="D119" s="13">
        <v>4.5178335535006497E-2</v>
      </c>
      <c r="E119" s="13">
        <v>1.84940554821665E-2</v>
      </c>
      <c r="F119" s="13">
        <v>2.642007926023782E-3</v>
      </c>
      <c r="G119" s="13">
        <v>1.9550858652575945E-2</v>
      </c>
      <c r="H119" s="13">
        <v>2.1928665785997378E-2</v>
      </c>
      <c r="I119" s="13">
        <v>9.24702774108325E-3</v>
      </c>
      <c r="J119" s="13">
        <v>0</v>
      </c>
      <c r="K119" s="13">
        <v>2.1400264200792659E-2</v>
      </c>
      <c r="L119" s="13">
        <v>3.9630118890356725E-2</v>
      </c>
      <c r="M119" s="13">
        <v>8.5336856010567938E-2</v>
      </c>
      <c r="N119" s="13">
        <v>3.4346103038309123E-2</v>
      </c>
      <c r="O119" s="13">
        <v>2.2457067371202056E-2</v>
      </c>
      <c r="P119" s="13">
        <v>7.9260237780713449E-2</v>
      </c>
      <c r="Q119" s="13">
        <v>0.23672391017173042</v>
      </c>
      <c r="R119" s="13">
        <v>5.2311756935270855E-2</v>
      </c>
      <c r="S119" s="13">
        <v>1.188903566710699E-2</v>
      </c>
      <c r="T119" s="13">
        <v>5.1254953764861402E-2</v>
      </c>
      <c r="U119" s="13">
        <v>3.8044914134742383E-2</v>
      </c>
      <c r="V119" s="13">
        <v>2.0343461030383085E-2</v>
      </c>
      <c r="W119" s="13">
        <v>6.4993394980184888E-2</v>
      </c>
      <c r="X119" s="13">
        <v>1.9815059445178362E-2</v>
      </c>
      <c r="Y119" s="13">
        <v>3.4610303830911501E-2</v>
      </c>
      <c r="Z119" s="9">
        <v>0</v>
      </c>
      <c r="AA119" s="13">
        <v>4.0158520475561434E-2</v>
      </c>
      <c r="AB119" s="7">
        <v>0</v>
      </c>
    </row>
    <row r="120" spans="1:28" x14ac:dyDescent="0.3">
      <c r="A120" t="s">
        <v>234</v>
      </c>
      <c r="B120" t="s">
        <v>297</v>
      </c>
      <c r="C120" s="13">
        <v>3.0383091149273504E-2</v>
      </c>
      <c r="D120" s="13">
        <v>4.5178335535006629E-2</v>
      </c>
      <c r="E120" s="13">
        <v>1.8494055482166448E-2</v>
      </c>
      <c r="F120" s="13">
        <v>2.6420079260237777E-3</v>
      </c>
      <c r="G120" s="13">
        <v>1.9550858652575932E-2</v>
      </c>
      <c r="H120" s="13">
        <v>2.1928665785997323E-2</v>
      </c>
      <c r="I120" s="13">
        <v>9.2470277410832222E-3</v>
      </c>
      <c r="J120" s="13">
        <v>0</v>
      </c>
      <c r="K120" s="13">
        <v>2.1400264200792631E-2</v>
      </c>
      <c r="L120" s="13">
        <v>3.9630118890356607E-2</v>
      </c>
      <c r="M120" s="13">
        <v>8.5336856010567952E-2</v>
      </c>
      <c r="N120" s="13">
        <v>3.4346103038309199E-2</v>
      </c>
      <c r="O120" s="13">
        <v>2.245706737120208E-2</v>
      </c>
      <c r="P120" s="13">
        <v>7.9260237780713408E-2</v>
      </c>
      <c r="Q120" s="13">
        <v>0.23672391017173056</v>
      </c>
      <c r="R120" s="13">
        <v>5.2311756935270785E-2</v>
      </c>
      <c r="S120" s="13">
        <v>1.1889035667107022E-2</v>
      </c>
      <c r="T120" s="13">
        <v>5.1254953764861284E-2</v>
      </c>
      <c r="U120" s="13">
        <v>3.8044914134742376E-2</v>
      </c>
      <c r="V120" s="13">
        <v>2.0343461030383026E-2</v>
      </c>
      <c r="W120" s="13">
        <v>6.4993394980184832E-2</v>
      </c>
      <c r="X120" s="13">
        <v>1.9815059445178321E-2</v>
      </c>
      <c r="Y120" s="13">
        <v>3.4610303830911522E-2</v>
      </c>
      <c r="Z120" s="9">
        <v>0</v>
      </c>
      <c r="AA120" s="13">
        <v>4.0158520475561503E-2</v>
      </c>
      <c r="AB120" s="7">
        <v>0</v>
      </c>
    </row>
    <row r="121" spans="1:28" x14ac:dyDescent="0.3">
      <c r="A121" t="s">
        <v>234</v>
      </c>
      <c r="B121" t="s">
        <v>298</v>
      </c>
      <c r="C121" s="13">
        <v>9.2449922958397386E-3</v>
      </c>
      <c r="D121" s="13">
        <v>2.3112480739599407E-2</v>
      </c>
      <c r="E121" s="13">
        <v>7.7041602465331331E-3</v>
      </c>
      <c r="F121" s="13">
        <v>1.6949152542372874E-2</v>
      </c>
      <c r="G121" s="13">
        <v>6.1633281972264895E-3</v>
      </c>
      <c r="H121" s="13">
        <v>3.0816640986132487E-2</v>
      </c>
      <c r="I121" s="13">
        <v>2.9275808936825874E-2</v>
      </c>
      <c r="J121" s="13">
        <v>2.927580893682593E-2</v>
      </c>
      <c r="K121" s="13">
        <v>1.3867488443759603E-2</v>
      </c>
      <c r="L121" s="13">
        <v>4.3143297380585581E-2</v>
      </c>
      <c r="M121" s="13">
        <v>0.23574730354391371</v>
      </c>
      <c r="N121" s="13">
        <v>0.13251155624037014</v>
      </c>
      <c r="O121" s="13">
        <v>9.2449922958397525E-3</v>
      </c>
      <c r="P121" s="13">
        <v>0.13097072419106284</v>
      </c>
      <c r="Q121" s="13">
        <v>6.1633281972265043E-3</v>
      </c>
      <c r="R121" s="13">
        <v>1.2326656394452979E-2</v>
      </c>
      <c r="S121" s="13">
        <v>2.3112480739599407E-2</v>
      </c>
      <c r="T121" s="13">
        <v>4.1602465331278954E-2</v>
      </c>
      <c r="U121" s="13">
        <v>2.7734976887519205E-2</v>
      </c>
      <c r="V121" s="13">
        <v>4.4684129429892069E-2</v>
      </c>
      <c r="W121" s="13">
        <v>5.0847457627118786E-2</v>
      </c>
      <c r="X121" s="13">
        <v>4.4684129429892139E-2</v>
      </c>
      <c r="Y121" s="13">
        <v>7.7041602465331123E-3</v>
      </c>
      <c r="Z121" s="9">
        <v>0</v>
      </c>
      <c r="AA121" s="13">
        <v>2.3112480739599397E-2</v>
      </c>
      <c r="AB121" s="7">
        <v>0</v>
      </c>
    </row>
    <row r="122" spans="1:28" x14ac:dyDescent="0.3">
      <c r="A122" t="s">
        <v>234</v>
      </c>
      <c r="B122" t="s">
        <v>299</v>
      </c>
      <c r="C122" s="13">
        <v>1.2468827930174627E-2</v>
      </c>
      <c r="D122" s="13">
        <v>9.9750623441396454E-3</v>
      </c>
      <c r="E122" s="13">
        <v>0.19451371571072273</v>
      </c>
      <c r="F122" s="13">
        <v>4.9875311720698227E-3</v>
      </c>
      <c r="G122" s="13">
        <v>3.2418952618453838E-2</v>
      </c>
      <c r="H122" s="13">
        <v>1.2468827930174571E-2</v>
      </c>
      <c r="I122" s="13">
        <v>1.4962593516209448E-2</v>
      </c>
      <c r="J122" s="13">
        <v>1.4962593516209457E-2</v>
      </c>
      <c r="K122" s="13">
        <v>3.7406483790523633E-3</v>
      </c>
      <c r="L122" s="13">
        <v>8.8528678304239633E-2</v>
      </c>
      <c r="M122" s="13">
        <v>9.8503740648379301E-2</v>
      </c>
      <c r="N122" s="13">
        <v>2.2443890274314177E-2</v>
      </c>
      <c r="O122" s="13">
        <v>3.7406483790523633E-3</v>
      </c>
      <c r="P122" s="13">
        <v>0.20822942643391484</v>
      </c>
      <c r="Q122" s="13">
        <v>4.6134663341645954E-2</v>
      </c>
      <c r="R122" s="13">
        <v>2.4937655860349253E-2</v>
      </c>
      <c r="S122" s="13">
        <v>7.4812967581047284E-3</v>
      </c>
      <c r="T122" s="13">
        <v>4.1147132169576009E-2</v>
      </c>
      <c r="U122" s="13">
        <v>1.9950124688279291E-2</v>
      </c>
      <c r="V122" s="13">
        <v>1.4962593516209453E-2</v>
      </c>
      <c r="W122" s="13">
        <v>6.234413965087298E-2</v>
      </c>
      <c r="X122" s="13">
        <v>1.9950124688279273E-2</v>
      </c>
      <c r="Y122" s="13">
        <v>2.2443890274314177E-2</v>
      </c>
      <c r="Z122" s="9">
        <v>0</v>
      </c>
      <c r="AA122" s="13">
        <v>1.8703241895261867E-2</v>
      </c>
      <c r="AB122" s="7">
        <v>0</v>
      </c>
    </row>
    <row r="123" spans="1:28" x14ac:dyDescent="0.3">
      <c r="A123" t="s">
        <v>234</v>
      </c>
      <c r="B123" t="s">
        <v>300</v>
      </c>
      <c r="C123" s="13">
        <v>3.118503118503119E-2</v>
      </c>
      <c r="D123" s="13">
        <v>2.0790020790020817E-3</v>
      </c>
      <c r="E123" s="13">
        <v>2.0790020790020817E-3</v>
      </c>
      <c r="F123" s="13">
        <v>6.2370062370062226E-3</v>
      </c>
      <c r="G123" s="13">
        <v>0</v>
      </c>
      <c r="H123" s="13">
        <v>2.2869022869022898E-2</v>
      </c>
      <c r="I123" s="13">
        <v>8.3160083160083251E-3</v>
      </c>
      <c r="J123" s="13">
        <v>2.2869022869022867E-2</v>
      </c>
      <c r="K123" s="13">
        <v>0</v>
      </c>
      <c r="L123" s="13">
        <v>2.7027027027027053E-2</v>
      </c>
      <c r="M123" s="13">
        <v>0.3617463617463616</v>
      </c>
      <c r="N123" s="13">
        <v>2.9106029106029125E-2</v>
      </c>
      <c r="O123" s="13">
        <v>2.0790020790020817E-3</v>
      </c>
      <c r="P123" s="13">
        <v>0.10187110187110189</v>
      </c>
      <c r="Q123" s="13">
        <v>1.0395010395010389E-2</v>
      </c>
      <c r="R123" s="13">
        <v>8.3160083160083217E-3</v>
      </c>
      <c r="S123" s="13">
        <v>1.4553014553014557E-2</v>
      </c>
      <c r="T123" s="13">
        <v>2.9106029106029139E-2</v>
      </c>
      <c r="U123" s="13">
        <v>4.1580041580041626E-3</v>
      </c>
      <c r="V123" s="13">
        <v>0</v>
      </c>
      <c r="W123" s="13">
        <v>2.9106029106029125E-2</v>
      </c>
      <c r="X123" s="13">
        <v>8.3160083160083303E-3</v>
      </c>
      <c r="Y123" s="13">
        <v>8.3160083160083269E-3</v>
      </c>
      <c r="Z123" s="9">
        <v>0</v>
      </c>
      <c r="AA123" s="13">
        <v>0.27027027027027012</v>
      </c>
      <c r="AB123" s="7">
        <v>0</v>
      </c>
    </row>
    <row r="124" spans="1:28" x14ac:dyDescent="0.3">
      <c r="A124" t="s">
        <v>234</v>
      </c>
      <c r="B124" t="s">
        <v>301</v>
      </c>
      <c r="C124" s="13">
        <v>1.0355443604813875E-2</v>
      </c>
      <c r="D124" s="13">
        <v>2.2390148334732702E-2</v>
      </c>
      <c r="E124" s="13">
        <v>5.0097956898964305E-2</v>
      </c>
      <c r="F124" s="13">
        <v>1.3993842709207939E-3</v>
      </c>
      <c r="G124" s="13">
        <v>4.5899804086201958E-2</v>
      </c>
      <c r="H124" s="13">
        <v>1.483347327176039E-2</v>
      </c>
      <c r="I124" s="13">
        <v>2.5748670584942616E-2</v>
      </c>
      <c r="J124" s="13">
        <v>2.7987685418415849E-4</v>
      </c>
      <c r="K124" s="13">
        <v>2.4069409459837657E-2</v>
      </c>
      <c r="L124" s="13">
        <v>1.9591379792891109E-2</v>
      </c>
      <c r="M124" s="13">
        <v>0.15533165407220847</v>
      </c>
      <c r="N124" s="13">
        <v>3.2745591939546528E-2</v>
      </c>
      <c r="O124" s="13">
        <v>4.7579065211306925E-3</v>
      </c>
      <c r="P124" s="13">
        <v>0.1326616288832915</v>
      </c>
      <c r="Q124" s="13">
        <v>6.4371676462356683E-2</v>
      </c>
      <c r="R124" s="13">
        <v>8.1724041421774252E-2</v>
      </c>
      <c r="S124" s="13">
        <v>6.0733277357962266E-2</v>
      </c>
      <c r="T124" s="13">
        <v>6.4931430170724863E-2</v>
      </c>
      <c r="U124" s="13">
        <v>1.3434089000839615E-2</v>
      </c>
      <c r="V124" s="13">
        <v>2.2390148334732681E-2</v>
      </c>
      <c r="W124" s="13">
        <v>4.2541281835992165E-2</v>
      </c>
      <c r="X124" s="13">
        <v>2.0990764063811933E-2</v>
      </c>
      <c r="Y124" s="13">
        <v>1.2034704729918824E-2</v>
      </c>
      <c r="Z124" s="9">
        <v>0</v>
      </c>
      <c r="AA124" s="13">
        <v>7.6686258046459871E-2</v>
      </c>
      <c r="AB124" s="7">
        <v>0</v>
      </c>
    </row>
    <row r="125" spans="1:28" x14ac:dyDescent="0.3">
      <c r="A125" t="s">
        <v>234</v>
      </c>
      <c r="B125" t="s">
        <v>302</v>
      </c>
      <c r="C125" s="13">
        <v>1.4434643143544517E-2</v>
      </c>
      <c r="D125" s="13">
        <v>8.0192461908580575E-3</v>
      </c>
      <c r="E125" s="13">
        <v>1.5236567762630326E-2</v>
      </c>
      <c r="F125" s="13">
        <v>3.6888532477947059E-2</v>
      </c>
      <c r="G125" s="13">
        <v>8.8211708099438513E-3</v>
      </c>
      <c r="H125" s="13">
        <v>2.325581395348832E-2</v>
      </c>
      <c r="I125" s="13">
        <v>4.8115477145148425E-3</v>
      </c>
      <c r="J125" s="13">
        <v>0</v>
      </c>
      <c r="K125" s="13">
        <v>2.0850040096230912E-2</v>
      </c>
      <c r="L125" s="13">
        <v>7.6182838813151368E-2</v>
      </c>
      <c r="M125" s="13">
        <v>0.15557337610264643</v>
      </c>
      <c r="N125" s="13">
        <v>8.8211708099438582E-3</v>
      </c>
      <c r="O125" s="13">
        <v>1.4434643143544515E-2</v>
      </c>
      <c r="P125" s="13">
        <v>0.22213311948676814</v>
      </c>
      <c r="Q125" s="13">
        <v>9.863672814755392E-2</v>
      </c>
      <c r="R125" s="13">
        <v>3.5284683239775405E-2</v>
      </c>
      <c r="S125" s="13">
        <v>1.8444266238973529E-2</v>
      </c>
      <c r="T125" s="13">
        <v>6.4955894145950391E-2</v>
      </c>
      <c r="U125" s="13">
        <v>1.1226944667201292E-2</v>
      </c>
      <c r="V125" s="13">
        <v>5.6134723336006337E-3</v>
      </c>
      <c r="W125" s="13">
        <v>3.6086607858861287E-2</v>
      </c>
      <c r="X125" s="13">
        <v>1.5236567762630335E-2</v>
      </c>
      <c r="Y125" s="13">
        <v>2.0850040096230912E-2</v>
      </c>
      <c r="Z125" s="9">
        <v>0</v>
      </c>
      <c r="AA125" s="13">
        <v>8.4202085004010011E-2</v>
      </c>
      <c r="AB125" s="7">
        <v>0</v>
      </c>
    </row>
    <row r="126" spans="1:28" x14ac:dyDescent="0.3">
      <c r="A126" t="s">
        <v>234</v>
      </c>
      <c r="B126" t="s">
        <v>120</v>
      </c>
      <c r="C126" s="13">
        <v>2.3040215495604012E-2</v>
      </c>
      <c r="D126" s="13">
        <v>2.4488646963246642E-2</v>
      </c>
      <c r="E126" s="13">
        <v>1.0702971026257672E-2</v>
      </c>
      <c r="F126" s="13">
        <v>7.1983900207567572E-3</v>
      </c>
      <c r="G126" s="13">
        <v>2.22070938591989E-2</v>
      </c>
      <c r="H126" s="13">
        <v>3.4548580569313841E-2</v>
      </c>
      <c r="I126" s="13">
        <v>2.6259089904538478E-2</v>
      </c>
      <c r="J126" s="13">
        <v>1.0182022018864756E-2</v>
      </c>
      <c r="K126" s="13">
        <v>3.1516245864293434E-2</v>
      </c>
      <c r="L126" s="13">
        <v>1.6187003253035487E-2</v>
      </c>
      <c r="M126" s="13">
        <v>0.17114325485370277</v>
      </c>
      <c r="N126" s="13">
        <v>2.3874181600299086E-2</v>
      </c>
      <c r="O126" s="13">
        <v>1.456875939845468E-2</v>
      </c>
      <c r="P126" s="13">
        <v>8.3745361009555444E-2</v>
      </c>
      <c r="Q126" s="13">
        <v>5.9072574089340281E-2</v>
      </c>
      <c r="R126" s="13">
        <v>8.8721196882980372E-2</v>
      </c>
      <c r="S126" s="13">
        <v>4.8433585718672479E-3</v>
      </c>
      <c r="T126" s="13">
        <v>0.12697510221278452</v>
      </c>
      <c r="U126" s="13">
        <v>2.8545527971774846E-2</v>
      </c>
      <c r="V126" s="13">
        <v>3.3703168912770816E-2</v>
      </c>
      <c r="W126" s="13">
        <v>3.94642456099887E-2</v>
      </c>
      <c r="X126" s="13">
        <v>2.7967105490890758E-2</v>
      </c>
      <c r="Y126" s="13">
        <v>2.0760349451300526E-2</v>
      </c>
      <c r="Z126" s="9">
        <v>0</v>
      </c>
      <c r="AA126" s="13">
        <v>7.0285554969180208E-2</v>
      </c>
      <c r="AB126" s="7">
        <v>0</v>
      </c>
    </row>
    <row r="127" spans="1:28" x14ac:dyDescent="0.3">
      <c r="A127" t="s">
        <v>234</v>
      </c>
      <c r="B127" t="s">
        <v>24</v>
      </c>
      <c r="C127" s="105">
        <v>2.5000000000000067E-2</v>
      </c>
      <c r="D127" s="105">
        <v>7.8347578347578422E-3</v>
      </c>
      <c r="E127" s="105">
        <v>7.8347578347578422E-3</v>
      </c>
      <c r="F127" s="105">
        <v>4.9857549857549683E-3</v>
      </c>
      <c r="G127" s="105">
        <v>2.2079772079772055E-2</v>
      </c>
      <c r="H127" s="105">
        <v>2.1367521367521358E-2</v>
      </c>
      <c r="I127" s="105">
        <v>3.1339031339031376E-2</v>
      </c>
      <c r="J127" s="105">
        <v>0</v>
      </c>
      <c r="K127" s="105">
        <v>1.4245014245014218E-2</v>
      </c>
      <c r="L127" s="105">
        <v>1.5669515669515684E-2</v>
      </c>
      <c r="M127" s="105">
        <v>0.21189000000000022</v>
      </c>
      <c r="N127" s="105">
        <v>3.2763532763532804E-2</v>
      </c>
      <c r="O127" s="105">
        <v>9.9715099715099401E-3</v>
      </c>
      <c r="P127" s="105">
        <v>9.9715099715099717E-2</v>
      </c>
      <c r="Q127" s="105">
        <v>5.2706552706552688E-2</v>
      </c>
      <c r="R127" s="105">
        <v>9.9002849002849114E-2</v>
      </c>
      <c r="S127" s="105">
        <v>1.8518518518518507E-2</v>
      </c>
      <c r="T127" s="105">
        <v>6.3390313390313327E-2</v>
      </c>
      <c r="U127" s="105">
        <v>5.2706552706552778E-2</v>
      </c>
      <c r="V127" s="105">
        <v>2.2079772079772096E-2</v>
      </c>
      <c r="W127" s="105">
        <v>3.4188034188034115E-2</v>
      </c>
      <c r="X127" s="105">
        <v>3.0626780626780675E-2</v>
      </c>
      <c r="Y127" s="105">
        <v>2.2079772079772058E-2</v>
      </c>
      <c r="Z127" s="105">
        <v>4.5868945870164469E-6</v>
      </c>
      <c r="AA127" s="105">
        <v>9.9999999999999853E-2</v>
      </c>
      <c r="AB127" s="7">
        <v>0</v>
      </c>
    </row>
    <row r="128" spans="1:28" x14ac:dyDescent="0.3">
      <c r="A128" t="s">
        <v>234</v>
      </c>
      <c r="B128" t="s">
        <v>303</v>
      </c>
      <c r="C128" s="105">
        <v>0</v>
      </c>
      <c r="D128" s="105">
        <v>0</v>
      </c>
      <c r="E128" s="105">
        <v>0</v>
      </c>
      <c r="F128" s="105">
        <v>0</v>
      </c>
      <c r="G128" s="105">
        <v>0</v>
      </c>
      <c r="H128" s="105">
        <v>5.0000000000000093E-2</v>
      </c>
      <c r="I128" s="105">
        <v>0</v>
      </c>
      <c r="J128" s="105">
        <v>0</v>
      </c>
      <c r="K128" s="105">
        <v>2.0000000000000004E-2</v>
      </c>
      <c r="L128" s="105">
        <v>0</v>
      </c>
      <c r="M128" s="105">
        <v>0.32000000000000006</v>
      </c>
      <c r="N128" s="105">
        <v>0</v>
      </c>
      <c r="O128" s="105">
        <v>0</v>
      </c>
      <c r="P128" s="105">
        <v>0.24999999999999958</v>
      </c>
      <c r="Q128" s="105">
        <v>0.12000000000000005</v>
      </c>
      <c r="R128" s="105">
        <v>5.0000000000000072E-2</v>
      </c>
      <c r="S128" s="105">
        <v>0</v>
      </c>
      <c r="T128" s="105">
        <v>0.13000000000000028</v>
      </c>
      <c r="U128" s="105">
        <v>1.9999999999999997E-2</v>
      </c>
      <c r="V128" s="105">
        <v>0</v>
      </c>
      <c r="W128" s="105">
        <v>2.0000000000000004E-2</v>
      </c>
      <c r="X128" s="105">
        <v>2.0000000000000021E-2</v>
      </c>
      <c r="Y128" s="105">
        <v>0</v>
      </c>
      <c r="Z128" s="105">
        <v>0</v>
      </c>
      <c r="AA128" s="105">
        <v>0</v>
      </c>
      <c r="AB128" s="7">
        <v>0</v>
      </c>
    </row>
    <row r="129" spans="1:28" x14ac:dyDescent="0.3">
      <c r="A129" t="s">
        <v>234</v>
      </c>
      <c r="B129" t="s">
        <v>135</v>
      </c>
      <c r="C129" s="105">
        <v>2.4999999999999977E-2</v>
      </c>
      <c r="D129" s="105">
        <v>7.8347578347578422E-3</v>
      </c>
      <c r="E129" s="105">
        <v>7.834757834757837E-3</v>
      </c>
      <c r="F129" s="105">
        <v>4.9857549857549883E-3</v>
      </c>
      <c r="G129" s="105">
        <v>2.2079772079772124E-2</v>
      </c>
      <c r="H129" s="105">
        <v>2.1367521367521427E-2</v>
      </c>
      <c r="I129" s="105">
        <v>3.1339031339031369E-2</v>
      </c>
      <c r="J129" s="105">
        <v>0</v>
      </c>
      <c r="K129" s="105">
        <v>1.4245014245014254E-2</v>
      </c>
      <c r="L129" s="105">
        <v>1.5669515669515684E-2</v>
      </c>
      <c r="M129" s="105">
        <v>0.21188999999999997</v>
      </c>
      <c r="N129" s="105">
        <v>3.2763532763532763E-2</v>
      </c>
      <c r="O129" s="105">
        <v>9.9715099715099748E-3</v>
      </c>
      <c r="P129" s="105">
        <v>9.9715099715099842E-2</v>
      </c>
      <c r="Q129" s="105">
        <v>5.2706552706552501E-2</v>
      </c>
      <c r="R129" s="105">
        <v>9.9002849002849003E-2</v>
      </c>
      <c r="S129" s="105">
        <v>1.8518518518518538E-2</v>
      </c>
      <c r="T129" s="105">
        <v>6.3390313390313272E-2</v>
      </c>
      <c r="U129" s="105">
        <v>5.2706552706552501E-2</v>
      </c>
      <c r="V129" s="105">
        <v>2.207977207977211E-2</v>
      </c>
      <c r="W129" s="105">
        <v>3.4188034188034198E-2</v>
      </c>
      <c r="X129" s="105">
        <v>3.0626780626780585E-2</v>
      </c>
      <c r="Y129" s="105">
        <v>2.2079772079772117E-2</v>
      </c>
      <c r="Z129" s="105">
        <v>4.5868945870164426E-6</v>
      </c>
      <c r="AA129" s="105">
        <v>9.9999999999999992E-2</v>
      </c>
      <c r="AB129" s="7">
        <v>0</v>
      </c>
    </row>
    <row r="130" spans="1:28" x14ac:dyDescent="0.3">
      <c r="A130" t="s">
        <v>234</v>
      </c>
      <c r="B130" t="s">
        <v>34</v>
      </c>
      <c r="C130" s="105">
        <v>6.6666665228572505E-3</v>
      </c>
      <c r="D130" s="105">
        <v>6.6666665228572505E-3</v>
      </c>
      <c r="E130" s="105">
        <v>7.7777776100000865E-3</v>
      </c>
      <c r="F130" s="105">
        <v>1.111111087142871E-3</v>
      </c>
      <c r="G130" s="105">
        <v>1.1111110871428727E-3</v>
      </c>
      <c r="H130" s="105">
        <v>1.3333333045714501E-2</v>
      </c>
      <c r="I130" s="105">
        <v>2.8632461420845363E-2</v>
      </c>
      <c r="J130" s="105">
        <v>5.5555554357143554E-3</v>
      </c>
      <c r="K130" s="105">
        <v>2.2222221742857406E-3</v>
      </c>
      <c r="L130" s="105">
        <v>5.555555435714371E-3</v>
      </c>
      <c r="M130" s="105">
        <v>0.53555554400286309</v>
      </c>
      <c r="N130" s="105">
        <v>9.9999997842858523E-3</v>
      </c>
      <c r="O130" s="105">
        <v>0</v>
      </c>
      <c r="P130" s="105">
        <v>8.9999998058572686E-2</v>
      </c>
      <c r="Q130" s="105">
        <v>2.2051402284797707E-2</v>
      </c>
      <c r="R130" s="105">
        <v>1.9316156355774248E-2</v>
      </c>
      <c r="S130" s="105">
        <v>8.8888886971429763E-3</v>
      </c>
      <c r="T130" s="105">
        <v>4.2222221311429151E-2</v>
      </c>
      <c r="U130" s="105">
        <v>1.1111110871428736E-3</v>
      </c>
      <c r="V130" s="105">
        <v>2.2222221742857454E-3</v>
      </c>
      <c r="W130" s="105">
        <v>6.6666665228572349E-3</v>
      </c>
      <c r="X130" s="105">
        <v>9.9999997842858471E-3</v>
      </c>
      <c r="Y130" s="105">
        <v>7.7777776100000822E-3</v>
      </c>
      <c r="Z130" s="105">
        <v>0</v>
      </c>
      <c r="AA130" s="105">
        <v>0.16555555198428781</v>
      </c>
      <c r="AB130" s="7">
        <v>0</v>
      </c>
    </row>
    <row r="131" spans="1:28" x14ac:dyDescent="0.3">
      <c r="A131" t="s">
        <v>234</v>
      </c>
      <c r="B131" t="s">
        <v>304</v>
      </c>
      <c r="C131" s="105">
        <v>6.6666666666666723E-3</v>
      </c>
      <c r="D131" s="105">
        <v>6.6666666666666723E-3</v>
      </c>
      <c r="E131" s="105">
        <v>7.7777777777777671E-3</v>
      </c>
      <c r="F131" s="105">
        <v>1.1111111111111096E-3</v>
      </c>
      <c r="G131" s="105">
        <v>1.1111111111111096E-3</v>
      </c>
      <c r="H131" s="105">
        <v>1.3333333333333345E-2</v>
      </c>
      <c r="I131" s="105">
        <v>5.555555555555533E-2</v>
      </c>
      <c r="J131" s="105">
        <v>5.5555555555555601E-3</v>
      </c>
      <c r="K131" s="105">
        <v>2.2222222222222192E-3</v>
      </c>
      <c r="L131" s="105">
        <v>5.5555555555555419E-3</v>
      </c>
      <c r="M131" s="105">
        <v>0.53555555555555634</v>
      </c>
      <c r="N131" s="105">
        <v>9.9999999999999777E-3</v>
      </c>
      <c r="O131" s="105">
        <v>0</v>
      </c>
      <c r="P131" s="105">
        <v>9.0000000000000038E-2</v>
      </c>
      <c r="Q131" s="105">
        <v>6.6666666666666723E-3</v>
      </c>
      <c r="R131" s="105">
        <v>7.7777777777777689E-3</v>
      </c>
      <c r="S131" s="105">
        <v>8.8888888888888715E-3</v>
      </c>
      <c r="T131" s="105">
        <v>4.2222222222222078E-2</v>
      </c>
      <c r="U131" s="105">
        <v>1.1111111111111094E-3</v>
      </c>
      <c r="V131" s="105">
        <v>2.2222222222222192E-3</v>
      </c>
      <c r="W131" s="105">
        <v>6.6666666666666471E-3</v>
      </c>
      <c r="X131" s="105">
        <v>1.0000000000000004E-2</v>
      </c>
      <c r="Y131" s="105">
        <v>7.7777777777777758E-3</v>
      </c>
      <c r="Z131" s="105">
        <v>0</v>
      </c>
      <c r="AA131" s="105">
        <v>0.16555555555555526</v>
      </c>
      <c r="AB131" s="7">
        <v>0</v>
      </c>
    </row>
    <row r="132" spans="1:28" x14ac:dyDescent="0.3">
      <c r="A132" t="s">
        <v>234</v>
      </c>
      <c r="B132" t="s">
        <v>35</v>
      </c>
      <c r="C132" s="105">
        <v>2.5000084758122088E-2</v>
      </c>
      <c r="D132" s="105">
        <v>7.8347843971322603E-3</v>
      </c>
      <c r="E132" s="105">
        <v>7.8347843971322551E-3</v>
      </c>
      <c r="F132" s="105">
        <v>4.9857718890841821E-3</v>
      </c>
      <c r="G132" s="105">
        <v>2.2079846937372808E-2</v>
      </c>
      <c r="H132" s="105">
        <v>2.136759381036079E-2</v>
      </c>
      <c r="I132" s="105">
        <v>3.133913758852902E-2</v>
      </c>
      <c r="J132" s="105">
        <v>1.7106788452410236E-2</v>
      </c>
      <c r="K132" s="105">
        <v>1.4245062540240539E-2</v>
      </c>
      <c r="L132" s="105">
        <v>1.4548855740961007E-2</v>
      </c>
      <c r="M132" s="105">
        <v>0.13280021250882146</v>
      </c>
      <c r="N132" s="105">
        <v>3.2763643842553217E-2</v>
      </c>
      <c r="O132" s="105">
        <v>9.9715437781683573E-3</v>
      </c>
      <c r="P132" s="105">
        <v>9.9715437781683625E-2</v>
      </c>
      <c r="Q132" s="105">
        <v>5.2706731398890053E-2</v>
      </c>
      <c r="R132" s="105">
        <v>9.9003184654671672E-2</v>
      </c>
      <c r="S132" s="105">
        <v>1.8518581302312674E-2</v>
      </c>
      <c r="T132" s="105">
        <v>6.3390528304070076E-2</v>
      </c>
      <c r="U132" s="105">
        <v>5.2706731398890053E-2</v>
      </c>
      <c r="V132" s="105">
        <v>2.2079846937372759E-2</v>
      </c>
      <c r="W132" s="105">
        <v>3.4188150096577254E-2</v>
      </c>
      <c r="X132" s="105">
        <v>3.0626884461517137E-2</v>
      </c>
      <c r="Y132" s="105">
        <v>2.2079846937372759E-2</v>
      </c>
      <c r="Z132" s="105">
        <v>0</v>
      </c>
      <c r="AA132" s="105">
        <v>0.16310596608575381</v>
      </c>
      <c r="AB132" s="7">
        <v>0</v>
      </c>
    </row>
    <row r="133" spans="1:28" x14ac:dyDescent="0.3">
      <c r="A133" t="s">
        <v>234</v>
      </c>
      <c r="B133" t="s">
        <v>305</v>
      </c>
      <c r="C133" s="105">
        <v>2.5000084758122137E-2</v>
      </c>
      <c r="D133" s="105">
        <v>7.8347843971323054E-3</v>
      </c>
      <c r="E133" s="105">
        <v>7.8347843971323088E-3</v>
      </c>
      <c r="F133" s="105">
        <v>4.9857718890841925E-3</v>
      </c>
      <c r="G133" s="105">
        <v>2.2079846937372829E-2</v>
      </c>
      <c r="H133" s="105">
        <v>2.1367593810360817E-2</v>
      </c>
      <c r="I133" s="105">
        <v>3.1339137588529235E-2</v>
      </c>
      <c r="J133" s="105">
        <v>1.710678845241026E-2</v>
      </c>
      <c r="K133" s="105">
        <v>1.4245062540240555E-2</v>
      </c>
      <c r="L133" s="105">
        <v>1.454885574096096E-2</v>
      </c>
      <c r="M133" s="105">
        <v>0.1328002125088209</v>
      </c>
      <c r="N133" s="105">
        <v>3.2763643842553189E-2</v>
      </c>
      <c r="O133" s="105">
        <v>9.9715437781683867E-3</v>
      </c>
      <c r="P133" s="105">
        <v>9.9715437781683444E-2</v>
      </c>
      <c r="Q133" s="105">
        <v>5.2706731398889921E-2</v>
      </c>
      <c r="R133" s="105">
        <v>9.9003184654671575E-2</v>
      </c>
      <c r="S133" s="105">
        <v>1.8518581302312698E-2</v>
      </c>
      <c r="T133" s="105">
        <v>6.3390528304070368E-2</v>
      </c>
      <c r="U133" s="105">
        <v>5.2706731398889921E-2</v>
      </c>
      <c r="V133" s="105">
        <v>2.2079846937372832E-2</v>
      </c>
      <c r="W133" s="105">
        <v>3.4188150096577233E-2</v>
      </c>
      <c r="X133" s="105">
        <v>3.0626884461517099E-2</v>
      </c>
      <c r="Y133" s="105">
        <v>2.2079846937372846E-2</v>
      </c>
      <c r="Z133" s="105">
        <v>0</v>
      </c>
      <c r="AA133" s="105">
        <v>0.16310596608575398</v>
      </c>
      <c r="AB133" s="7">
        <v>0</v>
      </c>
    </row>
    <row r="134" spans="1:28" x14ac:dyDescent="0.3">
      <c r="A134" t="s">
        <v>234</v>
      </c>
      <c r="B134" t="s">
        <v>36</v>
      </c>
      <c r="C134" s="105">
        <v>1.4128796527573973E-2</v>
      </c>
      <c r="D134" s="105">
        <v>9.2703546684735957E-3</v>
      </c>
      <c r="E134" s="105">
        <v>9.692600116516556E-3</v>
      </c>
      <c r="F134" s="105">
        <v>2.0289002651086546E-2</v>
      </c>
      <c r="G134" s="105">
        <v>3.7393245509075544E-3</v>
      </c>
      <c r="H134" s="105">
        <v>6.5717194956816688E-2</v>
      </c>
      <c r="I134" s="105">
        <v>5.1457971498252908E-3</v>
      </c>
      <c r="J134" s="105">
        <v>3.6622516518727138E-2</v>
      </c>
      <c r="K134" s="105">
        <v>8.0544862732371096E-3</v>
      </c>
      <c r="L134" s="105">
        <v>1.1661057703779412E-2</v>
      </c>
      <c r="M134" s="105">
        <v>0.19141549299856311</v>
      </c>
      <c r="N134" s="105">
        <v>2.1342820643165904E-2</v>
      </c>
      <c r="O134" s="105">
        <v>2.8182243159942545E-3</v>
      </c>
      <c r="P134" s="105">
        <v>6.7716402163488162E-2</v>
      </c>
      <c r="Q134" s="105">
        <v>0.12413021932623813</v>
      </c>
      <c r="R134" s="105">
        <v>1.7476547076642892E-2</v>
      </c>
      <c r="S134" s="105">
        <v>1.8988249526575292E-3</v>
      </c>
      <c r="T134" s="105">
        <v>0.10622963470618169</v>
      </c>
      <c r="U134" s="105">
        <v>3.8781956178573086E-2</v>
      </c>
      <c r="V134" s="105">
        <v>3.1583964338868432E-2</v>
      </c>
      <c r="W134" s="105">
        <v>4.2674117630796905E-2</v>
      </c>
      <c r="X134" s="105">
        <v>2.1654709777653672E-2</v>
      </c>
      <c r="Y134" s="105">
        <v>3.3289017509317356E-2</v>
      </c>
      <c r="Z134" s="105">
        <v>7.3548689401858575E-2</v>
      </c>
      <c r="AA134" s="105">
        <v>4.1118247863056685E-2</v>
      </c>
      <c r="AB134" s="7">
        <v>0</v>
      </c>
    </row>
    <row r="135" spans="1:28" x14ac:dyDescent="0.3">
      <c r="A135" t="s">
        <v>234</v>
      </c>
      <c r="B135" t="s">
        <v>306</v>
      </c>
      <c r="C135" s="105">
        <v>2.4999999999999981E-2</v>
      </c>
      <c r="D135" s="105">
        <v>7.8347578347578283E-3</v>
      </c>
      <c r="E135" s="105">
        <v>7.8347578347578422E-3</v>
      </c>
      <c r="F135" s="105">
        <v>4.9857549857549805E-3</v>
      </c>
      <c r="G135" s="105">
        <v>2.2079772079772124E-2</v>
      </c>
      <c r="H135" s="105">
        <v>2.1367521367521364E-2</v>
      </c>
      <c r="I135" s="105">
        <v>3.1339031339031369E-2</v>
      </c>
      <c r="J135" s="105">
        <v>0</v>
      </c>
      <c r="K135" s="105">
        <v>1.4245014245014264E-2</v>
      </c>
      <c r="L135" s="105">
        <v>1.5669515669515684E-2</v>
      </c>
      <c r="M135" s="105">
        <v>0.2118899999999995</v>
      </c>
      <c r="N135" s="105">
        <v>3.2763532763532895E-2</v>
      </c>
      <c r="O135" s="105">
        <v>9.9715099715099609E-3</v>
      </c>
      <c r="P135" s="105">
        <v>9.9715099715099675E-2</v>
      </c>
      <c r="Q135" s="105">
        <v>5.2706552706552647E-2</v>
      </c>
      <c r="R135" s="105">
        <v>9.9002849002848947E-2</v>
      </c>
      <c r="S135" s="105">
        <v>1.8518518518518497E-2</v>
      </c>
      <c r="T135" s="105">
        <v>6.3390313390313577E-2</v>
      </c>
      <c r="U135" s="105">
        <v>5.270655270655273E-2</v>
      </c>
      <c r="V135" s="105">
        <v>2.2079772079772124E-2</v>
      </c>
      <c r="W135" s="105">
        <v>3.4188034188034205E-2</v>
      </c>
      <c r="X135" s="105">
        <v>3.0626780626780589E-2</v>
      </c>
      <c r="Y135" s="105">
        <v>2.2079772079772089E-2</v>
      </c>
      <c r="Z135" s="105">
        <v>4.5868945870164325E-6</v>
      </c>
      <c r="AA135" s="105">
        <v>9.9999999999999867E-2</v>
      </c>
      <c r="AB135" s="7">
        <v>0</v>
      </c>
    </row>
    <row r="136" spans="1:28" x14ac:dyDescent="0.3">
      <c r="A136" t="s">
        <v>234</v>
      </c>
      <c r="B136" t="s">
        <v>18</v>
      </c>
      <c r="C136" s="105">
        <v>1.7220241030876545E-2</v>
      </c>
      <c r="D136" s="105">
        <v>6.6404325836535568E-3</v>
      </c>
      <c r="E136" s="105">
        <v>1.6484444548103584E-2</v>
      </c>
      <c r="F136" s="105">
        <v>5.2960329051490555E-3</v>
      </c>
      <c r="G136" s="105">
        <v>1.0799420897489776E-2</v>
      </c>
      <c r="H136" s="105">
        <v>2.0418791194068468E-2</v>
      </c>
      <c r="I136" s="105">
        <v>1.7610609999029515E-2</v>
      </c>
      <c r="J136" s="105">
        <v>9.7352229452525082E-3</v>
      </c>
      <c r="K136" s="105">
        <v>5.7963531606404399E-3</v>
      </c>
      <c r="L136" s="105">
        <v>4.2324037955629177E-3</v>
      </c>
      <c r="M136" s="105">
        <v>0.26018969901686034</v>
      </c>
      <c r="N136" s="105">
        <v>1.7354180615063181E-2</v>
      </c>
      <c r="O136" s="105">
        <v>3.7037426834814233E-3</v>
      </c>
      <c r="P136" s="105">
        <v>8.5920880755942758E-2</v>
      </c>
      <c r="Q136" s="105">
        <v>7.1816110295507704E-2</v>
      </c>
      <c r="R136" s="105">
        <v>5.7311084820620563E-2</v>
      </c>
      <c r="S136" s="105">
        <v>6.0541689133311229E-3</v>
      </c>
      <c r="T136" s="105">
        <v>0.10867058804547558</v>
      </c>
      <c r="U136" s="105">
        <v>3.1082979233556522E-2</v>
      </c>
      <c r="V136" s="105">
        <v>1.4028029824510577E-2</v>
      </c>
      <c r="W136" s="105">
        <v>2.1152860704628254E-2</v>
      </c>
      <c r="X136" s="105">
        <v>2.4824266034102083E-2</v>
      </c>
      <c r="Y136" s="105">
        <v>1.6229709014233231E-2</v>
      </c>
      <c r="Z136" s="105">
        <v>3.7936732152870953E-2</v>
      </c>
      <c r="AA136" s="105">
        <v>0.12949101482998945</v>
      </c>
      <c r="AB136" s="7">
        <v>0</v>
      </c>
    </row>
    <row r="137" spans="1:28" x14ac:dyDescent="0.3">
      <c r="A137" t="s">
        <v>234</v>
      </c>
      <c r="B137" t="s">
        <v>18</v>
      </c>
      <c r="C137" s="105">
        <v>2.5000000000000019E-2</v>
      </c>
      <c r="D137" s="105">
        <v>7.8347578347578353E-3</v>
      </c>
      <c r="E137" s="105">
        <v>7.8347578347577988E-3</v>
      </c>
      <c r="F137" s="105">
        <v>4.9857549857549779E-3</v>
      </c>
      <c r="G137" s="105">
        <v>2.2079772079772055E-2</v>
      </c>
      <c r="H137" s="105">
        <v>2.1367521367521337E-2</v>
      </c>
      <c r="I137" s="105">
        <v>3.1339031339031341E-2</v>
      </c>
      <c r="J137" s="105">
        <v>0</v>
      </c>
      <c r="K137" s="105">
        <v>1.4245014245014224E-2</v>
      </c>
      <c r="L137" s="105">
        <v>1.5669515669515671E-2</v>
      </c>
      <c r="M137" s="105">
        <v>0.21188999999999966</v>
      </c>
      <c r="N137" s="105">
        <v>3.2763532763532686E-2</v>
      </c>
      <c r="O137" s="105">
        <v>9.9715099715099679E-3</v>
      </c>
      <c r="P137" s="105">
        <v>9.9715099715099842E-2</v>
      </c>
      <c r="Q137" s="105">
        <v>5.2706552706552806E-2</v>
      </c>
      <c r="R137" s="105">
        <v>9.9002849002849017E-2</v>
      </c>
      <c r="S137" s="105">
        <v>1.8518518518518556E-2</v>
      </c>
      <c r="T137" s="105">
        <v>6.3390313390313383E-2</v>
      </c>
      <c r="U137" s="105">
        <v>5.2706552706552674E-2</v>
      </c>
      <c r="V137" s="105">
        <v>2.2079772079772044E-2</v>
      </c>
      <c r="W137" s="105">
        <v>3.4188034188034164E-2</v>
      </c>
      <c r="X137" s="105">
        <v>3.062678062678062E-2</v>
      </c>
      <c r="Y137" s="105">
        <v>2.2079772079772058E-2</v>
      </c>
      <c r="Z137" s="105">
        <v>4.5868945870164401E-6</v>
      </c>
      <c r="AA137" s="105">
        <v>0.10000000000000007</v>
      </c>
      <c r="AB137" s="7">
        <v>0</v>
      </c>
    </row>
    <row r="138" spans="1:28" x14ac:dyDescent="0.3">
      <c r="A138" t="s">
        <v>234</v>
      </c>
      <c r="B138" t="s">
        <v>75</v>
      </c>
      <c r="C138" s="105">
        <v>1.6717344574351131E-2</v>
      </c>
      <c r="D138" s="105">
        <v>3.4447045368660806E-2</v>
      </c>
      <c r="E138" s="105">
        <v>8.4543973497323028E-3</v>
      </c>
      <c r="F138" s="105">
        <v>1.1098908083180746E-2</v>
      </c>
      <c r="G138" s="105">
        <v>2.5897545482755274E-2</v>
      </c>
      <c r="H138" s="105">
        <v>3.3235548734207934E-2</v>
      </c>
      <c r="I138" s="105">
        <v>5.27772414727843E-2</v>
      </c>
      <c r="J138" s="105">
        <v>4.3150417332534496E-2</v>
      </c>
      <c r="K138" s="105">
        <v>1.7914346124368142E-2</v>
      </c>
      <c r="L138" s="105">
        <v>8.5271126765198348E-3</v>
      </c>
      <c r="M138" s="105">
        <v>0.23473248560316476</v>
      </c>
      <c r="N138" s="105">
        <v>1.3519490503073826E-2</v>
      </c>
      <c r="O138" s="105">
        <v>6.9303290728500036E-3</v>
      </c>
      <c r="P138" s="105">
        <v>5.3967559453698896E-2</v>
      </c>
      <c r="Q138" s="105">
        <v>3.5927749996227679E-2</v>
      </c>
      <c r="R138" s="105">
        <v>5.850656754132319E-2</v>
      </c>
      <c r="S138" s="105">
        <v>4.0122957790184231E-2</v>
      </c>
      <c r="T138" s="105">
        <v>7.3207852458239533E-2</v>
      </c>
      <c r="U138" s="105">
        <v>2.0541529030765917E-2</v>
      </c>
      <c r="V138" s="105">
        <v>2.2886744024183097E-2</v>
      </c>
      <c r="W138" s="105">
        <v>4.1568114427954647E-2</v>
      </c>
      <c r="X138" s="105">
        <v>1.4590166469157905E-2</v>
      </c>
      <c r="Y138" s="105">
        <v>2.7688364499060418E-2</v>
      </c>
      <c r="Z138" s="105">
        <v>0</v>
      </c>
      <c r="AA138" s="105">
        <v>0.1035901819310211</v>
      </c>
      <c r="AB138" s="7">
        <v>0</v>
      </c>
    </row>
    <row r="139" spans="1:28" x14ac:dyDescent="0.3">
      <c r="A139" t="s">
        <v>234</v>
      </c>
      <c r="B139" t="s">
        <v>132</v>
      </c>
      <c r="C139" s="105">
        <v>1.6717344574351128E-2</v>
      </c>
      <c r="D139" s="105">
        <v>3.4447045368660799E-2</v>
      </c>
      <c r="E139" s="105">
        <v>8.4543973497323028E-3</v>
      </c>
      <c r="F139" s="105">
        <v>1.1098908083180746E-2</v>
      </c>
      <c r="G139" s="105">
        <v>2.5897545482755274E-2</v>
      </c>
      <c r="H139" s="105">
        <v>3.3235548734207927E-2</v>
      </c>
      <c r="I139" s="105">
        <v>5.2777241472784293E-2</v>
      </c>
      <c r="J139" s="105">
        <v>4.3150417332534496E-2</v>
      </c>
      <c r="K139" s="105">
        <v>1.7914346124368138E-2</v>
      </c>
      <c r="L139" s="105">
        <v>8.5271126765198348E-3</v>
      </c>
      <c r="M139" s="105">
        <v>0.23473248560316462</v>
      </c>
      <c r="N139" s="105">
        <v>1.3519490503073826E-2</v>
      </c>
      <c r="O139" s="105">
        <v>6.9303290728500028E-3</v>
      </c>
      <c r="P139" s="105">
        <v>5.3967559453698889E-2</v>
      </c>
      <c r="Q139" s="105">
        <v>3.5927749996227679E-2</v>
      </c>
      <c r="R139" s="105">
        <v>5.8506567541323183E-2</v>
      </c>
      <c r="S139" s="105">
        <v>4.0122957790184224E-2</v>
      </c>
      <c r="T139" s="105">
        <v>7.3207852458239533E-2</v>
      </c>
      <c r="U139" s="105">
        <v>2.0541529030765913E-2</v>
      </c>
      <c r="V139" s="105">
        <v>2.2886744024183094E-2</v>
      </c>
      <c r="W139" s="105">
        <v>4.1568114427954647E-2</v>
      </c>
      <c r="X139" s="105">
        <v>1.4590166469157905E-2</v>
      </c>
      <c r="Y139" s="105">
        <v>2.7688364499060415E-2</v>
      </c>
      <c r="Z139" s="105">
        <v>0</v>
      </c>
      <c r="AA139" s="105">
        <v>0.1035901819310211</v>
      </c>
      <c r="AB139" s="7">
        <v>0</v>
      </c>
    </row>
    <row r="140" spans="1:28" x14ac:dyDescent="0.3">
      <c r="A140" t="s">
        <v>234</v>
      </c>
      <c r="B140" t="s">
        <v>130</v>
      </c>
      <c r="C140" s="105">
        <v>1.6717344574351135E-2</v>
      </c>
      <c r="D140" s="105">
        <v>3.4447045368660806E-2</v>
      </c>
      <c r="E140" s="105">
        <v>8.4543973497323028E-3</v>
      </c>
      <c r="F140" s="105">
        <v>1.109890808318075E-2</v>
      </c>
      <c r="G140" s="105">
        <v>2.5897545482755281E-2</v>
      </c>
      <c r="H140" s="105">
        <v>3.3235548734207941E-2</v>
      </c>
      <c r="I140" s="105">
        <v>5.27772414727843E-2</v>
      </c>
      <c r="J140" s="105">
        <v>4.3150417332534503E-2</v>
      </c>
      <c r="K140" s="105">
        <v>1.7914346124368145E-2</v>
      </c>
      <c r="L140" s="105">
        <v>8.5271126765198348E-3</v>
      </c>
      <c r="M140" s="105">
        <v>0.2347324856031647</v>
      </c>
      <c r="N140" s="105">
        <v>1.3519490503073828E-2</v>
      </c>
      <c r="O140" s="105">
        <v>6.9303290728500036E-3</v>
      </c>
      <c r="P140" s="105">
        <v>5.3967559453698896E-2</v>
      </c>
      <c r="Q140" s="105">
        <v>3.5927749996227686E-2</v>
      </c>
      <c r="R140" s="105">
        <v>5.850656754132319E-2</v>
      </c>
      <c r="S140" s="105">
        <v>4.0122957790184231E-2</v>
      </c>
      <c r="T140" s="105">
        <v>7.3207852458239547E-2</v>
      </c>
      <c r="U140" s="105">
        <v>2.0541529030765913E-2</v>
      </c>
      <c r="V140" s="105">
        <v>2.2886744024183097E-2</v>
      </c>
      <c r="W140" s="105">
        <v>4.1568114427954654E-2</v>
      </c>
      <c r="X140" s="105">
        <v>1.4590166469157907E-2</v>
      </c>
      <c r="Y140" s="105">
        <v>2.7688364499060418E-2</v>
      </c>
      <c r="Z140" s="105">
        <v>0</v>
      </c>
      <c r="AA140" s="105">
        <v>0.10359018193102112</v>
      </c>
      <c r="AB140" s="7">
        <v>0</v>
      </c>
    </row>
    <row r="141" spans="1:28" x14ac:dyDescent="0.3">
      <c r="A141" t="s">
        <v>234</v>
      </c>
      <c r="B141" t="s">
        <v>131</v>
      </c>
      <c r="C141" s="105">
        <v>1.6717344574351128E-2</v>
      </c>
      <c r="D141" s="105">
        <v>3.4447045368660799E-2</v>
      </c>
      <c r="E141" s="105">
        <v>8.4543973497323011E-3</v>
      </c>
      <c r="F141" s="105">
        <v>1.1098908083180746E-2</v>
      </c>
      <c r="G141" s="105">
        <v>2.5897545482755274E-2</v>
      </c>
      <c r="H141" s="105">
        <v>3.3235548734207934E-2</v>
      </c>
      <c r="I141" s="105">
        <v>5.2777241472784293E-2</v>
      </c>
      <c r="J141" s="105">
        <v>4.3150417332534489E-2</v>
      </c>
      <c r="K141" s="105">
        <v>1.7914346124368138E-2</v>
      </c>
      <c r="L141" s="105">
        <v>8.5271126765198348E-3</v>
      </c>
      <c r="M141" s="105">
        <v>0.23473248560316451</v>
      </c>
      <c r="N141" s="105">
        <v>1.3519490503073823E-2</v>
      </c>
      <c r="O141" s="105">
        <v>6.9303290728500028E-3</v>
      </c>
      <c r="P141" s="105">
        <v>5.3967559453698889E-2</v>
      </c>
      <c r="Q141" s="105">
        <v>3.5927749996227672E-2</v>
      </c>
      <c r="R141" s="105">
        <v>5.8506567541323183E-2</v>
      </c>
      <c r="S141" s="105">
        <v>4.0122957790184231E-2</v>
      </c>
      <c r="T141" s="105">
        <v>7.320785245823952E-2</v>
      </c>
      <c r="U141" s="105">
        <v>2.054152903076591E-2</v>
      </c>
      <c r="V141" s="105">
        <v>2.288674402418309E-2</v>
      </c>
      <c r="W141" s="105">
        <v>4.156811442795464E-2</v>
      </c>
      <c r="X141" s="105">
        <v>1.4590166469157903E-2</v>
      </c>
      <c r="Y141" s="105">
        <v>2.7688364499060411E-2</v>
      </c>
      <c r="Z141" s="105">
        <v>0</v>
      </c>
      <c r="AA141" s="105">
        <v>0.1035901819310211</v>
      </c>
      <c r="AB141" s="7">
        <v>0</v>
      </c>
    </row>
    <row r="142" spans="1:28" x14ac:dyDescent="0.3">
      <c r="A142" t="s">
        <v>234</v>
      </c>
      <c r="B142" t="s">
        <v>32</v>
      </c>
      <c r="C142" s="105">
        <v>1.6717344574351131E-2</v>
      </c>
      <c r="D142" s="105">
        <v>3.4447045368660799E-2</v>
      </c>
      <c r="E142" s="105">
        <v>8.4543973497323028E-3</v>
      </c>
      <c r="F142" s="105">
        <v>1.1098908083180746E-2</v>
      </c>
      <c r="G142" s="105">
        <v>2.5897545482755274E-2</v>
      </c>
      <c r="H142" s="105">
        <v>3.3235548734207934E-2</v>
      </c>
      <c r="I142" s="105">
        <v>5.2777241472784307E-2</v>
      </c>
      <c r="J142" s="105">
        <v>4.3150417332534503E-2</v>
      </c>
      <c r="K142" s="105">
        <v>1.7914346124368142E-2</v>
      </c>
      <c r="L142" s="105">
        <v>8.5271126765198348E-3</v>
      </c>
      <c r="M142" s="105">
        <v>0.21776543221768674</v>
      </c>
      <c r="N142" s="105">
        <v>1.3519490503073826E-2</v>
      </c>
      <c r="O142" s="105">
        <v>6.9303290728500036E-3</v>
      </c>
      <c r="P142" s="105">
        <v>5.3967559453698896E-2</v>
      </c>
      <c r="Q142" s="105">
        <v>3.5927749996227686E-2</v>
      </c>
      <c r="R142" s="105">
        <v>5.850656754132319E-2</v>
      </c>
      <c r="S142" s="105">
        <v>4.0122957790184231E-2</v>
      </c>
      <c r="T142" s="105">
        <v>7.3207852458239533E-2</v>
      </c>
      <c r="U142" s="105">
        <v>2.0541529030765913E-2</v>
      </c>
      <c r="V142" s="105">
        <v>2.2886744024183097E-2</v>
      </c>
      <c r="W142" s="105">
        <v>4.1568114427954654E-2</v>
      </c>
      <c r="X142" s="105">
        <v>1.4590166469157905E-2</v>
      </c>
      <c r="Y142" s="105">
        <v>2.7688364499060418E-2</v>
      </c>
      <c r="Z142" s="105">
        <v>1.6967053385477632E-2</v>
      </c>
      <c r="AA142" s="105">
        <v>0.1035901819310211</v>
      </c>
      <c r="AB142" s="7">
        <v>0</v>
      </c>
    </row>
    <row r="143" spans="1:28" x14ac:dyDescent="0.3">
      <c r="A143" t="s">
        <v>234</v>
      </c>
      <c r="B143" t="s">
        <v>122</v>
      </c>
      <c r="C143" s="105">
        <v>1.6717344574351131E-2</v>
      </c>
      <c r="D143" s="105">
        <v>3.4447045368660806E-2</v>
      </c>
      <c r="E143" s="105">
        <v>8.4543973497323028E-3</v>
      </c>
      <c r="F143" s="105">
        <v>1.1098908083180748E-2</v>
      </c>
      <c r="G143" s="105">
        <v>2.5897545482755278E-2</v>
      </c>
      <c r="H143" s="105">
        <v>3.3235548734207934E-2</v>
      </c>
      <c r="I143" s="105">
        <v>5.27772414727843E-2</v>
      </c>
      <c r="J143" s="105">
        <v>4.3150417332534496E-2</v>
      </c>
      <c r="K143" s="105">
        <v>1.7914346124368142E-2</v>
      </c>
      <c r="L143" s="105">
        <v>8.5271126765198348E-3</v>
      </c>
      <c r="M143" s="105">
        <v>0.23473248560316481</v>
      </c>
      <c r="N143" s="105">
        <v>1.3519490503073824E-2</v>
      </c>
      <c r="O143" s="105">
        <v>6.9303290728500036E-3</v>
      </c>
      <c r="P143" s="105">
        <v>5.3967559453698896E-2</v>
      </c>
      <c r="Q143" s="105">
        <v>3.5927749996227679E-2</v>
      </c>
      <c r="R143" s="105">
        <v>5.850656754132319E-2</v>
      </c>
      <c r="S143" s="105">
        <v>4.0122957790184231E-2</v>
      </c>
      <c r="T143" s="105">
        <v>7.3207852458239533E-2</v>
      </c>
      <c r="U143" s="105">
        <v>2.0541529030765913E-2</v>
      </c>
      <c r="V143" s="105">
        <v>2.2886744024183094E-2</v>
      </c>
      <c r="W143" s="105">
        <v>4.1568114427954647E-2</v>
      </c>
      <c r="X143" s="105">
        <v>1.4590166469157903E-2</v>
      </c>
      <c r="Y143" s="105">
        <v>2.7688364499060415E-2</v>
      </c>
      <c r="Z143" s="105">
        <v>0</v>
      </c>
      <c r="AA143" s="105">
        <v>0.10359018193102111</v>
      </c>
      <c r="AB143" s="7">
        <v>0</v>
      </c>
    </row>
    <row r="144" spans="1:28" x14ac:dyDescent="0.3">
      <c r="A144" t="s">
        <v>234</v>
      </c>
      <c r="B144" t="s">
        <v>123</v>
      </c>
      <c r="C144" s="105">
        <v>1.6717344574351131E-2</v>
      </c>
      <c r="D144" s="105">
        <v>3.4447045368660799E-2</v>
      </c>
      <c r="E144" s="105">
        <v>8.4543973497323028E-3</v>
      </c>
      <c r="F144" s="105">
        <v>1.1098908083180746E-2</v>
      </c>
      <c r="G144" s="105">
        <v>2.5897545482755274E-2</v>
      </c>
      <c r="H144" s="105">
        <v>3.3235548734207934E-2</v>
      </c>
      <c r="I144" s="105">
        <v>5.27772414727843E-2</v>
      </c>
      <c r="J144" s="105">
        <v>4.3150417332534503E-2</v>
      </c>
      <c r="K144" s="105">
        <v>1.7914346124368142E-2</v>
      </c>
      <c r="L144" s="105">
        <v>8.5271126765198348E-3</v>
      </c>
      <c r="M144" s="105">
        <v>0.21238675770097268</v>
      </c>
      <c r="N144" s="105">
        <v>1.3519490503073824E-2</v>
      </c>
      <c r="O144" s="105">
        <v>6.9303290728500036E-3</v>
      </c>
      <c r="P144" s="105">
        <v>5.3967559453698896E-2</v>
      </c>
      <c r="Q144" s="105">
        <v>3.5927749996227679E-2</v>
      </c>
      <c r="R144" s="105">
        <v>5.850656754132319E-2</v>
      </c>
      <c r="S144" s="105">
        <v>4.0122957790184231E-2</v>
      </c>
      <c r="T144" s="105">
        <v>7.320785245823952E-2</v>
      </c>
      <c r="U144" s="105">
        <v>2.054152903076591E-2</v>
      </c>
      <c r="V144" s="105">
        <v>2.2886744024183097E-2</v>
      </c>
      <c r="W144" s="105">
        <v>4.1568114427954647E-2</v>
      </c>
      <c r="X144" s="105">
        <v>1.4590166469157903E-2</v>
      </c>
      <c r="Y144" s="105">
        <v>2.7688364499060415E-2</v>
      </c>
      <c r="Z144" s="105">
        <v>2.2345727902192126E-2</v>
      </c>
      <c r="AA144" s="105">
        <v>0.1035901819310211</v>
      </c>
      <c r="AB144" s="7">
        <v>0</v>
      </c>
    </row>
    <row r="145" spans="1:28" x14ac:dyDescent="0.3">
      <c r="A145" t="s">
        <v>234</v>
      </c>
      <c r="C145" s="105">
        <v>1.6717344574351131E-2</v>
      </c>
      <c r="D145" s="105">
        <v>3.4447045368660799E-2</v>
      </c>
      <c r="E145" s="105">
        <v>8.4543973497323028E-3</v>
      </c>
      <c r="F145" s="105">
        <v>1.1098908083180748E-2</v>
      </c>
      <c r="G145" s="105">
        <v>2.5897545482755278E-2</v>
      </c>
      <c r="H145" s="105">
        <v>3.3235548734207934E-2</v>
      </c>
      <c r="I145" s="105">
        <v>5.27772414727843E-2</v>
      </c>
      <c r="J145" s="105">
        <v>4.3150417332534503E-2</v>
      </c>
      <c r="K145" s="105">
        <v>1.7914346124368142E-2</v>
      </c>
      <c r="L145" s="105">
        <v>8.5271126765198348E-3</v>
      </c>
      <c r="M145" s="105">
        <v>0.23473248560316456</v>
      </c>
      <c r="N145" s="105">
        <v>1.3519490503073826E-2</v>
      </c>
      <c r="O145" s="105">
        <v>6.9303290728500028E-3</v>
      </c>
      <c r="P145" s="105">
        <v>5.3967559453698889E-2</v>
      </c>
      <c r="Q145" s="105">
        <v>3.5927749996227679E-2</v>
      </c>
      <c r="R145" s="105">
        <v>5.8506567541323183E-2</v>
      </c>
      <c r="S145" s="105">
        <v>4.0122957790184231E-2</v>
      </c>
      <c r="T145" s="105">
        <v>7.3207852458239533E-2</v>
      </c>
      <c r="U145" s="105">
        <v>2.0541529030765913E-2</v>
      </c>
      <c r="V145" s="105">
        <v>2.2886744024183097E-2</v>
      </c>
      <c r="W145" s="105">
        <v>4.1568114427954647E-2</v>
      </c>
      <c r="X145" s="105">
        <v>1.4590166469157905E-2</v>
      </c>
      <c r="Y145" s="105">
        <v>2.7688364499060415E-2</v>
      </c>
      <c r="Z145" s="105">
        <v>0</v>
      </c>
      <c r="AA145" s="105">
        <v>0.10359018193102111</v>
      </c>
      <c r="AB145" s="7">
        <v>0</v>
      </c>
    </row>
    <row r="146" spans="1:28" x14ac:dyDescent="0.3">
      <c r="A146" t="s">
        <v>234</v>
      </c>
      <c r="B146" t="s">
        <v>85</v>
      </c>
      <c r="C146" s="105">
        <v>1.6717344574351131E-2</v>
      </c>
      <c r="D146" s="105">
        <v>3.4447045368660799E-2</v>
      </c>
      <c r="E146" s="105">
        <v>8.4543973497323011E-3</v>
      </c>
      <c r="F146" s="105">
        <v>1.1098908083180746E-2</v>
      </c>
      <c r="G146" s="105">
        <v>2.5897545482755274E-2</v>
      </c>
      <c r="H146" s="105">
        <v>3.3235548734207927E-2</v>
      </c>
      <c r="I146" s="105">
        <v>5.27772414727843E-2</v>
      </c>
      <c r="J146" s="105">
        <v>4.3150417332534489E-2</v>
      </c>
      <c r="K146" s="105">
        <v>1.7914346124368142E-2</v>
      </c>
      <c r="L146" s="105">
        <v>8.5271126765198348E-3</v>
      </c>
      <c r="M146" s="105">
        <v>0.23473248560316462</v>
      </c>
      <c r="N146" s="105">
        <v>1.3519490503073824E-2</v>
      </c>
      <c r="O146" s="105">
        <v>6.9303290728500019E-3</v>
      </c>
      <c r="P146" s="105">
        <v>5.3967559453698889E-2</v>
      </c>
      <c r="Q146" s="105">
        <v>3.5927749996227672E-2</v>
      </c>
      <c r="R146" s="105">
        <v>5.850656754132319E-2</v>
      </c>
      <c r="S146" s="105">
        <v>4.0122957790184231E-2</v>
      </c>
      <c r="T146" s="105">
        <v>7.320785245823952E-2</v>
      </c>
      <c r="U146" s="105">
        <v>2.054152903076591E-2</v>
      </c>
      <c r="V146" s="105">
        <v>2.2886744024183094E-2</v>
      </c>
      <c r="W146" s="105">
        <v>4.1568114427954647E-2</v>
      </c>
      <c r="X146" s="105">
        <v>1.4590166469157902E-2</v>
      </c>
      <c r="Y146" s="105">
        <v>2.7688364499060415E-2</v>
      </c>
      <c r="Z146" s="105">
        <v>0</v>
      </c>
      <c r="AA146" s="105">
        <v>0.1035901819310211</v>
      </c>
      <c r="AB146" s="7">
        <v>0</v>
      </c>
    </row>
    <row r="147" spans="1:28" x14ac:dyDescent="0.3">
      <c r="A147" t="s">
        <v>234</v>
      </c>
      <c r="B147" t="s">
        <v>133</v>
      </c>
      <c r="C147" s="105">
        <v>1.6717344574351131E-2</v>
      </c>
      <c r="D147" s="105">
        <v>3.4447045368660799E-2</v>
      </c>
      <c r="E147" s="105">
        <v>8.4543973497323028E-3</v>
      </c>
      <c r="F147" s="105">
        <v>1.1098908083180748E-2</v>
      </c>
      <c r="G147" s="105">
        <v>2.5897545482755278E-2</v>
      </c>
      <c r="H147" s="105">
        <v>3.3235548734207934E-2</v>
      </c>
      <c r="I147" s="105">
        <v>5.27772414727843E-2</v>
      </c>
      <c r="J147" s="105">
        <v>4.3150417332534496E-2</v>
      </c>
      <c r="K147" s="105">
        <v>1.7914346124368142E-2</v>
      </c>
      <c r="L147" s="105">
        <v>8.5271126765198348E-3</v>
      </c>
      <c r="M147" s="105">
        <v>0.2347324856031644</v>
      </c>
      <c r="N147" s="105">
        <v>1.3519490503073826E-2</v>
      </c>
      <c r="O147" s="105">
        <v>6.9303290728500036E-3</v>
      </c>
      <c r="P147" s="105">
        <v>5.3967559453698896E-2</v>
      </c>
      <c r="Q147" s="105">
        <v>3.5927749996227686E-2</v>
      </c>
      <c r="R147" s="105">
        <v>5.850656754132319E-2</v>
      </c>
      <c r="S147" s="105">
        <v>4.0122957790184231E-2</v>
      </c>
      <c r="T147" s="105">
        <v>7.3207852458239533E-2</v>
      </c>
      <c r="U147" s="105">
        <v>2.0541529030765917E-2</v>
      </c>
      <c r="V147" s="105">
        <v>2.2886744024183094E-2</v>
      </c>
      <c r="W147" s="105">
        <v>4.1568114427954654E-2</v>
      </c>
      <c r="X147" s="105">
        <v>1.4590166469157903E-2</v>
      </c>
      <c r="Y147" s="105">
        <v>2.7688364499060418E-2</v>
      </c>
      <c r="Z147" s="105">
        <v>0</v>
      </c>
      <c r="AA147" s="105">
        <v>0.10359018193102111</v>
      </c>
      <c r="AB147" s="7">
        <v>0</v>
      </c>
    </row>
    <row r="148" spans="1:28" x14ac:dyDescent="0.3">
      <c r="A148" t="s">
        <v>234</v>
      </c>
      <c r="B148" t="s">
        <v>134</v>
      </c>
      <c r="C148" s="105">
        <v>1.6717344574351135E-2</v>
      </c>
      <c r="D148" s="105">
        <v>3.4447045368660806E-2</v>
      </c>
      <c r="E148" s="105">
        <v>8.4543973497323045E-3</v>
      </c>
      <c r="F148" s="105">
        <v>1.109890808318075E-2</v>
      </c>
      <c r="G148" s="105">
        <v>2.5897545482755281E-2</v>
      </c>
      <c r="H148" s="105">
        <v>3.3235548734207941E-2</v>
      </c>
      <c r="I148" s="105">
        <v>5.2777241472784314E-2</v>
      </c>
      <c r="J148" s="105">
        <v>4.315041733253451E-2</v>
      </c>
      <c r="K148" s="105">
        <v>1.7914346124368149E-2</v>
      </c>
      <c r="L148" s="105">
        <v>8.5271126765198383E-3</v>
      </c>
      <c r="M148" s="105">
        <v>0.23473248560316462</v>
      </c>
      <c r="N148" s="105">
        <v>1.3519490503073829E-2</v>
      </c>
      <c r="O148" s="105">
        <v>6.9303290728500054E-3</v>
      </c>
      <c r="P148" s="105">
        <v>5.396755945369891E-2</v>
      </c>
      <c r="Q148" s="105">
        <v>3.5927749996227692E-2</v>
      </c>
      <c r="R148" s="105">
        <v>5.8506567541323211E-2</v>
      </c>
      <c r="S148" s="105">
        <v>4.0122957790184245E-2</v>
      </c>
      <c r="T148" s="105">
        <v>7.3207852458239547E-2</v>
      </c>
      <c r="U148" s="105">
        <v>2.054152903076592E-2</v>
      </c>
      <c r="V148" s="105">
        <v>2.2886744024183104E-2</v>
      </c>
      <c r="W148" s="105">
        <v>4.1568114427954661E-2</v>
      </c>
      <c r="X148" s="105">
        <v>1.4590166469157909E-2</v>
      </c>
      <c r="Y148" s="105">
        <v>2.7688364499060425E-2</v>
      </c>
      <c r="Z148" s="105">
        <v>0</v>
      </c>
      <c r="AA148" s="105">
        <v>0.10359018193102112</v>
      </c>
      <c r="AB148" s="7">
        <v>0</v>
      </c>
    </row>
    <row r="149" spans="1:28" x14ac:dyDescent="0.3">
      <c r="A149" t="s">
        <v>234</v>
      </c>
      <c r="B149" t="s">
        <v>125</v>
      </c>
      <c r="C149" s="105">
        <v>1.6717344574351131E-2</v>
      </c>
      <c r="D149" s="105">
        <v>3.4447045368660799E-2</v>
      </c>
      <c r="E149" s="105">
        <v>8.4543973497323011E-3</v>
      </c>
      <c r="F149" s="105">
        <v>1.1098908083180746E-2</v>
      </c>
      <c r="G149" s="105">
        <v>2.5897545482755274E-2</v>
      </c>
      <c r="H149" s="105">
        <v>3.3235548734207934E-2</v>
      </c>
      <c r="I149" s="105">
        <v>5.2777241472784293E-2</v>
      </c>
      <c r="J149" s="105">
        <v>4.3150417332534489E-2</v>
      </c>
      <c r="K149" s="105">
        <v>1.7914346124368138E-2</v>
      </c>
      <c r="L149" s="105">
        <v>8.5271126765198348E-3</v>
      </c>
      <c r="M149" s="105">
        <v>0.23473248560316462</v>
      </c>
      <c r="N149" s="105">
        <v>1.3519490503073824E-2</v>
      </c>
      <c r="O149" s="105">
        <v>6.9303290728500028E-3</v>
      </c>
      <c r="P149" s="105">
        <v>5.3967559453698889E-2</v>
      </c>
      <c r="Q149" s="105">
        <v>3.5927749996227679E-2</v>
      </c>
      <c r="R149" s="105">
        <v>5.8506567541323183E-2</v>
      </c>
      <c r="S149" s="105">
        <v>4.0122957790184224E-2</v>
      </c>
      <c r="T149" s="105">
        <v>7.320785245823952E-2</v>
      </c>
      <c r="U149" s="105">
        <v>2.054152903076591E-2</v>
      </c>
      <c r="V149" s="105">
        <v>2.288674402418309E-2</v>
      </c>
      <c r="W149" s="105">
        <v>4.1568114427954647E-2</v>
      </c>
      <c r="X149" s="105">
        <v>1.4590166469157903E-2</v>
      </c>
      <c r="Y149" s="105">
        <v>2.7688364499060415E-2</v>
      </c>
      <c r="Z149" s="105">
        <v>0</v>
      </c>
      <c r="AA149" s="105">
        <v>0.1035901819310211</v>
      </c>
      <c r="AB149" s="7">
        <v>0</v>
      </c>
    </row>
    <row r="150" spans="1:28" x14ac:dyDescent="0.3">
      <c r="A150" t="s">
        <v>234</v>
      </c>
      <c r="B150" t="s">
        <v>27</v>
      </c>
      <c r="C150" s="105">
        <v>1.6717344574351131E-2</v>
      </c>
      <c r="D150" s="105">
        <v>3.4447045368660799E-2</v>
      </c>
      <c r="E150" s="105">
        <v>8.4543973497323028E-3</v>
      </c>
      <c r="F150" s="105">
        <v>1.1098908083180746E-2</v>
      </c>
      <c r="G150" s="105">
        <v>2.5897545482755278E-2</v>
      </c>
      <c r="H150" s="105">
        <v>3.3235548734207934E-2</v>
      </c>
      <c r="I150" s="105">
        <v>5.2777241472784293E-2</v>
      </c>
      <c r="J150" s="105">
        <v>4.3150417332534496E-2</v>
      </c>
      <c r="K150" s="105">
        <v>1.7914346124368142E-2</v>
      </c>
      <c r="L150" s="105">
        <v>8.5271126765198348E-3</v>
      </c>
      <c r="M150" s="105">
        <v>0.23473248560316479</v>
      </c>
      <c r="N150" s="105">
        <v>1.3519490503073824E-2</v>
      </c>
      <c r="O150" s="105">
        <v>6.9303290728500028E-3</v>
      </c>
      <c r="P150" s="105">
        <v>5.3967559453698889E-2</v>
      </c>
      <c r="Q150" s="105">
        <v>3.5927749996227679E-2</v>
      </c>
      <c r="R150" s="105">
        <v>5.850656754132319E-2</v>
      </c>
      <c r="S150" s="105">
        <v>4.0122957790184231E-2</v>
      </c>
      <c r="T150" s="105">
        <v>7.3207852458239533E-2</v>
      </c>
      <c r="U150" s="105">
        <v>2.0541529030765913E-2</v>
      </c>
      <c r="V150" s="105">
        <v>2.2886744024183094E-2</v>
      </c>
      <c r="W150" s="105">
        <v>4.1568114427954647E-2</v>
      </c>
      <c r="X150" s="105">
        <v>1.4590166469157903E-2</v>
      </c>
      <c r="Y150" s="105">
        <v>2.7688364499060418E-2</v>
      </c>
      <c r="Z150" s="105">
        <v>0</v>
      </c>
      <c r="AA150" s="105">
        <v>0.10359018193102111</v>
      </c>
      <c r="AB150" s="7">
        <v>0</v>
      </c>
    </row>
    <row r="151" spans="1:28" x14ac:dyDescent="0.3">
      <c r="A151" t="s">
        <v>234</v>
      </c>
      <c r="B151" t="s">
        <v>126</v>
      </c>
      <c r="C151" s="105">
        <v>1.6717344574351131E-2</v>
      </c>
      <c r="D151" s="105">
        <v>3.4447045368660799E-2</v>
      </c>
      <c r="E151" s="105">
        <v>8.4543973497323028E-3</v>
      </c>
      <c r="F151" s="105">
        <v>1.1098908083180746E-2</v>
      </c>
      <c r="G151" s="105">
        <v>2.5897545482755278E-2</v>
      </c>
      <c r="H151" s="105">
        <v>3.3235548734207934E-2</v>
      </c>
      <c r="I151" s="105">
        <v>5.27772414727843E-2</v>
      </c>
      <c r="J151" s="105">
        <v>4.3150417332534503E-2</v>
      </c>
      <c r="K151" s="105">
        <v>1.7914346124368142E-2</v>
      </c>
      <c r="L151" s="105">
        <v>8.5271126765198348E-3</v>
      </c>
      <c r="M151" s="105">
        <v>0.2179873028666014</v>
      </c>
      <c r="N151" s="105">
        <v>1.3519490503073826E-2</v>
      </c>
      <c r="O151" s="105">
        <v>6.9303290728500036E-3</v>
      </c>
      <c r="P151" s="105">
        <v>5.3967559453698896E-2</v>
      </c>
      <c r="Q151" s="105">
        <v>3.5927749996227679E-2</v>
      </c>
      <c r="R151" s="105">
        <v>5.850656754132319E-2</v>
      </c>
      <c r="S151" s="105">
        <v>4.0122957790184238E-2</v>
      </c>
      <c r="T151" s="105">
        <v>7.3207852458239533E-2</v>
      </c>
      <c r="U151" s="105">
        <v>2.0541529030765913E-2</v>
      </c>
      <c r="V151" s="105">
        <v>2.2886744024183097E-2</v>
      </c>
      <c r="W151" s="105">
        <v>4.1568114427954654E-2</v>
      </c>
      <c r="X151" s="105">
        <v>1.4590166469157903E-2</v>
      </c>
      <c r="Y151" s="105">
        <v>2.7688364499060418E-2</v>
      </c>
      <c r="Z151" s="105">
        <v>1.6745182736563041E-2</v>
      </c>
      <c r="AA151" s="105">
        <v>0.10359018193102111</v>
      </c>
      <c r="AB151" s="7">
        <v>0</v>
      </c>
    </row>
    <row r="152" spans="1:28" x14ac:dyDescent="0.3">
      <c r="A152" t="s">
        <v>234</v>
      </c>
      <c r="B152" t="s">
        <v>21</v>
      </c>
      <c r="C152" s="105">
        <v>1.6717344574351128E-2</v>
      </c>
      <c r="D152" s="105">
        <v>3.4447045368660799E-2</v>
      </c>
      <c r="E152" s="105">
        <v>8.4543973497323011E-3</v>
      </c>
      <c r="F152" s="105">
        <v>1.1098908083180746E-2</v>
      </c>
      <c r="G152" s="105">
        <v>2.5897545482755274E-2</v>
      </c>
      <c r="H152" s="105">
        <v>3.3235548734207934E-2</v>
      </c>
      <c r="I152" s="105">
        <v>5.27772414727843E-2</v>
      </c>
      <c r="J152" s="105">
        <v>4.3150417332534496E-2</v>
      </c>
      <c r="K152" s="105">
        <v>1.7914346124368138E-2</v>
      </c>
      <c r="L152" s="105">
        <v>8.5271126765198348E-3</v>
      </c>
      <c r="M152" s="105">
        <v>0.23473248560316479</v>
      </c>
      <c r="N152" s="105">
        <v>1.3519490503073824E-2</v>
      </c>
      <c r="O152" s="105">
        <v>6.9303290728500036E-3</v>
      </c>
      <c r="P152" s="105">
        <v>5.3967559453698889E-2</v>
      </c>
      <c r="Q152" s="105">
        <v>3.5927749996227679E-2</v>
      </c>
      <c r="R152" s="105">
        <v>5.8506567541323183E-2</v>
      </c>
      <c r="S152" s="105">
        <v>4.0122957790184231E-2</v>
      </c>
      <c r="T152" s="105">
        <v>7.3207852458239533E-2</v>
      </c>
      <c r="U152" s="105">
        <v>2.0541529030765913E-2</v>
      </c>
      <c r="V152" s="105">
        <v>2.2886744024183094E-2</v>
      </c>
      <c r="W152" s="105">
        <v>4.1568114427954647E-2</v>
      </c>
      <c r="X152" s="105">
        <v>1.4590166469157905E-2</v>
      </c>
      <c r="Y152" s="105">
        <v>2.7688364499060415E-2</v>
      </c>
      <c r="Z152" s="105">
        <v>0</v>
      </c>
      <c r="AA152" s="105">
        <v>0.1035901819310211</v>
      </c>
      <c r="AB152" s="7">
        <v>0</v>
      </c>
    </row>
    <row r="153" spans="1:28" x14ac:dyDescent="0.3">
      <c r="A153" t="s">
        <v>234</v>
      </c>
      <c r="B153" t="s">
        <v>22</v>
      </c>
      <c r="C153" s="105">
        <v>1.6717344574351131E-2</v>
      </c>
      <c r="D153" s="105">
        <v>3.4447045368660799E-2</v>
      </c>
      <c r="E153" s="105">
        <v>8.4543973497323028E-3</v>
      </c>
      <c r="F153" s="105">
        <v>1.1098908083180746E-2</v>
      </c>
      <c r="G153" s="105">
        <v>2.5897545482755278E-2</v>
      </c>
      <c r="H153" s="105">
        <v>3.3235548734207934E-2</v>
      </c>
      <c r="I153" s="105">
        <v>5.2777241472784293E-2</v>
      </c>
      <c r="J153" s="105">
        <v>4.3150417332534503E-2</v>
      </c>
      <c r="K153" s="105">
        <v>1.7914346124368142E-2</v>
      </c>
      <c r="L153" s="105">
        <v>8.5271126765198348E-3</v>
      </c>
      <c r="M153" s="105">
        <v>0.23473248560316484</v>
      </c>
      <c r="N153" s="105">
        <v>1.3519490503073826E-2</v>
      </c>
      <c r="O153" s="105">
        <v>6.9303290728500028E-3</v>
      </c>
      <c r="P153" s="105">
        <v>5.3967559453698896E-2</v>
      </c>
      <c r="Q153" s="105">
        <v>3.5927749996227679E-2</v>
      </c>
      <c r="R153" s="105">
        <v>5.850656754132319E-2</v>
      </c>
      <c r="S153" s="105">
        <v>4.0122957790184231E-2</v>
      </c>
      <c r="T153" s="105">
        <v>7.3207852458239533E-2</v>
      </c>
      <c r="U153" s="105">
        <v>2.0541529030765913E-2</v>
      </c>
      <c r="V153" s="105">
        <v>2.2886744024183094E-2</v>
      </c>
      <c r="W153" s="105">
        <v>4.1568114427954647E-2</v>
      </c>
      <c r="X153" s="105">
        <v>1.4590166469157903E-2</v>
      </c>
      <c r="Y153" s="105">
        <v>2.7688364499060415E-2</v>
      </c>
      <c r="Z153" s="105">
        <v>0</v>
      </c>
      <c r="AA153" s="105">
        <v>0.10359018193102111</v>
      </c>
      <c r="AB153" s="7">
        <v>0</v>
      </c>
    </row>
    <row r="154" spans="1:28" x14ac:dyDescent="0.3">
      <c r="A154" t="s">
        <v>234</v>
      </c>
      <c r="B154" t="s">
        <v>23</v>
      </c>
      <c r="C154" s="105">
        <v>1.6717344574351135E-2</v>
      </c>
      <c r="D154" s="105">
        <v>3.4447045368660806E-2</v>
      </c>
      <c r="E154" s="105">
        <v>8.4543973497323028E-3</v>
      </c>
      <c r="F154" s="105">
        <v>1.1098908083180748E-2</v>
      </c>
      <c r="G154" s="105">
        <v>2.5897545482755278E-2</v>
      </c>
      <c r="H154" s="105">
        <v>3.3235548734207934E-2</v>
      </c>
      <c r="I154" s="105">
        <v>5.2777241472784307E-2</v>
      </c>
      <c r="J154" s="105">
        <v>4.3150417332534503E-2</v>
      </c>
      <c r="K154" s="105">
        <v>1.7914346124368142E-2</v>
      </c>
      <c r="L154" s="105">
        <v>8.5271126765198348E-3</v>
      </c>
      <c r="M154" s="105">
        <v>0.23473248560316456</v>
      </c>
      <c r="N154" s="105">
        <v>1.3519490503073826E-2</v>
      </c>
      <c r="O154" s="105">
        <v>6.9303290728500036E-3</v>
      </c>
      <c r="P154" s="105">
        <v>5.3967559453698896E-2</v>
      </c>
      <c r="Q154" s="105">
        <v>3.5927749996227679E-2</v>
      </c>
      <c r="R154" s="105">
        <v>5.850656754132319E-2</v>
      </c>
      <c r="S154" s="105">
        <v>4.0122957790184231E-2</v>
      </c>
      <c r="T154" s="105">
        <v>7.3207852458239533E-2</v>
      </c>
      <c r="U154" s="105">
        <v>2.0541529030765913E-2</v>
      </c>
      <c r="V154" s="105">
        <v>2.2886744024183094E-2</v>
      </c>
      <c r="W154" s="105">
        <v>4.1568114427954654E-2</v>
      </c>
      <c r="X154" s="105">
        <v>1.4590166469157905E-2</v>
      </c>
      <c r="Y154" s="105">
        <v>2.7688364499060415E-2</v>
      </c>
      <c r="Z154" s="105">
        <v>0</v>
      </c>
      <c r="AA154" s="105">
        <v>0.10359018193102111</v>
      </c>
      <c r="AB154" s="7">
        <v>0</v>
      </c>
    </row>
    <row r="155" spans="1:28" x14ac:dyDescent="0.3">
      <c r="A155" t="s">
        <v>234</v>
      </c>
      <c r="B155" t="s">
        <v>15</v>
      </c>
      <c r="C155" s="105">
        <v>1.6717344574351131E-2</v>
      </c>
      <c r="D155" s="105">
        <v>3.4447045368660806E-2</v>
      </c>
      <c r="E155" s="105">
        <v>8.4543973497323028E-3</v>
      </c>
      <c r="F155" s="105">
        <v>1.1098908083180748E-2</v>
      </c>
      <c r="G155" s="105">
        <v>2.5897545482755278E-2</v>
      </c>
      <c r="H155" s="105">
        <v>3.3235548734207934E-2</v>
      </c>
      <c r="I155" s="105">
        <v>5.2777241472784307E-2</v>
      </c>
      <c r="J155" s="105">
        <v>4.3150417332534496E-2</v>
      </c>
      <c r="K155" s="105">
        <v>1.7914346124368142E-2</v>
      </c>
      <c r="L155" s="105">
        <v>8.5271126765198348E-3</v>
      </c>
      <c r="M155" s="105">
        <v>0.22700159393304778</v>
      </c>
      <c r="N155" s="105">
        <v>1.3519490503073826E-2</v>
      </c>
      <c r="O155" s="105">
        <v>6.9303290728500028E-3</v>
      </c>
      <c r="P155" s="105">
        <v>5.3967559453698896E-2</v>
      </c>
      <c r="Q155" s="105">
        <v>3.5927749996227679E-2</v>
      </c>
      <c r="R155" s="105">
        <v>5.8506567541323197E-2</v>
      </c>
      <c r="S155" s="105">
        <v>4.0122957790184231E-2</v>
      </c>
      <c r="T155" s="105">
        <v>7.3207852458239533E-2</v>
      </c>
      <c r="U155" s="105">
        <v>2.0541529030765913E-2</v>
      </c>
      <c r="V155" s="105">
        <v>2.2886744024183097E-2</v>
      </c>
      <c r="W155" s="105">
        <v>4.1568114427954647E-2</v>
      </c>
      <c r="X155" s="105">
        <v>1.4590166469157905E-2</v>
      </c>
      <c r="Y155" s="105">
        <v>2.7688364499060418E-2</v>
      </c>
      <c r="Z155" s="105">
        <v>7.7308916701166446E-3</v>
      </c>
      <c r="AA155" s="105">
        <v>0.10359018193102111</v>
      </c>
      <c r="AB155" s="7">
        <v>0</v>
      </c>
    </row>
    <row r="156" spans="1:28" x14ac:dyDescent="0.3">
      <c r="A156" t="s">
        <v>234</v>
      </c>
      <c r="B156" t="s">
        <v>137</v>
      </c>
      <c r="C156" s="105">
        <v>0.15000066650241825</v>
      </c>
      <c r="D156" s="105">
        <v>3.4620638721371222E-2</v>
      </c>
      <c r="E156" s="105">
        <v>0</v>
      </c>
      <c r="F156" s="105">
        <v>1.1826015946448311E-3</v>
      </c>
      <c r="G156" s="105">
        <v>0</v>
      </c>
      <c r="H156" s="105">
        <v>2.9773029205960503E-4</v>
      </c>
      <c r="I156" s="105">
        <v>9.6170732135835418E-3</v>
      </c>
      <c r="J156" s="105">
        <v>0</v>
      </c>
      <c r="K156" s="105">
        <v>9.0984909072064444E-3</v>
      </c>
      <c r="L156" s="105">
        <v>4.8994925039118715E-3</v>
      </c>
      <c r="M156" s="105">
        <v>0.22225098753441677</v>
      </c>
      <c r="N156" s="105">
        <v>5.8900369867466454E-2</v>
      </c>
      <c r="O156" s="105">
        <v>0</v>
      </c>
      <c r="P156" s="105">
        <v>0.13336005540483767</v>
      </c>
      <c r="Q156" s="105">
        <v>0.18491380569499005</v>
      </c>
      <c r="R156" s="105">
        <v>6.1768749240295989E-2</v>
      </c>
      <c r="S156" s="105">
        <v>4.5723744813592976E-3</v>
      </c>
      <c r="T156" s="105">
        <v>4.3757107597307441E-3</v>
      </c>
      <c r="U156" s="105">
        <v>0</v>
      </c>
      <c r="V156" s="105">
        <v>8.0320233708380068E-2</v>
      </c>
      <c r="W156" s="105">
        <v>3.1011130656124698E-2</v>
      </c>
      <c r="X156" s="105">
        <v>8.809888917202538E-3</v>
      </c>
      <c r="Y156" s="105">
        <v>0</v>
      </c>
      <c r="Z156" s="105">
        <v>0</v>
      </c>
      <c r="AA156" s="105">
        <v>0</v>
      </c>
      <c r="AB156" s="7">
        <v>0</v>
      </c>
    </row>
    <row r="157" spans="1:28" x14ac:dyDescent="0.3">
      <c r="A157" t="s">
        <v>234</v>
      </c>
      <c r="B157" t="s">
        <v>138</v>
      </c>
      <c r="C157" s="105">
        <v>0.11000054172415269</v>
      </c>
      <c r="D157" s="105">
        <v>1.50947063046765E-2</v>
      </c>
      <c r="E157" s="105">
        <v>0</v>
      </c>
      <c r="F157" s="105">
        <v>3.3978170671085377E-2</v>
      </c>
      <c r="G157" s="105">
        <v>3.3180668337609215E-2</v>
      </c>
      <c r="H157" s="105">
        <v>0</v>
      </c>
      <c r="I157" s="105">
        <v>5.8476755021739393E-2</v>
      </c>
      <c r="J157" s="105">
        <v>3.6713794263788929E-2</v>
      </c>
      <c r="K157" s="105">
        <v>1.3962237008883846E-2</v>
      </c>
      <c r="L157" s="105">
        <v>0</v>
      </c>
      <c r="M157" s="105">
        <v>8.6050423776030241E-2</v>
      </c>
      <c r="N157" s="105">
        <v>9.607986941832844E-2</v>
      </c>
      <c r="O157" s="105">
        <v>0</v>
      </c>
      <c r="P157" s="105">
        <v>0.14347724565594069</v>
      </c>
      <c r="Q157" s="105">
        <v>6.7245594375207857E-2</v>
      </c>
      <c r="R157" s="105">
        <v>0</v>
      </c>
      <c r="S157" s="105">
        <v>9.4867325189457799E-3</v>
      </c>
      <c r="T157" s="105">
        <v>2.9403041247658621E-2</v>
      </c>
      <c r="U157" s="105">
        <v>0</v>
      </c>
      <c r="V157" s="105">
        <v>7.963188086544791E-2</v>
      </c>
      <c r="W157" s="105">
        <v>0.17571646350216033</v>
      </c>
      <c r="X157" s="105">
        <v>0</v>
      </c>
      <c r="Y157" s="105">
        <v>0</v>
      </c>
      <c r="Z157" s="105">
        <v>0</v>
      </c>
      <c r="AA157" s="105">
        <v>1.150187530834417E-2</v>
      </c>
      <c r="AB157" s="7">
        <v>0</v>
      </c>
    </row>
    <row r="158" spans="1:28" x14ac:dyDescent="0.3">
      <c r="A158" t="s">
        <v>234</v>
      </c>
      <c r="B158" t="s">
        <v>139</v>
      </c>
      <c r="C158" s="105">
        <v>9.1784215914925235E-2</v>
      </c>
      <c r="D158" s="105">
        <v>8.4572419237077548E-2</v>
      </c>
      <c r="E158" s="105">
        <v>0</v>
      </c>
      <c r="F158" s="105">
        <v>7.3463251204103899E-3</v>
      </c>
      <c r="G158" s="105">
        <v>1.8018216483219594E-4</v>
      </c>
      <c r="H158" s="105">
        <v>0.10201106807502114</v>
      </c>
      <c r="I158" s="105">
        <v>3.7279168783956283E-2</v>
      </c>
      <c r="J158" s="105">
        <v>1.8056530342641704E-2</v>
      </c>
      <c r="K158" s="105">
        <v>1.2761383284467232E-2</v>
      </c>
      <c r="L158" s="105">
        <v>1.4394371341450834E-2</v>
      </c>
      <c r="M158" s="105">
        <v>0.12321392293400396</v>
      </c>
      <c r="N158" s="105">
        <v>1.6717856348765263E-2</v>
      </c>
      <c r="O158" s="105">
        <v>7.2982537193428737E-3</v>
      </c>
      <c r="P158" s="105">
        <v>0.11502625932804852</v>
      </c>
      <c r="Q158" s="105">
        <v>9.4813538887186549E-2</v>
      </c>
      <c r="R158" s="105">
        <v>8.9117483534962863E-2</v>
      </c>
      <c r="S158" s="105">
        <v>6.11779616876217E-3</v>
      </c>
      <c r="T158" s="105">
        <v>6.9728105042492175E-2</v>
      </c>
      <c r="U158" s="105">
        <v>7.2982704372271329E-3</v>
      </c>
      <c r="V158" s="105">
        <v>2.4851712863692428E-2</v>
      </c>
      <c r="W158" s="105">
        <v>5.3332599378438768E-2</v>
      </c>
      <c r="X158" s="105">
        <v>6.934740506594113E-3</v>
      </c>
      <c r="Y158" s="105">
        <v>3.7697309658353711E-3</v>
      </c>
      <c r="Z158" s="105">
        <v>0</v>
      </c>
      <c r="AA158" s="105">
        <v>1.3394065619865071E-2</v>
      </c>
      <c r="AB158" s="7">
        <v>0</v>
      </c>
    </row>
    <row r="159" spans="1:28" x14ac:dyDescent="0.3">
      <c r="A159" t="s">
        <v>234</v>
      </c>
      <c r="B159" t="s">
        <v>307</v>
      </c>
      <c r="C159" s="105">
        <v>6.0291060291060204E-2</v>
      </c>
      <c r="D159" s="105">
        <v>8.3160083160082974E-3</v>
      </c>
      <c r="E159" s="105">
        <v>7.796257796257787E-2</v>
      </c>
      <c r="F159" s="105">
        <v>2.0790020790020753E-2</v>
      </c>
      <c r="G159" s="105">
        <v>5.1975051975051943E-3</v>
      </c>
      <c r="H159" s="105">
        <v>0.15072765072765024</v>
      </c>
      <c r="I159" s="105">
        <v>4.781704781704782E-2</v>
      </c>
      <c r="J159" s="105">
        <v>5.1975051975051909E-3</v>
      </c>
      <c r="K159" s="105">
        <v>5.1975051975051891E-3</v>
      </c>
      <c r="L159" s="105">
        <v>1.4033264033264036E-2</v>
      </c>
      <c r="M159" s="105">
        <v>9.3555093555093768E-2</v>
      </c>
      <c r="N159" s="105">
        <v>3.6382536382536509E-2</v>
      </c>
      <c r="O159" s="105">
        <v>6.7567567567567557E-2</v>
      </c>
      <c r="P159" s="105">
        <v>6.7567567567567557E-2</v>
      </c>
      <c r="Q159" s="105">
        <v>0.11226611226611227</v>
      </c>
      <c r="R159" s="105">
        <v>8.5239085239085424E-2</v>
      </c>
      <c r="S159" s="105">
        <v>7.796257796257788E-3</v>
      </c>
      <c r="T159" s="105">
        <v>3.6382536382536509E-2</v>
      </c>
      <c r="U159" s="105">
        <v>5.1975051975051943E-3</v>
      </c>
      <c r="V159" s="105">
        <v>7.2765072765073029E-3</v>
      </c>
      <c r="W159" s="105">
        <v>3.6382536382536509E-2</v>
      </c>
      <c r="X159" s="105">
        <v>3.6382536382536509E-2</v>
      </c>
      <c r="Y159" s="105">
        <v>7.2765072765072951E-3</v>
      </c>
      <c r="Z159" s="105">
        <v>-1.3877787807814442E-16</v>
      </c>
      <c r="AA159" s="105">
        <v>5.1975051975051917E-3</v>
      </c>
      <c r="AB159" s="7">
        <v>0</v>
      </c>
    </row>
    <row r="160" spans="1:28" x14ac:dyDescent="0.3">
      <c r="A160" t="s">
        <v>234</v>
      </c>
      <c r="B160" t="s">
        <v>308</v>
      </c>
      <c r="C160" s="105">
        <v>6.0291060291060267E-2</v>
      </c>
      <c r="D160" s="105">
        <v>8.3160083160083182E-3</v>
      </c>
      <c r="E160" s="105">
        <v>7.7962577962577842E-2</v>
      </c>
      <c r="F160" s="105">
        <v>2.0790020790020777E-2</v>
      </c>
      <c r="G160" s="105">
        <v>5.1975051975051987E-3</v>
      </c>
      <c r="H160" s="105">
        <v>0.15072765072765021</v>
      </c>
      <c r="I160" s="105">
        <v>4.7817047817047757E-2</v>
      </c>
      <c r="J160" s="105">
        <v>5.19750519750519E-3</v>
      </c>
      <c r="K160" s="105">
        <v>5.19750519750519E-3</v>
      </c>
      <c r="L160" s="105">
        <v>1.403326403326405E-2</v>
      </c>
      <c r="M160" s="105">
        <v>9.3555093555093657E-2</v>
      </c>
      <c r="N160" s="105">
        <v>3.6382536382536454E-2</v>
      </c>
      <c r="O160" s="105">
        <v>6.7567567567567682E-2</v>
      </c>
      <c r="P160" s="105">
        <v>6.7567567567567544E-2</v>
      </c>
      <c r="Q160" s="105">
        <v>0.11226611226611227</v>
      </c>
      <c r="R160" s="105">
        <v>8.523908523908541E-2</v>
      </c>
      <c r="S160" s="105">
        <v>7.7962577962577889E-3</v>
      </c>
      <c r="T160" s="105">
        <v>3.6382536382536503E-2</v>
      </c>
      <c r="U160" s="105">
        <v>5.1975051975051943E-3</v>
      </c>
      <c r="V160" s="105">
        <v>7.2765072765072969E-3</v>
      </c>
      <c r="W160" s="105">
        <v>3.6382536382536364E-2</v>
      </c>
      <c r="X160" s="105">
        <v>3.6382536382536503E-2</v>
      </c>
      <c r="Y160" s="105">
        <v>7.2765072765073021E-3</v>
      </c>
      <c r="Z160" s="105">
        <v>-1.3877787807814432E-16</v>
      </c>
      <c r="AA160" s="105">
        <v>5.1975051975051883E-3</v>
      </c>
      <c r="AB160" s="7">
        <v>0</v>
      </c>
    </row>
    <row r="161" spans="1:28" x14ac:dyDescent="0.3">
      <c r="A161" t="s">
        <v>234</v>
      </c>
      <c r="B161" t="s">
        <v>309</v>
      </c>
      <c r="C161" s="105">
        <v>6.0291060291060294E-2</v>
      </c>
      <c r="D161" s="105">
        <v>8.3160083160083425E-3</v>
      </c>
      <c r="E161" s="105">
        <v>7.7962577962577967E-2</v>
      </c>
      <c r="F161" s="105">
        <v>2.0790020790020809E-2</v>
      </c>
      <c r="G161" s="105">
        <v>5.1975051975052021E-3</v>
      </c>
      <c r="H161" s="105">
        <v>0.15072765072765079</v>
      </c>
      <c r="I161" s="105">
        <v>4.7817047817047729E-2</v>
      </c>
      <c r="J161" s="105">
        <v>5.1975051975052021E-3</v>
      </c>
      <c r="K161" s="105">
        <v>5.1975051975052021E-3</v>
      </c>
      <c r="L161" s="105">
        <v>1.4033264033264031E-2</v>
      </c>
      <c r="M161" s="105">
        <v>9.3555093555093741E-2</v>
      </c>
      <c r="N161" s="105">
        <v>3.6382536382536364E-2</v>
      </c>
      <c r="O161" s="105">
        <v>6.7567567567567668E-2</v>
      </c>
      <c r="P161" s="105">
        <v>6.7567567567567696E-2</v>
      </c>
      <c r="Q161" s="105">
        <v>0.11226611226611237</v>
      </c>
      <c r="R161" s="105">
        <v>8.5239085239085063E-2</v>
      </c>
      <c r="S161" s="105">
        <v>7.7962577962578166E-3</v>
      </c>
      <c r="T161" s="105">
        <v>3.6382536382536336E-2</v>
      </c>
      <c r="U161" s="105">
        <v>5.1975051975052039E-3</v>
      </c>
      <c r="V161" s="105">
        <v>7.276507276507283E-3</v>
      </c>
      <c r="W161" s="105">
        <v>3.6382536382536364E-2</v>
      </c>
      <c r="X161" s="105">
        <v>3.6382536382536364E-2</v>
      </c>
      <c r="Y161" s="105">
        <v>7.2765072765072865E-3</v>
      </c>
      <c r="Z161" s="105">
        <v>-1.3877787807814457E-16</v>
      </c>
      <c r="AA161" s="105">
        <v>5.1975051975052047E-3</v>
      </c>
      <c r="AB161" s="7">
        <v>0</v>
      </c>
    </row>
    <row r="162" spans="1:28" x14ac:dyDescent="0.3">
      <c r="A162" t="s">
        <v>234</v>
      </c>
      <c r="B162" t="s">
        <v>310</v>
      </c>
      <c r="C162" s="105">
        <v>6.0291060291060308E-2</v>
      </c>
      <c r="D162" s="105">
        <v>8.3160083160083147E-3</v>
      </c>
      <c r="E162" s="105">
        <v>7.7962577962577995E-2</v>
      </c>
      <c r="F162" s="105">
        <v>2.0790020790020802E-2</v>
      </c>
      <c r="G162" s="105">
        <v>5.1975051975052073E-3</v>
      </c>
      <c r="H162" s="105">
        <v>0.1507276507276506</v>
      </c>
      <c r="I162" s="105">
        <v>4.7817047817047841E-2</v>
      </c>
      <c r="J162" s="105">
        <v>5.1975051975051883E-3</v>
      </c>
      <c r="K162" s="105">
        <v>5.1975051975052004E-3</v>
      </c>
      <c r="L162" s="105">
        <v>1.4033264033264053E-2</v>
      </c>
      <c r="M162" s="105">
        <v>9.3555093555093574E-2</v>
      </c>
      <c r="N162" s="105">
        <v>3.6382536382536329E-2</v>
      </c>
      <c r="O162" s="105">
        <v>6.7567567567567613E-2</v>
      </c>
      <c r="P162" s="105">
        <v>6.7567567567567613E-2</v>
      </c>
      <c r="Q162" s="105">
        <v>0.1122661122661122</v>
      </c>
      <c r="R162" s="105">
        <v>8.5239085239085452E-2</v>
      </c>
      <c r="S162" s="105">
        <v>7.7962577962577976E-3</v>
      </c>
      <c r="T162" s="105">
        <v>3.6382536382536371E-2</v>
      </c>
      <c r="U162" s="105">
        <v>5.1975051975051995E-3</v>
      </c>
      <c r="V162" s="105">
        <v>7.2765072765072786E-3</v>
      </c>
      <c r="W162" s="105">
        <v>3.6382536382536378E-2</v>
      </c>
      <c r="X162" s="105">
        <v>3.6382536382536329E-2</v>
      </c>
      <c r="Y162" s="105">
        <v>7.2765072765072786E-3</v>
      </c>
      <c r="Z162" s="105">
        <v>-1.3877787807814432E-16</v>
      </c>
      <c r="AA162" s="105">
        <v>5.1975051975051969E-3</v>
      </c>
      <c r="AB162" s="7">
        <v>0</v>
      </c>
    </row>
    <row r="163" spans="1:28" x14ac:dyDescent="0.3">
      <c r="A163" t="s">
        <v>234</v>
      </c>
      <c r="B163" t="s">
        <v>311</v>
      </c>
      <c r="C163" s="105">
        <v>6.0291060291060398E-2</v>
      </c>
      <c r="D163" s="105">
        <v>8.3160083160083182E-3</v>
      </c>
      <c r="E163" s="105">
        <v>7.7962577962578106E-2</v>
      </c>
      <c r="F163" s="105">
        <v>2.0790020790020774E-2</v>
      </c>
      <c r="G163" s="105">
        <v>5.1975051975051909E-3</v>
      </c>
      <c r="H163" s="105">
        <v>0.15072765072765074</v>
      </c>
      <c r="I163" s="105">
        <v>4.7817047817047806E-2</v>
      </c>
      <c r="J163" s="105">
        <v>5.1975051975051935E-3</v>
      </c>
      <c r="K163" s="105">
        <v>5.197505197505203E-3</v>
      </c>
      <c r="L163" s="105">
        <v>1.4033264033264057E-2</v>
      </c>
      <c r="M163" s="105">
        <v>9.3555093555093671E-2</v>
      </c>
      <c r="N163" s="105">
        <v>3.638253638253635E-2</v>
      </c>
      <c r="O163" s="105">
        <v>6.756756756756746E-2</v>
      </c>
      <c r="P163" s="105">
        <v>6.7567567567567474E-2</v>
      </c>
      <c r="Q163" s="105">
        <v>0.11226611226611234</v>
      </c>
      <c r="R163" s="105">
        <v>8.523908523908523E-2</v>
      </c>
      <c r="S163" s="105">
        <v>7.7962577962578149E-3</v>
      </c>
      <c r="T163" s="105">
        <v>3.638253638253635E-2</v>
      </c>
      <c r="U163" s="105">
        <v>5.1975051975051935E-3</v>
      </c>
      <c r="V163" s="105">
        <v>7.2765072765072552E-3</v>
      </c>
      <c r="W163" s="105">
        <v>3.638253638253635E-2</v>
      </c>
      <c r="X163" s="105">
        <v>3.6382536382536364E-2</v>
      </c>
      <c r="Y163" s="105">
        <v>7.2765072765072552E-3</v>
      </c>
      <c r="Z163" s="105">
        <v>-1.3877787807814486E-16</v>
      </c>
      <c r="AA163" s="105">
        <v>5.1975051975051969E-3</v>
      </c>
      <c r="AB163" s="7">
        <v>0</v>
      </c>
    </row>
    <row r="164" spans="1:28" x14ac:dyDescent="0.3">
      <c r="A164" t="s">
        <v>234</v>
      </c>
      <c r="B164" t="s">
        <v>150</v>
      </c>
      <c r="C164" s="105">
        <v>6.0291060291060329E-2</v>
      </c>
      <c r="D164" s="105">
        <v>8.3160083160083251E-3</v>
      </c>
      <c r="E164" s="105">
        <v>7.7962577962578064E-2</v>
      </c>
      <c r="F164" s="105">
        <v>2.079002079002075E-2</v>
      </c>
      <c r="G164" s="105">
        <v>5.1975051975051987E-3</v>
      </c>
      <c r="H164" s="105">
        <v>0.1507276507276506</v>
      </c>
      <c r="I164" s="105">
        <v>4.7817047817047827E-2</v>
      </c>
      <c r="J164" s="105">
        <v>5.1975051975052039E-3</v>
      </c>
      <c r="K164" s="105">
        <v>5.1975051975051987E-3</v>
      </c>
      <c r="L164" s="105">
        <v>1.4033264033264055E-2</v>
      </c>
      <c r="M164" s="105">
        <v>9.3555093555093755E-2</v>
      </c>
      <c r="N164" s="105">
        <v>3.6382536382536398E-2</v>
      </c>
      <c r="O164" s="105">
        <v>6.7567567567567641E-2</v>
      </c>
      <c r="P164" s="105">
        <v>6.7567567567567766E-2</v>
      </c>
      <c r="Q164" s="105">
        <v>0.11226611226611244</v>
      </c>
      <c r="R164" s="105">
        <v>8.523908523908498E-2</v>
      </c>
      <c r="S164" s="105">
        <v>7.7962577962578244E-3</v>
      </c>
      <c r="T164" s="105">
        <v>3.6382536382536405E-2</v>
      </c>
      <c r="U164" s="105">
        <v>5.1975051975052004E-3</v>
      </c>
      <c r="V164" s="105">
        <v>7.2765072765072526E-3</v>
      </c>
      <c r="W164" s="105">
        <v>3.6382536382536405E-2</v>
      </c>
      <c r="X164" s="105">
        <v>3.6382536382536398E-2</v>
      </c>
      <c r="Y164" s="105">
        <v>7.2765072765072578E-3</v>
      </c>
      <c r="Z164" s="105">
        <v>-1.387778780781442E-16</v>
      </c>
      <c r="AA164" s="105">
        <v>5.1975051975051969E-3</v>
      </c>
      <c r="AB164" s="7">
        <v>0</v>
      </c>
    </row>
    <row r="165" spans="1:28" x14ac:dyDescent="0.3">
      <c r="A165" t="s">
        <v>234</v>
      </c>
      <c r="B165" t="s">
        <v>312</v>
      </c>
      <c r="C165" s="105">
        <v>6.0291060291060468E-2</v>
      </c>
      <c r="D165" s="105">
        <v>8.3160083160083199E-3</v>
      </c>
      <c r="E165" s="105">
        <v>7.796257796257805E-2</v>
      </c>
      <c r="F165" s="105">
        <v>2.0790020790020836E-2</v>
      </c>
      <c r="G165" s="105">
        <v>5.1975051975052047E-3</v>
      </c>
      <c r="H165" s="105">
        <v>0.15072765072765076</v>
      </c>
      <c r="I165" s="105">
        <v>4.7817047817047827E-2</v>
      </c>
      <c r="J165" s="105">
        <v>5.1975051975052047E-3</v>
      </c>
      <c r="K165" s="105">
        <v>5.1975051975052091E-3</v>
      </c>
      <c r="L165" s="105">
        <v>1.4033264033264041E-2</v>
      </c>
      <c r="M165" s="105">
        <v>9.3555093555093491E-2</v>
      </c>
      <c r="N165" s="105">
        <v>3.6382536382536433E-2</v>
      </c>
      <c r="O165" s="105">
        <v>6.756756756756746E-2</v>
      </c>
      <c r="P165" s="105">
        <v>6.7567567567567446E-2</v>
      </c>
      <c r="Q165" s="105">
        <v>0.11226611226611229</v>
      </c>
      <c r="R165" s="105">
        <v>8.5239085239085341E-2</v>
      </c>
      <c r="S165" s="105">
        <v>7.7962577962578149E-3</v>
      </c>
      <c r="T165" s="105">
        <v>3.6382536382536385E-2</v>
      </c>
      <c r="U165" s="105">
        <v>5.19750519750519E-3</v>
      </c>
      <c r="V165" s="105">
        <v>7.2765072765072917E-3</v>
      </c>
      <c r="W165" s="105">
        <v>3.6382536382536433E-2</v>
      </c>
      <c r="X165" s="105">
        <v>3.6382536382536364E-2</v>
      </c>
      <c r="Y165" s="105">
        <v>7.2765072765072891E-3</v>
      </c>
      <c r="Z165" s="105">
        <v>-1.3877787807814476E-16</v>
      </c>
      <c r="AA165" s="105">
        <v>5.1975051975052047E-3</v>
      </c>
      <c r="AB165" s="7">
        <v>0</v>
      </c>
    </row>
    <row r="166" spans="1:28" x14ac:dyDescent="0.3">
      <c r="A166" t="s">
        <v>234</v>
      </c>
      <c r="B166" t="s">
        <v>313</v>
      </c>
      <c r="C166" s="105">
        <v>6.0291060291060246E-2</v>
      </c>
      <c r="D166" s="105">
        <v>8.3160083160082887E-3</v>
      </c>
      <c r="E166" s="105">
        <v>7.7962577962577911E-2</v>
      </c>
      <c r="F166" s="105">
        <v>2.0790020790020812E-2</v>
      </c>
      <c r="G166" s="105">
        <v>5.1975051975051909E-3</v>
      </c>
      <c r="H166" s="105">
        <v>0.15072765072765101</v>
      </c>
      <c r="I166" s="105">
        <v>4.7817047817047854E-2</v>
      </c>
      <c r="J166" s="105">
        <v>5.1975051975051796E-3</v>
      </c>
      <c r="K166" s="105">
        <v>5.1975051975052021E-3</v>
      </c>
      <c r="L166" s="105">
        <v>1.4033264033264058E-2</v>
      </c>
      <c r="M166" s="105">
        <v>9.3555093555093394E-2</v>
      </c>
      <c r="N166" s="105">
        <v>3.6382536382536426E-2</v>
      </c>
      <c r="O166" s="105">
        <v>6.7567567567567544E-2</v>
      </c>
      <c r="P166" s="105">
        <v>6.756756756756753E-2</v>
      </c>
      <c r="Q166" s="105">
        <v>0.11226611226611249</v>
      </c>
      <c r="R166" s="105">
        <v>8.5239085239085272E-2</v>
      </c>
      <c r="S166" s="105">
        <v>7.7962577962577915E-3</v>
      </c>
      <c r="T166" s="105">
        <v>3.6382536382536385E-2</v>
      </c>
      <c r="U166" s="105">
        <v>5.1975051975051917E-3</v>
      </c>
      <c r="V166" s="105">
        <v>7.2765072765072821E-3</v>
      </c>
      <c r="W166" s="105">
        <v>3.6382536382536385E-2</v>
      </c>
      <c r="X166" s="105">
        <v>3.6382536382536329E-2</v>
      </c>
      <c r="Y166" s="105">
        <v>7.2765072765072674E-3</v>
      </c>
      <c r="Z166" s="105">
        <v>-1.3877787807814439E-16</v>
      </c>
      <c r="AA166" s="105">
        <v>5.1975051975051909E-3</v>
      </c>
      <c r="AB166" s="7">
        <v>0</v>
      </c>
    </row>
    <row r="167" spans="1:28" x14ac:dyDescent="0.3">
      <c r="A167" t="s">
        <v>234</v>
      </c>
      <c r="B167" t="s">
        <v>314</v>
      </c>
      <c r="C167" s="105">
        <v>6.0291060291060329E-2</v>
      </c>
      <c r="D167" s="105">
        <v>8.3160083160083009E-3</v>
      </c>
      <c r="E167" s="105">
        <v>7.7962577962577995E-2</v>
      </c>
      <c r="F167" s="105">
        <v>2.0790020790020791E-2</v>
      </c>
      <c r="G167" s="105">
        <v>5.1975051975051978E-3</v>
      </c>
      <c r="H167" s="105">
        <v>0.15072765072765107</v>
      </c>
      <c r="I167" s="105">
        <v>4.7817047817047792E-2</v>
      </c>
      <c r="J167" s="105">
        <v>5.1975051975052047E-3</v>
      </c>
      <c r="K167" s="105">
        <v>5.1975051975051909E-3</v>
      </c>
      <c r="L167" s="105">
        <v>1.4033264033264041E-2</v>
      </c>
      <c r="M167" s="105">
        <v>9.3555093555093241E-2</v>
      </c>
      <c r="N167" s="105">
        <v>3.6382536382536454E-2</v>
      </c>
      <c r="O167" s="105">
        <v>6.756756756756746E-2</v>
      </c>
      <c r="P167" s="105">
        <v>6.7567567567567488E-2</v>
      </c>
      <c r="Q167" s="105">
        <v>0.1122661122661123</v>
      </c>
      <c r="R167" s="105">
        <v>8.5239085239085091E-2</v>
      </c>
      <c r="S167" s="105">
        <v>7.7962577962577819E-3</v>
      </c>
      <c r="T167" s="105">
        <v>3.6382536382536419E-2</v>
      </c>
      <c r="U167" s="105">
        <v>5.1975051975052013E-3</v>
      </c>
      <c r="V167" s="105">
        <v>7.2765072765072743E-3</v>
      </c>
      <c r="W167" s="105">
        <v>3.6382536382536447E-2</v>
      </c>
      <c r="X167" s="105">
        <v>3.6382536382536454E-2</v>
      </c>
      <c r="Y167" s="105">
        <v>7.276507276507276E-3</v>
      </c>
      <c r="Z167" s="105">
        <v>-1.3877787807814472E-16</v>
      </c>
      <c r="AA167" s="105">
        <v>5.1975051975051978E-3</v>
      </c>
      <c r="AB167" s="7">
        <v>0</v>
      </c>
    </row>
    <row r="168" spans="1:28" x14ac:dyDescent="0.3">
      <c r="A168" t="s">
        <v>234</v>
      </c>
      <c r="B168" t="s">
        <v>144</v>
      </c>
      <c r="C168" s="106">
        <v>3.9136666356062583E-2</v>
      </c>
      <c r="D168" s="106">
        <v>4.5887162430215692E-2</v>
      </c>
      <c r="E168" s="106">
        <v>1.6944032517201932E-2</v>
      </c>
      <c r="F168" s="106">
        <v>1.9614729838749411E-2</v>
      </c>
      <c r="G168" s="106">
        <v>5.1190544950680116E-2</v>
      </c>
      <c r="H168" s="106">
        <v>7.8266475088618462E-2</v>
      </c>
      <c r="I168" s="106">
        <v>1.813960584414483E-2</v>
      </c>
      <c r="J168" s="106">
        <v>1.0363139792280084E-2</v>
      </c>
      <c r="K168" s="106">
        <v>4.0398127983637962E-2</v>
      </c>
      <c r="L168" s="106">
        <v>5.2386204155007603E-2</v>
      </c>
      <c r="M168" s="106">
        <v>8.3222910570922085E-2</v>
      </c>
      <c r="N168" s="106">
        <v>2.7777292884143302E-2</v>
      </c>
      <c r="O168" s="106">
        <v>1.5391129403455489E-2</v>
      </c>
      <c r="P168" s="106">
        <v>4.9702378177047889E-2</v>
      </c>
      <c r="Q168" s="106">
        <v>7.2412473481721112E-2</v>
      </c>
      <c r="R168" s="106">
        <v>7.6565854763630384E-2</v>
      </c>
      <c r="S168" s="106">
        <v>4.9548525854927654E-3</v>
      </c>
      <c r="T168" s="106">
        <v>8.6830511949679653E-2</v>
      </c>
      <c r="U168" s="106">
        <v>2.1559927981077493E-2</v>
      </c>
      <c r="V168" s="106">
        <v>1.9422332105916804E-2</v>
      </c>
      <c r="W168" s="106">
        <v>5.4461497620297027E-2</v>
      </c>
      <c r="X168" s="106">
        <v>2.7237248204434131E-2</v>
      </c>
      <c r="Y168" s="106">
        <v>7.1778910239034543E-2</v>
      </c>
      <c r="Z168" s="106">
        <v>0</v>
      </c>
      <c r="AA168" s="106">
        <v>1.6355991076548847E-2</v>
      </c>
      <c r="AB168" s="7">
        <v>0</v>
      </c>
    </row>
    <row r="169" spans="1:28" x14ac:dyDescent="0.3">
      <c r="A169" t="s">
        <v>234</v>
      </c>
      <c r="B169" t="s">
        <v>142</v>
      </c>
      <c r="C169" s="106">
        <v>3.9136666356062583E-2</v>
      </c>
      <c r="D169" s="106">
        <v>4.5887162430215692E-2</v>
      </c>
      <c r="E169" s="106">
        <v>1.6944032517201932E-2</v>
      </c>
      <c r="F169" s="106">
        <v>1.9614729838749411E-2</v>
      </c>
      <c r="G169" s="106">
        <v>5.1190544950680116E-2</v>
      </c>
      <c r="H169" s="106">
        <v>7.8266475088618462E-2</v>
      </c>
      <c r="I169" s="106">
        <v>1.813960584414483E-2</v>
      </c>
      <c r="J169" s="106">
        <v>1.0363139792280084E-2</v>
      </c>
      <c r="K169" s="106">
        <v>4.0398127983637962E-2</v>
      </c>
      <c r="L169" s="106">
        <v>5.2386204155007603E-2</v>
      </c>
      <c r="M169" s="106">
        <v>8.3222910570922085E-2</v>
      </c>
      <c r="N169" s="106">
        <v>2.7777292884143302E-2</v>
      </c>
      <c r="O169" s="106">
        <v>1.5391129403455489E-2</v>
      </c>
      <c r="P169" s="106">
        <v>4.9702378177047889E-2</v>
      </c>
      <c r="Q169" s="106">
        <v>7.2412473481721112E-2</v>
      </c>
      <c r="R169" s="106">
        <v>7.6565854763630384E-2</v>
      </c>
      <c r="S169" s="106">
        <v>4.9548525854927654E-3</v>
      </c>
      <c r="T169" s="106">
        <v>8.6830511949679653E-2</v>
      </c>
      <c r="U169" s="106">
        <v>2.1559927981077493E-2</v>
      </c>
      <c r="V169" s="106">
        <v>1.9422332105916804E-2</v>
      </c>
      <c r="W169" s="106">
        <v>5.4461497620297027E-2</v>
      </c>
      <c r="X169" s="106">
        <v>2.7237248204434131E-2</v>
      </c>
      <c r="Y169" s="106">
        <v>7.1778910239034543E-2</v>
      </c>
      <c r="Z169" s="106">
        <v>0</v>
      </c>
      <c r="AA169" s="106">
        <v>1.6355991076548847E-2</v>
      </c>
      <c r="AB169" s="7">
        <v>0</v>
      </c>
    </row>
    <row r="170" spans="1:28" x14ac:dyDescent="0.3">
      <c r="A170" t="s">
        <v>234</v>
      </c>
      <c r="B170" t="s">
        <v>315</v>
      </c>
      <c r="C170" s="106">
        <v>3.9136666356062583E-2</v>
      </c>
      <c r="D170" s="106">
        <v>4.5887162430215692E-2</v>
      </c>
      <c r="E170" s="106">
        <v>1.6944032517201932E-2</v>
      </c>
      <c r="F170" s="106">
        <v>1.9614729838749411E-2</v>
      </c>
      <c r="G170" s="106">
        <v>5.1190544950680116E-2</v>
      </c>
      <c r="H170" s="106">
        <v>7.8266475088618462E-2</v>
      </c>
      <c r="I170" s="106">
        <v>1.813960584414483E-2</v>
      </c>
      <c r="J170" s="106">
        <v>1.0363139792280084E-2</v>
      </c>
      <c r="K170" s="106">
        <v>4.0398127983637962E-2</v>
      </c>
      <c r="L170" s="106">
        <v>5.2386204155007603E-2</v>
      </c>
      <c r="M170" s="106">
        <v>8.3222910570922085E-2</v>
      </c>
      <c r="N170" s="106">
        <v>2.7777292884143302E-2</v>
      </c>
      <c r="O170" s="106">
        <v>1.5391129403455489E-2</v>
      </c>
      <c r="P170" s="106">
        <v>4.9702378177047889E-2</v>
      </c>
      <c r="Q170" s="106">
        <v>7.2412473481721112E-2</v>
      </c>
      <c r="R170" s="106">
        <v>7.6565854763630384E-2</v>
      </c>
      <c r="S170" s="106">
        <v>4.9548525854927654E-3</v>
      </c>
      <c r="T170" s="106">
        <v>8.6830511949679653E-2</v>
      </c>
      <c r="U170" s="106">
        <v>2.1559927981077493E-2</v>
      </c>
      <c r="V170" s="106">
        <v>1.9422332105916804E-2</v>
      </c>
      <c r="W170" s="106">
        <v>5.4461497620297027E-2</v>
      </c>
      <c r="X170" s="106">
        <v>2.7237248204434131E-2</v>
      </c>
      <c r="Y170" s="106">
        <v>7.1778910239034543E-2</v>
      </c>
      <c r="Z170" s="106">
        <v>0</v>
      </c>
      <c r="AA170" s="106">
        <v>1.6355991076548847E-2</v>
      </c>
      <c r="AB170" s="7">
        <v>0</v>
      </c>
    </row>
    <row r="171" spans="1:28" x14ac:dyDescent="0.3">
      <c r="A171" t="s">
        <v>234</v>
      </c>
      <c r="B171" t="s">
        <v>146</v>
      </c>
      <c r="C171" s="106">
        <v>3.9136666356062583E-2</v>
      </c>
      <c r="D171" s="106">
        <v>4.5887162430215692E-2</v>
      </c>
      <c r="E171" s="106">
        <v>1.6944032517201932E-2</v>
      </c>
      <c r="F171" s="106">
        <v>1.9614729838749411E-2</v>
      </c>
      <c r="G171" s="106">
        <v>5.1190544950680116E-2</v>
      </c>
      <c r="H171" s="106">
        <v>7.8266475088618462E-2</v>
      </c>
      <c r="I171" s="106">
        <v>1.813960584414483E-2</v>
      </c>
      <c r="J171" s="106">
        <v>1.0363139792280084E-2</v>
      </c>
      <c r="K171" s="106">
        <v>4.0398127983637962E-2</v>
      </c>
      <c r="L171" s="106">
        <v>5.2386204155007603E-2</v>
      </c>
      <c r="M171" s="106">
        <v>8.3222910570922085E-2</v>
      </c>
      <c r="N171" s="106">
        <v>2.7777292884143302E-2</v>
      </c>
      <c r="O171" s="106">
        <v>1.5391129403455489E-2</v>
      </c>
      <c r="P171" s="106">
        <v>4.9702378177047889E-2</v>
      </c>
      <c r="Q171" s="106">
        <v>7.2412473481721112E-2</v>
      </c>
      <c r="R171" s="106">
        <v>7.6565854763630384E-2</v>
      </c>
      <c r="S171" s="106">
        <v>4.9548525854927654E-3</v>
      </c>
      <c r="T171" s="106">
        <v>8.6830511949679653E-2</v>
      </c>
      <c r="U171" s="106">
        <v>2.1559927981077493E-2</v>
      </c>
      <c r="V171" s="106">
        <v>1.9422332105916804E-2</v>
      </c>
      <c r="W171" s="106">
        <v>5.4461497620297027E-2</v>
      </c>
      <c r="X171" s="106">
        <v>2.7237248204434131E-2</v>
      </c>
      <c r="Y171" s="106">
        <v>7.1778910239034543E-2</v>
      </c>
      <c r="Z171" s="106">
        <v>0</v>
      </c>
      <c r="AA171" s="106">
        <v>1.6355991076548847E-2</v>
      </c>
      <c r="AB171" s="7">
        <v>0</v>
      </c>
    </row>
    <row r="172" spans="1:28" x14ac:dyDescent="0.3">
      <c r="A172" t="s">
        <v>234</v>
      </c>
      <c r="B172" t="s">
        <v>148</v>
      </c>
      <c r="C172" s="106">
        <v>3.9136666356062583E-2</v>
      </c>
      <c r="D172" s="106">
        <v>4.5887162430215692E-2</v>
      </c>
      <c r="E172" s="106">
        <v>1.6944032517201932E-2</v>
      </c>
      <c r="F172" s="106">
        <v>1.9614729838749411E-2</v>
      </c>
      <c r="G172" s="106">
        <v>5.1190544950680116E-2</v>
      </c>
      <c r="H172" s="106">
        <v>7.8266475088618462E-2</v>
      </c>
      <c r="I172" s="106">
        <v>1.813960584414483E-2</v>
      </c>
      <c r="J172" s="106">
        <v>1.0363139792280084E-2</v>
      </c>
      <c r="K172" s="106">
        <v>4.0398127983637962E-2</v>
      </c>
      <c r="L172" s="106">
        <v>5.2386204155007603E-2</v>
      </c>
      <c r="M172" s="106">
        <v>8.3222910570922085E-2</v>
      </c>
      <c r="N172" s="106">
        <v>2.7777292884143302E-2</v>
      </c>
      <c r="O172" s="106">
        <v>1.5391129403455489E-2</v>
      </c>
      <c r="P172" s="106">
        <v>4.9702378177047889E-2</v>
      </c>
      <c r="Q172" s="106">
        <v>7.2412473481721112E-2</v>
      </c>
      <c r="R172" s="106">
        <v>7.6565854763630384E-2</v>
      </c>
      <c r="S172" s="106">
        <v>4.9548525854927654E-3</v>
      </c>
      <c r="T172" s="106">
        <v>8.6830511949679653E-2</v>
      </c>
      <c r="U172" s="106">
        <v>2.1559927981077493E-2</v>
      </c>
      <c r="V172" s="106">
        <v>1.9422332105916804E-2</v>
      </c>
      <c r="W172" s="106">
        <v>5.4461497620297027E-2</v>
      </c>
      <c r="X172" s="106">
        <v>2.7237248204434131E-2</v>
      </c>
      <c r="Y172" s="106">
        <v>7.1778910239034543E-2</v>
      </c>
      <c r="Z172" s="106">
        <v>0</v>
      </c>
      <c r="AA172" s="106">
        <v>1.6355991076548847E-2</v>
      </c>
      <c r="AB172" s="7">
        <v>0</v>
      </c>
    </row>
    <row r="173" spans="1:28" x14ac:dyDescent="0.3">
      <c r="A173" t="s">
        <v>234</v>
      </c>
      <c r="B173" t="s">
        <v>316</v>
      </c>
      <c r="C173" s="106">
        <v>3.9136666356062583E-2</v>
      </c>
      <c r="D173" s="106">
        <v>4.5887162430215692E-2</v>
      </c>
      <c r="E173" s="106">
        <v>1.6944032517201932E-2</v>
      </c>
      <c r="F173" s="106">
        <v>1.9614729838749411E-2</v>
      </c>
      <c r="G173" s="106">
        <v>5.1190544950680116E-2</v>
      </c>
      <c r="H173" s="106">
        <v>7.8266475088618462E-2</v>
      </c>
      <c r="I173" s="106">
        <v>1.813960584414483E-2</v>
      </c>
      <c r="J173" s="106">
        <v>1.0363139792280084E-2</v>
      </c>
      <c r="K173" s="106">
        <v>4.0398127983637962E-2</v>
      </c>
      <c r="L173" s="106">
        <v>5.2386204155007603E-2</v>
      </c>
      <c r="M173" s="106">
        <v>8.3222910570922085E-2</v>
      </c>
      <c r="N173" s="106">
        <v>2.7777292884143302E-2</v>
      </c>
      <c r="O173" s="106">
        <v>1.5391129403455489E-2</v>
      </c>
      <c r="P173" s="106">
        <v>4.9702378177047889E-2</v>
      </c>
      <c r="Q173" s="106">
        <v>7.2412473481721112E-2</v>
      </c>
      <c r="R173" s="106">
        <v>7.6565854763630384E-2</v>
      </c>
      <c r="S173" s="106">
        <v>4.9548525854927654E-3</v>
      </c>
      <c r="T173" s="106">
        <v>8.6830511949679653E-2</v>
      </c>
      <c r="U173" s="106">
        <v>2.1559927981077493E-2</v>
      </c>
      <c r="V173" s="106">
        <v>1.9422332105916804E-2</v>
      </c>
      <c r="W173" s="106">
        <v>5.4461497620297027E-2</v>
      </c>
      <c r="X173" s="106">
        <v>2.7237248204434131E-2</v>
      </c>
      <c r="Y173" s="106">
        <v>7.1778910239034543E-2</v>
      </c>
      <c r="Z173" s="106">
        <v>0</v>
      </c>
      <c r="AA173" s="106">
        <v>1.6355991076548847E-2</v>
      </c>
      <c r="AB173" s="7">
        <v>0</v>
      </c>
    </row>
  </sheetData>
  <conditionalFormatting sqref="C51:Y51 AB49:AB50 AB52 AA51:AB51 C45:Y48 AA45:AB48 Z45:Z94 Z102 Z107 Z109:Z126 C2:AB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Бурукин Сергей Евгеньевич</dc:creator>
  <cp:lastModifiedBy>Иванов Данила Владимирович</cp:lastModifiedBy>
  <dcterms:created xsi:type="dcterms:W3CDTF">2026-03-27T09:04:07Z</dcterms:created>
  <dcterms:modified xsi:type="dcterms:W3CDTF">2026-04-01T21:51:53Z</dcterms:modified>
</cp:coreProperties>
</file>