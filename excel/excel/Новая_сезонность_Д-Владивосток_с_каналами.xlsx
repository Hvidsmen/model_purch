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Владивосток 1q\"/>
    </mc:Choice>
  </mc:AlternateContent>
  <xr:revisionPtr revIDLastSave="0" documentId="8_{9D3ADCFB-64E6-4158-A5B6-B044880E22A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Лист1" sheetId="2" r:id="rId1"/>
    <sheet name="Лист3" sheetId="4" r:id="rId2"/>
    <sheet name="Загрузка" sheetId="3" r:id="rId3"/>
  </sheets>
  <definedNames>
    <definedName name="_xlnm._FilterDatabase" localSheetId="0" hidden="1">Лист1!$T$4:$V$111</definedName>
  </definedNames>
  <calcPr calcId="191029"/>
  <pivotCaches>
    <pivotCache cacheId="13" r:id="rId4"/>
  </pivotCaches>
</workbook>
</file>

<file path=xl/calcChain.xml><?xml version="1.0" encoding="utf-8"?>
<calcChain xmlns="http://schemas.openxmlformats.org/spreadsheetml/2006/main">
  <c r="AL5" i="2" l="1"/>
  <c r="AL15" i="2" l="1"/>
  <c r="AM15" i="2"/>
  <c r="AN15" i="2"/>
  <c r="AO15" i="2"/>
  <c r="AP15" i="2"/>
  <c r="AQ15" i="2"/>
  <c r="AR15" i="2"/>
  <c r="AS15" i="2"/>
  <c r="AT15" i="2"/>
  <c r="AU15" i="2"/>
  <c r="AV15" i="2"/>
  <c r="AW15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L6" i="2"/>
  <c r="AM6" i="2"/>
  <c r="AN6" i="2"/>
  <c r="AO6" i="2"/>
  <c r="AP6" i="2"/>
  <c r="AQ6" i="2"/>
  <c r="AR6" i="2"/>
  <c r="AS6" i="2"/>
  <c r="AT6" i="2"/>
  <c r="AU6" i="2"/>
  <c r="AV6" i="2"/>
  <c r="AW6" i="2"/>
  <c r="AL7" i="2"/>
  <c r="AM7" i="2"/>
  <c r="AN7" i="2"/>
  <c r="AO7" i="2"/>
  <c r="AP7" i="2"/>
  <c r="AQ7" i="2"/>
  <c r="AR7" i="2"/>
  <c r="AS7" i="2"/>
  <c r="AT7" i="2"/>
  <c r="AU7" i="2"/>
  <c r="AV7" i="2"/>
  <c r="AW7" i="2"/>
  <c r="AL8" i="2"/>
  <c r="AM8" i="2"/>
  <c r="AN8" i="2"/>
  <c r="AO8" i="2"/>
  <c r="AP8" i="2"/>
  <c r="AQ8" i="2"/>
  <c r="AR8" i="2"/>
  <c r="AS8" i="2"/>
  <c r="AT8" i="2"/>
  <c r="AU8" i="2"/>
  <c r="AV8" i="2"/>
  <c r="AW8" i="2"/>
  <c r="AL9" i="2"/>
  <c r="AM9" i="2"/>
  <c r="AN9" i="2"/>
  <c r="AO9" i="2"/>
  <c r="AP9" i="2"/>
  <c r="AQ9" i="2"/>
  <c r="AR9" i="2"/>
  <c r="AS9" i="2"/>
  <c r="AT9" i="2"/>
  <c r="AU9" i="2"/>
  <c r="AV9" i="2"/>
  <c r="AW9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M5" i="2"/>
  <c r="AN5" i="2"/>
  <c r="AO5" i="2"/>
  <c r="AP5" i="2"/>
  <c r="AQ5" i="2"/>
  <c r="AR5" i="2"/>
  <c r="AS5" i="2"/>
  <c r="AT5" i="2"/>
  <c r="AU5" i="2"/>
  <c r="AV5" i="2"/>
  <c r="AW5" i="2"/>
  <c r="P6" i="2" l="1"/>
  <c r="P7" i="2"/>
  <c r="P8" i="2"/>
  <c r="P9" i="2"/>
  <c r="P10" i="2"/>
  <c r="P11" i="2"/>
  <c r="P12" i="2"/>
  <c r="P13" i="2"/>
  <c r="P14" i="2"/>
  <c r="AJ14" i="2" s="1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AJ38" i="2" s="1"/>
  <c r="P39" i="2"/>
  <c r="P40" i="2"/>
  <c r="P41" i="2"/>
  <c r="P42" i="2"/>
  <c r="P43" i="2"/>
  <c r="P44" i="2"/>
  <c r="P45" i="2"/>
  <c r="P46" i="2"/>
  <c r="AJ46" i="2" s="1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AJ106" i="2" s="1"/>
  <c r="P107" i="2"/>
  <c r="P108" i="2"/>
  <c r="P109" i="2"/>
  <c r="P110" i="2"/>
  <c r="P111" i="2"/>
  <c r="AJ26" i="2"/>
  <c r="AJ70" i="2"/>
  <c r="P5" i="2"/>
  <c r="AH2" i="2"/>
  <c r="AG2" i="2"/>
  <c r="AF2" i="2"/>
  <c r="AE2" i="2"/>
  <c r="AD2" i="2"/>
  <c r="AC2" i="2"/>
  <c r="AB2" i="2"/>
  <c r="AA2" i="2"/>
  <c r="Z2" i="2"/>
  <c r="Y2" i="2"/>
  <c r="X2" i="2"/>
  <c r="W2" i="2"/>
  <c r="AH1" i="2"/>
  <c r="AG1" i="2"/>
  <c r="AF1" i="2"/>
  <c r="AE1" i="2"/>
  <c r="AD1" i="2"/>
  <c r="AC1" i="2"/>
  <c r="AB1" i="2"/>
  <c r="AA1" i="2"/>
  <c r="Z1" i="2"/>
  <c r="Y1" i="2"/>
  <c r="X1" i="2"/>
  <c r="W1" i="2"/>
  <c r="O2" i="2"/>
  <c r="N2" i="2"/>
  <c r="M2" i="2"/>
  <c r="L2" i="2"/>
  <c r="K2" i="2"/>
  <c r="J2" i="2"/>
  <c r="I2" i="2"/>
  <c r="H2" i="2"/>
  <c r="G2" i="2"/>
  <c r="F2" i="2"/>
  <c r="E2" i="2"/>
  <c r="D2" i="2"/>
  <c r="E1" i="2"/>
  <c r="F1" i="2"/>
  <c r="G1" i="2"/>
  <c r="H1" i="2"/>
  <c r="I1" i="2"/>
  <c r="J1" i="2"/>
  <c r="K1" i="2"/>
  <c r="L1" i="2"/>
  <c r="M1" i="2"/>
  <c r="N1" i="2"/>
  <c r="O1" i="2"/>
  <c r="D1" i="2"/>
  <c r="AJ109" i="2" l="1"/>
  <c r="AJ105" i="2"/>
  <c r="AJ101" i="2"/>
  <c r="AJ97" i="2"/>
  <c r="AJ93" i="2"/>
  <c r="AJ89" i="2"/>
  <c r="AJ85" i="2"/>
  <c r="AJ81" i="2"/>
  <c r="AJ77" i="2"/>
  <c r="AJ73" i="2"/>
  <c r="AJ69" i="2"/>
  <c r="AJ65" i="2"/>
  <c r="AJ61" i="2"/>
  <c r="AJ57" i="2"/>
  <c r="AJ53" i="2"/>
  <c r="AJ49" i="2"/>
  <c r="AJ45" i="2"/>
  <c r="AJ41" i="2"/>
  <c r="AJ37" i="2"/>
  <c r="AJ33" i="2"/>
  <c r="AJ29" i="2"/>
  <c r="AJ25" i="2"/>
  <c r="AJ21" i="2"/>
  <c r="AJ17" i="2"/>
  <c r="AJ13" i="2"/>
  <c r="AJ9" i="2"/>
  <c r="AJ108" i="2"/>
  <c r="AJ104" i="2"/>
  <c r="AJ100" i="2"/>
  <c r="AJ96" i="2"/>
  <c r="AJ92" i="2"/>
  <c r="AJ88" i="2"/>
  <c r="AJ84" i="2"/>
  <c r="AJ80" i="2"/>
  <c r="AJ76" i="2"/>
  <c r="AJ72" i="2"/>
  <c r="AJ68" i="2"/>
  <c r="AJ64" i="2"/>
  <c r="AJ60" i="2"/>
  <c r="AJ56" i="2"/>
  <c r="AJ52" i="2"/>
  <c r="AJ48" i="2"/>
  <c r="AJ44" i="2"/>
  <c r="AJ40" i="2"/>
  <c r="AJ36" i="2"/>
  <c r="AJ32" i="2"/>
  <c r="AJ28" i="2"/>
  <c r="AJ24" i="2"/>
  <c r="AJ20" i="2"/>
  <c r="AJ16" i="2"/>
  <c r="AJ12" i="2"/>
  <c r="AJ8" i="2"/>
  <c r="AJ5" i="2"/>
  <c r="AJ111" i="2"/>
  <c r="AJ107" i="2"/>
  <c r="AJ103" i="2"/>
  <c r="AJ99" i="2"/>
  <c r="AJ95" i="2"/>
  <c r="AJ91" i="2"/>
  <c r="AJ87" i="2"/>
  <c r="AJ83" i="2"/>
  <c r="AJ79" i="2"/>
  <c r="AJ75" i="2"/>
  <c r="AJ71" i="2"/>
  <c r="AJ67" i="2"/>
  <c r="AJ63" i="2"/>
  <c r="AJ59" i="2"/>
  <c r="AJ55" i="2"/>
  <c r="AJ51" i="2"/>
  <c r="AJ47" i="2"/>
  <c r="AJ43" i="2"/>
  <c r="AJ39" i="2"/>
  <c r="AJ35" i="2"/>
  <c r="AJ31" i="2"/>
  <c r="AJ27" i="2"/>
  <c r="AJ23" i="2"/>
  <c r="AJ19" i="2"/>
  <c r="AJ15" i="2"/>
  <c r="AJ11" i="2"/>
  <c r="AJ7" i="2"/>
  <c r="AJ110" i="2"/>
  <c r="AJ102" i="2"/>
  <c r="AJ98" i="2"/>
  <c r="AJ94" i="2"/>
  <c r="AJ90" i="2"/>
  <c r="AJ86" i="2"/>
  <c r="AJ82" i="2"/>
  <c r="AJ78" i="2"/>
  <c r="AJ74" i="2"/>
  <c r="AJ66" i="2"/>
  <c r="AJ62" i="2"/>
  <c r="AJ58" i="2"/>
  <c r="AJ54" i="2"/>
  <c r="AJ50" i="2"/>
  <c r="AJ42" i="2"/>
  <c r="AJ34" i="2"/>
  <c r="AJ30" i="2"/>
  <c r="AJ22" i="2"/>
  <c r="AJ18" i="2"/>
  <c r="AJ10" i="2"/>
  <c r="AJ6" i="2"/>
  <c r="AI1" i="2"/>
  <c r="AI2" i="2"/>
  <c r="P2" i="2"/>
  <c r="P1" i="2"/>
  <c r="Q1" i="2" l="1"/>
  <c r="AJ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A5471-E637-4160-9E08-0C75C38DE1C0}" odcFile="C:\Users\divanov\Documents\Мои источники данных\vm-bi План факт План-факт-сток.odc" keepAlive="1" name="vm-bi План факт План-факт-сток" type="5" refreshedVersion="8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</connections>
</file>

<file path=xl/sharedStrings.xml><?xml version="1.0" encoding="utf-8"?>
<sst xmlns="http://schemas.openxmlformats.org/spreadsheetml/2006/main" count="1100" uniqueCount="144">
  <si>
    <t>филиал</t>
  </si>
  <si>
    <t>товар</t>
  </si>
  <si>
    <t>группа планов</t>
  </si>
  <si>
    <t>янв</t>
  </si>
  <si>
    <t>PG_Kent LCAC (o/f-0)</t>
  </si>
  <si>
    <t>1. RAC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</si>
  <si>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</si>
  <si>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</si>
  <si>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</si>
  <si>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</si>
  <si>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</si>
  <si>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</si>
  <si>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</si>
  <si>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</si>
  <si>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</si>
  <si>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</si>
  <si>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</si>
  <si>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PG_Daichi DFT 2026</t>
  </si>
  <si>
    <t>2. VRF</t>
  </si>
  <si>
    <t>PG_VRF Daikin</t>
  </si>
  <si>
    <t>PG_VRF_Kentatsu</t>
  </si>
  <si>
    <t>PG_VRF_Midea</t>
  </si>
  <si>
    <t>PG_ACC_VRF</t>
  </si>
  <si>
    <t>2. VRF ACC</t>
  </si>
  <si>
    <t>PG_Chillers Daikin</t>
  </si>
  <si>
    <t>3. PROF</t>
  </si>
  <si>
    <t>Д-Владивосток</t>
  </si>
  <si>
    <t>Д-Хабаровск</t>
  </si>
  <si>
    <t>PG_Chillers Kentatsu</t>
  </si>
  <si>
    <t>PG_Chillers MIDEA</t>
  </si>
  <si>
    <t>PG_Fancoils KENTATSU</t>
  </si>
  <si>
    <t>PG_Packaged MIDEA</t>
  </si>
  <si>
    <t>PG_ACC_PROF</t>
  </si>
  <si>
    <t>3. PROF ACC</t>
  </si>
  <si>
    <t>PG_Daichi Spl (inv-1) (Alpine) [MRAC]</t>
  </si>
  <si>
    <t>PG_Kent Spl (inv-1) (Tiba) [MRAC]</t>
  </si>
  <si>
    <t>PG_Kent Spl (inv-1) (Yuki) [MRAC]</t>
  </si>
  <si>
    <t>PG_Kent Spl (o/f-0) (Kanami) [MRAC]</t>
  </si>
  <si>
    <t>PG_ACC_RAC</t>
  </si>
  <si>
    <t>1. RAC ACC</t>
  </si>
  <si>
    <t>PG_VRF Daichi+Noname</t>
  </si>
  <si>
    <t>PG_ACC_BRANDING</t>
  </si>
  <si>
    <t>PG_Chillers_modular_KENTATSU</t>
  </si>
  <si>
    <t>PG_Chillers_modular_MIDEA</t>
  </si>
  <si>
    <t>PG_Fancoils Daikin</t>
  </si>
  <si>
    <t>PG_Fancoils MIDEA</t>
  </si>
  <si>
    <t>PG_Hydraulic Modules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</si>
  <si>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</si>
  <si>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</si>
  <si>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</si>
  <si>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</si>
  <si>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</si>
  <si>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</si>
  <si>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4. VENT</t>
  </si>
  <si>
    <t>PG_Компактные вентиляционные установки</t>
  </si>
  <si>
    <t>PG_Центральные кондиционеры</t>
  </si>
  <si>
    <t>PG_HEAT_WHBc/FSBc</t>
  </si>
  <si>
    <t>5. HEAT</t>
  </si>
  <si>
    <t>PG_Cloud_Controls_LCAC</t>
  </si>
  <si>
    <t>7. CLOUD (CONTROLS)</t>
  </si>
  <si>
    <t>PG_Cloud_Controls_D-BT</t>
  </si>
  <si>
    <t>PG_Cloud_Controls_Wall-Mount</t>
  </si>
  <si>
    <t>PG_Cloud_Controls_DCM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</si>
  <si>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</si>
  <si>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</si>
  <si>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</si>
  <si>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</si>
  <si>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</si>
  <si>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</si>
  <si>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</si>
  <si>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</si>
  <si>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</si>
  <si>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</si>
  <si>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</si>
  <si>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</si>
  <si>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</si>
  <si>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</si>
  <si>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</si>
  <si>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</si>
  <si>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</si>
  <si>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</si>
  <si>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</si>
  <si>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</si>
  <si>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</si>
  <si>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</si>
  <si>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</si>
  <si>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</si>
  <si>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</si>
  <si>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</si>
  <si>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</si>
  <si>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</si>
  <si>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</si>
  <si>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</si>
  <si>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</si>
  <si>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</si>
  <si>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</si>
  <si>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</si>
  <si>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</si>
  <si>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</si>
  <si>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</si>
  <si>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</si>
  <si>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</si>
  <si>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</si>
  <si>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</si>
  <si>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</si>
  <si>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</si>
  <si>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</si>
  <si>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(Unlimited) [MRAC]</t>
  </si>
  <si>
    <t>PG_Daichi LCAC</t>
  </si>
  <si>
    <t>PG_Daichi LCAC on-off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</si>
  <si>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</si>
  <si>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</si>
  <si>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</si>
  <si>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</si>
  <si>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</si>
  <si>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</si>
  <si>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</si>
  <si>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Kentatsu</t>
  </si>
  <si>
    <t>PG_Multi Midea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</si>
  <si>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</si>
  <si>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</si>
  <si>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</si>
  <si>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</si>
  <si>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</si>
  <si>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</si>
  <si>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</si>
  <si>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</si>
  <si>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</si>
  <si>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</si>
  <si>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</si>
  <si>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</si>
  <si>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</si>
  <si>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</si>
  <si>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8. SPARE PARTS</t>
  </si>
  <si>
    <t>Общий итог</t>
  </si>
  <si>
    <t>БЫЛО</t>
  </si>
  <si>
    <t>СТАЛО</t>
  </si>
  <si>
    <t>USD за ШТ</t>
  </si>
  <si>
    <t>СОВМ (ДИЛ+ДПП)</t>
  </si>
  <si>
    <t>ДИЛЕРСКИЙ</t>
  </si>
  <si>
    <t>План от янв 26 usd</t>
  </si>
  <si>
    <t>Названия строк</t>
  </si>
  <si>
    <t>Д-Владивосток совместное</t>
  </si>
  <si>
    <t>ДДП Д-Владивосток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</si>
</sst>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;\-#,##0;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0" fontId="0" fillId="2" borderId="0" xfId="0" applyFill="1"/>
    <xf numFmtId="4" fontId="0" fillId="2" borderId="0" xfId="0" applyNumberFormat="1" applyFill="1"/>
    <xf numFmtId="3" fontId="0" fillId="0" borderId="0" xfId="0" applyNumberFormat="1"/>
    <xf numFmtId="3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3" fontId="0" fillId="3" borderId="0" xfId="0" applyNumberFormat="1" applyFill="1"/>
    <xf numFmtId="4" fontId="2" fillId="4" borderId="0" xfId="0" applyNumberFormat="1" applyFont="1" applyFill="1"/>
    <xf numFmtId="3" fontId="0" fillId="4" borderId="0" xfId="0" applyNumberFormat="1" applyFill="1"/>
    <xf numFmtId="4" fontId="2" fillId="5" borderId="0" xfId="0" applyNumberFormat="1" applyFont="1" applyFill="1"/>
    <xf numFmtId="0" fontId="4" fillId="5" borderId="0" xfId="0" applyFont="1" applyFill="1" applyAlignment="1">
      <alignment horizontal="center"/>
    </xf>
    <xf numFmtId="9" fontId="0" fillId="6" borderId="0" xfId="1" applyFont="1" applyFill="1"/>
    <xf numFmtId="164" fontId="5" fillId="0" borderId="0" xfId="0" applyNumberFormat="1" applyFont="1"/>
    <xf numFmtId="4" fontId="5" fillId="7" borderId="0" xfId="0" applyNumberFormat="1" applyFont="1" applyFill="1"/>
    <xf numFmtId="3" fontId="0" fillId="8" borderId="0" xfId="0" applyNumberFormat="1" applyFill="1"/>
    <xf numFmtId="164" fontId="5" fillId="8" borderId="0" xfId="0" applyNumberFormat="1" applyFont="1" applyFill="1"/>
    <xf numFmtId="0" fontId="0" fillId="8" borderId="0" xfId="0" applyFill="1"/>
    <xf numFmtId="9" fontId="0" fillId="8" borderId="0" xfId="1" applyFont="1" applyFill="1"/>
    <xf numFmtId="9" fontId="0" fillId="0" borderId="0" xfId="1" applyFont="1"/>
    <xf numFmtId="0" fontId="0" fillId="3" borderId="0" xfId="0" applyFill="1"/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9" fontId="0" fillId="0" borderId="0" xfId="1" applyFont="1" applyAlignment="1">
      <alignment vertic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Иванов Данила Владимирович" refreshedDate="46125.490598611112" backgroundQuery="1" createdVersion="8" refreshedVersion="8" minRefreshableVersion="3" recordCount="0" supportSubquery="1" supportAdvancedDrill="1" xr:uid="{4B04D55B-25D5-4547-AA81-B9850CF6FCA5}">
  <cacheSource type="external" connectionId="1"/>
  <cacheFields count="6">
    <cacheField name="[Measures].[План от янв 26 usd]" caption="План от янв 26 usd" numFmtId="0" hierarchy="103" level="32767"/>
    <cacheField name="[Подразделение].[Подразделение по документам].[Подразделение по документам]" caption="Подразделение по документам" numFmtId="0" hierarchy="26" level="1" mappingCount="3">
      <sharedItems count="3">
        <s v="[Подразделение].[Подразделение по документам].&amp;[Д-Владивосток]" c="Д-Владивосток"/>
        <s v="[Подразделение].[Подразделение по документам].&amp;[Д-Владивосток совместное]" c="Д-Владивосток совместное"/>
        <s v="[Подразделение].[Подразделение по документам].&amp;[ДДП Д-Владивосток]" c="ДДП Д-Владивосток"/>
      </sharedItems>
      <mpMap v="2"/>
      <mpMap v="3"/>
      <mpMap v="4"/>
    </cacheField>
    <cacheField name="[Подразделение].[Подразделение по документам].[Подразделение по документам].[ABC подразделения]" caption="ABC подразделения" propertyName="ABC подразделения" numFmtId="0" hierarchy="26" level="1" memberPropertyField="1">
      <sharedItems count="2">
        <s v="B"/>
        <s v="C"/>
      </sharedItems>
    </cacheField>
    <cacheField name="[Подразделение].[Подразделение по документам].[Подразделение по документам].[Канал продаж]" caption="Канал продаж" propertyName="Канал продаж" numFmtId="0" hierarchy="26" level="1" memberPropertyField="1">
      <sharedItems count="3">
        <s v="Дилерский"/>
        <s v="Cовместные продажи"/>
        <s v="ДПП"/>
      </sharedItems>
    </cacheField>
    <cacheField name="[Подразделение].[Подразделение по документам].[Подразделение по документам].[Подразделение]" caption="Подразделение" propertyName="Подразделение" numFmtId="0" hierarchy="26" level="1" memberPropertyField="1">
      <sharedItems count="1">
        <s v="Д-Владивосток"/>
      </sharedItems>
    </cacheField>
    <cacheField name="[Подразделение].[Подразделение].[Подразделение]" caption="Подразделение" numFmtId="0" hierarchy="25" level="1">
      <sharedItems count="1">
        <s v="[Подразделение].[Подразделение].&amp;[Д-Владивосток]" c="Д-Владивосток"/>
      </sharedItems>
    </cacheField>
  </cacheFields>
  <cacheHierarchies count="188">
    <cacheHierarchy uniqueName="[Бронь].[Тип брони]" caption="Тип брони" attribute="1" keyAttribute="1" defaultMemberUniqueName="[Бронь].[Тип брони].[All]" allUniqueName="[Бронь].[Тип брони].[All]" dimensionUniqueName="[Бронь]" displayFolder="" count="0" unbalanced="0"/>
    <cacheHierarchy uniqueName="[Дата].[Date]" caption="Date" attribute="1" defaultMemberUniqueName="[Дата].[Date].[All]" allUniqueName="[Дата].[Date].[All]" dimensionUniqueName="[Дата]" displayFolder="" count="0" unbalanced="0"/>
    <cacheHierarchy uniqueName="[Дата].[Date Axis]" caption="Date Axis" attribute="1" defaultMemberUniqueName="[Дата].[Date Axis].[All]" allUniqueName="[Дата].[Date Axis].[All]" dimensionUniqueName="[Дата]" displayFolder="" count="0" unbalanced="0"/>
    <cacheHierarchy uniqueName="[Дата].[Год]" caption="Год" attribute="1" defaultMemberUniqueName="[Дата].[Год].[All]" allUniqueName="[Дата].[Год].[All]" dimensionUniqueName="[Дата]" displayFolder="" count="0" unbalanced="0"/>
    <cacheHierarchy uniqueName="[Дата].[Декада]" caption="Декада" attribute="1" defaultMemberUniqueName="[Дата].[Декада].[All]" allUniqueName="[Дата].[Декада].[All]" dimensionUniqueName="[Дата]" displayFolder="" count="0" unbalanced="0"/>
    <cacheHierarchy uniqueName="[Дата].[День Format]" caption="День Format" attribute="1" defaultMemberUniqueName="[Дата].[День Format].[All]" allUniqueName="[Дата].[День Format].[All]" dimensionUniqueName="[Дата]" displayFolder="" count="0" unbalanced="0"/>
    <cacheHierarchy uniqueName="[Дата].[Квартал Format]" caption="Квартал Format" attribute="1" defaultMemberUniqueName="[Дата].[Квартал Format].[All]" allUniqueName="[Дата].[Квартал Format].[All]" dimensionUniqueName="[Дата]" displayFolder="" count="0" unbalanced="0"/>
    <cacheHierarchy uniqueName="[Дата].[Квартал Int]" caption="Квартал Int" attribute="1" defaultMemberUniqueName="[Дата].[Квартал Int].[All]" allUniqueName="[Дата].[Квартал Int].[All]" dimensionUniqueName="[Дата]" displayFolder="" count="0" unbalanced="0"/>
    <cacheHierarchy uniqueName="[Дата].[Месяц Format]" caption="Месяц Format" attribute="1" defaultMemberUniqueName="[Дата].[Месяц Format].[All]" allUniqueName="[Дата].[Месяц Format].[All]" dimensionUniqueName="[Дата]" displayFolder="" count="0" unbalanced="0"/>
    <cacheHierarchy uniqueName="[Дата].[Месяц Int]" caption="Месяц Int" attribute="1" defaultMemberUniqueName="[Дата].[Месяц Int].[All]" allUniqueName="[Дата].[Месяц Int].[All]" dimensionUniqueName="[Дата]" displayFolder="" count="0" unbalanced="0"/>
    <cacheHierarchy uniqueName="[Дата].[Месяц Order]" caption="Месяц Order" attribute="1" defaultMemberUniqueName="[Дата].[Месяц Order].[All]" allUniqueName="[Дата].[Месяц Order].[All]" dimensionUniqueName="[Дата]" displayFolder="" count="0" unbalanced="0"/>
    <cacheHierarchy uniqueName="[Дата].[Неделя Axis]" caption="Неделя Axis" attribute="1" defaultMemberUniqueName="[Дата].[Неделя Axis].[All]" allUniqueName="[Дата].[Неделя Axis].[All]" dimensionUniqueName="[Дата]" displayFolder="" count="0" unbalanced="0"/>
    <cacheHierarchy uniqueName="[Дата].[Неделя Format]" caption="Неделя Format" attribute="1" defaultMemberUniqueName="[Дата].[Неделя Format].[All]" allUniqueName="[Дата].[Неделя Format].[All]" dimensionUniqueName="[Дата]" displayFolder="" count="0" unbalanced="0"/>
    <cacheHierarchy uniqueName="[Дата].[Флаг - до сегодня]" caption="Флаг - до сегодня" attribute="1" defaultMemberUniqueName="[Дата].[Флаг - до сегодня].[All]" allUniqueName="[Дата].[Флаг - до сегодня].[All]" dimensionUniqueName="[Дата]" displayFolder="" count="0" unbalanced="0"/>
    <cacheHierarchy uniqueName="[Дата].[Флаг расчет DDP]" caption="Флаг расчет DDP" attribute="1" defaultMemberUniqueName="[Дата].[Флаг расчет DDP].[All]" allUniqueName="[Дата].[Флаг расчет DDP].[All]" dimensionUniqueName="[Дата]" displayFolder="" count="0" unbalanced="0"/>
    <cacheHierarchy uniqueName="[Дилер].[Customer Key]" caption="Customer Key" attribute="1" keyAttribute="1" defaultMemberUniqueName="[Дилер].[Customer Key].[All]" allUniqueName="[Дилер].[Customer Key].[All]" dimensionUniqueName="[Дилер]" displayFolder="" count="0" unbalanced="0"/>
    <cacheHierarchy uniqueName="[Дилер].[Дилер]" caption="Дилер" attribute="1" defaultMemberUniqueName="[Дилер].[Дилер].[All]" allUniqueName="[Дилер].[Дилер].[All]" dimensionUniqueName="[Дилер]" displayFolder="" count="0" unbalanced="0"/>
    <cacheHierarchy uniqueName="[Документ продажи I только для продаж детально I].[Валюта]" caption="Валюта" attribute="1" defaultMemberUniqueName="[Документ продажи I только для продаж детально I].[Валюта].[All]" allUniqueName="[Документ продажи I только для продаж детально I].[Валю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Дата]" caption="Дата" attribute="1" defaultMemberUniqueName="[Документ продажи I только для продаж детально I].[Дата].[All]" allUniqueName="[Документ продажи I только для продаж детально I].[Да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Контрагент]" caption="Контрагент" attribute="1" defaultMemberUniqueName="[Документ продажи I только для продаж детально I].[Контрагент].[All]" allUniqueName="[Документ продажи I только для продаж детально I].[Контрагент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Номер]" caption="Номер" attribute="1" defaultMemberUniqueName="[Документ продажи I только для продаж детально I].[Номер].[All]" allUniqueName="[Документ продажи I только для продаж детально I].[Номер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Партнер]" caption="Партнер" attribute="1" defaultMemberUniqueName="[Документ продажи I только для продаж детально I].[Партнер].[All]" allUniqueName="[Документ продажи I только для продаж детально I].[Партнер].[All]" dimensionUniqueName="[Документ продажи I только для продаж детально I]" displayFolder="" count="0" unbalanced="0"/>
    <cacheHierarchy uniqueName="[Дополнительные параметры].[Вариант значения]" caption="Вариант значения" attribute="1" defaultMemberUniqueName="[Дополнительные параметры].[Вариант значения].[All]" allUniqueName="[Дополнительные параметры].[Вариант значения].[All]" dimensionUniqueName="[Дополнительные параметры]" displayFolder="" count="0" unbalanced="0"/>
    <cacheHierarchy uniqueName="[Подразделение].[ABC подразделения]" caption="ABC подразделения" attribute="1" defaultMemberUniqueName="[Подразделение].[ABC подразделения].[All]" allUniqueName="[Подразделение].[ABC подразделения].[All]" dimensionUniqueName="[Подразделение]" displayFolder="" count="0" unbalanced="0"/>
    <cacheHierarchy uniqueName="[Подразделение].[Канал продаж]" caption="Канал продаж" attribute="1" defaultMemberUniqueName="[Подразделение].[Канал продаж].[All]" allUniqueName="[Подразделение].[Канал продаж].[All]" dimensionUniqueName="[Подразделение]" displayFolder="" count="0" unbalanced="0"/>
    <cacheHierarchy uniqueName="[Подразделение].[Подразделение]" caption="Подразделение" attribute="1" defaultMemberUniqueName="[Подразделение].[Подразделение].[All]" allUniqueName="[Подразделение].[Подразделение].[All]" dimensionUniqueName="[Подразделение]" displayFolder="" count="2" unbalanced="0">
      <fieldsUsage count="2">
        <fieldUsage x="-1"/>
        <fieldUsage x="5"/>
      </fieldsUsage>
    </cacheHierarchy>
    <cacheHierarchy uniqueName="[Подразделение].[Подразделение по документам]" caption="Подразделение по документам" attribute="1" keyAttribute="1" defaultMemberUniqueName="[Подразделение].[Подразделение по документам].[All]" allUniqueName="[Подразделение].[Подразделение по документам].[All]" dimensionUniqueName="[Подразделение]" displayFolder="" count="2" unbalanced="0">
      <fieldsUsage count="2">
        <fieldUsage x="-1"/>
        <fieldUsage x="1"/>
      </fieldsUsage>
    </cacheHierarchy>
    <cacheHierarchy uniqueName="[Склад].[Группа]" caption="Группа" attribute="1" defaultMemberUniqueName="[Склад].[Группа].[All]" allUniqueName="[Склад].[Группа].[All]" dimensionUniqueName="[Склад]" displayFolder="" count="0" unbalanced="0"/>
    <cacheHierarchy uniqueName="[Склад].[Даичи назначение склада]" caption="Даичи назначение склада" attribute="1" defaultMemberUniqueName="[Склад].[Даичи назначение склада].[All]" allUniqueName="[Склад].[Даичи назначение склада].[All]" dimensionUniqueName="[Склад]" displayFolder="" count="0" unbalanced="0"/>
    <cacheHierarchy uniqueName="[Склад].[Наименование]" caption="Наименование" attribute="1" keyAttribute="1" defaultMemberUniqueName="[Склад].[Наименование].[All]" allUniqueName="[Склад].[Наименование].[All]" dimensionUniqueName="[Склад]" displayFolder="" count="0" unbalanced="0"/>
    <cacheHierarchy uniqueName="[Склад].[Подразделение]" caption="Подразделение" attribute="1" defaultMemberUniqueName="[Склад].[Подразделение].[All]" allUniqueName="[Склад].[Подразделение].[All]" dimensionUniqueName="[Склад]" displayFolder="" count="0" unbalanced="0"/>
    <cacheHierarchy uniqueName="[Товар].[Группа аналитического учета]" caption="Группа аналитического учета" attribute="1" defaultMemberUniqueName="[Товар].[Группа аналитического учета].[All]" allUniqueName="[Товар].[Группа аналитического учета].[All]" dimensionUniqueName="[Товар]" displayFolder="" count="0" unbalanced="0"/>
    <cacheHierarchy uniqueName="[Товар].[Группа планирования]" caption="Группа планирования" attribute="1" defaultMemberUniqueName="[Товар].[Группа планирования].[All]" allUniqueName="[Товар].[Группа планирования].[All]" dimensionUniqueName="[Товар]" displayFolder="" count="0" unbalanced="0"/>
    <cacheHierarchy uniqueName="[Товар].[Группа планов продаж]" caption="Группа планов продаж" attribute="1" defaultMemberUniqueName="[Товар].[Группа планов продаж].[All]" allUniqueName="[Товар].[Группа планов продаж].[All]" dimensionUniqueName="[Товар]" displayFolder="" count="0" unbalanced="0"/>
    <cacheHierarchy uniqueName="[Товар].[Группа планов продаж для мотивации]" caption="Группа планов продаж для мотивации" attribute="1" defaultMemberUniqueName="[Товар].[Группа планов продаж для мотивации].[All]" allUniqueName="[Товар].[Группа планов продаж для мотивации].[All]" dimensionUniqueName="[Товар]" displayFolder="" count="0" unbalanced="0"/>
    <cacheHierarchy uniqueName="[Товар].[Группа фин учета]" caption="Группа фин учета" attribute="1" defaultMemberUniqueName="[Товар].[Группа фин учета].[All]" allUniqueName="[Товар].[Группа фин учета].[All]" dimensionUniqueName="[Товар]" displayFolder="" count="0" unbalanced="0"/>
    <cacheHierarchy uniqueName="[Товар].[Группа(eng)]" caption="Группа(eng)" attribute="1" defaultMemberUniqueName="[Товар].[Группа(eng)].[All]" allUniqueName="[Товар].[Группа(eng)].[All]" dimensionUniqueName="[Товар]" displayFolder="" count="0" unbalanced="0"/>
    <cacheHierarchy uniqueName="[Товар].[Группа(ru)]" caption="Группа(ru)" attribute="1" defaultMemberUniqueName="[Товар].[Группа(ru)].[All]" allUniqueName="[Товар].[Группа(ru)].[All]" dimensionUniqueName="[Товар]" displayFolder="" count="0" unbalanced="0"/>
    <cacheHierarchy uniqueName="[Товар].[Группы линеек]" caption="Группы линеек" attribute="1" defaultMemberUniqueName="[Товар].[Группы линеек].[All]" allUniqueName="[Товар].[Группы линеек].[All]" dimensionUniqueName="[Товар]" displayFolder="" count="0" unbalanced="0"/>
    <cacheHierarchy uniqueName="[Товар].[Групы товаров LCAC SPLIT SPLIT CLOUD MULTI]" caption="Групы товаров LCAC SPLIT SPLIT CLOUD MULTI" attribute="1" defaultMemberUniqueName="[Товар].[Групы товаров LCAC SPLIT SPLIT CLOUD MULTI].[All]" allUniqueName="[Товар].[Групы товаров LCAC SPLIT SPLIT CLOUD MULTI].[All]" dimensionUniqueName="[Товар]" displayFolder="" count="0" unbalanced="0"/>
    <cacheHierarchy uniqueName="[Товар].[Завод]" caption="Завод" attribute="1" defaultMemberUniqueName="[Товар].[Завод].[All]" allUniqueName="[Товар].[Завод].[All]" dimensionUniqueName="[Товар]" displayFolder="" count="0" unbalanced="0"/>
    <cacheHierarchy uniqueName="[Товар].[Линейка(Range)]" caption="Линейка(Range)" attribute="1" defaultMemberUniqueName="[Товар].[Линейка(Range)].[All]" allUniqueName="[Товар].[Линейка(Range)].[All]" dimensionUniqueName="[Товар]" displayFolder="" count="0" unbalanced="0"/>
    <cacheHierarchy uniqueName="[Товар].[Марка(Бренд)]" caption="Марка(Бренд)" attribute="1" defaultMemberUniqueName="[Товар].[Марка(Бренд)].[All]" allUniqueName="[Товар].[Марка(Бренд)].[All]" dimensionUniqueName="[Товар]" displayFolder="" count="0" unbalanced="0"/>
    <cacheHierarchy uniqueName="[Товар].[Марка(Бренд)(Группа брендов)]" caption="Марка(Бренд)(Группа брендов)" attribute="1" defaultMemberUniqueName="[Товар].[Марка(Бренд)(Группа брендов)].[All]" allUniqueName="[Товар].[Марка(Бренд)(Группа брендов)].[All]" dimensionUniqueName="[Товар]" displayFolder="" count="0" unbalanced="0"/>
    <cacheHierarchy uniqueName="[Товар].[Модель]" caption="Модель" attribute="1" defaultMemberUniqueName="[Товар].[Модель].[All]" allUniqueName="[Товар].[Модель].[All]" dimensionUniqueName="[Товар]" displayFolder="" count="0" unbalanced="0"/>
    <cacheHierarchy uniqueName="[Товар].[Мощность]" caption="Мощность" attribute="1" defaultMemberUniqueName="[Товар].[Мощность].[All]" allUniqueName="[Товар].[Мощность].[All]" dimensionUniqueName="[Товар]" displayFolder="" count="0" unbalanced="0"/>
    <cacheHierarchy uniqueName="[Товар].[Объект планирования]" caption="Объект планирования" attribute="1" keyAttribute="1" defaultMemberUniqueName="[Товар].[Объект планирования].[All]" allUniqueName="[Товар].[Объект планирования].[All]" dimensionUniqueName="[Товар]" displayFolder="" count="0" unbalanced="0"/>
    <cacheHierarchy uniqueName="[Товар].[Предзаказ]" caption="Предзаказ" attribute="1" defaultMemberUniqueName="[Товар].[Предзаказ].[All]" allUniqueName="[Товар].[Предзаказ].[All]" dimensionUniqueName="[Товар]" displayFolder="" count="0" unbalanced="0"/>
    <cacheHierarchy uniqueName="[Товар].[Разновидность номенклатуры(Type)]" caption="Разновидность номенклатуры(Type)" attribute="1" defaultMemberUniqueName="[Товар].[Разновидность номенклатуры(Type)].[All]" allUniqueName="[Товар].[Разновидность номенклатуры(Type)].[All]" dimensionUniqueName="[Товар]" displayFolder="" count="0" unbalanced="0"/>
    <cacheHierarchy uniqueName="[Товар].[Тип блока(Ind-Out)]" caption="Тип блока(Ind-Out)" attribute="1" defaultMemberUniqueName="[Товар].[Тип блока(Ind-Out)].[All]" allUniqueName="[Товар].[Тип блока(Ind-Out)].[All]" dimensionUniqueName="[Товар]" displayFolder="" count="0" unbalanced="0"/>
    <cacheHierarchy uniqueName="[Товар].[Тип нар блока(Inv - OnOff)]" caption="Тип нар блока(Inv - OnOff)" attribute="1" defaultMemberUniqueName="[Товар].[Тип нар блока(Inv - OnOff)].[All]" allUniqueName="[Товар].[Тип нар блока(Inv - OnOff)].[All]" dimensionUniqueName="[Товар]" displayFolder="" count="0" unbalanced="0"/>
    <cacheHierarchy uniqueName="[Товар].[Тип номенклатуры(Товар - Услуга)]" caption="Тип номенклатуры(Товар - Услуга)" attribute="1" defaultMemberUniqueName="[Товар].[Тип номенклатуры(Товар - Услуга)].[All]" allUniqueName="[Товар].[Тип номенклатуры(Товар - Услуга)].[All]" dimensionUniqueName="[Товар]" displayFolder="" count="0" unbalanced="0"/>
    <cacheHierarchy uniqueName="[Товар].[Тип объекта планирования]" caption="Тип объекта планирования" attribute="1" defaultMemberUniqueName="[Товар].[Тип объекта планирования].[All]" allUniqueName="[Товар].[Тип объекта планирования].[All]" dimensionUniqueName="[Товар]" displayFolder="" count="0" unbalanced="0"/>
    <cacheHierarchy uniqueName="[Товар].[Тип скидки товара]" caption="Тип скидки товара" attribute="1" defaultMemberUniqueName="[Товар].[Тип скидки товара].[All]" allUniqueName="[Товар].[Тип скидки товара].[All]" dimensionUniqueName="[Товар]" displayFolder="" count="0" unbalanced="0"/>
    <cacheHierarchy uniqueName="[Товар].[Товарная категория(Type - ru)]" caption="Товарная категория(Type - ru)" attribute="1" defaultMemberUniqueName="[Товар].[Товарная категория(Type - ru)].[All]" allUniqueName="[Товар].[Товарная категория(Type - ru)].[All]" dimensionUniqueName="[Товар]" displayFolder="" count="0" unbalanced="0"/>
    <cacheHierarchy uniqueName="[Товар].[Цель]" caption="Цель" attribute="1" defaultMemberUniqueName="[Товар].[Цель].[All]" allUniqueName="[Товар].[Цель].[All]" dimensionUniqueName="[Товар]" displayFolder="" count="0" unbalanced="0"/>
    <cacheHierarchy uniqueName="[Дата].[Date Key]" caption="Date Key" attribute="1" keyAttribute="1" defaultMemberUniqueName="[Дата].[Date Key].[All]" allUniqueName="[Дата].[Date Key].[All]" dimensionUniqueName="[Дата]" displayFolder="" count="0" unbalanced="0" hidden="1"/>
    <cacheHierarchy uniqueName="[Документ продажи I только для продаж детально I].[Document Key]" caption="Document Key" attribute="1" keyAttribute="1" defaultMemberUniqueName="[Документ продажи I только для продаж детально I].[Document Key].[All]" allUniqueName="[Документ продажи I только для продаж детально I].[Document Key].[All]" dimensionUniqueName="[Документ продажи I только для продаж детально I]" displayFolder="" count="0" unbalanced="0" hidden="1"/>
    <cacheHierarchy uniqueName="[Дополнительные параметры].[Name]" caption="Name" attribute="1" keyAttribute="1" defaultMemberUniqueName="[Дополнительные параметры].[Name].[All]" allUniqueName="[Дополнительные параметры].[Name].[All]" dimensionUniqueName="[Дополнительные параметры]" displayFolder="" count="0" unbalanced="0" hidden="1"/>
    <cacheHierarchy uniqueName="[Measures].[Факт продаж шт]" caption="Факт продаж шт" measure="1" displayFolder="Факт продаж" measureGroup="План факт-сток" count="0"/>
    <cacheHierarchy uniqueName="[Measures].[Факт продаж usd]" caption="Факт продаж usd" measure="1" displayFolder="Факт продаж" measureGroup="План факт-сток" count="0"/>
    <cacheHierarchy uniqueName="[Measures].[План продаж шт]" caption="План продаж шт" measure="1" displayFolder="План продаж" measureGroup="План факт-сток" count="0"/>
    <cacheHierarchy uniqueName="[Measures].[План продаж usd]" caption="План продаж usd" measure="1" displayFolder="План продаж" measureGroup="План факт-сток" count="0"/>
    <cacheHierarchy uniqueName="[Measures].[Продажи 2023 шт]" caption="Продажи 2023 шт" measure="1" displayFolder="Факт продаж 2023" measureGroup="План факт-сток" count="0"/>
    <cacheHierarchy uniqueName="[Measures].[Продажи 2023 usd]" caption="Продажи 2023 usd" measure="1" displayFolder="Факт продаж 2023" measureGroup="План факт-сток" count="0"/>
    <cacheHierarchy uniqueName="[Measures].[Продажи 2022 usd]" caption="Продажи 2022 usd" measure="1" displayFolder="Факт продаж 2022" measureGroup="План факт-сток" count="0"/>
    <cacheHierarchy uniqueName="[Measures].[Продажи 2022 шт]" caption="Продажи 2022 шт" measure="1" displayFolder="Факт продаж 2022" measureGroup="План факт-сток" count="0"/>
    <cacheHierarchy uniqueName="[Measures].[Продажи 2021 шт]" caption="Продажи 2021 шт" measure="1" displayFolder="Факт продаж 2021" measureGroup="План факт-сток" count="0"/>
    <cacheHierarchy uniqueName="[Measures].[Продажи 2021 usd]" caption="Продажи 2021 usd" measure="1" displayFolder="Факт продаж 2021" measureGroup="План факт-сток" count="0"/>
    <cacheHierarchy uniqueName="[Measures].[Продажи 2020 шт]" caption="Продажи 2020 шт" measure="1" displayFolder="Факт продаж 2020" measureGroup="План факт-сток" count="0"/>
    <cacheHierarchy uniqueName="[Measures].[Проддажи 2020 usd]" caption="Проддажи 2020 usd" measure="1" displayFolder="Факт продаж 2020" measureGroup="План факт-сток" count="0"/>
    <cacheHierarchy uniqueName="[Measures].[Продажи 2019 шт]" caption="Продажи 2019 шт" measure="1" displayFolder="Факт продаж 2019" measureGroup="План факт-сток" count="0"/>
    <cacheHierarchy uniqueName="[Measures].[Продажи 2019 usd]" caption="Продажи 2019 usd" measure="1" displayFolder="Факт продаж 2020" measureGroup="План факт-сток" count="0"/>
    <cacheHierarchy uniqueName="[Measures].[План продаж янв 2023 шт]" caption="План продаж янв 2023 шт" measure="1" displayFolder="План продаж 2023" measureGroup="План факт-сток" count="0"/>
    <cacheHierarchy uniqueName="[Measures].[План продаж янв 2023 usd]" caption="План продаж янв 2023 usd" measure="1" displayFolder="План продаж 2023" measureGroup="План факт-сток" count="0"/>
    <cacheHierarchy uniqueName="[Measures].[План продаж май 2023 шт]" caption="План продаж май 2023 шт" measure="1" displayFolder="План продаж 2023" measureGroup="План факт-сток" count="0"/>
    <cacheHierarchy uniqueName="[Measures].[План продаж май 2023 usd]" caption="План продаж май 2023 usd" measure="1" displayFolder="План продаж 2023" measureGroup="План факт-сток" count="0"/>
    <cacheHierarchy uniqueName="[Measures].[План продаж июл 2023 usd]" caption="План продаж июл 2023 usd" measure="1" displayFolder="План продаж 2023" measureGroup="План факт-сток" count="0"/>
    <cacheHierarchy uniqueName="[Measures].[План продаж июл 2023 шт]" caption="План продаж июл 2023 шт" measure="1" displayFolder="План продаж 2023" measureGroup="План факт-сток" count="0"/>
    <cacheHierarchy uniqueName="[Measures].[План продаж окт 2023 usd]" caption="План продаж окт 2023 usd" measure="1" displayFolder="План продаж 2023" measureGroup="План факт-сток" count="0"/>
    <cacheHierarchy uniqueName="[Measures].[План продаж окт 2023 шт]" caption="План продаж окт 2023 шт" measure="1" displayFolder="План продаж 2023" measureGroup="План факт-сток" count="0"/>
    <cacheHierarchy uniqueName="[Measures].[План продаж 2024 от янв 24 шт]" caption="План продаж 2024 от янв 24 шт" measure="1" displayFolder="План продаж 2024" measureGroup="План факт-сток" count="0"/>
    <cacheHierarchy uniqueName="[Measures].[План продаж 2024 от янв 24 usd]" caption="План продаж 2024 от янв 24 usd" measure="1" displayFolder="План продаж 2024" measureGroup="План факт-сток" count="0"/>
    <cacheHierarchy uniqueName="[Measures].[Продажи 2024 шт]" caption="Продажи 2024 шт" measure="1" displayFolder="Факт продаж 2024" measureGroup="План факт-сток" count="0"/>
    <cacheHierarchy uniqueName="[Measures].[Продажи 2024 usd]" caption="Продажи 2024 usd" measure="1" displayFolder="Факт продаж 2024" measureGroup="План факт-сток" count="0"/>
    <cacheHierarchy uniqueName="[Measures].[План продаж 2024 от апр 24 usd]" caption="План продаж 2024 от апр 24 usd" measure="1" displayFolder="План продаж 2024" measureGroup="План факт-сток" count="0"/>
    <cacheHierarchy uniqueName="[Measures].[План продаж 2024 от апр 24 шт]" caption="План продаж 2024 от апр 24 шт" measure="1" displayFolder="План продаж 2024" measureGroup="План факт-сток" count="0"/>
    <cacheHierarchy uniqueName="[Measures].[План продаж 2024 от июл 24 usd]" caption="План продаж 2024 от июл 24 usd" measure="1" displayFolder="План продаж 2024" measureGroup="План факт-сток" count="0"/>
    <cacheHierarchy uniqueName="[Measures].[План продаж 2024 от июл 24 шт]" caption="План продаж 2024 от июл 24 шт" measure="1" displayFolder="План продаж 2024" measureGroup="План факт-сток" count="0"/>
    <cacheHierarchy uniqueName="[Measures].[План продаж 2024 от окт 24 usd]" caption="План продаж 2024 от окт 24 usd" measure="1" displayFolder="План продаж 2024" measureGroup="План факт-сток" count="0"/>
    <cacheHierarchy uniqueName="[Measures].[План продаж 2024 от окт 24 шт]" caption="План продаж 2024 от окт 24 шт" measure="1" displayFolder="План продаж 2024" measureGroup="План факт-сток" count="0"/>
    <cacheHierarchy uniqueName="[Measures].[Продажи 25 шт]" caption="Продажи 25 шт" measure="1" displayFolder="Факт продаж 2025" measureGroup="План факт-сток" count="0"/>
    <cacheHierarchy uniqueName="[Measures].[Продажи 25 usd]" caption="Продажи 25 usd" measure="1" displayFolder="Факт продаж 2025" measureGroup="План факт-сток" count="0"/>
    <cacheHierarchy uniqueName="[Measures].[План от янв 25 usd]" caption="План от янв 25 usd" measure="1" displayFolder="План продаж 2025" measureGroup="План факт-сток" count="0"/>
    <cacheHierarchy uniqueName="[Measures].[План от янв 25 шт]" caption="План от янв 25 шт" measure="1" displayFolder="План продаж 2025" measureGroup="План факт-сток" count="0"/>
    <cacheHierarchy uniqueName="[Measures].[План от 2h opt 25 usd]" caption="План от 2h opt 25 usd" measure="1" displayFolder="План продаж 2025" measureGroup="План факт-сток" count="0"/>
    <cacheHierarchy uniqueName="[Measures].[План от 2h opt 25 шт]" caption="План от 2h opt 25 шт" measure="1" displayFolder="План продаж 2025" measureGroup="План факт-сток" count="0"/>
    <cacheHierarchy uniqueName="[Measures].[План от 2h pes 25 usd]" caption="План от 2h pes 25 usd" measure="1" displayFolder="План продаж 2025" measureGroup="План факт-сток" count="0"/>
    <cacheHierarchy uniqueName="[Measures].[План от 2h pes 25 шт]" caption="План от 2h pes 25 шт" measure="1" displayFolder="План продаж 2025" measureGroup="План факт-сток" count="0"/>
    <cacheHierarchy uniqueName="[Measures].[План от окт 25 usd]" caption="План от окт 25 usd" measure="1" displayFolder="План продаж 2025" measureGroup="План факт-сток" count="0"/>
    <cacheHierarchy uniqueName="[Measures].[План от окт 25 шт]" caption="План от окт 25 шт" measure="1" displayFolder="План продаж 2025" measureGroup="План факт-сток" count="0"/>
    <cacheHierarchy uniqueName="[Measures].[Продажи 26 usd]" caption="Продажи 26 usd" measure="1" displayFolder="Факт продаж 2026" measureGroup="План факт-сток" count="0"/>
    <cacheHierarchy uniqueName="[Measures].[Продажи 26 шт]" caption="Продажи 26 шт" measure="1" displayFolder="Факт продаж 2026" measureGroup="План факт-сток" count="0"/>
    <cacheHierarchy uniqueName="[Measures].[План от янв 26 usd]" caption="План от янв 26 usd" measure="1" displayFolder="План продаж 2026" measureGroup="План факт-сток" count="0" oneField="1">
      <fieldsUsage count="1">
        <fieldUsage x="0"/>
      </fieldsUsage>
    </cacheHierarchy>
    <cacheHierarchy uniqueName="[Measures].[План от янв 26 шт]" caption="План от янв 26 шт" measure="1" displayFolder="План продаж 2026" measureGroup="План факт-сток" count="0"/>
    <cacheHierarchy uniqueName="[Measures].[Продажи usd DDP 2024]" caption="Продажи usd DDP 2024" measure="1" displayFolder="" measureGroup="Продажи DDP и наценка" count="0"/>
    <cacheHierarchy uniqueName="[Measures].[Продажи шт по модельно 2024]" caption="Продажи шт по модельно 2024" measure="1" displayFolder="" measureGroup="Продажи DDP и наценка" count="0"/>
    <cacheHierarchy uniqueName="[Measures].[IT ITW usd 2024]" caption="IT ITW usd 2024" measure="1" displayFolder="" measureGroup="Продажи DDP и наценка" count="0"/>
    <cacheHierarchy uniqueName="[Measures].[Exw USD 2024]" caption="Exw USD 2024" measure="1" displayFolder="" measureGroup="Продажи DDP и наценка" count="0"/>
    <cacheHierarchy uniqueName="[Measures].[Продажи usd DDP 2025]" caption="Продажи usd DDP 2025" measure="1" displayFolder="" measureGroup="Продажи DDP и наценка" count="0"/>
    <cacheHierarchy uniqueName="[Measures].[Продажи шт по модельно 2025]" caption="Продажи шт по модельно 2025" measure="1" displayFolder="" measureGroup="Продажи DDP и наценка" count="0"/>
    <cacheHierarchy uniqueName="[Measures].[IT ITW usd 2025]" caption="IT ITW usd 2025" measure="1" displayFolder="" measureGroup="Продажи DDP и наценка" count="0"/>
    <cacheHierarchy uniqueName="[Measures].[Exw USD 2025]" caption="Exw USD 2025" measure="1" displayFolder="" measureGroup="Продажи DDP и наценка" count="0"/>
    <cacheHierarchy uniqueName="[Measures].[Exw usd 2026]" caption="Exw usd 2026" measure="1" displayFolder="" measureGroup="Продажи DDP и наценка" count="0"/>
    <cacheHierarchy uniqueName="[Measures].[Продажи шт по модельно 2026]" caption="Продажи шт по модельно 2026" measure="1" displayFolder="" measureGroup="Продажи DDP и наценка" count="0"/>
    <cacheHierarchy uniqueName="[Measures].[Price2026]" caption="Price2026" measure="1" displayFolder="" measureGroup="Продажи DDP и наценка" count="0"/>
    <cacheHierarchy uniqueName="[Measures].[Продажи usd DDP 2026]" caption="Продажи usd DDP 2026" measure="1" displayFolder="" measureGroup="Продажи DDP и наценка" count="0"/>
    <cacheHierarchy uniqueName="[Measures].[IT ITW usd 2026]" caption="IT ITW usd 2026" measure="1" displayFolder="" measureGroup="Продажи DDP и наценка" count="0"/>
    <cacheHierarchy uniqueName="[Measures].[План продаж 2024 от янв 24 DDP usd]" caption="План продаж 2024 от янв 24 DDP usd" measure="1" displayFolder="DDP 2024" measureGroup="План DDP и наценки" count="0"/>
    <cacheHierarchy uniqueName="[Measures].[План продаж 2024 от апр 24 DDP usd]" caption="План продаж 2024 от апр 24 DDP usd" measure="1" displayFolder="DDP 2024" measureGroup="План DDP и наценки" count="0"/>
    <cacheHierarchy uniqueName="[Measures].[План продаж 2024 от июл 24 DDP usd]" caption="План продаж 2024 от июл 24 DDP usd" measure="1" displayFolder="DDP 2024" measureGroup="План DDP и наценки" count="0"/>
    <cacheHierarchy uniqueName="[Measures].[План продаж 2024 от янв 24 шт по моделям]" caption="План продаж 2024 от янв 24 шт по моделям" measure="1" displayFolder="По моделям 2024" measureGroup="План DDP и наценки" count="0"/>
    <cacheHierarchy uniqueName="[Measures].[План продаж 2024 от апр 24 шт по моделям]" caption="План продаж 2024 от апр 24 шт по моделям" measure="1" displayFolder="По моделям 2024" measureGroup="План DDP и наценки" count="0"/>
    <cacheHierarchy uniqueName="[Measures].[План продаж 2024 от июл 24 шт по моделям]" caption="План продаж 2024 от июл 24 шт по моделям" measure="1" displayFolder="По моделям 2024" measureGroup="План DDP и наценки" count="0"/>
    <cacheHierarchy uniqueName="[Measures].[План продаж 2024 от окт 24 DDP usd]" caption="План продаж 2024 от окт 24 DDP usd" measure="1" displayFolder="DDP 2024" measureGroup="План DDP и наценки" count="0"/>
    <cacheHierarchy uniqueName="[Measures].[План продаж 2024 от окт 24 шт по моделям]" caption="План продаж 2024 от окт 24 шт по моделям" measure="1" displayFolder="По моделям 2024" measureGroup="План DDP и наценки" count="0"/>
    <cacheHierarchy uniqueName="[Measures].[План продаж 2025 от янв DDP usd]" caption="План продаж 2025 от янв DDP usd" measure="1" displayFolder="DDP 2025" measureGroup="План DDP и наценки" count="0"/>
    <cacheHierarchy uniqueName="[Measures].[План продаж 2025 от янв шт по моделям]" caption="План продаж 2025 от янв шт по моделям" measure="1" displayFolder="По моделям 2025" measureGroup="План DDP и наценки" count="0"/>
    <cacheHierarchy uniqueName="[Measures].[План продаж от 2h опт 25 DDP usd]" caption="План продаж от 2h опт 25 DDP usd" measure="1" displayFolder="DDP 2025" measureGroup="План DDP и наценки" count="0"/>
    <cacheHierarchy uniqueName="[Measures].[План продаж от 2h опт 25 шт по моделям]" caption="План продаж от 2h опт 25 шт по моделям" measure="1" displayFolder="По моделям 2025" measureGroup="План DDP и наценки" count="0"/>
    <cacheHierarchy uniqueName="[Measures].[План продаж от 2h пес 25 DDP usd]" caption="План продаж от 2h пес 25 DDP usd" measure="1" displayFolder="DDP 2025" measureGroup="План DDP и наценки" count="0"/>
    <cacheHierarchy uniqueName="[Measures].[План продаж от 2h пес 25 шт по моделям]" caption="План продаж от 2h пес 25 шт по моделям" measure="1" displayFolder="По моделям 2025" measureGroup="План DDP и наценки" count="0"/>
    <cacheHierarchy uniqueName="[Measures].[План продаж от окт 25 25 DDP usd]" caption="План продаж от окт 25 25 DDP usd" measure="1" displayFolder="DDP 2025" measureGroup="План DDP и наценки" count="0"/>
    <cacheHierarchy uniqueName="[Measures].[План продаж от окт 25 шт по моделям]" caption="План продаж от окт 25 шт по моделям" measure="1" displayFolder="По моделям 2025" measureGroup="План DDP и наценки" count="0"/>
    <cacheHierarchy uniqueName="[Measures].[Amount USD2026 1q]" caption="Amount USD2026 1q" measure="1" displayFolder="" measureGroup="План DDP и наценки" count="0"/>
    <cacheHierarchy uniqueName="[Measures].[План продаж от янв 26 DDP usd]" caption="План продаж от янв 26 DDP usd" measure="1" displayFolder="" measureGroup="План DDP и наценки" count="0"/>
    <cacheHierarchy uniqueName="[Measures].[План продаж от янв 26 шт по моделям]" caption="План продаж от янв 26 шт по моделям" measure="1" displayFolder="" measureGroup="План DDP и наценки" count="0"/>
    <cacheHierarchy uniqueName="[Measures].[Закрытые сделки ШТ 2024]" caption="Закрытые сделки ШТ 2024" measure="1" displayFolder="Закрытые сделки 2024" measureGroup="Закрытые сделки" count="0"/>
    <cacheHierarchy uniqueName="[Measures].[Закрытые сделки ШТ ПО МОДЕЛЯМ 2024]" caption="Закрытые сделки ШТ ПО МОДЕЛЯМ 2024" measure="1" displayFolder="Закрытые сделки 2024" measureGroup="Закрытые сделки" count="0"/>
    <cacheHierarchy uniqueName="[Measures].[Закрытые сделки USD 2024]" caption="Закрытые сделки USD 2024" measure="1" displayFolder="Закрытые сделки 2024" measureGroup="Закрытые сделки" count="0"/>
    <cacheHierarchy uniqueName="[Measures].[Закрытые сделки USD -  IT 2024]" caption="Закрытые сделки USD -  IT 2024" measure="1" displayFolder="Закрытые сделки 2024" measureGroup="Закрытые сделки" count="0"/>
    <cacheHierarchy uniqueName="[Measures].[Закрытые сделки USD DDP 2024]" caption="Закрытые сделки USD DDP 2024" measure="1" displayFolder="Закрытые сделки 2024" measureGroup="Закрытые сделки" count="0"/>
    <cacheHierarchy uniqueName="[Measures].[Закрытые сделки USD 2025]" caption="Закрытые сделки USD 2025" measure="1" displayFolder="Закрытые сделки 2025" measureGroup="Закрытые сделки" count="0"/>
    <cacheHierarchy uniqueName="[Measures].[Закрытые сделки USD DDP 2025]" caption="Закрытые сделки USD DDP 2025" measure="1" displayFolder="Закрытые сделки 2025" measureGroup="Закрытые сделки" count="0"/>
    <cacheHierarchy uniqueName="[Measures].[Закрытые сделки USD -  IT 2025]" caption="Закрытые сделки USD -  IT 2025" measure="1" displayFolder="Закрытые сделки 2025" measureGroup="Закрытые сделки" count="0"/>
    <cacheHierarchy uniqueName="[Measures].[Закрытые сделки ШТ ПО МОДЕЛЯМ 2025]" caption="Закрытые сделки ШТ ПО МОДЕЛЯМ 2025" measure="1" displayFolder="Закрытые сделки 2025" measureGroup="Закрытые сделки" count="0"/>
    <cacheHierarchy uniqueName="[Measures].[Закрытые сделки ШТ 2025]" caption="Закрытые сделки ШТ 2025" measure="1" displayFolder="Закрытые сделки 2025" measureGroup="Закрытые сделки" count="0"/>
    <cacheHierarchy uniqueName="[Measures].[В наличии и в пути - шт]" caption="В наличии и в пути - шт" measure="1" displayFolder="" measureGroup="Сток на складах продажи" count="0"/>
    <cacheHierarchy uniqueName="[Measures].[В наличии - шт]" caption="В наличии - шт" measure="1" displayFolder="" measureGroup="Сток на складах продажи" count="0"/>
    <cacheHierarchy uniqueName="[Measures].[В пути между складами - шт]" caption="В пути между складами - шт" measure="1" displayFolder="" measureGroup="Сток на складах продажи" count="0"/>
    <cacheHierarchy uniqueName="[Measures].[В наличии и В пути - по наружкам]" caption="В наличии и В пути - по наружкам" measure="1" displayFolder="" measureGroup="Сток на складах продажи" count="0"/>
    <cacheHierarchy uniqueName="[Measures].[В Наличии - по наружкам]" caption="В Наличии - по наружкам" measure="1" displayFolder="" measureGroup="Сток на складах продажи" count="0"/>
    <cacheHierarchy uniqueName="[Measures].[В Пути - по наружкам]" caption="В Пути - по наружкам" measure="1" displayFolder="" measureGroup="Сток на складах продажи" count="0"/>
    <cacheHierarchy uniqueName="[Measures].[Отгружено и в заказах на заводе - шт]" caption="Отгружено и в заказах на заводе - шт" measure="1" displayFolder="" measureGroup="Заказано и в пути с завода" count="0"/>
    <cacheHierarchy uniqueName="[Measures].[В пути с завода в РФ - шт]" caption="В пути с завода в РФ - шт" measure="1" displayFolder="" measureGroup="Заказано и в пути с завода" count="0"/>
    <cacheHierarchy uniqueName="[Measures].[В заказах поставщику - шт]" caption="В заказах поставщику - шт" measure="1" displayFolder="" measureGroup="Заказано и в пути с завода" count="0"/>
    <cacheHierarchy uniqueName="[Measures].[В пути с завода в РФ - по наружкам]" caption="В пути с завода в РФ - по наружкам" measure="1" displayFolder="" measureGroup="Заказано и в пути с завода" count="0"/>
    <cacheHierarchy uniqueName="[Measures].[В заказах поставщику - по наружкам]" caption="В заказах поставщику - по наружкам" measure="1" displayFolder="" measureGroup="Заказано и в пути с завода" count="0"/>
    <cacheHierarchy uniqueName="[Measures].[Отгружено и в заказах на заводе - по наружкам]" caption="Отгружено и в заказах на заводе - по наружкам" measure="1" displayFolder="" measureGroup="Заказано и в пути с завода" count="0"/>
    <cacheHierarchy uniqueName="[Measures].[Брони шт]" caption="Брони шт" measure="1" displayFolder="" measureGroup="Брони" count="0"/>
    <cacheHierarchy uniqueName="[Measures].[% вып плана продаж 2025 янв шт]" caption="% вып плана продаж 2025 янв шт" measure="1" displayFolder="% выполнения" measureGroup="План факт-сток" count="0"/>
    <cacheHierarchy uniqueName="[Measures].[% вып плана продаж 2025 янв $]" caption="% вып плана продаж 2025 янв $" measure="1" displayFolder="% выполнения" measureGroup="План факт-сток" count="0"/>
    <cacheHierarchy uniqueName="[Measures].[% факт 2025/2024 $]" caption="% факт 2025/2024 $" measure="1" displayFolder="% выполнения" measureGroup="План факт-сток" count="0"/>
    <cacheHierarchy uniqueName="[Measures].[% факт 2025/2024 шт]" caption="% факт 2025/2024 шт" measure="1" displayFolder="% выполнения" measureGroup="План факт-сток" count="0"/>
    <cacheHierarchy uniqueName="[Measures].[% вып плана продаж 2024 янв шт]" caption="% вып плана продаж 2024 янв шт" measure="1" displayFolder="% выполнения" measureGroup="План факт-сток" count="0"/>
    <cacheHierarchy uniqueName="[Measures].[% вып плана продаж 2024 янв $]" caption="% вып плана продаж 2024 янв $" measure="1" displayFolder="% выполнения" measureGroup="План факт-сток" count="0"/>
    <cacheHierarchy uniqueName="[Measures].[План наценки 2024 янв]" caption="План наценки 2024 янв" measure="1" displayFolder="Наценка 2024" measureGroup="План DDP и наценки" count="0"/>
    <cacheHierarchy uniqueName="[Measures].[План наценки 2024 апр]" caption="План наценки 2024 апр" measure="1" displayFolder="Наценка 2024" measureGroup="План DDP и наценки" count="0"/>
    <cacheHierarchy uniqueName="[Measures].[План наценки 2024 окт]" caption="План наценки 2024 окт" measure="1" displayFolder="Наценка 2024" measureGroup="План DDP и наценки" count="0"/>
    <cacheHierarchy uniqueName="[Measures].[План наценки 2024 июл]" caption="План наценки 2024 июл" measure="1" displayFolder="Наценка 2024" measureGroup="План DDP и наценки" count="0"/>
    <cacheHierarchy uniqueName="[Measures].[Факт наценки 2024]" caption="Факт наценки 2024" measure="1" displayFolder="Наценка 2024" measureGroup="Продажи DDP и наценка" count="0"/>
    <cacheHierarchy uniqueName="[Measures].[Факт наценки 2025]" caption="Факт наценки 2025" measure="1" displayFolder="Наценка 2025" measureGroup="Продажи DDP и наценка" count="0"/>
    <cacheHierarchy uniqueName="[Measures].[Факт наценки 2026]" caption="Факт наценки 2026" measure="1" displayFolder="Наценка 2026" measureGroup="Продажи DDP и наценка" count="0"/>
    <cacheHierarchy uniqueName="[Measures].[План наценки 2025 янв]" caption="План наценки 2025 янв" measure="1" displayFolder="Наценка 2025" measureGroup="План DDP и наценки" count="0"/>
    <cacheHierarchy uniqueName="[Measures].[План наценки 2025 opt]" caption="План наценки 2025 opt" measure="1" displayFolder="Наценка 2025" measureGroup="План DDP и наценки" count="0"/>
    <cacheHierarchy uniqueName="[Measures].[План наценки 2025 pes]" caption="План наценки 2025 pes" measure="1" displayFolder="Наценка 2025" measureGroup="План DDP и наценки" count="0"/>
    <cacheHierarchy uniqueName="[Measures].[План наценки 2025 окт]" caption="План наценки 2025 окт" measure="1" displayFolder="Наценка 2025" measureGroup="План DDP и наценки" count="0"/>
    <cacheHierarchy uniqueName="[Measures].[План наценки 2026 янв]" caption="План наценки 2026 янв" measure="1" displayFolder="Наценка 2026" measureGroup="План DDP и наценки" count="0"/>
    <cacheHierarchy uniqueName="[Measures].[Price2024]" caption="Price2024" measure="1" displayFolder="" measureGroup="Продажи DDP и наценка" count="0" hidden="1"/>
    <cacheHierarchy uniqueName="[Measures].[Price2025]" caption="Price2025" measure="1" displayFolder="" measureGroup="Продажи DDP и наценка" count="0" hidden="1"/>
    <cacheHierarchy uniqueName="[Measures].[Amount USD2024 Jan]" caption="Amount USD2024 Jan" measure="1" displayFolder="" measureGroup="План DDP и наценки" count="0" hidden="1"/>
    <cacheHierarchy uniqueName="[Measures].[Amount USD2024 Apr]" caption="Amount USD2024 Apr" measure="1" displayFolder="" measureGroup="План DDP и наценки" count="0" hidden="1"/>
    <cacheHierarchy uniqueName="[Measures].[Amount USD2024 Jul]" caption="Amount USD2024 Jul" measure="1" displayFolder="" measureGroup="План DDP и наценки" count="0" hidden="1"/>
    <cacheHierarchy uniqueName="[Measures].[Amount USD2024 Oct]" caption="Amount USD2024 Oct" measure="1" displayFolder="" measureGroup="План DDP и наценки" count="0" hidden="1"/>
    <cacheHierarchy uniqueName="[Measures].[Amount USD2025 Jan]" caption="Amount USD2025 Jan" measure="1" displayFolder="" measureGroup="План DDP и наценки" count="0" hidden="1"/>
    <cacheHierarchy uniqueName="[Measures].[Amount USD2025 2hy Opt]" caption="Amount USD2025 2hy Opt" measure="1" displayFolder="" measureGroup="План DDP и наценки" count="0" hidden="1"/>
    <cacheHierarchy uniqueName="[Measures].[Amount USD2025 2hy Pes]" caption="Amount USD2025 2hy Pes" measure="1" displayFolder="" measureGroup="План DDP и наценки" count="0" hidden="1"/>
    <cacheHierarchy uniqueName="[Measures].[Amount USD2025 4q]" caption="Amount USD2025 4q" measure="1" displayFolder="" measureGroup="План DDP и наценки" count="0" hidden="1"/>
  </cacheHierarchies>
  <kpis count="0"/>
  <dimensions count="9">
    <dimension measure="1" name="Measures" uniqueName="[Measures]" caption="Measures"/>
    <dimension name="Бронь" uniqueName="[Бронь]" caption="Бронь"/>
    <dimension name="Дата" uniqueName="[Дата]" caption="Дата"/>
    <dimension name="Дилер" uniqueName="[Дилер]" caption="Дилер"/>
    <dimension name="Документ продажи I только для продаж детально I" uniqueName="[Документ продажи I только для продаж детально I]" caption="Документ продажи I только для продаж детально I"/>
    <dimension name="Дополнительные параметры" uniqueName="[Дополнительные параметры]" caption="Дополнительные параметры"/>
    <dimension name="Подразделение" uniqueName="[Подразделение]" caption="Подразделение"/>
    <dimension name="Склад" uniqueName="[Склад]" caption="Склад"/>
    <dimension name="Товар" uniqueName="[Товар]" caption="Товар"/>
  </dimensions>
  <measureGroups count="7">
    <measureGroup name="Брони" caption="Брони"/>
    <measureGroup name="Заказано и в пути с завода" caption="Заказано и в пути с завода"/>
    <measureGroup name="Закрытые сделки" caption="Закрытые сделки"/>
    <measureGroup name="План DDP и наценки" caption="План DDP и наценки"/>
    <measureGroup name="План факт-сток" caption="План факт-сток"/>
    <measureGroup name="Продажи DDP и наценка" caption="Продажи DDP и наценка"/>
    <measureGroup name="Сток на складах продажи" caption="Сток на складах продажи"/>
  </measureGroups>
  <maps count="26">
    <map measureGroup="0" dimension="1"/>
    <map measureGroup="0" dimension="6"/>
    <map measureGroup="0" dimension="7"/>
    <map measureGroup="0" dimension="8"/>
    <map measureGroup="1" dimension="6"/>
    <map measureGroup="1" dimension="7"/>
    <map measureGroup="1" dimension="8"/>
    <map measureGroup="2" dimension="2"/>
    <map measureGroup="2" dimension="6"/>
    <map measureGroup="2" dimension="8"/>
    <map measureGroup="3" dimension="2"/>
    <map measureGroup="3" dimension="6"/>
    <map measureGroup="3" dimension="8"/>
    <map measureGroup="4" dimension="2"/>
    <map measureGroup="4" dimension="3"/>
    <map measureGroup="4" dimension="5"/>
    <map measureGroup="4" dimension="6"/>
    <map measureGroup="4" dimension="8"/>
    <map measureGroup="5" dimension="2"/>
    <map measureGroup="5" dimension="3"/>
    <map measureGroup="5" dimension="4"/>
    <map measureGroup="5" dimension="6"/>
    <map measureGroup="5" dimension="8"/>
    <map measureGroup="6" dimension="6"/>
    <map measureGroup="6" dimension="7"/>
    <map measureGroup="6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4F78F-13C0-49F7-85B8-C91219EC2351}" name="Сводная таблица1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fieldListSortAscending="1">
  <location ref="A1:B6" firstHeaderRow="1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5"/>
    <field x="1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fld="0" baseField="0" baseItem="0"/>
  </dataFields>
  <pivotHierarchies count="1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2"/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221C-FB6F-4F7D-A786-604E20AF8E88}">
  <dimension ref="A1:AW117"/>
  <sheetViews>
    <sheetView topLeftCell="S10" zoomScale="80" zoomScaleNormal="80" workbookViewId="0">
      <selection activeCell="V1" sqref="V1:V1048576"/>
    </sheetView>
  </sheetViews>
  <sheetFormatPr defaultRowHeight="15" outlineLevelCol="1" x14ac:dyDescent="0.25"/>
  <cols>
    <col min="1" max="1" width="48.28515625" hidden="1" customWidth="1" outlineLevel="1"/>
    <col min="2" max="2" width="20.85546875" hidden="1" customWidth="1" outlineLevel="1"/>
    <col min="3" max="3" width="42.7109375" hidden="1" customWidth="1" outlineLevel="1"/>
    <col min="4" max="15" width="12" style="1" hidden="1" customWidth="1" outlineLevel="1"/>
    <col min="16" max="16" width="16" style="1" hidden="1" customWidth="1" outlineLevel="1"/>
    <col min="17" max="17" width="11.7109375" hidden="1" customWidth="1" outlineLevel="1"/>
    <col min="18" max="18" width="9.140625" hidden="1" customWidth="1" outlineLevel="1"/>
    <col min="19" max="19" width="17.85546875" customWidth="1" outlineLevel="1"/>
    <col min="20" max="20" width="27" customWidth="1"/>
    <col min="21" max="21" width="20.85546875" bestFit="1" customWidth="1"/>
    <col min="22" max="22" width="42.7109375" bestFit="1" customWidth="1"/>
    <col min="23" max="34" width="12" style="1" hidden="1" customWidth="1" outlineLevel="1"/>
    <col min="35" max="35" width="15.5703125" style="1" hidden="1" customWidth="1" outlineLevel="1"/>
    <col min="36" max="36" width="10.7109375" hidden="1" customWidth="1" outlineLevel="1"/>
    <col min="37" max="37" width="9.140625" collapsed="1"/>
  </cols>
  <sheetData>
    <row r="1" spans="1:49" x14ac:dyDescent="0.25">
      <c r="A1" s="6" t="s">
        <v>26</v>
      </c>
      <c r="B1" s="6"/>
      <c r="C1" s="6"/>
      <c r="D1" s="5">
        <f t="shared" ref="D1:O2" si="0">SUMIFS(D$5:D$111,$A$5:$A$111,$A1)</f>
        <v>160477.18383746527</v>
      </c>
      <c r="E1" s="5">
        <f t="shared" si="0"/>
        <v>228324.38654955584</v>
      </c>
      <c r="F1" s="5">
        <f t="shared" si="0"/>
        <v>336030.52729717537</v>
      </c>
      <c r="G1" s="5">
        <f t="shared" si="0"/>
        <v>553906.33682202955</v>
      </c>
      <c r="H1" s="5">
        <f t="shared" si="0"/>
        <v>619934.8338352401</v>
      </c>
      <c r="I1" s="5">
        <f t="shared" si="0"/>
        <v>734760.34876643948</v>
      </c>
      <c r="J1" s="5">
        <f t="shared" si="0"/>
        <v>686645.49010424537</v>
      </c>
      <c r="K1" s="5">
        <f t="shared" si="0"/>
        <v>470019.93612311874</v>
      </c>
      <c r="L1" s="5">
        <f t="shared" si="0"/>
        <v>416840.98963566968</v>
      </c>
      <c r="M1" s="5">
        <f t="shared" si="0"/>
        <v>365586.65572506562</v>
      </c>
      <c r="N1" s="5">
        <f t="shared" si="0"/>
        <v>368262.82071742369</v>
      </c>
      <c r="O1" s="5">
        <f t="shared" si="0"/>
        <v>389483.41429754742</v>
      </c>
      <c r="P1" s="9">
        <f>SUM(D1:O1)</f>
        <v>5330272.9237109758</v>
      </c>
      <c r="Q1" s="22">
        <f>SUM(P1:P2)</f>
        <v>5330272.9237109758</v>
      </c>
      <c r="U1" s="6" t="s">
        <v>26</v>
      </c>
      <c r="V1" s="6"/>
      <c r="W1" s="5">
        <f t="shared" ref="W1:AH2" si="1">SUMIFS(W$5:W$111,$A$5:$A$111,$A1)</f>
        <v>182792.12610132594</v>
      </c>
      <c r="X1" s="5">
        <f t="shared" si="1"/>
        <v>238998.77731018458</v>
      </c>
      <c r="Y1" s="5">
        <f t="shared" si="1"/>
        <v>343854.74735457206</v>
      </c>
      <c r="Z1" s="5">
        <f t="shared" si="1"/>
        <v>482990.99958034925</v>
      </c>
      <c r="AA1" s="5">
        <f t="shared" si="1"/>
        <v>498934.20718651538</v>
      </c>
      <c r="AB1" s="5">
        <f t="shared" si="1"/>
        <v>566085.45556177839</v>
      </c>
      <c r="AC1" s="5">
        <f t="shared" si="1"/>
        <v>609111.93692438968</v>
      </c>
      <c r="AD1" s="5">
        <f t="shared" si="1"/>
        <v>534236.43831583974</v>
      </c>
      <c r="AE1" s="5">
        <f t="shared" si="1"/>
        <v>421524.69772454543</v>
      </c>
      <c r="AF1" s="5">
        <f t="shared" si="1"/>
        <v>396881.11274650681</v>
      </c>
      <c r="AG1" s="5">
        <f t="shared" si="1"/>
        <v>356453.01747225662</v>
      </c>
      <c r="AH1" s="5">
        <f t="shared" si="1"/>
        <v>297164.09346013778</v>
      </c>
      <c r="AI1" s="11">
        <f>SUM(W1:AH1)</f>
        <v>4929027.6097384021</v>
      </c>
      <c r="AJ1" s="23">
        <f>SUM(AI1:AI2)</f>
        <v>4929027.6097384021</v>
      </c>
      <c r="AK1" s="24"/>
    </row>
    <row r="2" spans="1:49" x14ac:dyDescent="0.25">
      <c r="A2" s="6" t="s">
        <v>27</v>
      </c>
      <c r="B2" s="6"/>
      <c r="C2" s="6"/>
      <c r="D2" s="5">
        <f t="shared" si="0"/>
        <v>0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9">
        <f t="shared" ref="P2" si="2">SUM(D2:O2)</f>
        <v>0</v>
      </c>
      <c r="Q2" s="22"/>
      <c r="U2" s="6" t="s">
        <v>27</v>
      </c>
      <c r="V2" s="6"/>
      <c r="W2" s="5">
        <f t="shared" si="1"/>
        <v>0</v>
      </c>
      <c r="X2" s="5">
        <f t="shared" si="1"/>
        <v>0</v>
      </c>
      <c r="Y2" s="5">
        <f t="shared" si="1"/>
        <v>0</v>
      </c>
      <c r="Z2" s="5">
        <f t="shared" si="1"/>
        <v>0</v>
      </c>
      <c r="AA2" s="5">
        <f t="shared" si="1"/>
        <v>0</v>
      </c>
      <c r="AB2" s="5">
        <f t="shared" si="1"/>
        <v>0</v>
      </c>
      <c r="AC2" s="5">
        <f t="shared" si="1"/>
        <v>0</v>
      </c>
      <c r="AD2" s="5">
        <f t="shared" si="1"/>
        <v>0</v>
      </c>
      <c r="AE2" s="5">
        <f t="shared" si="1"/>
        <v>0</v>
      </c>
      <c r="AF2" s="5">
        <f t="shared" si="1"/>
        <v>0</v>
      </c>
      <c r="AG2" s="5">
        <f t="shared" si="1"/>
        <v>0</v>
      </c>
      <c r="AH2" s="5">
        <f t="shared" si="1"/>
        <v>0</v>
      </c>
      <c r="AI2" s="11">
        <f t="shared" ref="AI2" si="3">SUM(W2:AH2)</f>
        <v>0</v>
      </c>
      <c r="AJ2" s="23"/>
      <c r="AK2" s="24"/>
    </row>
    <row r="3" spans="1:49" x14ac:dyDescent="0.25">
      <c r="A3" s="7" t="s">
        <v>135</v>
      </c>
      <c r="B3" s="7" t="s">
        <v>135</v>
      </c>
      <c r="C3" s="7" t="s">
        <v>135</v>
      </c>
      <c r="D3" s="7" t="s">
        <v>135</v>
      </c>
      <c r="E3" s="7" t="s">
        <v>135</v>
      </c>
      <c r="F3" s="7" t="s">
        <v>135</v>
      </c>
      <c r="G3" s="7" t="s">
        <v>135</v>
      </c>
      <c r="H3" s="7" t="s">
        <v>135</v>
      </c>
      <c r="I3" s="7" t="s">
        <v>135</v>
      </c>
      <c r="J3" s="7" t="s">
        <v>135</v>
      </c>
      <c r="K3" s="7" t="s">
        <v>135</v>
      </c>
      <c r="L3" s="7" t="s">
        <v>135</v>
      </c>
      <c r="M3" s="7" t="s">
        <v>135</v>
      </c>
      <c r="N3" s="7" t="s">
        <v>135</v>
      </c>
      <c r="O3" s="7" t="s">
        <v>135</v>
      </c>
      <c r="P3" s="7" t="s">
        <v>135</v>
      </c>
      <c r="U3" s="12" t="s">
        <v>136</v>
      </c>
      <c r="V3" s="12" t="s">
        <v>136</v>
      </c>
      <c r="W3" s="12" t="s">
        <v>136</v>
      </c>
      <c r="X3" s="12" t="s">
        <v>136</v>
      </c>
      <c r="Y3" s="12" t="s">
        <v>136</v>
      </c>
      <c r="Z3" s="12" t="s">
        <v>136</v>
      </c>
      <c r="AA3" s="12" t="s">
        <v>136</v>
      </c>
      <c r="AB3" s="12" t="s">
        <v>136</v>
      </c>
      <c r="AC3" s="12" t="s">
        <v>136</v>
      </c>
      <c r="AD3" s="12" t="s">
        <v>136</v>
      </c>
      <c r="AE3" s="12" t="s">
        <v>136</v>
      </c>
      <c r="AF3" s="12" t="s">
        <v>136</v>
      </c>
      <c r="AG3" s="12" t="s">
        <v>136</v>
      </c>
      <c r="AH3" s="12" t="s">
        <v>136</v>
      </c>
      <c r="AI3" s="12" t="s">
        <v>136</v>
      </c>
    </row>
    <row r="4" spans="1:49" x14ac:dyDescent="0.25">
      <c r="A4" s="2" t="s">
        <v>0</v>
      </c>
      <c r="B4" s="2" t="s">
        <v>2</v>
      </c>
      <c r="C4" s="2" t="s">
        <v>1</v>
      </c>
      <c r="D4" s="3" t="s">
        <v>3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134</v>
      </c>
      <c r="Q4" s="15" t="s">
        <v>137</v>
      </c>
      <c r="T4" s="2" t="s">
        <v>0</v>
      </c>
      <c r="U4" s="2" t="s">
        <v>2</v>
      </c>
      <c r="V4" s="2" t="s">
        <v>1</v>
      </c>
      <c r="W4" s="3" t="s">
        <v>3</v>
      </c>
      <c r="X4" s="3" t="s">
        <v>6</v>
      </c>
      <c r="Y4" s="3" t="s">
        <v>7</v>
      </c>
      <c r="Z4" s="3" t="s">
        <v>8</v>
      </c>
      <c r="AA4" s="3" t="s">
        <v>9</v>
      </c>
      <c r="AB4" s="3" t="s">
        <v>10</v>
      </c>
      <c r="AC4" s="3" t="s">
        <v>11</v>
      </c>
      <c r="AD4" s="3" t="s">
        <v>12</v>
      </c>
      <c r="AE4" s="3" t="s">
        <v>13</v>
      </c>
      <c r="AF4" s="3" t="s">
        <v>14</v>
      </c>
      <c r="AG4" s="3" t="s">
        <v>15</v>
      </c>
      <c r="AH4" s="3" t="s">
        <v>16</v>
      </c>
      <c r="AI4" s="3" t="s">
        <v>134</v>
      </c>
      <c r="AL4" s="3" t="s">
        <v>3</v>
      </c>
      <c r="AM4" s="3" t="s">
        <v>6</v>
      </c>
      <c r="AN4" s="3" t="s">
        <v>7</v>
      </c>
      <c r="AO4" s="3" t="s">
        <v>8</v>
      </c>
      <c r="AP4" s="3" t="s">
        <v>9</v>
      </c>
      <c r="AQ4" s="3" t="s">
        <v>10</v>
      </c>
      <c r="AR4" s="3" t="s">
        <v>11</v>
      </c>
      <c r="AS4" s="3" t="s">
        <v>12</v>
      </c>
      <c r="AT4" s="3" t="s">
        <v>13</v>
      </c>
      <c r="AU4" s="3" t="s">
        <v>14</v>
      </c>
      <c r="AV4" s="3" t="s">
        <v>15</v>
      </c>
      <c r="AW4" s="3" t="s">
        <v>16</v>
      </c>
    </row>
    <row r="5" spans="1:49" x14ac:dyDescent="0.25">
      <c r="A5" s="4" t="s">
        <v>26</v>
      </c>
      <c r="B5" s="4" t="s">
        <v>5</v>
      </c>
      <c r="C5" s="4" t="s">
        <v>63</v>
      </c>
      <c r="D5" s="4">
        <v>518.86608707321159</v>
      </c>
      <c r="E5" s="4">
        <v>864.77655956403396</v>
      </c>
      <c r="F5" s="4">
        <v>1383.6422683002679</v>
      </c>
      <c r="G5" s="4">
        <v>1902.5083553734789</v>
      </c>
      <c r="H5" s="4">
        <v>2075.46359161889</v>
      </c>
      <c r="I5" s="4">
        <v>2594.329678692101</v>
      </c>
      <c r="J5" s="4">
        <v>2248.418827864301</v>
      </c>
      <c r="K5" s="4">
        <v>1383.6422683002679</v>
      </c>
      <c r="L5" s="4">
        <v>1210.687032054856</v>
      </c>
      <c r="M5" s="4">
        <v>1037.731795809445</v>
      </c>
      <c r="N5" s="4">
        <v>1037.731795809445</v>
      </c>
      <c r="O5" s="4">
        <v>1037.731795809445</v>
      </c>
      <c r="P5" s="10">
        <f>SUM(D5:O5)</f>
        <v>17295.530056269745</v>
      </c>
      <c r="Q5" s="14">
        <v>292.17991845056071</v>
      </c>
      <c r="S5" t="s">
        <v>139</v>
      </c>
      <c r="T5" t="s">
        <v>26</v>
      </c>
      <c r="U5" t="s">
        <v>5</v>
      </c>
      <c r="V5" t="s">
        <v>63</v>
      </c>
      <c r="W5" s="8">
        <v>518.86608707321159</v>
      </c>
      <c r="X5" s="8">
        <v>864.77655956403396</v>
      </c>
      <c r="Y5" s="8">
        <v>1383.6422683002679</v>
      </c>
      <c r="Z5" s="8">
        <v>1902.5083553734789</v>
      </c>
      <c r="AA5" s="8">
        <v>2075.46359161889</v>
      </c>
      <c r="AB5" s="8">
        <v>2594.329678692101</v>
      </c>
      <c r="AC5" s="8">
        <v>2248.418827864301</v>
      </c>
      <c r="AD5" s="8">
        <v>1383.6422683002679</v>
      </c>
      <c r="AE5" s="8">
        <v>1210.687032054856</v>
      </c>
      <c r="AF5" s="8">
        <v>1037.731795809445</v>
      </c>
      <c r="AG5" s="8">
        <v>1037.731795809445</v>
      </c>
      <c r="AH5" s="8">
        <v>1037.731795809445</v>
      </c>
      <c r="AI5" s="8">
        <v>17295.530056269745</v>
      </c>
      <c r="AJ5" s="13">
        <f t="shared" ref="AJ5:AJ68" si="4">AI5/P5</f>
        <v>1</v>
      </c>
      <c r="AL5" s="20">
        <f>W5/$AI5</f>
        <v>3.0000010718672317E-2</v>
      </c>
      <c r="AM5" s="20">
        <f t="shared" ref="AM5:AW5" si="5">X5/$AI5</f>
        <v>5.0000003281226217E-2</v>
      </c>
      <c r="AN5" s="20">
        <f t="shared" si="5"/>
        <v>7.9999992125057096E-2</v>
      </c>
      <c r="AO5" s="20">
        <f t="shared" si="5"/>
        <v>0.11000000284372938</v>
      </c>
      <c r="AP5" s="20">
        <f t="shared" si="5"/>
        <v>0.11999999912500632</v>
      </c>
      <c r="AQ5" s="20">
        <f t="shared" si="5"/>
        <v>0.15000000984367862</v>
      </c>
      <c r="AR5" s="20">
        <f t="shared" si="5"/>
        <v>0.12999999540628326</v>
      </c>
      <c r="AS5" s="20">
        <f t="shared" si="5"/>
        <v>7.9999992125057096E-2</v>
      </c>
      <c r="AT5" s="20">
        <f t="shared" si="5"/>
        <v>6.9999995843780097E-2</v>
      </c>
      <c r="AU5" s="20">
        <f t="shared" si="5"/>
        <v>5.999999956250316E-2</v>
      </c>
      <c r="AV5" s="20">
        <f t="shared" si="5"/>
        <v>5.999999956250316E-2</v>
      </c>
      <c r="AW5" s="20">
        <f t="shared" si="5"/>
        <v>5.999999956250316E-2</v>
      </c>
    </row>
    <row r="6" spans="1:49" x14ac:dyDescent="0.25">
      <c r="A6" s="4" t="s">
        <v>26</v>
      </c>
      <c r="B6" s="4" t="s">
        <v>5</v>
      </c>
      <c r="C6" s="4" t="s">
        <v>64</v>
      </c>
      <c r="D6" s="4">
        <v>2229.5874037124672</v>
      </c>
      <c r="E6" s="4">
        <v>3715.9790061874442</v>
      </c>
      <c r="F6" s="4">
        <v>5945.5664098999114</v>
      </c>
      <c r="G6" s="4">
        <v>8175.1538136123781</v>
      </c>
      <c r="H6" s="4">
        <v>8918.3496148498689</v>
      </c>
      <c r="I6" s="4">
        <v>11147.93701856233</v>
      </c>
      <c r="J6" s="4">
        <v>9661.545416087356</v>
      </c>
      <c r="K6" s="4">
        <v>5945.5664098999114</v>
      </c>
      <c r="L6" s="4">
        <v>5202.3706086624215</v>
      </c>
      <c r="M6" s="4">
        <v>4459.1748074249344</v>
      </c>
      <c r="N6" s="4">
        <v>4459.1748074249344</v>
      </c>
      <c r="O6" s="4">
        <v>4459.1748074249344</v>
      </c>
      <c r="P6" s="10">
        <f t="shared" ref="P6:P69" si="6">SUM(D6:O6)</f>
        <v>74319.580123748892</v>
      </c>
      <c r="Q6" s="14">
        <v>270.39606093579977</v>
      </c>
      <c r="S6" t="s">
        <v>139</v>
      </c>
      <c r="T6" t="s">
        <v>26</v>
      </c>
      <c r="U6" t="s">
        <v>5</v>
      </c>
      <c r="V6" t="s">
        <v>64</v>
      </c>
      <c r="W6" s="8">
        <v>2229.5874037124672</v>
      </c>
      <c r="X6" s="8">
        <v>3715.9790061874442</v>
      </c>
      <c r="Y6" s="8">
        <v>5945.5664098999114</v>
      </c>
      <c r="Z6" s="8">
        <v>8175.1538136123781</v>
      </c>
      <c r="AA6" s="8">
        <v>8918.3496148498689</v>
      </c>
      <c r="AB6" s="8">
        <v>11147.93701856233</v>
      </c>
      <c r="AC6" s="8">
        <v>9661.545416087356</v>
      </c>
      <c r="AD6" s="8">
        <v>5945.5664098999114</v>
      </c>
      <c r="AE6" s="8">
        <v>5202.3706086624215</v>
      </c>
      <c r="AF6" s="8">
        <v>4459.1748074249344</v>
      </c>
      <c r="AG6" s="8">
        <v>4459.1748074249344</v>
      </c>
      <c r="AH6" s="8">
        <v>4459.1748074249344</v>
      </c>
      <c r="AI6" s="8">
        <v>74319.580123748892</v>
      </c>
      <c r="AJ6" s="13">
        <f t="shared" si="4"/>
        <v>1</v>
      </c>
      <c r="AL6" s="20">
        <f t="shared" ref="AL6:AL14" si="7">W6/$AI6</f>
        <v>3.0000000000000006E-2</v>
      </c>
      <c r="AM6" s="20">
        <f t="shared" ref="AM6:AM14" si="8">X6/$AI6</f>
        <v>4.9999999999999996E-2</v>
      </c>
      <c r="AN6" s="20">
        <f t="shared" ref="AN6:AN14" si="9">Y6/$AI6</f>
        <v>0.08</v>
      </c>
      <c r="AO6" s="20">
        <f t="shared" ref="AO6:AO14" si="10">Z6/$AI6</f>
        <v>0.11</v>
      </c>
      <c r="AP6" s="20">
        <f t="shared" ref="AP6:AP14" si="11">AA6/$AI6</f>
        <v>0.12000000000000002</v>
      </c>
      <c r="AQ6" s="20">
        <f t="shared" ref="AQ6:AQ14" si="12">AB6/$AI6</f>
        <v>0.14999999999999994</v>
      </c>
      <c r="AR6" s="20">
        <f t="shared" ref="AR6:AR14" si="13">AC6/$AI6</f>
        <v>0.13</v>
      </c>
      <c r="AS6" s="20">
        <f t="shared" ref="AS6:AS14" si="14">AD6/$AI6</f>
        <v>0.08</v>
      </c>
      <c r="AT6" s="20">
        <f t="shared" ref="AT6:AT14" si="15">AE6/$AI6</f>
        <v>6.9999999999999993E-2</v>
      </c>
      <c r="AU6" s="20">
        <f t="shared" ref="AU6:AU14" si="16">AF6/$AI6</f>
        <v>6.0000000000000012E-2</v>
      </c>
      <c r="AV6" s="20">
        <f t="shared" ref="AV6:AV14" si="17">AG6/$AI6</f>
        <v>6.0000000000000012E-2</v>
      </c>
      <c r="AW6" s="20">
        <f t="shared" ref="AW6:AW14" si="18">AH6/$AI6</f>
        <v>6.0000000000000012E-2</v>
      </c>
    </row>
    <row r="7" spans="1:49" x14ac:dyDescent="0.25">
      <c r="A7" s="4" t="s">
        <v>26</v>
      </c>
      <c r="B7" s="4" t="s">
        <v>5</v>
      </c>
      <c r="C7" s="4" t="s">
        <v>65</v>
      </c>
      <c r="D7" s="4">
        <v>1483.39171261304</v>
      </c>
      <c r="E7" s="4">
        <v>2472.319410899453</v>
      </c>
      <c r="F7" s="4">
        <v>3955.711123512493</v>
      </c>
      <c r="G7" s="4">
        <v>5439.1028361255339</v>
      </c>
      <c r="H7" s="4">
        <v>5933.5665200853209</v>
      </c>
      <c r="I7" s="4">
        <v>7416.9582326983591</v>
      </c>
      <c r="J7" s="4">
        <v>6428.030534411947</v>
      </c>
      <c r="K7" s="4">
        <v>3955.711123512493</v>
      </c>
      <c r="L7" s="4">
        <v>3461.247109185867</v>
      </c>
      <c r="M7" s="4">
        <v>2966.78342522608</v>
      </c>
      <c r="N7" s="4">
        <v>2966.78342522608</v>
      </c>
      <c r="O7" s="4">
        <v>2966.78342522608</v>
      </c>
      <c r="P7" s="10">
        <f t="shared" si="6"/>
        <v>49446.388878722741</v>
      </c>
      <c r="Q7" s="14">
        <v>225.37004950495049</v>
      </c>
      <c r="S7" t="s">
        <v>139</v>
      </c>
      <c r="T7" t="s">
        <v>26</v>
      </c>
      <c r="U7" t="s">
        <v>5</v>
      </c>
      <c r="V7" t="s">
        <v>65</v>
      </c>
      <c r="W7" s="8">
        <v>1483.39171261304</v>
      </c>
      <c r="X7" s="8">
        <v>2472.319410899453</v>
      </c>
      <c r="Y7" s="8">
        <v>3955.711123512493</v>
      </c>
      <c r="Z7" s="8">
        <v>5439.1028361255339</v>
      </c>
      <c r="AA7" s="8">
        <v>5933.5665200853209</v>
      </c>
      <c r="AB7" s="8">
        <v>7416.9582326983591</v>
      </c>
      <c r="AC7" s="8">
        <v>6428.030534411947</v>
      </c>
      <c r="AD7" s="8">
        <v>3955.711123512493</v>
      </c>
      <c r="AE7" s="8">
        <v>3461.247109185867</v>
      </c>
      <c r="AF7" s="8">
        <v>2966.78342522608</v>
      </c>
      <c r="AG7" s="8">
        <v>2966.78342522608</v>
      </c>
      <c r="AH7" s="8">
        <v>2966.78342522608</v>
      </c>
      <c r="AI7" s="8">
        <v>49446.388878722741</v>
      </c>
      <c r="AJ7" s="13">
        <f t="shared" si="4"/>
        <v>1</v>
      </c>
      <c r="AL7" s="20">
        <f t="shared" si="7"/>
        <v>3.0000000935383936E-2</v>
      </c>
      <c r="AM7" s="20">
        <f t="shared" si="8"/>
        <v>4.9999999331868619E-2</v>
      </c>
      <c r="AN7" s="20">
        <f t="shared" si="9"/>
        <v>8.0000000267252555E-2</v>
      </c>
      <c r="AO7" s="20">
        <f t="shared" si="10"/>
        <v>0.1100000012026365</v>
      </c>
      <c r="AP7" s="20">
        <f t="shared" si="11"/>
        <v>0.11999999706022196</v>
      </c>
      <c r="AQ7" s="20">
        <f t="shared" si="12"/>
        <v>0.14999999799560587</v>
      </c>
      <c r="AR7" s="20">
        <f t="shared" si="13"/>
        <v>0.1299999995991212</v>
      </c>
      <c r="AS7" s="20">
        <f t="shared" si="14"/>
        <v>8.0000000267252555E-2</v>
      </c>
      <c r="AT7" s="20">
        <f t="shared" si="15"/>
        <v>6.999999772835333E-2</v>
      </c>
      <c r="AU7" s="20">
        <f t="shared" si="16"/>
        <v>6.0000001870767872E-2</v>
      </c>
      <c r="AV7" s="20">
        <f t="shared" si="17"/>
        <v>6.0000001870767872E-2</v>
      </c>
      <c r="AW7" s="20">
        <f t="shared" si="18"/>
        <v>6.0000001870767872E-2</v>
      </c>
    </row>
    <row r="8" spans="1:49" x14ac:dyDescent="0.25">
      <c r="A8" s="4" t="s">
        <v>26</v>
      </c>
      <c r="B8" s="4" t="s">
        <v>5</v>
      </c>
      <c r="C8" s="4" t="s">
        <v>66</v>
      </c>
      <c r="D8" s="4">
        <v>6586.6220700954591</v>
      </c>
      <c r="E8" s="4">
        <v>10977.70368731614</v>
      </c>
      <c r="F8" s="4">
        <v>17564.3257574116</v>
      </c>
      <c r="G8" s="4">
        <v>21820.909371327289</v>
      </c>
      <c r="H8" s="4">
        <v>23804.628463523379</v>
      </c>
      <c r="I8" s="4">
        <v>29755.785418696789</v>
      </c>
      <c r="J8" s="4">
        <v>25788.34723430462</v>
      </c>
      <c r="K8" s="4">
        <v>15869.75209473902</v>
      </c>
      <c r="L8" s="4">
        <v>13886.033323957779</v>
      </c>
      <c r="M8" s="4">
        <v>11902.314231761689</v>
      </c>
      <c r="N8" s="4">
        <v>11902.314231761689</v>
      </c>
      <c r="O8" s="4">
        <v>11902.314231761689</v>
      </c>
      <c r="P8" s="10">
        <f t="shared" si="6"/>
        <v>201761.05011665719</v>
      </c>
      <c r="Q8" s="14">
        <v>211.20999936832794</v>
      </c>
      <c r="S8" t="s">
        <v>139</v>
      </c>
      <c r="T8" t="s">
        <v>26</v>
      </c>
      <c r="U8" t="s">
        <v>5</v>
      </c>
      <c r="V8" t="s">
        <v>66</v>
      </c>
      <c r="W8" s="8">
        <v>6586.6220700954591</v>
      </c>
      <c r="X8" s="8">
        <v>10977.70368731614</v>
      </c>
      <c r="Y8" s="8">
        <v>17564.3257574116</v>
      </c>
      <c r="Z8" s="8">
        <v>21820.909371327289</v>
      </c>
      <c r="AA8" s="8">
        <v>23804.628463523379</v>
      </c>
      <c r="AB8" s="8">
        <v>29755.785418696789</v>
      </c>
      <c r="AC8" s="8">
        <v>25788.34723430462</v>
      </c>
      <c r="AD8" s="8">
        <v>15869.75209473902</v>
      </c>
      <c r="AE8" s="8">
        <v>13886.033323957779</v>
      </c>
      <c r="AF8" s="8">
        <v>11902.314231761689</v>
      </c>
      <c r="AG8" s="8">
        <v>11902.314231761689</v>
      </c>
      <c r="AH8" s="8">
        <v>11902.314231761689</v>
      </c>
      <c r="AI8" s="8">
        <v>201761.05011665719</v>
      </c>
      <c r="AJ8" s="13">
        <f t="shared" si="4"/>
        <v>1</v>
      </c>
      <c r="AL8" s="20">
        <f t="shared" si="7"/>
        <v>3.2645657158738559E-2</v>
      </c>
      <c r="AM8" s="20">
        <f t="shared" si="8"/>
        <v>5.4409429773332803E-2</v>
      </c>
      <c r="AN8" s="20">
        <f t="shared" si="9"/>
        <v>8.7055086932071368E-2</v>
      </c>
      <c r="AO8" s="20">
        <f t="shared" si="10"/>
        <v>0.10815223928855719</v>
      </c>
      <c r="AP8" s="20">
        <f t="shared" si="11"/>
        <v>0.11798426133170732</v>
      </c>
      <c r="AQ8" s="20">
        <f t="shared" si="12"/>
        <v>0.14748032586811055</v>
      </c>
      <c r="AR8" s="20">
        <f t="shared" si="13"/>
        <v>0.12781628178181037</v>
      </c>
      <c r="AS8" s="20">
        <f t="shared" si="14"/>
        <v>7.8656173159106835E-2</v>
      </c>
      <c r="AT8" s="20">
        <f t="shared" si="15"/>
        <v>6.8824152709003786E-2</v>
      </c>
      <c r="AU8" s="20">
        <f t="shared" si="16"/>
        <v>5.8992130665853661E-2</v>
      </c>
      <c r="AV8" s="20">
        <f t="shared" si="17"/>
        <v>5.8992130665853661E-2</v>
      </c>
      <c r="AW8" s="20">
        <f t="shared" si="18"/>
        <v>5.8992130665853661E-2</v>
      </c>
    </row>
    <row r="9" spans="1:49" x14ac:dyDescent="0.25">
      <c r="A9" s="4" t="s">
        <v>26</v>
      </c>
      <c r="B9" s="4" t="s">
        <v>5</v>
      </c>
      <c r="C9" s="4" t="s">
        <v>108</v>
      </c>
      <c r="D9" s="4">
        <v>3179.2634192037522</v>
      </c>
      <c r="E9" s="4">
        <v>3974.07927400469</v>
      </c>
      <c r="F9" s="4">
        <v>4768.8951288056269</v>
      </c>
      <c r="G9" s="4">
        <v>5563.7109836065674</v>
      </c>
      <c r="H9" s="4">
        <v>7153.3426932084421</v>
      </c>
      <c r="I9" s="4">
        <v>8742.9744028103178</v>
      </c>
      <c r="J9" s="4">
        <v>9537.7902576112538</v>
      </c>
      <c r="K9" s="4">
        <v>7948.15854800938</v>
      </c>
      <c r="L9" s="4">
        <v>7948.15854800938</v>
      </c>
      <c r="M9" s="4">
        <v>6358.5268384075034</v>
      </c>
      <c r="N9" s="4">
        <v>7153.3426932084421</v>
      </c>
      <c r="O9" s="4">
        <v>7153.3426932084421</v>
      </c>
      <c r="P9" s="10">
        <f t="shared" si="6"/>
        <v>79481.585480093796</v>
      </c>
      <c r="Q9" s="14">
        <v>1271.1099999999999</v>
      </c>
      <c r="S9" t="s">
        <v>139</v>
      </c>
      <c r="T9" t="s">
        <v>26</v>
      </c>
      <c r="U9" t="s">
        <v>5</v>
      </c>
      <c r="V9" t="s">
        <v>108</v>
      </c>
      <c r="W9" s="8">
        <v>3179.2634192037522</v>
      </c>
      <c r="X9" s="8">
        <v>3974.07927400469</v>
      </c>
      <c r="Y9" s="8">
        <v>4768.8951288056269</v>
      </c>
      <c r="Z9" s="8">
        <v>5563.7109836065674</v>
      </c>
      <c r="AA9" s="8">
        <v>7153.3426932084421</v>
      </c>
      <c r="AB9" s="8">
        <v>8742.9744028103178</v>
      </c>
      <c r="AC9" s="8">
        <v>9537.7902576112538</v>
      </c>
      <c r="AD9" s="8">
        <v>7948.15854800938</v>
      </c>
      <c r="AE9" s="8">
        <v>7948.15854800938</v>
      </c>
      <c r="AF9" s="8">
        <v>6358.5268384075034</v>
      </c>
      <c r="AG9" s="8">
        <v>7153.3426932084421</v>
      </c>
      <c r="AH9" s="8">
        <v>7153.3426932084421</v>
      </c>
      <c r="AI9" s="8">
        <v>79481.585480093796</v>
      </c>
      <c r="AJ9" s="13">
        <f t="shared" si="4"/>
        <v>1</v>
      </c>
      <c r="AL9" s="20">
        <f t="shared" si="7"/>
        <v>0.04</v>
      </c>
      <c r="AM9" s="20">
        <f t="shared" si="8"/>
        <v>0.05</v>
      </c>
      <c r="AN9" s="20">
        <f t="shared" si="9"/>
        <v>5.9999999999999991E-2</v>
      </c>
      <c r="AO9" s="20">
        <f t="shared" si="10"/>
        <v>7.0000000000000021E-2</v>
      </c>
      <c r="AP9" s="20">
        <f t="shared" si="11"/>
        <v>9.0000000000000011E-2</v>
      </c>
      <c r="AQ9" s="20">
        <f t="shared" si="12"/>
        <v>0.11</v>
      </c>
      <c r="AR9" s="20">
        <f t="shared" si="13"/>
        <v>0.11999999999999998</v>
      </c>
      <c r="AS9" s="20">
        <f t="shared" si="14"/>
        <v>0.1</v>
      </c>
      <c r="AT9" s="20">
        <f t="shared" si="15"/>
        <v>0.1</v>
      </c>
      <c r="AU9" s="20">
        <f t="shared" si="16"/>
        <v>0.08</v>
      </c>
      <c r="AV9" s="20">
        <f t="shared" si="17"/>
        <v>9.0000000000000011E-2</v>
      </c>
      <c r="AW9" s="20">
        <f t="shared" si="18"/>
        <v>9.0000000000000011E-2</v>
      </c>
    </row>
    <row r="10" spans="1:49" x14ac:dyDescent="0.25">
      <c r="A10" s="4" t="s">
        <v>26</v>
      </c>
      <c r="B10" s="4" t="s">
        <v>5</v>
      </c>
      <c r="C10" s="4" t="s">
        <v>109</v>
      </c>
      <c r="D10" s="4"/>
      <c r="E10" s="4"/>
      <c r="F10" s="4"/>
      <c r="G10" s="4">
        <v>4123.077151559015</v>
      </c>
      <c r="H10" s="4">
        <v>5890.1001719901951</v>
      </c>
      <c r="I10" s="4">
        <v>7068.1638736289551</v>
      </c>
      <c r="J10" s="4">
        <v>7068.1638736289551</v>
      </c>
      <c r="K10" s="4">
        <v>7068.1638736289551</v>
      </c>
      <c r="L10" s="4">
        <v>6479.1320228095756</v>
      </c>
      <c r="M10" s="4">
        <v>5890.1001719901951</v>
      </c>
      <c r="N10" s="4">
        <v>5890.1001719901951</v>
      </c>
      <c r="O10" s="4">
        <v>5890.1001719901951</v>
      </c>
      <c r="P10" s="10">
        <f t="shared" si="6"/>
        <v>55367.101483216247</v>
      </c>
      <c r="Q10" s="14">
        <v>1062.5506666666665</v>
      </c>
      <c r="S10" t="s">
        <v>139</v>
      </c>
      <c r="T10" t="s">
        <v>26</v>
      </c>
      <c r="U10" t="s">
        <v>5</v>
      </c>
      <c r="V10" t="s">
        <v>109</v>
      </c>
      <c r="W10" s="8"/>
      <c r="X10" s="8"/>
      <c r="Y10" s="8"/>
      <c r="Z10" s="8">
        <v>4123.077151559015</v>
      </c>
      <c r="AA10" s="8">
        <v>5890.1001719901951</v>
      </c>
      <c r="AB10" s="8">
        <v>7068.1638736289551</v>
      </c>
      <c r="AC10" s="8">
        <v>7068.1638736289551</v>
      </c>
      <c r="AD10" s="8">
        <v>7068.1638736289551</v>
      </c>
      <c r="AE10" s="8">
        <v>6479.1320228095756</v>
      </c>
      <c r="AF10" s="8">
        <v>5890.1001719901951</v>
      </c>
      <c r="AG10" s="8">
        <v>5890.1001719901951</v>
      </c>
      <c r="AH10" s="8">
        <v>5890.1001719901951</v>
      </c>
      <c r="AI10" s="8">
        <v>55367.101483216247</v>
      </c>
      <c r="AJ10" s="13">
        <f t="shared" si="4"/>
        <v>1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7.4467997079617168E-2</v>
      </c>
      <c r="AP10" s="20">
        <f t="shared" si="11"/>
        <v>0.10638267155407613</v>
      </c>
      <c r="AQ10" s="20">
        <f t="shared" si="12"/>
        <v>0.12765999455058288</v>
      </c>
      <c r="AR10" s="20">
        <f t="shared" si="13"/>
        <v>0.12765999455058288</v>
      </c>
      <c r="AS10" s="20">
        <f t="shared" si="14"/>
        <v>0.12765999455058288</v>
      </c>
      <c r="AT10" s="20">
        <f t="shared" si="15"/>
        <v>0.11702133305232951</v>
      </c>
      <c r="AU10" s="20">
        <f t="shared" si="16"/>
        <v>0.10638267155407613</v>
      </c>
      <c r="AV10" s="20">
        <f t="shared" si="17"/>
        <v>0.10638267155407613</v>
      </c>
      <c r="AW10" s="20">
        <f t="shared" si="18"/>
        <v>0.10638267155407613</v>
      </c>
    </row>
    <row r="11" spans="1:49" x14ac:dyDescent="0.25">
      <c r="A11" s="4" t="s">
        <v>26</v>
      </c>
      <c r="B11" s="4" t="s">
        <v>5</v>
      </c>
      <c r="C11" s="4" t="s">
        <v>67</v>
      </c>
      <c r="D11" s="4">
        <v>377.21106362404771</v>
      </c>
      <c r="E11" s="4">
        <v>628.69580432178816</v>
      </c>
      <c r="F11" s="4">
        <v>1005.906867945836</v>
      </c>
      <c r="G11" s="4">
        <v>1383.133630135434</v>
      </c>
      <c r="H11" s="4">
        <v>1508.875651627292</v>
      </c>
      <c r="I11" s="4">
        <v>1886.087064108352</v>
      </c>
      <c r="J11" s="4">
        <v>1634.6023234106119</v>
      </c>
      <c r="K11" s="4">
        <v>1005.906867945836</v>
      </c>
      <c r="L11" s="4">
        <v>880.18019616251661</v>
      </c>
      <c r="M11" s="4">
        <v>754.43782581364621</v>
      </c>
      <c r="N11" s="4">
        <v>754.43782581364621</v>
      </c>
      <c r="O11" s="4">
        <v>754.43782581364621</v>
      </c>
      <c r="P11" s="10">
        <f t="shared" si="6"/>
        <v>12573.912946722652</v>
      </c>
      <c r="Q11" s="14">
        <v>317.19998439996908</v>
      </c>
      <c r="S11" t="s">
        <v>139</v>
      </c>
      <c r="T11" t="s">
        <v>26</v>
      </c>
      <c r="U11" t="s">
        <v>5</v>
      </c>
      <c r="V11" t="s">
        <v>67</v>
      </c>
      <c r="W11" s="8">
        <v>377.21106362404771</v>
      </c>
      <c r="X11" s="8">
        <v>628.69580432178816</v>
      </c>
      <c r="Y11" s="8">
        <v>1005.906867945836</v>
      </c>
      <c r="Z11" s="8">
        <v>1383.133630135434</v>
      </c>
      <c r="AA11" s="8">
        <v>1508.875651627292</v>
      </c>
      <c r="AB11" s="8">
        <v>1886.087064108352</v>
      </c>
      <c r="AC11" s="8">
        <v>1634.6023234106119</v>
      </c>
      <c r="AD11" s="8">
        <v>1005.906867945836</v>
      </c>
      <c r="AE11" s="8">
        <v>880.18019616251661</v>
      </c>
      <c r="AF11" s="8">
        <v>754.43782581364621</v>
      </c>
      <c r="AG11" s="8">
        <v>754.43782581364621</v>
      </c>
      <c r="AH11" s="8">
        <v>754.43782581364621</v>
      </c>
      <c r="AI11" s="8">
        <v>12573.912946722652</v>
      </c>
      <c r="AJ11" s="13">
        <f t="shared" si="4"/>
        <v>1</v>
      </c>
      <c r="AL11" s="20">
        <f t="shared" si="7"/>
        <v>2.9999496992093182E-2</v>
      </c>
      <c r="AM11" s="20">
        <f t="shared" si="8"/>
        <v>5.0000012485028028E-2</v>
      </c>
      <c r="AN11" s="20">
        <f t="shared" si="9"/>
        <v>7.9999509477121214E-2</v>
      </c>
      <c r="AO11" s="20">
        <f t="shared" si="10"/>
        <v>0.11000025497201674</v>
      </c>
      <c r="AP11" s="20">
        <f t="shared" si="11"/>
        <v>0.12000048497397743</v>
      </c>
      <c r="AQ11" s="20">
        <f t="shared" si="12"/>
        <v>0.15000000971057734</v>
      </c>
      <c r="AR11" s="20">
        <f t="shared" si="13"/>
        <v>0.12999949421764254</v>
      </c>
      <c r="AS11" s="20">
        <f t="shared" si="14"/>
        <v>7.9999509477121214E-2</v>
      </c>
      <c r="AT11" s="20">
        <f t="shared" si="15"/>
        <v>7.0000500233456178E-2</v>
      </c>
      <c r="AU11" s="20">
        <f t="shared" si="16"/>
        <v>6.0000242486988736E-2</v>
      </c>
      <c r="AV11" s="20">
        <f t="shared" si="17"/>
        <v>6.0000242486988736E-2</v>
      </c>
      <c r="AW11" s="20">
        <f t="shared" si="18"/>
        <v>6.0000242486988736E-2</v>
      </c>
    </row>
    <row r="12" spans="1:49" x14ac:dyDescent="0.25">
      <c r="A12" s="4" t="s">
        <v>26</v>
      </c>
      <c r="B12" s="4" t="s">
        <v>5</v>
      </c>
      <c r="C12" s="4" t="s">
        <v>34</v>
      </c>
      <c r="D12" s="4">
        <v>1056.5165857589459</v>
      </c>
      <c r="E12" s="4">
        <v>1760.8609762649101</v>
      </c>
      <c r="F12" s="4">
        <v>2817.3775620238562</v>
      </c>
      <c r="G12" s="4">
        <v>3873.8941477828021</v>
      </c>
      <c r="H12" s="4">
        <v>4226.0663430357836</v>
      </c>
      <c r="I12" s="4">
        <v>5282.5829287947317</v>
      </c>
      <c r="J12" s="4">
        <v>4578.2385382887669</v>
      </c>
      <c r="K12" s="4">
        <v>2817.3775620238562</v>
      </c>
      <c r="L12" s="4">
        <v>2465.2053667708751</v>
      </c>
      <c r="M12" s="4">
        <v>2113.0331715178918</v>
      </c>
      <c r="N12" s="4">
        <v>2113.0331715178918</v>
      </c>
      <c r="O12" s="4">
        <v>2113.0331715178918</v>
      </c>
      <c r="P12" s="10">
        <f t="shared" si="6"/>
        <v>35217.219525298198</v>
      </c>
      <c r="Q12" s="14">
        <v>345.12</v>
      </c>
      <c r="S12" t="s">
        <v>139</v>
      </c>
      <c r="T12" t="s">
        <v>26</v>
      </c>
      <c r="U12" t="s">
        <v>5</v>
      </c>
      <c r="V12" t="s">
        <v>34</v>
      </c>
      <c r="W12" s="8">
        <v>1056.5165857589459</v>
      </c>
      <c r="X12" s="8">
        <v>1760.8609762649101</v>
      </c>
      <c r="Y12" s="8">
        <v>2817.3775620238562</v>
      </c>
      <c r="Z12" s="8">
        <v>3873.8941477828021</v>
      </c>
      <c r="AA12" s="8">
        <v>4226.0663430357836</v>
      </c>
      <c r="AB12" s="8">
        <v>5282.5829287947317</v>
      </c>
      <c r="AC12" s="8">
        <v>4578.2385382887669</v>
      </c>
      <c r="AD12" s="8">
        <v>2817.3775620238562</v>
      </c>
      <c r="AE12" s="8">
        <v>2465.2053667708751</v>
      </c>
      <c r="AF12" s="8">
        <v>2113.0331715178918</v>
      </c>
      <c r="AG12" s="8">
        <v>2113.0331715178918</v>
      </c>
      <c r="AH12" s="8">
        <v>2113.0331715178918</v>
      </c>
      <c r="AI12" s="8">
        <v>35217.219525298198</v>
      </c>
      <c r="AJ12" s="13">
        <f t="shared" si="4"/>
        <v>1</v>
      </c>
      <c r="AL12" s="20">
        <f t="shared" si="7"/>
        <v>0.03</v>
      </c>
      <c r="AM12" s="20">
        <f t="shared" si="8"/>
        <v>0.05</v>
      </c>
      <c r="AN12" s="20">
        <f t="shared" si="9"/>
        <v>8.0000000000000016E-2</v>
      </c>
      <c r="AO12" s="20">
        <f t="shared" si="10"/>
        <v>0.11</v>
      </c>
      <c r="AP12" s="20">
        <f t="shared" si="11"/>
        <v>0.12</v>
      </c>
      <c r="AQ12" s="20">
        <f t="shared" si="12"/>
        <v>0.15000000000000005</v>
      </c>
      <c r="AR12" s="20">
        <f t="shared" si="13"/>
        <v>0.13000000000000003</v>
      </c>
      <c r="AS12" s="20">
        <f t="shared" si="14"/>
        <v>8.0000000000000016E-2</v>
      </c>
      <c r="AT12" s="20">
        <f t="shared" si="15"/>
        <v>7.0000000000000034E-2</v>
      </c>
      <c r="AU12" s="20">
        <f t="shared" si="16"/>
        <v>0.06</v>
      </c>
      <c r="AV12" s="20">
        <f t="shared" si="17"/>
        <v>0.06</v>
      </c>
      <c r="AW12" s="20">
        <f t="shared" si="18"/>
        <v>0.06</v>
      </c>
    </row>
    <row r="13" spans="1:49" x14ac:dyDescent="0.25">
      <c r="A13" s="4" t="s">
        <v>26</v>
      </c>
      <c r="B13" s="4" t="s">
        <v>5</v>
      </c>
      <c r="C13" s="4" t="s">
        <v>68</v>
      </c>
      <c r="D13" s="4">
        <v>376.74516001669309</v>
      </c>
      <c r="E13" s="4">
        <v>627.88871534410634</v>
      </c>
      <c r="F13" s="4">
        <v>1004.6338753607999</v>
      </c>
      <c r="G13" s="4">
        <v>1381.3495190501019</v>
      </c>
      <c r="H13" s="4">
        <v>1506.921607411992</v>
      </c>
      <c r="I13" s="4">
        <v>1883.666456730502</v>
      </c>
      <c r="J13" s="4">
        <v>1632.522590704906</v>
      </c>
      <c r="K13" s="4">
        <v>1004.6338753607999</v>
      </c>
      <c r="L13" s="4">
        <v>879.0325813697026</v>
      </c>
      <c r="M13" s="4">
        <v>753.460803705996</v>
      </c>
      <c r="N13" s="4">
        <v>753.460803705996</v>
      </c>
      <c r="O13" s="4">
        <v>753.460803705996</v>
      </c>
      <c r="P13" s="10">
        <f t="shared" si="6"/>
        <v>12557.776792467588</v>
      </c>
      <c r="Q13" s="14">
        <v>959.72117962466484</v>
      </c>
      <c r="S13" t="s">
        <v>139</v>
      </c>
      <c r="T13" t="s">
        <v>26</v>
      </c>
      <c r="U13" t="s">
        <v>5</v>
      </c>
      <c r="V13" t="s">
        <v>68</v>
      </c>
      <c r="W13" s="8">
        <v>376.74516001669309</v>
      </c>
      <c r="X13" s="8">
        <v>627.88871534410634</v>
      </c>
      <c r="Y13" s="8">
        <v>1004.6338753607999</v>
      </c>
      <c r="Z13" s="8">
        <v>1381.3495190501019</v>
      </c>
      <c r="AA13" s="8">
        <v>1506.921607411992</v>
      </c>
      <c r="AB13" s="8">
        <v>1883.666456730502</v>
      </c>
      <c r="AC13" s="8">
        <v>1632.522590704906</v>
      </c>
      <c r="AD13" s="8">
        <v>1004.6338753607999</v>
      </c>
      <c r="AE13" s="8">
        <v>879.0325813697026</v>
      </c>
      <c r="AF13" s="8">
        <v>753.460803705996</v>
      </c>
      <c r="AG13" s="8">
        <v>753.460803705996</v>
      </c>
      <c r="AH13" s="8">
        <v>753.460803705996</v>
      </c>
      <c r="AI13" s="8">
        <v>12557.776792467588</v>
      </c>
      <c r="AJ13" s="13">
        <f t="shared" si="4"/>
        <v>1</v>
      </c>
      <c r="AL13" s="20">
        <f t="shared" si="7"/>
        <v>3.0000944135483643E-2</v>
      </c>
      <c r="AM13" s="20">
        <f t="shared" si="8"/>
        <v>4.9999990103401649E-2</v>
      </c>
      <c r="AN13" s="20">
        <f t="shared" si="9"/>
        <v>8.0000934238885338E-2</v>
      </c>
      <c r="AO13" s="20">
        <f t="shared" si="10"/>
        <v>0.10999952793225817</v>
      </c>
      <c r="AP13" s="20">
        <f t="shared" si="11"/>
        <v>0.11999907565771312</v>
      </c>
      <c r="AQ13" s="20">
        <f t="shared" si="12"/>
        <v>0.14999999505170084</v>
      </c>
      <c r="AR13" s="20">
        <f t="shared" si="13"/>
        <v>0.13000092434228697</v>
      </c>
      <c r="AS13" s="20">
        <f t="shared" si="14"/>
        <v>8.0000934238885338E-2</v>
      </c>
      <c r="AT13" s="20">
        <f t="shared" si="15"/>
        <v>6.9999060812815553E-2</v>
      </c>
      <c r="AU13" s="20">
        <f t="shared" si="16"/>
        <v>5.9999537828856558E-2</v>
      </c>
      <c r="AV13" s="20">
        <f t="shared" si="17"/>
        <v>5.9999537828856558E-2</v>
      </c>
      <c r="AW13" s="20">
        <f t="shared" si="18"/>
        <v>5.9999537828856558E-2</v>
      </c>
    </row>
    <row r="14" spans="1:49" x14ac:dyDescent="0.25">
      <c r="A14" s="4" t="s">
        <v>26</v>
      </c>
      <c r="B14" s="4" t="s">
        <v>5</v>
      </c>
      <c r="C14" s="4" t="s">
        <v>69</v>
      </c>
      <c r="D14" s="4">
        <v>1317.341498334539</v>
      </c>
      <c r="E14" s="4">
        <v>2195.5727329528991</v>
      </c>
      <c r="F14" s="4">
        <v>3512.9142312874369</v>
      </c>
      <c r="G14" s="4">
        <v>4830.2557296219766</v>
      </c>
      <c r="H14" s="4">
        <v>5269.3770064437576</v>
      </c>
      <c r="I14" s="4">
        <v>6586.7405309895021</v>
      </c>
      <c r="J14" s="4">
        <v>5708.4869642403373</v>
      </c>
      <c r="K14" s="4">
        <v>3512.9142312874369</v>
      </c>
      <c r="L14" s="4">
        <v>3073.8039675712589</v>
      </c>
      <c r="M14" s="4">
        <v>2634.682996669078</v>
      </c>
      <c r="N14" s="4">
        <v>2634.682996669078</v>
      </c>
      <c r="O14" s="4">
        <v>2634.682996669078</v>
      </c>
      <c r="P14" s="10">
        <f t="shared" si="6"/>
        <v>43911.45588273638</v>
      </c>
      <c r="Q14" s="14">
        <v>371.44035608308604</v>
      </c>
      <c r="S14" t="s">
        <v>139</v>
      </c>
      <c r="T14" t="s">
        <v>26</v>
      </c>
      <c r="U14" t="s">
        <v>5</v>
      </c>
      <c r="V14" t="s">
        <v>69</v>
      </c>
      <c r="W14" s="8">
        <v>1317.341498334539</v>
      </c>
      <c r="X14" s="8">
        <v>2195.5727329528991</v>
      </c>
      <c r="Y14" s="8">
        <v>3512.9142312874369</v>
      </c>
      <c r="Z14" s="8">
        <v>4830.2557296219766</v>
      </c>
      <c r="AA14" s="8">
        <v>5269.3770064437576</v>
      </c>
      <c r="AB14" s="8">
        <v>6586.7405309895021</v>
      </c>
      <c r="AC14" s="8">
        <v>5708.4869642403373</v>
      </c>
      <c r="AD14" s="8">
        <v>3512.9142312874369</v>
      </c>
      <c r="AE14" s="8">
        <v>3073.8039675712589</v>
      </c>
      <c r="AF14" s="8">
        <v>2634.682996669078</v>
      </c>
      <c r="AG14" s="8">
        <v>2634.682996669078</v>
      </c>
      <c r="AH14" s="8">
        <v>2634.682996669078</v>
      </c>
      <c r="AI14" s="8">
        <v>43911.45588273638</v>
      </c>
      <c r="AJ14" s="13">
        <f t="shared" si="4"/>
        <v>1</v>
      </c>
      <c r="AL14" s="20">
        <f t="shared" si="7"/>
        <v>2.9999950396826781E-2</v>
      </c>
      <c r="AM14" s="20">
        <f t="shared" si="8"/>
        <v>4.999999860665244E-2</v>
      </c>
      <c r="AN14" s="20">
        <f t="shared" si="9"/>
        <v>7.999994900347919E-2</v>
      </c>
      <c r="AO14" s="20">
        <f t="shared" si="10"/>
        <v>0.10999989940030599</v>
      </c>
      <c r="AP14" s="20">
        <f t="shared" si="11"/>
        <v>0.12000005238986833</v>
      </c>
      <c r="AQ14" s="20">
        <f t="shared" si="12"/>
        <v>0.15000050439181759</v>
      </c>
      <c r="AR14" s="20">
        <f t="shared" si="13"/>
        <v>0.12999994761013167</v>
      </c>
      <c r="AS14" s="20">
        <f t="shared" si="14"/>
        <v>7.999994900347919E-2</v>
      </c>
      <c r="AT14" s="20">
        <f t="shared" si="15"/>
        <v>7.000004681647809E-2</v>
      </c>
      <c r="AU14" s="20">
        <f t="shared" si="16"/>
        <v>5.9999900793653561E-2</v>
      </c>
      <c r="AV14" s="20">
        <f t="shared" si="17"/>
        <v>5.9999900793653561E-2</v>
      </c>
      <c r="AW14" s="20">
        <f t="shared" si="18"/>
        <v>5.9999900793653561E-2</v>
      </c>
    </row>
    <row r="15" spans="1:49" x14ac:dyDescent="0.25">
      <c r="A15" s="4" t="s">
        <v>26</v>
      </c>
      <c r="B15" s="4" t="s">
        <v>5</v>
      </c>
      <c r="C15" s="4" t="s">
        <v>70</v>
      </c>
      <c r="D15" s="4">
        <v>425.8010239045181</v>
      </c>
      <c r="E15" s="4">
        <v>709.6804495413686</v>
      </c>
      <c r="F15" s="4">
        <v>1135.4814734458871</v>
      </c>
      <c r="G15" s="4">
        <v>1561.300218106581</v>
      </c>
      <c r="H15" s="4">
        <v>1703.239537130424</v>
      </c>
      <c r="I15" s="4">
        <v>2129.0409548295238</v>
      </c>
      <c r="J15" s="4">
        <v>1845.1615291926739</v>
      </c>
      <c r="K15" s="4">
        <v>1135.4814734458871</v>
      </c>
      <c r="L15" s="4">
        <v>993.5594813836376</v>
      </c>
      <c r="M15" s="4">
        <v>851.61976856521221</v>
      </c>
      <c r="N15" s="4">
        <v>851.61976856521221</v>
      </c>
      <c r="O15" s="4">
        <v>851.61976856521221</v>
      </c>
      <c r="P15" s="10">
        <f t="shared" si="6"/>
        <v>14193.605446676136</v>
      </c>
      <c r="Q15" s="14">
        <v>452.58053916734167</v>
      </c>
      <c r="S15" t="s">
        <v>139</v>
      </c>
      <c r="T15" t="s">
        <v>26</v>
      </c>
      <c r="U15" t="s">
        <v>5</v>
      </c>
      <c r="V15" t="s">
        <v>70</v>
      </c>
      <c r="W15" s="8">
        <v>425.8010239045181</v>
      </c>
      <c r="X15" s="8">
        <v>709.6804495413686</v>
      </c>
      <c r="Y15" s="8">
        <v>1135.4814734458871</v>
      </c>
      <c r="Z15" s="8">
        <v>1561.300218106581</v>
      </c>
      <c r="AA15" s="8">
        <v>1703.239537130424</v>
      </c>
      <c r="AB15" s="8">
        <v>2129.0409548295238</v>
      </c>
      <c r="AC15" s="8">
        <v>1845.1615291926739</v>
      </c>
      <c r="AD15" s="8">
        <v>1135.4814734458871</v>
      </c>
      <c r="AE15" s="8">
        <v>993.5594813836376</v>
      </c>
      <c r="AF15" s="8">
        <v>851.61976856521221</v>
      </c>
      <c r="AG15" s="8">
        <v>851.61976856521221</v>
      </c>
      <c r="AH15" s="8">
        <v>851.61976856521221</v>
      </c>
      <c r="AI15" s="8">
        <v>14193.605446676136</v>
      </c>
      <c r="AJ15" s="13">
        <f t="shared" si="4"/>
        <v>1</v>
      </c>
      <c r="AL15" s="20">
        <f t="shared" ref="AL15:AL78" si="19">W15/$AI15</f>
        <v>2.9999496992093179E-2</v>
      </c>
      <c r="AM15" s="20">
        <f t="shared" ref="AM15:AM78" si="20">X15/$AI15</f>
        <v>5.0000012485028028E-2</v>
      </c>
      <c r="AN15" s="20">
        <f t="shared" ref="AN15:AN78" si="21">Y15/$AI15</f>
        <v>7.9999509477121228E-2</v>
      </c>
      <c r="AO15" s="20">
        <f t="shared" ref="AO15:AO78" si="22">Z15/$AI15</f>
        <v>0.11000025497201678</v>
      </c>
      <c r="AP15" s="20">
        <f t="shared" ref="AP15:AP78" si="23">AA15/$AI15</f>
        <v>0.12000048497397743</v>
      </c>
      <c r="AQ15" s="20">
        <f t="shared" ref="AQ15:AQ78" si="24">AB15/$AI15</f>
        <v>0.15000000971057734</v>
      </c>
      <c r="AR15" s="20">
        <f t="shared" ref="AR15:AR78" si="25">AC15/$AI15</f>
        <v>0.12999949421764254</v>
      </c>
      <c r="AS15" s="20">
        <f t="shared" ref="AS15:AS78" si="26">AD15/$AI15</f>
        <v>7.9999509477121228E-2</v>
      </c>
      <c r="AT15" s="20">
        <f t="shared" ref="AT15:AT78" si="27">AE15/$AI15</f>
        <v>7.0000500233456164E-2</v>
      </c>
      <c r="AU15" s="20">
        <f t="shared" ref="AU15:AU78" si="28">AF15/$AI15</f>
        <v>6.0000242486988736E-2</v>
      </c>
      <c r="AV15" s="20">
        <f t="shared" ref="AV15:AV78" si="29">AG15/$AI15</f>
        <v>6.0000242486988736E-2</v>
      </c>
      <c r="AW15" s="20">
        <f t="shared" ref="AW15:AW78" si="30">AH15/$AI15</f>
        <v>6.0000242486988736E-2</v>
      </c>
    </row>
    <row r="16" spans="1:49" x14ac:dyDescent="0.25">
      <c r="A16" s="4" t="s">
        <v>26</v>
      </c>
      <c r="B16" s="4" t="s">
        <v>5</v>
      </c>
      <c r="C16" s="4" t="s">
        <v>71</v>
      </c>
      <c r="D16" s="4">
        <v>243.65447711009799</v>
      </c>
      <c r="E16" s="4">
        <v>406.09065360840918</v>
      </c>
      <c r="F16" s="4">
        <v>649.7451307185072</v>
      </c>
      <c r="G16" s="4">
        <v>893.39939546597395</v>
      </c>
      <c r="H16" s="4">
        <v>974.61748371512965</v>
      </c>
      <c r="I16" s="4">
        <v>1218.271960825228</v>
      </c>
      <c r="J16" s="4">
        <v>1055.8357843269159</v>
      </c>
      <c r="K16" s="4">
        <v>649.7451307185072</v>
      </c>
      <c r="L16" s="4">
        <v>568.52683010672047</v>
      </c>
      <c r="M16" s="4">
        <v>487.30874185756483</v>
      </c>
      <c r="N16" s="4">
        <v>487.30874185756483</v>
      </c>
      <c r="O16" s="4">
        <v>487.30874185756483</v>
      </c>
      <c r="P16" s="10">
        <f t="shared" si="6"/>
        <v>8121.8130721681855</v>
      </c>
      <c r="Q16" s="14">
        <v>592.13043478260875</v>
      </c>
      <c r="S16" t="s">
        <v>139</v>
      </c>
      <c r="T16" t="s">
        <v>26</v>
      </c>
      <c r="U16" t="s">
        <v>5</v>
      </c>
      <c r="V16" t="s">
        <v>71</v>
      </c>
      <c r="W16" s="8">
        <v>243.65447711009799</v>
      </c>
      <c r="X16" s="8">
        <v>406.09065360840918</v>
      </c>
      <c r="Y16" s="8">
        <v>649.7451307185072</v>
      </c>
      <c r="Z16" s="8">
        <v>893.39939546597395</v>
      </c>
      <c r="AA16" s="8">
        <v>974.61748371512965</v>
      </c>
      <c r="AB16" s="8">
        <v>1218.271960825228</v>
      </c>
      <c r="AC16" s="8">
        <v>1055.8357843269159</v>
      </c>
      <c r="AD16" s="8">
        <v>649.7451307185072</v>
      </c>
      <c r="AE16" s="8">
        <v>568.52683010672047</v>
      </c>
      <c r="AF16" s="8">
        <v>487.30874185756483</v>
      </c>
      <c r="AG16" s="8">
        <v>487.30874185756483</v>
      </c>
      <c r="AH16" s="8">
        <v>487.30874185756483</v>
      </c>
      <c r="AI16" s="8">
        <v>8121.8130721681855</v>
      </c>
      <c r="AJ16" s="13">
        <f t="shared" si="4"/>
        <v>1</v>
      </c>
      <c r="AL16" s="20">
        <f t="shared" si="19"/>
        <v>3.0000010458878044E-2</v>
      </c>
      <c r="AM16" s="20">
        <f t="shared" si="20"/>
        <v>4.9999999999999989E-2</v>
      </c>
      <c r="AN16" s="20">
        <f t="shared" si="21"/>
        <v>8.0000010458878043E-2</v>
      </c>
      <c r="AO16" s="20">
        <f t="shared" si="22"/>
        <v>0.10999999477056095</v>
      </c>
      <c r="AP16" s="20">
        <f t="shared" si="23"/>
        <v>0.11999998954112193</v>
      </c>
      <c r="AQ16" s="20">
        <f t="shared" si="24"/>
        <v>0.15000000000000002</v>
      </c>
      <c r="AR16" s="20">
        <f t="shared" si="25"/>
        <v>0.13000001045887796</v>
      </c>
      <c r="AS16" s="20">
        <f t="shared" si="26"/>
        <v>8.0000010458878043E-2</v>
      </c>
      <c r="AT16" s="20">
        <f t="shared" si="27"/>
        <v>6.9999989541121937E-2</v>
      </c>
      <c r="AU16" s="20">
        <f t="shared" si="28"/>
        <v>5.9999994770560963E-2</v>
      </c>
      <c r="AV16" s="20">
        <f t="shared" si="29"/>
        <v>5.9999994770560963E-2</v>
      </c>
      <c r="AW16" s="20">
        <f t="shared" si="30"/>
        <v>5.9999994770560963E-2</v>
      </c>
    </row>
    <row r="17" spans="1:49" x14ac:dyDescent="0.25">
      <c r="A17" s="4" t="s">
        <v>26</v>
      </c>
      <c r="B17" s="4" t="s">
        <v>5</v>
      </c>
      <c r="C17" s="4" t="s">
        <v>72</v>
      </c>
      <c r="D17" s="4">
        <v>147.6713582786636</v>
      </c>
      <c r="E17" s="4">
        <v>246.1189304644393</v>
      </c>
      <c r="F17" s="4">
        <v>393.79064538810172</v>
      </c>
      <c r="G17" s="4">
        <v>541.46200366676533</v>
      </c>
      <c r="H17" s="4">
        <v>590.68578975965306</v>
      </c>
      <c r="I17" s="4">
        <v>738.35714803831661</v>
      </c>
      <c r="J17" s="4">
        <v>639.90957585254091</v>
      </c>
      <c r="K17" s="4">
        <v>393.79064538810172</v>
      </c>
      <c r="L17" s="4">
        <v>344.56685929521387</v>
      </c>
      <c r="M17" s="4">
        <v>295.34307320232602</v>
      </c>
      <c r="N17" s="4">
        <v>295.34307320232602</v>
      </c>
      <c r="O17" s="4">
        <v>295.34307320232602</v>
      </c>
      <c r="P17" s="10">
        <f t="shared" si="6"/>
        <v>4922.382175738775</v>
      </c>
      <c r="Q17" s="14">
        <v>554.62055335968387</v>
      </c>
      <c r="S17" t="s">
        <v>139</v>
      </c>
      <c r="T17" t="s">
        <v>26</v>
      </c>
      <c r="U17" t="s">
        <v>5</v>
      </c>
      <c r="V17" t="s">
        <v>72</v>
      </c>
      <c r="W17" s="8">
        <v>147.6713582786636</v>
      </c>
      <c r="X17" s="8">
        <v>246.1189304644393</v>
      </c>
      <c r="Y17" s="8">
        <v>393.79064538810172</v>
      </c>
      <c r="Z17" s="8">
        <v>541.46200366676533</v>
      </c>
      <c r="AA17" s="8">
        <v>590.68578975965306</v>
      </c>
      <c r="AB17" s="8">
        <v>738.35714803831661</v>
      </c>
      <c r="AC17" s="8">
        <v>639.90957585254091</v>
      </c>
      <c r="AD17" s="8">
        <v>393.79064538810172</v>
      </c>
      <c r="AE17" s="8">
        <v>344.56685929521387</v>
      </c>
      <c r="AF17" s="8">
        <v>295.34307320232602</v>
      </c>
      <c r="AG17" s="8">
        <v>295.34307320232602</v>
      </c>
      <c r="AH17" s="8">
        <v>295.34307320232602</v>
      </c>
      <c r="AI17" s="8">
        <v>4922.382175738775</v>
      </c>
      <c r="AJ17" s="13">
        <f t="shared" si="4"/>
        <v>1</v>
      </c>
      <c r="AL17" s="20">
        <f t="shared" si="19"/>
        <v>2.9999978263877972E-2</v>
      </c>
      <c r="AM17" s="20">
        <f t="shared" si="20"/>
        <v>4.9999963773129943E-2</v>
      </c>
      <c r="AN17" s="20">
        <f t="shared" si="21"/>
        <v>8.0000014490748006E-2</v>
      </c>
      <c r="AO17" s="20">
        <f t="shared" si="22"/>
        <v>0.10999999275462598</v>
      </c>
      <c r="AP17" s="20">
        <f t="shared" si="23"/>
        <v>0.11999998550925195</v>
      </c>
      <c r="AQ17" s="20">
        <f t="shared" si="24"/>
        <v>0.14999996377312991</v>
      </c>
      <c r="AR17" s="20">
        <f t="shared" si="25"/>
        <v>0.12999997826387794</v>
      </c>
      <c r="AS17" s="20">
        <f t="shared" si="26"/>
        <v>8.0000014490748006E-2</v>
      </c>
      <c r="AT17" s="20">
        <f t="shared" si="27"/>
        <v>7.000002173612202E-2</v>
      </c>
      <c r="AU17" s="20">
        <f t="shared" si="28"/>
        <v>6.0000028981496041E-2</v>
      </c>
      <c r="AV17" s="20">
        <f t="shared" si="29"/>
        <v>6.0000028981496041E-2</v>
      </c>
      <c r="AW17" s="20">
        <f t="shared" si="30"/>
        <v>6.0000028981496041E-2</v>
      </c>
    </row>
    <row r="18" spans="1:49" x14ac:dyDescent="0.25">
      <c r="A18" s="4" t="s">
        <v>26</v>
      </c>
      <c r="B18" s="4" t="s">
        <v>5</v>
      </c>
      <c r="C18" s="4" t="s">
        <v>73</v>
      </c>
      <c r="D18" s="4">
        <v>594.30039800034433</v>
      </c>
      <c r="E18" s="4">
        <v>990.51751860060131</v>
      </c>
      <c r="F18" s="4">
        <v>1584.8179166009461</v>
      </c>
      <c r="G18" s="4">
        <v>2179.143047873069</v>
      </c>
      <c r="H18" s="4">
        <v>2377.2510585449359</v>
      </c>
      <c r="I18" s="4">
        <v>2971.5520061735419</v>
      </c>
      <c r="J18" s="4">
        <v>2575.3348855732852</v>
      </c>
      <c r="K18" s="4">
        <v>1584.8179166009461</v>
      </c>
      <c r="L18" s="4">
        <v>1386.734089572597</v>
      </c>
      <c r="M18" s="4">
        <v>1188.6255292724679</v>
      </c>
      <c r="N18" s="4">
        <v>1188.6255292724679</v>
      </c>
      <c r="O18" s="4">
        <v>1188.6255292724679</v>
      </c>
      <c r="P18" s="10">
        <f t="shared" si="6"/>
        <v>19810.345425357671</v>
      </c>
      <c r="Q18" s="14">
        <v>235.30001671426189</v>
      </c>
      <c r="S18" t="s">
        <v>139</v>
      </c>
      <c r="T18" t="s">
        <v>26</v>
      </c>
      <c r="U18" t="s">
        <v>5</v>
      </c>
      <c r="V18" t="s">
        <v>73</v>
      </c>
      <c r="W18" s="8">
        <v>594.30039800034433</v>
      </c>
      <c r="X18" s="8">
        <v>990.51751860060131</v>
      </c>
      <c r="Y18" s="8">
        <v>1584.8179166009461</v>
      </c>
      <c r="Z18" s="8">
        <v>2179.143047873069</v>
      </c>
      <c r="AA18" s="8">
        <v>2377.2510585449359</v>
      </c>
      <c r="AB18" s="8">
        <v>2971.5520061735419</v>
      </c>
      <c r="AC18" s="8">
        <v>2575.3348855732852</v>
      </c>
      <c r="AD18" s="8">
        <v>1584.8179166009461</v>
      </c>
      <c r="AE18" s="8">
        <v>1386.734089572597</v>
      </c>
      <c r="AF18" s="8">
        <v>1188.6255292724679</v>
      </c>
      <c r="AG18" s="8">
        <v>1188.6255292724679</v>
      </c>
      <c r="AH18" s="8">
        <v>1188.6255292724679</v>
      </c>
      <c r="AI18" s="8">
        <v>19810.345425357671</v>
      </c>
      <c r="AJ18" s="13">
        <f t="shared" si="4"/>
        <v>1</v>
      </c>
      <c r="AL18" s="20">
        <f t="shared" si="19"/>
        <v>2.9999496992093179E-2</v>
      </c>
      <c r="AM18" s="20">
        <f t="shared" si="20"/>
        <v>5.0000012485028021E-2</v>
      </c>
      <c r="AN18" s="20">
        <f t="shared" si="21"/>
        <v>7.9999509477121228E-2</v>
      </c>
      <c r="AO18" s="20">
        <f t="shared" si="22"/>
        <v>0.11000025497201672</v>
      </c>
      <c r="AP18" s="20">
        <f t="shared" si="23"/>
        <v>0.12000048497397743</v>
      </c>
      <c r="AQ18" s="20">
        <f t="shared" si="24"/>
        <v>0.15000000971057734</v>
      </c>
      <c r="AR18" s="20">
        <f t="shared" si="25"/>
        <v>0.12999949421764251</v>
      </c>
      <c r="AS18" s="20">
        <f t="shared" si="26"/>
        <v>7.9999509477121228E-2</v>
      </c>
      <c r="AT18" s="20">
        <f t="shared" si="27"/>
        <v>7.0000500233456164E-2</v>
      </c>
      <c r="AU18" s="20">
        <f t="shared" si="28"/>
        <v>6.0000242486988715E-2</v>
      </c>
      <c r="AV18" s="20">
        <f t="shared" si="29"/>
        <v>6.0000242486988715E-2</v>
      </c>
      <c r="AW18" s="20">
        <f t="shared" si="30"/>
        <v>6.0000242486988715E-2</v>
      </c>
    </row>
    <row r="19" spans="1:49" x14ac:dyDescent="0.25">
      <c r="A19" s="4" t="s">
        <v>26</v>
      </c>
      <c r="B19" s="4" t="s">
        <v>5</v>
      </c>
      <c r="C19" s="4" t="s">
        <v>74</v>
      </c>
      <c r="D19" s="4"/>
      <c r="E19" s="4"/>
      <c r="F19" s="4">
        <v>3916.0417458516931</v>
      </c>
      <c r="G19" s="4">
        <v>6153.7800464940128</v>
      </c>
      <c r="H19" s="4">
        <v>7272.6490099669272</v>
      </c>
      <c r="I19" s="4">
        <v>9510.3873106092487</v>
      </c>
      <c r="J19" s="4">
        <v>7832.0838653998753</v>
      </c>
      <c r="K19" s="4">
        <v>5034.9110830210984</v>
      </c>
      <c r="L19" s="4">
        <v>4475.4762275881503</v>
      </c>
      <c r="M19" s="4">
        <v>3916.0417458516931</v>
      </c>
      <c r="N19" s="4">
        <v>3916.0417458516931</v>
      </c>
      <c r="O19" s="4">
        <v>3916.0417458516931</v>
      </c>
      <c r="P19" s="10">
        <f t="shared" si="6"/>
        <v>55943.454526486079</v>
      </c>
      <c r="Q19" s="14">
        <v>291.64996342355522</v>
      </c>
      <c r="S19" t="s">
        <v>139</v>
      </c>
      <c r="T19" t="s">
        <v>26</v>
      </c>
      <c r="U19" t="s">
        <v>5</v>
      </c>
      <c r="V19" t="s">
        <v>74</v>
      </c>
      <c r="W19" s="8"/>
      <c r="X19" s="8"/>
      <c r="Y19" s="8">
        <v>3916.0417458516931</v>
      </c>
      <c r="Z19" s="8">
        <v>6153.7800464940128</v>
      </c>
      <c r="AA19" s="8">
        <v>7272.6490099669272</v>
      </c>
      <c r="AB19" s="8">
        <v>9510.3873106092487</v>
      </c>
      <c r="AC19" s="8">
        <v>7832.0838653998753</v>
      </c>
      <c r="AD19" s="8">
        <v>5034.9110830210984</v>
      </c>
      <c r="AE19" s="8">
        <v>4475.4762275881503</v>
      </c>
      <c r="AF19" s="8">
        <v>3916.0417458516931</v>
      </c>
      <c r="AG19" s="8">
        <v>3916.0417458516931</v>
      </c>
      <c r="AH19" s="8">
        <v>3916.0417458516931</v>
      </c>
      <c r="AI19" s="8">
        <v>55943.454526486079</v>
      </c>
      <c r="AJ19" s="13">
        <f t="shared" si="4"/>
        <v>1</v>
      </c>
      <c r="AL19" s="20">
        <f t="shared" si="19"/>
        <v>0</v>
      </c>
      <c r="AM19" s="20">
        <f t="shared" si="20"/>
        <v>0</v>
      </c>
      <c r="AN19" s="20">
        <f t="shared" si="21"/>
        <v>6.9999998730819663E-2</v>
      </c>
      <c r="AO19" s="20">
        <f t="shared" si="22"/>
        <v>0.11000000086838656</v>
      </c>
      <c r="AP19" s="20">
        <f t="shared" si="23"/>
        <v>0.12999999859722172</v>
      </c>
      <c r="AQ19" s="20">
        <f t="shared" si="24"/>
        <v>0.17000000073478866</v>
      </c>
      <c r="AR19" s="20">
        <f t="shared" si="25"/>
        <v>0.14000000414153588</v>
      </c>
      <c r="AS19" s="20">
        <f t="shared" si="26"/>
        <v>9.0000003139551407E-2</v>
      </c>
      <c r="AT19" s="20">
        <f t="shared" si="27"/>
        <v>7.9999997595237238E-2</v>
      </c>
      <c r="AU19" s="20">
        <f t="shared" si="28"/>
        <v>6.9999998730819663E-2</v>
      </c>
      <c r="AV19" s="20">
        <f t="shared" si="29"/>
        <v>6.9999998730819663E-2</v>
      </c>
      <c r="AW19" s="20">
        <f t="shared" si="30"/>
        <v>6.9999998730819663E-2</v>
      </c>
    </row>
    <row r="20" spans="1:49" x14ac:dyDescent="0.25">
      <c r="A20" s="4" t="s">
        <v>26</v>
      </c>
      <c r="B20" s="4" t="s">
        <v>5</v>
      </c>
      <c r="C20" s="4" t="s">
        <v>75</v>
      </c>
      <c r="D20" s="4"/>
      <c r="E20" s="4"/>
      <c r="F20" s="4">
        <v>2031.644045966272</v>
      </c>
      <c r="G20" s="4">
        <v>4353.5092226348524</v>
      </c>
      <c r="H20" s="4">
        <v>4063.279149509277</v>
      </c>
      <c r="I20" s="4">
        <v>4933.977938708299</v>
      </c>
      <c r="J20" s="4">
        <v>4933.977938708299</v>
      </c>
      <c r="K20" s="4">
        <v>4353.517792457149</v>
      </c>
      <c r="L20" s="4">
        <v>1741.4054030184</v>
      </c>
      <c r="M20" s="4">
        <v>1741.4054030184</v>
      </c>
      <c r="N20" s="4">
        <v>870.7069864203487</v>
      </c>
      <c r="O20" s="4"/>
      <c r="P20" s="10">
        <f t="shared" si="6"/>
        <v>29023.4238804413</v>
      </c>
      <c r="Q20" s="14">
        <v>241.2102040816327</v>
      </c>
      <c r="S20" t="s">
        <v>139</v>
      </c>
      <c r="T20" t="s">
        <v>26</v>
      </c>
      <c r="U20" t="s">
        <v>5</v>
      </c>
      <c r="V20" t="s">
        <v>75</v>
      </c>
      <c r="W20" s="8"/>
      <c r="X20" s="8"/>
      <c r="Y20" s="8">
        <v>2031.644045966272</v>
      </c>
      <c r="Z20" s="8">
        <v>4353.5092226348524</v>
      </c>
      <c r="AA20" s="8">
        <v>4063.279149509277</v>
      </c>
      <c r="AB20" s="8">
        <v>4933.977938708299</v>
      </c>
      <c r="AC20" s="8">
        <v>4933.977938708299</v>
      </c>
      <c r="AD20" s="8">
        <v>4353.517792457149</v>
      </c>
      <c r="AE20" s="8">
        <v>1741.4054030184</v>
      </c>
      <c r="AF20" s="8">
        <v>1741.4054030184</v>
      </c>
      <c r="AG20" s="8">
        <v>870.7069864203487</v>
      </c>
      <c r="AH20" s="8"/>
      <c r="AI20" s="8">
        <v>29023.4238804413</v>
      </c>
      <c r="AJ20" s="13">
        <f t="shared" si="4"/>
        <v>1</v>
      </c>
      <c r="AL20" s="20">
        <f t="shared" si="19"/>
        <v>0</v>
      </c>
      <c r="AM20" s="20">
        <f t="shared" si="20"/>
        <v>0</v>
      </c>
      <c r="AN20" s="20">
        <f t="shared" si="21"/>
        <v>7.0000150717413598E-2</v>
      </c>
      <c r="AO20" s="20">
        <f t="shared" si="22"/>
        <v>0.14999984979610398</v>
      </c>
      <c r="AP20" s="20">
        <f t="shared" si="23"/>
        <v>0.13999999332427127</v>
      </c>
      <c r="AQ20" s="20">
        <f t="shared" si="24"/>
        <v>0.16999985801238549</v>
      </c>
      <c r="AR20" s="20">
        <f t="shared" si="25"/>
        <v>0.16999985801238549</v>
      </c>
      <c r="AS20" s="20">
        <f t="shared" si="26"/>
        <v>0.15000014506872006</v>
      </c>
      <c r="AT20" s="20">
        <f t="shared" si="27"/>
        <v>5.9999998972964798E-2</v>
      </c>
      <c r="AU20" s="20">
        <f t="shared" si="28"/>
        <v>5.9999998972964798E-2</v>
      </c>
      <c r="AV20" s="20">
        <f t="shared" si="29"/>
        <v>3.0000147122790449E-2</v>
      </c>
      <c r="AW20" s="20">
        <f t="shared" si="30"/>
        <v>0</v>
      </c>
    </row>
    <row r="21" spans="1:49" x14ac:dyDescent="0.25">
      <c r="A21" s="4" t="s">
        <v>26</v>
      </c>
      <c r="B21" s="4" t="s">
        <v>5</v>
      </c>
      <c r="C21" s="4" t="s">
        <v>76</v>
      </c>
      <c r="D21" s="4">
        <v>1773.4018113530899</v>
      </c>
      <c r="E21" s="4">
        <v>2955.6791162329619</v>
      </c>
      <c r="F21" s="4">
        <v>4729.0809275860538</v>
      </c>
      <c r="G21" s="4">
        <v>6502.4827389391439</v>
      </c>
      <c r="H21" s="4">
        <v>7093.6168833237534</v>
      </c>
      <c r="I21" s="4">
        <v>8867.0186946768426</v>
      </c>
      <c r="J21" s="4">
        <v>7684.7413897969727</v>
      </c>
      <c r="K21" s="4">
        <v>4729.0809275860538</v>
      </c>
      <c r="L21" s="4">
        <v>4137.9470941018126</v>
      </c>
      <c r="M21" s="4">
        <v>3546.812949717204</v>
      </c>
      <c r="N21" s="4">
        <v>3546.812949717204</v>
      </c>
      <c r="O21" s="4">
        <v>3546.812949717204</v>
      </c>
      <c r="P21" s="10">
        <f t="shared" si="6"/>
        <v>59113.488432748301</v>
      </c>
      <c r="Q21" s="14">
        <v>305.54995466908434</v>
      </c>
      <c r="S21" t="s">
        <v>139</v>
      </c>
      <c r="T21" t="s">
        <v>26</v>
      </c>
      <c r="U21" t="s">
        <v>5</v>
      </c>
      <c r="V21" t="s">
        <v>76</v>
      </c>
      <c r="W21" s="8">
        <v>1773.4018113530899</v>
      </c>
      <c r="X21" s="8">
        <v>2955.6791162329619</v>
      </c>
      <c r="Y21" s="8">
        <v>4729.0809275860538</v>
      </c>
      <c r="Z21" s="8">
        <v>6502.4827389391439</v>
      </c>
      <c r="AA21" s="8">
        <v>7093.6168833237534</v>
      </c>
      <c r="AB21" s="8">
        <v>8867.0186946768426</v>
      </c>
      <c r="AC21" s="8">
        <v>7684.7413897969727</v>
      </c>
      <c r="AD21" s="8">
        <v>4729.0809275860538</v>
      </c>
      <c r="AE21" s="8">
        <v>4137.9470941018126</v>
      </c>
      <c r="AF21" s="8">
        <v>3546.812949717204</v>
      </c>
      <c r="AG21" s="8">
        <v>3546.812949717204</v>
      </c>
      <c r="AH21" s="8">
        <v>3546.812949717204</v>
      </c>
      <c r="AI21" s="8">
        <v>59113.488432748301</v>
      </c>
      <c r="AJ21" s="13">
        <f t="shared" si="4"/>
        <v>1</v>
      </c>
      <c r="AL21" s="20">
        <f t="shared" si="19"/>
        <v>2.9999951929256172E-2</v>
      </c>
      <c r="AM21" s="20">
        <f t="shared" si="20"/>
        <v>5.0000079416655512E-2</v>
      </c>
      <c r="AN21" s="20">
        <f t="shared" si="21"/>
        <v>8.0000031345911715E-2</v>
      </c>
      <c r="AO21" s="20">
        <f t="shared" si="22"/>
        <v>0.1099999832751679</v>
      </c>
      <c r="AP21" s="20">
        <f t="shared" si="23"/>
        <v>0.11999997075784075</v>
      </c>
      <c r="AQ21" s="20">
        <f t="shared" si="24"/>
        <v>0.14999992268709691</v>
      </c>
      <c r="AR21" s="20">
        <f t="shared" si="25"/>
        <v>0.12999979519969762</v>
      </c>
      <c r="AS21" s="20">
        <f t="shared" si="26"/>
        <v>8.0000031345911715E-2</v>
      </c>
      <c r="AT21" s="20">
        <f t="shared" si="27"/>
        <v>7.0000049122620034E-2</v>
      </c>
      <c r="AU21" s="20">
        <f t="shared" si="28"/>
        <v>6.00000616399472E-2</v>
      </c>
      <c r="AV21" s="20">
        <f t="shared" si="29"/>
        <v>6.00000616399472E-2</v>
      </c>
      <c r="AW21" s="20">
        <f t="shared" si="30"/>
        <v>6.00000616399472E-2</v>
      </c>
    </row>
    <row r="22" spans="1:49" x14ac:dyDescent="0.25">
      <c r="A22" s="4" t="s">
        <v>26</v>
      </c>
      <c r="B22" s="4" t="s">
        <v>5</v>
      </c>
      <c r="C22" s="4" t="s">
        <v>77</v>
      </c>
      <c r="D22" s="4">
        <v>833.09774377631209</v>
      </c>
      <c r="E22" s="4">
        <v>1388.4962396271869</v>
      </c>
      <c r="F22" s="4">
        <v>2221.5939834034989</v>
      </c>
      <c r="G22" s="4">
        <v>3054.691727179812</v>
      </c>
      <c r="H22" s="4">
        <v>3332.3909751052479</v>
      </c>
      <c r="I22" s="4">
        <v>4165.488718881561</v>
      </c>
      <c r="J22" s="4">
        <v>3610.090223030687</v>
      </c>
      <c r="K22" s="4">
        <v>2221.5939834034989</v>
      </c>
      <c r="L22" s="4">
        <v>1943.8947354780621</v>
      </c>
      <c r="M22" s="4">
        <v>1666.1954875526239</v>
      </c>
      <c r="N22" s="4">
        <v>1666.1954875526239</v>
      </c>
      <c r="O22" s="4">
        <v>1666.1954875526239</v>
      </c>
      <c r="P22" s="10">
        <f t="shared" si="6"/>
        <v>27769.924792543738</v>
      </c>
      <c r="Q22" s="14">
        <v>352.29995636587995</v>
      </c>
      <c r="S22" t="s">
        <v>139</v>
      </c>
      <c r="T22" t="s">
        <v>26</v>
      </c>
      <c r="U22" t="s">
        <v>5</v>
      </c>
      <c r="V22" t="s">
        <v>77</v>
      </c>
      <c r="W22" s="8">
        <v>833.09774377631209</v>
      </c>
      <c r="X22" s="8">
        <v>1388.4962396271869</v>
      </c>
      <c r="Y22" s="8">
        <v>2221.5939834034989</v>
      </c>
      <c r="Z22" s="8">
        <v>3054.691727179812</v>
      </c>
      <c r="AA22" s="8">
        <v>3332.3909751052479</v>
      </c>
      <c r="AB22" s="8">
        <v>4165.488718881561</v>
      </c>
      <c r="AC22" s="8">
        <v>3610.090223030687</v>
      </c>
      <c r="AD22" s="8">
        <v>2221.5939834034989</v>
      </c>
      <c r="AE22" s="8">
        <v>1943.8947354780621</v>
      </c>
      <c r="AF22" s="8">
        <v>1666.1954875526239</v>
      </c>
      <c r="AG22" s="8">
        <v>1666.1954875526239</v>
      </c>
      <c r="AH22" s="8">
        <v>1666.1954875526239</v>
      </c>
      <c r="AI22" s="8">
        <v>27769.924792543738</v>
      </c>
      <c r="AJ22" s="13">
        <f t="shared" si="4"/>
        <v>1</v>
      </c>
      <c r="AL22" s="20">
        <f t="shared" si="19"/>
        <v>0.03</v>
      </c>
      <c r="AM22" s="20">
        <f t="shared" si="20"/>
        <v>0.05</v>
      </c>
      <c r="AN22" s="20">
        <f t="shared" si="21"/>
        <v>0.08</v>
      </c>
      <c r="AO22" s="20">
        <f t="shared" si="22"/>
        <v>0.11000000000000003</v>
      </c>
      <c r="AP22" s="20">
        <f t="shared" si="23"/>
        <v>0.11999999999999998</v>
      </c>
      <c r="AQ22" s="20">
        <f t="shared" si="24"/>
        <v>0.15000000000000002</v>
      </c>
      <c r="AR22" s="20">
        <f t="shared" si="25"/>
        <v>0.13000000000000003</v>
      </c>
      <c r="AS22" s="20">
        <f t="shared" si="26"/>
        <v>0.08</v>
      </c>
      <c r="AT22" s="20">
        <f t="shared" si="27"/>
        <v>7.0000000000000021E-2</v>
      </c>
      <c r="AU22" s="20">
        <f t="shared" si="28"/>
        <v>5.9999999999999991E-2</v>
      </c>
      <c r="AV22" s="20">
        <f t="shared" si="29"/>
        <v>5.9999999999999991E-2</v>
      </c>
      <c r="AW22" s="20">
        <f t="shared" si="30"/>
        <v>5.9999999999999991E-2</v>
      </c>
    </row>
    <row r="23" spans="1:49" x14ac:dyDescent="0.25">
      <c r="A23" s="4" t="s">
        <v>26</v>
      </c>
      <c r="B23" s="4" t="s">
        <v>5</v>
      </c>
      <c r="C23" s="4" t="s">
        <v>78</v>
      </c>
      <c r="D23" s="4">
        <v>1452.548821344853</v>
      </c>
      <c r="E23" s="4">
        <v>2420.9147296738588</v>
      </c>
      <c r="F23" s="4">
        <v>3873.4635510187109</v>
      </c>
      <c r="G23" s="4">
        <v>5326.0123723635634</v>
      </c>
      <c r="H23" s="4">
        <v>5810.1953676767243</v>
      </c>
      <c r="I23" s="4">
        <v>7262.7441890215759</v>
      </c>
      <c r="J23" s="4">
        <v>6294.378280692571</v>
      </c>
      <c r="K23" s="4">
        <v>3873.4635510187109</v>
      </c>
      <c r="L23" s="4">
        <v>3389.2806380028651</v>
      </c>
      <c r="M23" s="4">
        <v>2905.097642689705</v>
      </c>
      <c r="N23" s="4">
        <v>2905.097642689705</v>
      </c>
      <c r="O23" s="4">
        <v>2905.097642689705</v>
      </c>
      <c r="P23" s="10">
        <f t="shared" si="6"/>
        <v>48418.294428882538</v>
      </c>
      <c r="Q23" s="14">
        <v>1808.93</v>
      </c>
      <c r="S23" t="s">
        <v>139</v>
      </c>
      <c r="T23" t="s">
        <v>26</v>
      </c>
      <c r="U23" t="s">
        <v>5</v>
      </c>
      <c r="V23" t="s">
        <v>78</v>
      </c>
      <c r="W23" s="8">
        <v>1452.548821344853</v>
      </c>
      <c r="X23" s="8">
        <v>2420.9147296738588</v>
      </c>
      <c r="Y23" s="8">
        <v>3873.4635510187109</v>
      </c>
      <c r="Z23" s="8">
        <v>5326.0123723635634</v>
      </c>
      <c r="AA23" s="8">
        <v>5810.1953676767243</v>
      </c>
      <c r="AB23" s="8">
        <v>7262.7441890215759</v>
      </c>
      <c r="AC23" s="8">
        <v>6294.378280692571</v>
      </c>
      <c r="AD23" s="8">
        <v>3873.4635510187109</v>
      </c>
      <c r="AE23" s="8">
        <v>3389.2806380028651</v>
      </c>
      <c r="AF23" s="8">
        <v>2905.097642689705</v>
      </c>
      <c r="AG23" s="8">
        <v>2905.097642689705</v>
      </c>
      <c r="AH23" s="8">
        <v>2905.097642689705</v>
      </c>
      <c r="AI23" s="8">
        <v>48418.294428882538</v>
      </c>
      <c r="AJ23" s="13">
        <f t="shared" si="4"/>
        <v>1</v>
      </c>
      <c r="AL23" s="20">
        <f t="shared" si="19"/>
        <v>2.9999999762039879E-2</v>
      </c>
      <c r="AM23" s="20">
        <f t="shared" si="20"/>
        <v>5.000000016997154E-2</v>
      </c>
      <c r="AN23" s="20">
        <f t="shared" si="21"/>
        <v>7.9999999932011401E-2</v>
      </c>
      <c r="AO23" s="20">
        <f t="shared" si="22"/>
        <v>0.10999999969405126</v>
      </c>
      <c r="AP23" s="20">
        <f t="shared" si="23"/>
        <v>0.12000000074787474</v>
      </c>
      <c r="AQ23" s="20">
        <f t="shared" si="24"/>
        <v>0.1500000005099146</v>
      </c>
      <c r="AR23" s="20">
        <f t="shared" si="25"/>
        <v>0.13000000010198295</v>
      </c>
      <c r="AS23" s="20">
        <f t="shared" si="26"/>
        <v>7.9999999932011401E-2</v>
      </c>
      <c r="AT23" s="20">
        <f t="shared" si="27"/>
        <v>7.0000000577903204E-2</v>
      </c>
      <c r="AU23" s="20">
        <f t="shared" si="28"/>
        <v>5.9999999524079743E-2</v>
      </c>
      <c r="AV23" s="20">
        <f t="shared" si="29"/>
        <v>5.9999999524079743E-2</v>
      </c>
      <c r="AW23" s="20">
        <f t="shared" si="30"/>
        <v>5.9999999524079743E-2</v>
      </c>
    </row>
    <row r="24" spans="1:49" x14ac:dyDescent="0.25">
      <c r="A24" s="4" t="s">
        <v>26</v>
      </c>
      <c r="B24" s="4" t="s">
        <v>5</v>
      </c>
      <c r="C24" s="4" t="s">
        <v>79</v>
      </c>
      <c r="D24" s="4"/>
      <c r="E24" s="4"/>
      <c r="F24" s="4">
        <v>2102.6462964863308</v>
      </c>
      <c r="G24" s="4">
        <v>4505.6700511183344</v>
      </c>
      <c r="H24" s="4">
        <v>4205.2915706060048</v>
      </c>
      <c r="I24" s="4">
        <v>5106.4259897763341</v>
      </c>
      <c r="J24" s="4">
        <v>5106.4259897763341</v>
      </c>
      <c r="K24" s="4">
        <v>4505.6700511183344</v>
      </c>
      <c r="L24" s="4">
        <v>1802.267815974001</v>
      </c>
      <c r="M24" s="4">
        <v>1802.267815974001</v>
      </c>
      <c r="N24" s="4">
        <v>901.13441917032969</v>
      </c>
      <c r="O24" s="4"/>
      <c r="P24" s="10">
        <f t="shared" si="6"/>
        <v>30037.800000000003</v>
      </c>
      <c r="Q24" s="14">
        <v>462.12</v>
      </c>
      <c r="S24" t="s">
        <v>139</v>
      </c>
      <c r="T24" t="s">
        <v>26</v>
      </c>
      <c r="U24" t="s">
        <v>5</v>
      </c>
      <c r="V24" t="s">
        <v>79</v>
      </c>
      <c r="W24" s="8"/>
      <c r="X24" s="8"/>
      <c r="Y24" s="8">
        <v>2102.6462964863308</v>
      </c>
      <c r="Z24" s="8">
        <v>4505.6700511183344</v>
      </c>
      <c r="AA24" s="8">
        <v>4205.2915706060048</v>
      </c>
      <c r="AB24" s="8">
        <v>5106.4259897763341</v>
      </c>
      <c r="AC24" s="8">
        <v>5106.4259897763341</v>
      </c>
      <c r="AD24" s="8">
        <v>4505.6700511183344</v>
      </c>
      <c r="AE24" s="8">
        <v>1802.267815974001</v>
      </c>
      <c r="AF24" s="8">
        <v>1802.267815974001</v>
      </c>
      <c r="AG24" s="8">
        <v>901.13441917032969</v>
      </c>
      <c r="AH24" s="8"/>
      <c r="AI24" s="8">
        <v>30037.800000000003</v>
      </c>
      <c r="AJ24" s="13">
        <f t="shared" si="4"/>
        <v>1</v>
      </c>
      <c r="AL24" s="20">
        <f t="shared" si="19"/>
        <v>0</v>
      </c>
      <c r="AM24" s="20">
        <f t="shared" si="20"/>
        <v>0</v>
      </c>
      <c r="AN24" s="20">
        <f t="shared" si="21"/>
        <v>7.000000987044093E-2</v>
      </c>
      <c r="AO24" s="20">
        <f t="shared" si="22"/>
        <v>0.1500000017018002</v>
      </c>
      <c r="AP24" s="20">
        <f t="shared" si="23"/>
        <v>0.13999998570487868</v>
      </c>
      <c r="AQ24" s="20">
        <f t="shared" si="24"/>
        <v>0.16999999965963997</v>
      </c>
      <c r="AR24" s="20">
        <f t="shared" si="25"/>
        <v>0.16999999965963997</v>
      </c>
      <c r="AS24" s="20">
        <f t="shared" si="26"/>
        <v>0.1500000017018002</v>
      </c>
      <c r="AT24" s="20">
        <f t="shared" si="27"/>
        <v>5.999999387351939E-2</v>
      </c>
      <c r="AU24" s="20">
        <f t="shared" si="28"/>
        <v>5.999999387351939E-2</v>
      </c>
      <c r="AV24" s="20">
        <f t="shared" si="29"/>
        <v>3.0000013954761321E-2</v>
      </c>
      <c r="AW24" s="20">
        <f t="shared" si="30"/>
        <v>0</v>
      </c>
    </row>
    <row r="25" spans="1:49" x14ac:dyDescent="0.25">
      <c r="A25" s="4" t="s">
        <v>26</v>
      </c>
      <c r="B25" s="4" t="s">
        <v>5</v>
      </c>
      <c r="C25" s="4" t="s">
        <v>80</v>
      </c>
      <c r="D25" s="4"/>
      <c r="E25" s="4"/>
      <c r="F25" s="4">
        <v>2388.5263863628129</v>
      </c>
      <c r="G25" s="4">
        <v>5118.2701016744377</v>
      </c>
      <c r="H25" s="4">
        <v>4777.0517559813989</v>
      </c>
      <c r="I25" s="4">
        <v>5800.7057763162866</v>
      </c>
      <c r="J25" s="4">
        <v>5800.7057763162866</v>
      </c>
      <c r="K25" s="4">
        <v>5118.2701016744377</v>
      </c>
      <c r="L25" s="4">
        <v>2047.308040669775</v>
      </c>
      <c r="M25" s="4">
        <v>2047.308040669775</v>
      </c>
      <c r="N25" s="4">
        <v>1023.654020334887</v>
      </c>
      <c r="O25" s="4"/>
      <c r="P25" s="10">
        <f t="shared" si="6"/>
        <v>34121.800000000097</v>
      </c>
      <c r="Q25" s="14">
        <v>146.95004306632214</v>
      </c>
      <c r="S25" t="s">
        <v>139</v>
      </c>
      <c r="T25" t="s">
        <v>26</v>
      </c>
      <c r="U25" t="s">
        <v>5</v>
      </c>
      <c r="V25" t="s">
        <v>80</v>
      </c>
      <c r="W25" s="8"/>
      <c r="X25" s="8"/>
      <c r="Y25" s="8">
        <v>2388.5263863628129</v>
      </c>
      <c r="Z25" s="8">
        <v>5118.2701016744377</v>
      </c>
      <c r="AA25" s="8">
        <v>4777.0517559813989</v>
      </c>
      <c r="AB25" s="8">
        <v>5800.7057763162866</v>
      </c>
      <c r="AC25" s="8">
        <v>5800.7057763162866</v>
      </c>
      <c r="AD25" s="8">
        <v>5118.2701016744377</v>
      </c>
      <c r="AE25" s="8">
        <v>2047.308040669775</v>
      </c>
      <c r="AF25" s="8">
        <v>2047.308040669775</v>
      </c>
      <c r="AG25" s="8">
        <v>1023.654020334887</v>
      </c>
      <c r="AH25" s="8"/>
      <c r="AI25" s="8">
        <v>34121.800000000097</v>
      </c>
      <c r="AJ25" s="13">
        <f t="shared" si="4"/>
        <v>1</v>
      </c>
      <c r="AL25" s="20">
        <f t="shared" si="19"/>
        <v>0</v>
      </c>
      <c r="AM25" s="20">
        <f t="shared" si="20"/>
        <v>0</v>
      </c>
      <c r="AN25" s="20">
        <f t="shared" si="21"/>
        <v>7.0000011323048783E-2</v>
      </c>
      <c r="AO25" s="20">
        <f t="shared" si="22"/>
        <v>0.15000000297974969</v>
      </c>
      <c r="AP25" s="20">
        <f t="shared" si="23"/>
        <v>0.13999999284860076</v>
      </c>
      <c r="AQ25" s="20">
        <f t="shared" si="24"/>
        <v>0.16999999344455069</v>
      </c>
      <c r="AR25" s="20">
        <f t="shared" si="25"/>
        <v>0.16999999344455069</v>
      </c>
      <c r="AS25" s="20">
        <f t="shared" si="26"/>
        <v>0.15000000297974969</v>
      </c>
      <c r="AT25" s="20">
        <f t="shared" si="27"/>
        <v>6.0000001191899875E-2</v>
      </c>
      <c r="AU25" s="20">
        <f t="shared" si="28"/>
        <v>6.0000001191899875E-2</v>
      </c>
      <c r="AV25" s="20">
        <f t="shared" si="29"/>
        <v>3.0000000595949924E-2</v>
      </c>
      <c r="AW25" s="20">
        <f t="shared" si="30"/>
        <v>0</v>
      </c>
    </row>
    <row r="26" spans="1:49" x14ac:dyDescent="0.25">
      <c r="A26" s="4" t="s">
        <v>26</v>
      </c>
      <c r="B26" s="4" t="s">
        <v>5</v>
      </c>
      <c r="C26" s="4" t="s">
        <v>110</v>
      </c>
      <c r="D26" s="4">
        <v>2748.754281921952</v>
      </c>
      <c r="E26" s="4">
        <v>3435.960501193143</v>
      </c>
      <c r="F26" s="4">
        <v>4123.1317220149758</v>
      </c>
      <c r="G26" s="4">
        <v>4346.2454337546123</v>
      </c>
      <c r="H26" s="4">
        <v>5588.0252101586857</v>
      </c>
      <c r="I26" s="4">
        <v>6829.773094426725</v>
      </c>
      <c r="J26" s="4">
        <v>7450.6470365607447</v>
      </c>
      <c r="K26" s="4">
        <v>6208.8672601566705</v>
      </c>
      <c r="L26" s="4">
        <v>6208.8991522927054</v>
      </c>
      <c r="M26" s="4">
        <v>4967.119375888632</v>
      </c>
      <c r="N26" s="4">
        <v>5588.0252101586857</v>
      </c>
      <c r="O26" s="4">
        <v>5588.0252101586857</v>
      </c>
      <c r="P26" s="10">
        <f t="shared" si="6"/>
        <v>63083.473488686213</v>
      </c>
      <c r="Q26" s="14">
        <v>1278.519939424533</v>
      </c>
      <c r="S26" t="s">
        <v>139</v>
      </c>
      <c r="T26" t="s">
        <v>26</v>
      </c>
      <c r="U26" t="s">
        <v>5</v>
      </c>
      <c r="V26" t="s">
        <v>110</v>
      </c>
      <c r="W26" s="8">
        <v>2748.754281921952</v>
      </c>
      <c r="X26" s="8">
        <v>3435.960501193143</v>
      </c>
      <c r="Y26" s="8">
        <v>4123.1317220149758</v>
      </c>
      <c r="Z26" s="8">
        <v>4346.2454337546123</v>
      </c>
      <c r="AA26" s="8">
        <v>5588.0252101586857</v>
      </c>
      <c r="AB26" s="8">
        <v>6829.773094426725</v>
      </c>
      <c r="AC26" s="8">
        <v>7450.6470365607447</v>
      </c>
      <c r="AD26" s="8">
        <v>6208.8672601566705</v>
      </c>
      <c r="AE26" s="8">
        <v>6208.8991522927054</v>
      </c>
      <c r="AF26" s="8">
        <v>4967.119375888632</v>
      </c>
      <c r="AG26" s="8">
        <v>5588.0252101586857</v>
      </c>
      <c r="AH26" s="8">
        <v>5588.0252101586857</v>
      </c>
      <c r="AI26" s="8">
        <v>63083.473488686213</v>
      </c>
      <c r="AJ26" s="13">
        <f t="shared" si="4"/>
        <v>1</v>
      </c>
      <c r="AL26" s="20">
        <f t="shared" si="19"/>
        <v>4.3573286788257323E-2</v>
      </c>
      <c r="AM26" s="20">
        <f t="shared" si="20"/>
        <v>5.4466888254169607E-2</v>
      </c>
      <c r="AN26" s="20">
        <f t="shared" si="21"/>
        <v>6.5359934924230895E-2</v>
      </c>
      <c r="AO26" s="20">
        <f t="shared" si="22"/>
        <v>6.8896736235269221E-2</v>
      </c>
      <c r="AP26" s="20">
        <f t="shared" si="23"/>
        <v>8.8581444570595455E-2</v>
      </c>
      <c r="AQ26" s="20">
        <f t="shared" si="24"/>
        <v>0.10826564735138783</v>
      </c>
      <c r="AR26" s="20">
        <f t="shared" si="25"/>
        <v>0.11810774874178402</v>
      </c>
      <c r="AS26" s="20">
        <f t="shared" si="26"/>
        <v>9.842304040645776E-2</v>
      </c>
      <c r="AT26" s="20">
        <f t="shared" si="27"/>
        <v>9.8423545960991649E-2</v>
      </c>
      <c r="AU26" s="20">
        <f t="shared" si="28"/>
        <v>7.87388376256654E-2</v>
      </c>
      <c r="AV26" s="20">
        <f t="shared" si="29"/>
        <v>8.8581444570595455E-2</v>
      </c>
      <c r="AW26" s="20">
        <f t="shared" si="30"/>
        <v>8.8581444570595455E-2</v>
      </c>
    </row>
    <row r="27" spans="1:49" x14ac:dyDescent="0.25">
      <c r="A27" s="4" t="s">
        <v>26</v>
      </c>
      <c r="B27" s="4" t="s">
        <v>5</v>
      </c>
      <c r="C27" s="4" t="s">
        <v>4</v>
      </c>
      <c r="D27" s="4">
        <v>9936.2741547082187</v>
      </c>
      <c r="E27" s="4">
        <v>12420.3427631223</v>
      </c>
      <c r="F27" s="4">
        <v>14904.411371536389</v>
      </c>
      <c r="G27" s="4">
        <v>15710.87159264874</v>
      </c>
      <c r="H27" s="4">
        <v>20199.69186766573</v>
      </c>
      <c r="I27" s="4">
        <v>24688.512394718429</v>
      </c>
      <c r="J27" s="4">
        <v>26932.922658244781</v>
      </c>
      <c r="K27" s="4">
        <v>22444.102131192081</v>
      </c>
      <c r="L27" s="4">
        <v>22444.102131192081</v>
      </c>
      <c r="M27" s="4">
        <v>17955.28185617509</v>
      </c>
      <c r="N27" s="4">
        <v>20199.69186766573</v>
      </c>
      <c r="O27" s="4">
        <v>20199.69186766573</v>
      </c>
      <c r="P27" s="10">
        <f t="shared" si="6"/>
        <v>228035.89665653533</v>
      </c>
      <c r="Q27" s="14">
        <v>1071.6900386281166</v>
      </c>
      <c r="S27" t="s">
        <v>139</v>
      </c>
      <c r="T27" t="s">
        <v>26</v>
      </c>
      <c r="U27" t="s">
        <v>5</v>
      </c>
      <c r="V27" t="s">
        <v>4</v>
      </c>
      <c r="W27" s="8">
        <v>9936.2741547082187</v>
      </c>
      <c r="X27" s="8">
        <v>12420.3427631223</v>
      </c>
      <c r="Y27" s="8">
        <v>14904.411371536389</v>
      </c>
      <c r="Z27" s="8">
        <v>15710.87159264874</v>
      </c>
      <c r="AA27" s="8">
        <v>20199.69186766573</v>
      </c>
      <c r="AB27" s="8">
        <v>24688.512394718429</v>
      </c>
      <c r="AC27" s="8">
        <v>26932.922658244781</v>
      </c>
      <c r="AD27" s="8">
        <v>22444.102131192081</v>
      </c>
      <c r="AE27" s="8">
        <v>22444.102131192081</v>
      </c>
      <c r="AF27" s="8">
        <v>17955.28185617509</v>
      </c>
      <c r="AG27" s="8">
        <v>20199.69186766573</v>
      </c>
      <c r="AH27" s="8">
        <v>20199.69186766573</v>
      </c>
      <c r="AI27" s="8">
        <v>228035.89665653533</v>
      </c>
      <c r="AJ27" s="13">
        <f t="shared" si="4"/>
        <v>1</v>
      </c>
      <c r="AL27" s="20">
        <f t="shared" si="19"/>
        <v>4.3573289558328197E-2</v>
      </c>
      <c r="AM27" s="20">
        <f t="shared" si="20"/>
        <v>5.4466612253726253E-2</v>
      </c>
      <c r="AN27" s="20">
        <f t="shared" si="21"/>
        <v>6.5359934949124343E-2</v>
      </c>
      <c r="AO27" s="20">
        <f t="shared" si="22"/>
        <v>6.8896484382510392E-2</v>
      </c>
      <c r="AP27" s="20">
        <f t="shared" si="23"/>
        <v>8.8581193416623516E-2</v>
      </c>
      <c r="AQ27" s="20">
        <f t="shared" si="24"/>
        <v>0.10826590355598242</v>
      </c>
      <c r="AR27" s="20">
        <f t="shared" si="25"/>
        <v>0.11810825862566188</v>
      </c>
      <c r="AS27" s="20">
        <f t="shared" si="26"/>
        <v>9.8423548486302984E-2</v>
      </c>
      <c r="AT27" s="20">
        <f t="shared" si="27"/>
        <v>9.8423548486302984E-2</v>
      </c>
      <c r="AU27" s="20">
        <f t="shared" si="28"/>
        <v>7.8738839452189846E-2</v>
      </c>
      <c r="AV27" s="20">
        <f t="shared" si="29"/>
        <v>8.8581193416623516E-2</v>
      </c>
      <c r="AW27" s="20">
        <f t="shared" si="30"/>
        <v>8.8581193416623516E-2</v>
      </c>
    </row>
    <row r="28" spans="1:49" x14ac:dyDescent="0.25">
      <c r="A28" s="4" t="s">
        <v>26</v>
      </c>
      <c r="B28" s="4" t="s">
        <v>5</v>
      </c>
      <c r="C28" s="4" t="s">
        <v>111</v>
      </c>
      <c r="D28" s="4">
        <v>3996.9720364741629</v>
      </c>
      <c r="E28" s="4">
        <v>4996.2150455927031</v>
      </c>
      <c r="F28" s="4">
        <v>5995.4580547112437</v>
      </c>
      <c r="G28" s="4">
        <v>6994.7010638297852</v>
      </c>
      <c r="H28" s="4">
        <v>8993.1870820668646</v>
      </c>
      <c r="I28" s="4">
        <v>10991.673100303949</v>
      </c>
      <c r="J28" s="4">
        <v>11990.916109422489</v>
      </c>
      <c r="K28" s="4">
        <v>9992.4300911854061</v>
      </c>
      <c r="L28" s="4">
        <v>9992.4300911854061</v>
      </c>
      <c r="M28" s="4">
        <v>7993.9440729483258</v>
      </c>
      <c r="N28" s="4">
        <v>8993.1870820668646</v>
      </c>
      <c r="O28" s="4">
        <v>8993.1870820668646</v>
      </c>
      <c r="P28" s="10">
        <f t="shared" si="6"/>
        <v>99924.300911854079</v>
      </c>
      <c r="Q28" s="14">
        <v>6686.46</v>
      </c>
      <c r="S28" t="s">
        <v>139</v>
      </c>
      <c r="T28" t="s">
        <v>26</v>
      </c>
      <c r="U28" t="s">
        <v>5</v>
      </c>
      <c r="V28" t="s">
        <v>111</v>
      </c>
      <c r="W28" s="8">
        <v>3996.9720364741629</v>
      </c>
      <c r="X28" s="8">
        <v>4996.2150455927031</v>
      </c>
      <c r="Y28" s="8">
        <v>5995.4580547112437</v>
      </c>
      <c r="Z28" s="8">
        <v>6994.7010638297852</v>
      </c>
      <c r="AA28" s="8">
        <v>8993.1870820668646</v>
      </c>
      <c r="AB28" s="8">
        <v>10991.673100303949</v>
      </c>
      <c r="AC28" s="8">
        <v>11990.916109422489</v>
      </c>
      <c r="AD28" s="8">
        <v>9992.4300911854061</v>
      </c>
      <c r="AE28" s="8">
        <v>9992.4300911854061</v>
      </c>
      <c r="AF28" s="8">
        <v>7993.9440729483258</v>
      </c>
      <c r="AG28" s="8">
        <v>8993.1870820668646</v>
      </c>
      <c r="AH28" s="8">
        <v>8993.1870820668646</v>
      </c>
      <c r="AI28" s="8">
        <v>99924.300911854079</v>
      </c>
      <c r="AJ28" s="13">
        <f t="shared" si="4"/>
        <v>1</v>
      </c>
      <c r="AL28" s="20">
        <f t="shared" si="19"/>
        <v>3.9999999999999994E-2</v>
      </c>
      <c r="AM28" s="20">
        <f t="shared" si="20"/>
        <v>4.9999999999999989E-2</v>
      </c>
      <c r="AN28" s="20">
        <f t="shared" si="21"/>
        <v>5.9999999999999991E-2</v>
      </c>
      <c r="AO28" s="20">
        <f t="shared" si="22"/>
        <v>6.9999999999999993E-2</v>
      </c>
      <c r="AP28" s="20">
        <f t="shared" si="23"/>
        <v>8.9999999999999969E-2</v>
      </c>
      <c r="AQ28" s="20">
        <f t="shared" si="24"/>
        <v>0.11</v>
      </c>
      <c r="AR28" s="20">
        <f t="shared" si="25"/>
        <v>0.12</v>
      </c>
      <c r="AS28" s="20">
        <f t="shared" si="26"/>
        <v>9.9999999999999978E-2</v>
      </c>
      <c r="AT28" s="20">
        <f t="shared" si="27"/>
        <v>9.9999999999999978E-2</v>
      </c>
      <c r="AU28" s="20">
        <f t="shared" si="28"/>
        <v>7.9999999999999988E-2</v>
      </c>
      <c r="AV28" s="20">
        <f t="shared" si="29"/>
        <v>8.9999999999999969E-2</v>
      </c>
      <c r="AW28" s="20">
        <f t="shared" si="30"/>
        <v>8.9999999999999969E-2</v>
      </c>
    </row>
    <row r="29" spans="1:49" x14ac:dyDescent="0.25">
      <c r="A29" s="4" t="s">
        <v>26</v>
      </c>
      <c r="B29" s="4" t="s">
        <v>5</v>
      </c>
      <c r="C29" s="4" t="s">
        <v>81</v>
      </c>
      <c r="D29" s="4">
        <v>346.40227632357067</v>
      </c>
      <c r="E29" s="4">
        <v>577.33736368844484</v>
      </c>
      <c r="F29" s="4">
        <v>923.73964001201546</v>
      </c>
      <c r="G29" s="4">
        <v>1270.1419163355861</v>
      </c>
      <c r="H29" s="4">
        <v>1385.6091052942829</v>
      </c>
      <c r="I29" s="4">
        <v>1732.0117363415941</v>
      </c>
      <c r="J29" s="4">
        <v>1501.07664897672</v>
      </c>
      <c r="K29" s="4">
        <v>923.73964001201546</v>
      </c>
      <c r="L29" s="4">
        <v>808.2720963295784</v>
      </c>
      <c r="M29" s="4">
        <v>692.80455264714146</v>
      </c>
      <c r="N29" s="4">
        <v>692.80455264714146</v>
      </c>
      <c r="O29" s="4">
        <v>692.80455264714146</v>
      </c>
      <c r="P29" s="10">
        <f t="shared" si="6"/>
        <v>11546.744081255232</v>
      </c>
      <c r="Q29" s="14">
        <v>245.98037077426392</v>
      </c>
      <c r="S29" t="s">
        <v>139</v>
      </c>
      <c r="T29" t="s">
        <v>26</v>
      </c>
      <c r="U29" t="s">
        <v>5</v>
      </c>
      <c r="V29" t="s">
        <v>81</v>
      </c>
      <c r="W29" s="8">
        <v>346.40227632357067</v>
      </c>
      <c r="X29" s="8">
        <v>577.33736368844484</v>
      </c>
      <c r="Y29" s="8">
        <v>923.73964001201546</v>
      </c>
      <c r="Z29" s="8">
        <v>1270.1419163355861</v>
      </c>
      <c r="AA29" s="8">
        <v>1385.6091052942829</v>
      </c>
      <c r="AB29" s="8">
        <v>1732.0117363415941</v>
      </c>
      <c r="AC29" s="8">
        <v>1501.07664897672</v>
      </c>
      <c r="AD29" s="8">
        <v>923.73964001201546</v>
      </c>
      <c r="AE29" s="8">
        <v>808.2720963295784</v>
      </c>
      <c r="AF29" s="8">
        <v>692.80455264714146</v>
      </c>
      <c r="AG29" s="8">
        <v>692.80455264714146</v>
      </c>
      <c r="AH29" s="8">
        <v>692.80455264714146</v>
      </c>
      <c r="AI29" s="8">
        <v>11546.744081255232</v>
      </c>
      <c r="AJ29" s="13">
        <f t="shared" si="4"/>
        <v>1</v>
      </c>
      <c r="AL29" s="20">
        <f t="shared" si="19"/>
        <v>2.9999996006312604E-2</v>
      </c>
      <c r="AM29" s="20">
        <f t="shared" si="20"/>
        <v>5.0000013824302511E-2</v>
      </c>
      <c r="AN29" s="20">
        <f t="shared" si="21"/>
        <v>8.0000009830615115E-2</v>
      </c>
      <c r="AO29" s="20">
        <f t="shared" si="22"/>
        <v>0.11000000583692772</v>
      </c>
      <c r="AP29" s="20">
        <f t="shared" si="23"/>
        <v>0.11999998402525044</v>
      </c>
      <c r="AQ29" s="20">
        <f t="shared" si="24"/>
        <v>0.15000001075223529</v>
      </c>
      <c r="AR29" s="20">
        <f t="shared" si="25"/>
        <v>0.12999999293424538</v>
      </c>
      <c r="AS29" s="20">
        <f t="shared" si="26"/>
        <v>8.0000009830615115E-2</v>
      </c>
      <c r="AT29" s="20">
        <f t="shared" si="27"/>
        <v>7.0000000921620162E-2</v>
      </c>
      <c r="AU29" s="20">
        <f t="shared" si="28"/>
        <v>5.9999992012625222E-2</v>
      </c>
      <c r="AV29" s="20">
        <f t="shared" si="29"/>
        <v>5.9999992012625222E-2</v>
      </c>
      <c r="AW29" s="20">
        <f t="shared" si="30"/>
        <v>5.9999992012625222E-2</v>
      </c>
    </row>
    <row r="30" spans="1:49" x14ac:dyDescent="0.25">
      <c r="A30" s="4" t="s">
        <v>26</v>
      </c>
      <c r="B30" s="4" t="s">
        <v>5</v>
      </c>
      <c r="C30" s="4" t="s">
        <v>82</v>
      </c>
      <c r="D30" s="4">
        <v>1854.7154675826289</v>
      </c>
      <c r="E30" s="4">
        <v>3091.2025386199648</v>
      </c>
      <c r="F30" s="4">
        <v>4945.9180062025926</v>
      </c>
      <c r="G30" s="4">
        <v>6800.6483471625716</v>
      </c>
      <c r="H30" s="4">
        <v>7418.8921482772657</v>
      </c>
      <c r="I30" s="4">
        <v>9273.6076158598953</v>
      </c>
      <c r="J30" s="4">
        <v>8037.1205448225592</v>
      </c>
      <c r="K30" s="4">
        <v>4945.9180062025926</v>
      </c>
      <c r="L30" s="4">
        <v>4327.6896096573009</v>
      </c>
      <c r="M30" s="4">
        <v>3709.445808542609</v>
      </c>
      <c r="N30" s="4">
        <v>3709.445808542609</v>
      </c>
      <c r="O30" s="4">
        <v>3709.445808542609</v>
      </c>
      <c r="P30" s="10">
        <f t="shared" si="6"/>
        <v>61824.049710015199</v>
      </c>
      <c r="Q30" s="14">
        <v>283.96990359746064</v>
      </c>
      <c r="S30" t="s">
        <v>139</v>
      </c>
      <c r="T30" t="s">
        <v>26</v>
      </c>
      <c r="U30" t="s">
        <v>5</v>
      </c>
      <c r="V30" t="s">
        <v>82</v>
      </c>
      <c r="W30" s="8">
        <v>1854.7154675826289</v>
      </c>
      <c r="X30" s="8">
        <v>3091.2025386199648</v>
      </c>
      <c r="Y30" s="8">
        <v>4945.9180062025926</v>
      </c>
      <c r="Z30" s="8">
        <v>6800.6483471625716</v>
      </c>
      <c r="AA30" s="8">
        <v>7418.8921482772657</v>
      </c>
      <c r="AB30" s="8">
        <v>9273.6076158598953</v>
      </c>
      <c r="AC30" s="8">
        <v>8037.1205448225592</v>
      </c>
      <c r="AD30" s="8">
        <v>4945.9180062025926</v>
      </c>
      <c r="AE30" s="8">
        <v>4327.6896096573009</v>
      </c>
      <c r="AF30" s="8">
        <v>3709.445808542609</v>
      </c>
      <c r="AG30" s="8">
        <v>3709.445808542609</v>
      </c>
      <c r="AH30" s="8">
        <v>3709.445808542609</v>
      </c>
      <c r="AI30" s="8">
        <v>61824.049710015199</v>
      </c>
      <c r="AJ30" s="13">
        <f t="shared" si="4"/>
        <v>1</v>
      </c>
      <c r="AL30" s="20">
        <f t="shared" si="19"/>
        <v>2.9999902566754274E-2</v>
      </c>
      <c r="AM30" s="20">
        <f t="shared" si="20"/>
        <v>5.00000008591997E-2</v>
      </c>
      <c r="AN30" s="20">
        <f t="shared" si="21"/>
        <v>7.999990342595395E-2</v>
      </c>
      <c r="AO30" s="20">
        <f t="shared" si="22"/>
        <v>0.11000004656862358</v>
      </c>
      <c r="AP30" s="20">
        <f t="shared" si="23"/>
        <v>0.12000010001084482</v>
      </c>
      <c r="AQ30" s="20">
        <f t="shared" si="24"/>
        <v>0.1500000025775991</v>
      </c>
      <c r="AR30" s="20">
        <f t="shared" si="25"/>
        <v>0.12999990428515368</v>
      </c>
      <c r="AS30" s="20">
        <f t="shared" si="26"/>
        <v>7.999990342595395E-2</v>
      </c>
      <c r="AT30" s="20">
        <f t="shared" si="27"/>
        <v>7.0000099151645123E-2</v>
      </c>
      <c r="AU30" s="20">
        <f t="shared" si="28"/>
        <v>6.0000045709423924E-2</v>
      </c>
      <c r="AV30" s="20">
        <f t="shared" si="29"/>
        <v>6.0000045709423924E-2</v>
      </c>
      <c r="AW30" s="20">
        <f t="shared" si="30"/>
        <v>6.0000045709423924E-2</v>
      </c>
    </row>
    <row r="31" spans="1:49" x14ac:dyDescent="0.25">
      <c r="A31" s="4" t="s">
        <v>26</v>
      </c>
      <c r="B31" s="4" t="s">
        <v>5</v>
      </c>
      <c r="C31" s="4" t="s">
        <v>83</v>
      </c>
      <c r="D31" s="4">
        <v>6388.9426564982396</v>
      </c>
      <c r="E31" s="4">
        <v>10648.23739817189</v>
      </c>
      <c r="F31" s="4">
        <v>17037.180054670131</v>
      </c>
      <c r="G31" s="4">
        <v>23426.122167180602</v>
      </c>
      <c r="H31" s="4">
        <v>25555.76953801743</v>
      </c>
      <c r="I31" s="4">
        <v>31944.712194515669</v>
      </c>
      <c r="J31" s="4">
        <v>27685.417452842019</v>
      </c>
      <c r="K31" s="4">
        <v>17037.180054670131</v>
      </c>
      <c r="L31" s="4">
        <v>14907.53213984554</v>
      </c>
      <c r="M31" s="4">
        <v>12777.88476900871</v>
      </c>
      <c r="N31" s="4">
        <v>12777.88476900871</v>
      </c>
      <c r="O31" s="4">
        <v>12777.88476900871</v>
      </c>
      <c r="P31" s="10">
        <f t="shared" si="6"/>
        <v>212964.74796343775</v>
      </c>
      <c r="Q31" s="14">
        <v>416.44004004004006</v>
      </c>
      <c r="S31" t="s">
        <v>139</v>
      </c>
      <c r="T31" t="s">
        <v>26</v>
      </c>
      <c r="U31" t="s">
        <v>5</v>
      </c>
      <c r="V31" t="s">
        <v>83</v>
      </c>
      <c r="W31" s="8">
        <v>6388.9426564982396</v>
      </c>
      <c r="X31" s="8">
        <v>10648.23739817189</v>
      </c>
      <c r="Y31" s="8">
        <v>17037.180054670131</v>
      </c>
      <c r="Z31" s="8">
        <v>23426.122167180602</v>
      </c>
      <c r="AA31" s="8">
        <v>25555.76953801743</v>
      </c>
      <c r="AB31" s="8">
        <v>31944.712194515669</v>
      </c>
      <c r="AC31" s="8">
        <v>27685.417452842019</v>
      </c>
      <c r="AD31" s="8">
        <v>17037.180054670131</v>
      </c>
      <c r="AE31" s="8">
        <v>14907.53213984554</v>
      </c>
      <c r="AF31" s="8">
        <v>12777.88476900871</v>
      </c>
      <c r="AG31" s="8">
        <v>12777.88476900871</v>
      </c>
      <c r="AH31" s="8">
        <v>12777.88476900871</v>
      </c>
      <c r="AI31" s="8">
        <v>212964.74796343775</v>
      </c>
      <c r="AJ31" s="13">
        <f t="shared" si="4"/>
        <v>1</v>
      </c>
      <c r="AL31" s="20">
        <f t="shared" si="19"/>
        <v>3.0000001021742374E-2</v>
      </c>
      <c r="AM31" s="20">
        <f t="shared" si="20"/>
        <v>5.000000000000001E-2</v>
      </c>
      <c r="AN31" s="20">
        <f t="shared" si="21"/>
        <v>8.0000001021742387E-2</v>
      </c>
      <c r="AO31" s="20">
        <f t="shared" si="22"/>
        <v>0.10999999948912882</v>
      </c>
      <c r="AP31" s="20">
        <f t="shared" si="23"/>
        <v>0.11999999897825765</v>
      </c>
      <c r="AQ31" s="20">
        <f t="shared" si="24"/>
        <v>0.15000000000000002</v>
      </c>
      <c r="AR31" s="20">
        <f t="shared" si="25"/>
        <v>0.13000000102174239</v>
      </c>
      <c r="AS31" s="20">
        <f t="shared" si="26"/>
        <v>8.0000001021742387E-2</v>
      </c>
      <c r="AT31" s="20">
        <f t="shared" si="27"/>
        <v>6.9999998978257649E-2</v>
      </c>
      <c r="AU31" s="20">
        <f t="shared" si="28"/>
        <v>5.9999999489128805E-2</v>
      </c>
      <c r="AV31" s="20">
        <f t="shared" si="29"/>
        <v>5.9999999489128805E-2</v>
      </c>
      <c r="AW31" s="20">
        <f t="shared" si="30"/>
        <v>5.9999999489128805E-2</v>
      </c>
    </row>
    <row r="32" spans="1:49" s="18" customFormat="1" x14ac:dyDescent="0.25">
      <c r="A32" s="16" t="s">
        <v>26</v>
      </c>
      <c r="B32" s="16" t="s">
        <v>5</v>
      </c>
      <c r="C32" s="16" t="s">
        <v>84</v>
      </c>
      <c r="D32" s="16"/>
      <c r="E32" s="16"/>
      <c r="F32" s="16"/>
      <c r="G32" s="16">
        <v>59072.173989829098</v>
      </c>
      <c r="H32" s="16">
        <v>100422.6957827095</v>
      </c>
      <c r="I32" s="16">
        <v>118144.3479796582</v>
      </c>
      <c r="J32" s="16">
        <v>118144.3479796582</v>
      </c>
      <c r="K32" s="16">
        <v>47257.739191863278</v>
      </c>
      <c r="L32" s="16">
        <v>41350.521792880369</v>
      </c>
      <c r="M32" s="16">
        <v>35443.304393897459</v>
      </c>
      <c r="N32" s="16">
        <v>35443.304393897459</v>
      </c>
      <c r="O32" s="16">
        <v>35443.304393897459</v>
      </c>
      <c r="P32" s="16">
        <f t="shared" si="6"/>
        <v>590721.73989829095</v>
      </c>
      <c r="Q32" s="17">
        <v>365.99000951474784</v>
      </c>
      <c r="S32" t="s">
        <v>139</v>
      </c>
      <c r="T32" s="18" t="s">
        <v>26</v>
      </c>
      <c r="U32" s="18" t="s">
        <v>5</v>
      </c>
      <c r="V32" s="18" t="s">
        <v>84</v>
      </c>
      <c r="W32" s="16"/>
      <c r="X32" s="16"/>
      <c r="Y32" s="16"/>
      <c r="Z32" s="16">
        <v>56642.246807388743</v>
      </c>
      <c r="AA32" s="16">
        <v>56642.246807388743</v>
      </c>
      <c r="AB32" s="16">
        <v>61451.494177827408</v>
      </c>
      <c r="AC32" s="16">
        <v>66260.741548266073</v>
      </c>
      <c r="AD32" s="16">
        <v>98856.751503461477</v>
      </c>
      <c r="AE32" s="16">
        <v>51832.999436950071</v>
      </c>
      <c r="AF32" s="16">
        <v>47023.752066511406</v>
      </c>
      <c r="AG32" s="16">
        <v>42214.504696072741</v>
      </c>
      <c r="AH32" s="16"/>
      <c r="AI32" s="16">
        <v>480924.73704386665</v>
      </c>
      <c r="AJ32" s="19">
        <f t="shared" si="4"/>
        <v>0.81413075660068157</v>
      </c>
      <c r="AK32" s="16"/>
      <c r="AL32" s="20">
        <f t="shared" si="19"/>
        <v>0</v>
      </c>
      <c r="AM32" s="20">
        <f t="shared" si="20"/>
        <v>0</v>
      </c>
      <c r="AN32" s="20">
        <f t="shared" si="21"/>
        <v>0</v>
      </c>
      <c r="AO32" s="20">
        <f t="shared" si="22"/>
        <v>0.11777777777777779</v>
      </c>
      <c r="AP32" s="20">
        <f t="shared" si="23"/>
        <v>0.11777777777777779</v>
      </c>
      <c r="AQ32" s="20">
        <f t="shared" si="24"/>
        <v>0.1277777777777778</v>
      </c>
      <c r="AR32" s="20">
        <f t="shared" si="25"/>
        <v>0.13777777777777778</v>
      </c>
      <c r="AS32" s="20">
        <f t="shared" si="26"/>
        <v>0.20555555555555555</v>
      </c>
      <c r="AT32" s="20">
        <f t="shared" si="27"/>
        <v>0.10777777777777778</v>
      </c>
      <c r="AU32" s="20">
        <f t="shared" si="28"/>
        <v>9.7777777777777783E-2</v>
      </c>
      <c r="AV32" s="20">
        <f t="shared" si="29"/>
        <v>8.7777777777777788E-2</v>
      </c>
      <c r="AW32" s="20">
        <f t="shared" si="30"/>
        <v>0</v>
      </c>
    </row>
    <row r="33" spans="1:49" x14ac:dyDescent="0.25">
      <c r="A33" s="4" t="s">
        <v>26</v>
      </c>
      <c r="B33" s="4" t="s">
        <v>5</v>
      </c>
      <c r="C33" s="4" t="s">
        <v>85</v>
      </c>
      <c r="D33" s="4">
        <v>627.30974536503447</v>
      </c>
      <c r="E33" s="4">
        <v>1045.525709702586</v>
      </c>
      <c r="F33" s="4">
        <v>1672.8354550676211</v>
      </c>
      <c r="G33" s="4">
        <v>2300.1452004326552</v>
      </c>
      <c r="H33" s="4">
        <v>2509.2684761382102</v>
      </c>
      <c r="I33" s="4">
        <v>3136.6377570571299</v>
      </c>
      <c r="J33" s="4">
        <v>2718.361710967949</v>
      </c>
      <c r="K33" s="4">
        <v>1672.8354550676211</v>
      </c>
      <c r="L33" s="4">
        <v>1463.7422202378809</v>
      </c>
      <c r="M33" s="4">
        <v>1254.6189445323271</v>
      </c>
      <c r="N33" s="4">
        <v>1254.6189445323271</v>
      </c>
      <c r="O33" s="4">
        <v>1254.6189445323271</v>
      </c>
      <c r="P33" s="10">
        <f t="shared" si="6"/>
        <v>20910.518563633668</v>
      </c>
      <c r="Q33" s="14">
        <v>586.90229885057477</v>
      </c>
      <c r="S33" t="s">
        <v>139</v>
      </c>
      <c r="T33" t="s">
        <v>26</v>
      </c>
      <c r="U33" t="s">
        <v>5</v>
      </c>
      <c r="V33" t="s">
        <v>85</v>
      </c>
      <c r="W33" s="8">
        <v>627.30974536503447</v>
      </c>
      <c r="X33" s="8">
        <v>1045.525709702586</v>
      </c>
      <c r="Y33" s="8">
        <v>1672.8354550676211</v>
      </c>
      <c r="Z33" s="8">
        <v>2300.1452004326552</v>
      </c>
      <c r="AA33" s="8">
        <v>2509.2684761382102</v>
      </c>
      <c r="AB33" s="8">
        <v>3136.6377570571299</v>
      </c>
      <c r="AC33" s="8">
        <v>2718.361710967949</v>
      </c>
      <c r="AD33" s="8">
        <v>1672.8354550676211</v>
      </c>
      <c r="AE33" s="8">
        <v>1463.7422202378809</v>
      </c>
      <c r="AF33" s="8">
        <v>1254.6189445323271</v>
      </c>
      <c r="AG33" s="8">
        <v>1254.6189445323271</v>
      </c>
      <c r="AH33" s="8">
        <v>1254.6189445323271</v>
      </c>
      <c r="AI33" s="8">
        <v>20910.518563633668</v>
      </c>
      <c r="AJ33" s="13">
        <f t="shared" si="4"/>
        <v>1</v>
      </c>
      <c r="AL33" s="20">
        <f t="shared" si="19"/>
        <v>2.9999722075568912E-2</v>
      </c>
      <c r="AM33" s="20">
        <f t="shared" si="20"/>
        <v>4.9999989551713094E-2</v>
      </c>
      <c r="AN33" s="20">
        <f t="shared" si="21"/>
        <v>7.9999711627282033E-2</v>
      </c>
      <c r="AO33" s="20">
        <f t="shared" si="22"/>
        <v>0.10999943370285092</v>
      </c>
      <c r="AP33" s="20">
        <f t="shared" si="23"/>
        <v>0.12000029882100489</v>
      </c>
      <c r="AQ33" s="20">
        <f t="shared" si="24"/>
        <v>0.15000286805474944</v>
      </c>
      <c r="AR33" s="20">
        <f t="shared" si="25"/>
        <v>0.12999972729971232</v>
      </c>
      <c r="AS33" s="20">
        <f t="shared" si="26"/>
        <v>7.9999711627282033E-2</v>
      </c>
      <c r="AT33" s="20">
        <f t="shared" si="27"/>
        <v>7.0000283148574538E-2</v>
      </c>
      <c r="AU33" s="20">
        <f t="shared" si="28"/>
        <v>5.9999418030420623E-2</v>
      </c>
      <c r="AV33" s="20">
        <f t="shared" si="29"/>
        <v>5.9999418030420623E-2</v>
      </c>
      <c r="AW33" s="20">
        <f t="shared" si="30"/>
        <v>5.9999418030420623E-2</v>
      </c>
    </row>
    <row r="34" spans="1:49" x14ac:dyDescent="0.25">
      <c r="A34" s="4" t="s">
        <v>26</v>
      </c>
      <c r="B34" s="4" t="s">
        <v>5</v>
      </c>
      <c r="C34" s="4" t="s">
        <v>86</v>
      </c>
      <c r="D34" s="4">
        <v>569.65398840832506</v>
      </c>
      <c r="E34" s="4">
        <v>949.4233140138748</v>
      </c>
      <c r="F34" s="4">
        <v>1519.0773024222001</v>
      </c>
      <c r="G34" s="4">
        <v>2088.7312908305248</v>
      </c>
      <c r="H34" s="4">
        <v>2278.6159536332998</v>
      </c>
      <c r="I34" s="4">
        <v>2848.2703880881049</v>
      </c>
      <c r="J34" s="4">
        <v>2468.501062482555</v>
      </c>
      <c r="K34" s="4">
        <v>1519.0773024222001</v>
      </c>
      <c r="L34" s="4">
        <v>1329.1926396194251</v>
      </c>
      <c r="M34" s="4">
        <v>1139.3079768166499</v>
      </c>
      <c r="N34" s="4">
        <v>1139.3079768166499</v>
      </c>
      <c r="O34" s="4">
        <v>1139.3079768166499</v>
      </c>
      <c r="P34" s="10">
        <f t="shared" si="6"/>
        <v>18988.46717237046</v>
      </c>
      <c r="Q34" s="14">
        <v>557.79999999999995</v>
      </c>
      <c r="S34" t="s">
        <v>139</v>
      </c>
      <c r="T34" t="s">
        <v>26</v>
      </c>
      <c r="U34" t="s">
        <v>5</v>
      </c>
      <c r="V34" t="s">
        <v>86</v>
      </c>
      <c r="W34" s="8">
        <v>569.65398840832506</v>
      </c>
      <c r="X34" s="8">
        <v>949.4233140138748</v>
      </c>
      <c r="Y34" s="8">
        <v>1519.0773024222001</v>
      </c>
      <c r="Z34" s="8">
        <v>2088.7312908305248</v>
      </c>
      <c r="AA34" s="8">
        <v>2278.6159536332998</v>
      </c>
      <c r="AB34" s="8">
        <v>2848.2703880881049</v>
      </c>
      <c r="AC34" s="8">
        <v>2468.501062482555</v>
      </c>
      <c r="AD34" s="8">
        <v>1519.0773024222001</v>
      </c>
      <c r="AE34" s="8">
        <v>1329.1926396194251</v>
      </c>
      <c r="AF34" s="8">
        <v>1139.3079768166499</v>
      </c>
      <c r="AG34" s="8">
        <v>1139.3079768166499</v>
      </c>
      <c r="AH34" s="8">
        <v>1139.3079768166499</v>
      </c>
      <c r="AI34" s="8">
        <v>18988.46717237046</v>
      </c>
      <c r="AJ34" s="13">
        <f t="shared" si="4"/>
        <v>1</v>
      </c>
      <c r="AL34" s="20">
        <f t="shared" si="19"/>
        <v>2.9999998590576664E-2</v>
      </c>
      <c r="AM34" s="20">
        <f t="shared" si="20"/>
        <v>4.9999997650961095E-2</v>
      </c>
      <c r="AN34" s="20">
        <f t="shared" si="21"/>
        <v>7.9999996241537766E-2</v>
      </c>
      <c r="AO34" s="20">
        <f t="shared" si="22"/>
        <v>0.10999999483211442</v>
      </c>
      <c r="AP34" s="20">
        <f t="shared" si="23"/>
        <v>0.11999999436230664</v>
      </c>
      <c r="AQ34" s="20">
        <f t="shared" si="24"/>
        <v>0.15000001644327229</v>
      </c>
      <c r="AR34" s="20">
        <f t="shared" si="25"/>
        <v>0.13000001738288786</v>
      </c>
      <c r="AS34" s="20">
        <f t="shared" si="26"/>
        <v>7.9999996241537766E-2</v>
      </c>
      <c r="AT34" s="20">
        <f t="shared" si="27"/>
        <v>6.9999996711345547E-2</v>
      </c>
      <c r="AU34" s="20">
        <f t="shared" si="28"/>
        <v>5.9999997181153321E-2</v>
      </c>
      <c r="AV34" s="20">
        <f t="shared" si="29"/>
        <v>5.9999997181153321E-2</v>
      </c>
      <c r="AW34" s="20">
        <f t="shared" si="30"/>
        <v>5.9999997181153321E-2</v>
      </c>
    </row>
    <row r="35" spans="1:49" x14ac:dyDescent="0.25">
      <c r="A35" s="4" t="s">
        <v>26</v>
      </c>
      <c r="B35" s="4" t="s">
        <v>5</v>
      </c>
      <c r="C35" s="4" t="s">
        <v>87</v>
      </c>
      <c r="D35" s="4">
        <v>527.42795845219848</v>
      </c>
      <c r="E35" s="4">
        <v>879.04659742033095</v>
      </c>
      <c r="F35" s="4">
        <v>1406.474555872529</v>
      </c>
      <c r="G35" s="4">
        <v>1933.9025143247279</v>
      </c>
      <c r="H35" s="4">
        <v>2109.7118338087939</v>
      </c>
      <c r="I35" s="4">
        <v>2637.1397922609931</v>
      </c>
      <c r="J35" s="4">
        <v>2285.5211532928611</v>
      </c>
      <c r="K35" s="4">
        <v>1406.474555872529</v>
      </c>
      <c r="L35" s="4">
        <v>1230.665236388463</v>
      </c>
      <c r="M35" s="4">
        <v>1054.855916904397</v>
      </c>
      <c r="N35" s="4">
        <v>1054.855916904397</v>
      </c>
      <c r="O35" s="4">
        <v>1054.855916904397</v>
      </c>
      <c r="P35" s="10">
        <f t="shared" si="6"/>
        <v>17580.931948406618</v>
      </c>
      <c r="Q35" s="14">
        <v>505.06029411764706</v>
      </c>
      <c r="S35" t="s">
        <v>139</v>
      </c>
      <c r="T35" t="s">
        <v>26</v>
      </c>
      <c r="U35" t="s">
        <v>5</v>
      </c>
      <c r="V35" t="s">
        <v>87</v>
      </c>
      <c r="W35" s="8">
        <v>527.42795845219848</v>
      </c>
      <c r="X35" s="8">
        <v>879.04659742033095</v>
      </c>
      <c r="Y35" s="8">
        <v>1406.474555872529</v>
      </c>
      <c r="Z35" s="8">
        <v>1933.9025143247279</v>
      </c>
      <c r="AA35" s="8">
        <v>2109.7118338087939</v>
      </c>
      <c r="AB35" s="8">
        <v>2637.1397922609931</v>
      </c>
      <c r="AC35" s="8">
        <v>2285.5211532928611</v>
      </c>
      <c r="AD35" s="8">
        <v>1406.474555872529</v>
      </c>
      <c r="AE35" s="8">
        <v>1230.665236388463</v>
      </c>
      <c r="AF35" s="8">
        <v>1054.855916904397</v>
      </c>
      <c r="AG35" s="8">
        <v>1054.855916904397</v>
      </c>
      <c r="AH35" s="8">
        <v>1054.855916904397</v>
      </c>
      <c r="AI35" s="8">
        <v>17580.931948406618</v>
      </c>
      <c r="AJ35" s="13">
        <f t="shared" si="4"/>
        <v>1</v>
      </c>
      <c r="AL35" s="20">
        <f t="shared" si="19"/>
        <v>2.9999999999999995E-2</v>
      </c>
      <c r="AM35" s="20">
        <f t="shared" si="20"/>
        <v>0.05</v>
      </c>
      <c r="AN35" s="20">
        <f t="shared" si="21"/>
        <v>7.9999999999999974E-2</v>
      </c>
      <c r="AO35" s="20">
        <f t="shared" si="22"/>
        <v>0.11</v>
      </c>
      <c r="AP35" s="20">
        <f t="shared" si="23"/>
        <v>0.11999999999999998</v>
      </c>
      <c r="AQ35" s="20">
        <f t="shared" si="24"/>
        <v>0.15000000000000002</v>
      </c>
      <c r="AR35" s="20">
        <f t="shared" si="25"/>
        <v>0.13000000000000003</v>
      </c>
      <c r="AS35" s="20">
        <f t="shared" si="26"/>
        <v>7.9999999999999974E-2</v>
      </c>
      <c r="AT35" s="20">
        <f t="shared" si="27"/>
        <v>6.9999999999999979E-2</v>
      </c>
      <c r="AU35" s="20">
        <f t="shared" si="28"/>
        <v>5.9999999999999991E-2</v>
      </c>
      <c r="AV35" s="20">
        <f t="shared" si="29"/>
        <v>5.9999999999999991E-2</v>
      </c>
      <c r="AW35" s="20">
        <f t="shared" si="30"/>
        <v>5.9999999999999991E-2</v>
      </c>
    </row>
    <row r="36" spans="1:49" x14ac:dyDescent="0.25">
      <c r="A36" s="4" t="s">
        <v>26</v>
      </c>
      <c r="B36" s="4" t="s">
        <v>5</v>
      </c>
      <c r="C36" s="4" t="s">
        <v>88</v>
      </c>
      <c r="D36" s="4">
        <v>471.94104726277283</v>
      </c>
      <c r="E36" s="4">
        <v>786.56887498796732</v>
      </c>
      <c r="F36" s="4">
        <v>1258.483537900021</v>
      </c>
      <c r="G36" s="4">
        <v>1730.4245851627941</v>
      </c>
      <c r="H36" s="4">
        <v>1887.738267583718</v>
      </c>
      <c r="I36" s="4">
        <v>2359.679777729837</v>
      </c>
      <c r="J36" s="4">
        <v>2045.0524128879881</v>
      </c>
      <c r="K36" s="4">
        <v>1258.483537900021</v>
      </c>
      <c r="L36" s="4">
        <v>1101.1698554790969</v>
      </c>
      <c r="M36" s="4">
        <v>943.85617305817232</v>
      </c>
      <c r="N36" s="4">
        <v>943.85617305817232</v>
      </c>
      <c r="O36" s="4">
        <v>943.85617305817232</v>
      </c>
      <c r="P36" s="10">
        <f t="shared" si="6"/>
        <v>15731.110416068732</v>
      </c>
      <c r="Q36" s="14">
        <v>584.23003802281369</v>
      </c>
      <c r="S36" t="s">
        <v>139</v>
      </c>
      <c r="T36" t="s">
        <v>26</v>
      </c>
      <c r="U36" t="s">
        <v>5</v>
      </c>
      <c r="V36" t="s">
        <v>88</v>
      </c>
      <c r="W36" s="8">
        <v>471.94104726277283</v>
      </c>
      <c r="X36" s="8">
        <v>786.56887498796732</v>
      </c>
      <c r="Y36" s="8">
        <v>1258.483537900021</v>
      </c>
      <c r="Z36" s="8">
        <v>1730.4245851627941</v>
      </c>
      <c r="AA36" s="8">
        <v>1887.738267583718</v>
      </c>
      <c r="AB36" s="8">
        <v>2359.679777729837</v>
      </c>
      <c r="AC36" s="8">
        <v>2045.0524128879881</v>
      </c>
      <c r="AD36" s="8">
        <v>1258.483537900021</v>
      </c>
      <c r="AE36" s="8">
        <v>1101.1698554790969</v>
      </c>
      <c r="AF36" s="8">
        <v>943.85617305817232</v>
      </c>
      <c r="AG36" s="8">
        <v>943.85617305817232</v>
      </c>
      <c r="AH36" s="8">
        <v>943.85617305817232</v>
      </c>
      <c r="AI36" s="8">
        <v>15731.110416068732</v>
      </c>
      <c r="AJ36" s="13">
        <f t="shared" si="4"/>
        <v>1</v>
      </c>
      <c r="AL36" s="20">
        <f t="shared" si="19"/>
        <v>3.0000491686887086E-2</v>
      </c>
      <c r="AM36" s="20">
        <f t="shared" si="20"/>
        <v>5.0000848902854125E-2</v>
      </c>
      <c r="AN36" s="20">
        <f t="shared" si="21"/>
        <v>7.9999663381329258E-2</v>
      </c>
      <c r="AO36" s="20">
        <f t="shared" si="22"/>
        <v>0.11000015506821637</v>
      </c>
      <c r="AP36" s="20">
        <f t="shared" si="23"/>
        <v>0.12000031896384536</v>
      </c>
      <c r="AQ36" s="20">
        <f t="shared" si="24"/>
        <v>0.15000084007544146</v>
      </c>
      <c r="AR36" s="20">
        <f t="shared" si="25"/>
        <v>0.13000051228418336</v>
      </c>
      <c r="AS36" s="20">
        <f t="shared" si="26"/>
        <v>7.9999663381329258E-2</v>
      </c>
      <c r="AT36" s="20">
        <f t="shared" si="27"/>
        <v>6.9999499485700237E-2</v>
      </c>
      <c r="AU36" s="20">
        <f t="shared" si="28"/>
        <v>5.9999335590071194E-2</v>
      </c>
      <c r="AV36" s="20">
        <f t="shared" si="29"/>
        <v>5.9999335590071194E-2</v>
      </c>
      <c r="AW36" s="20">
        <f t="shared" si="30"/>
        <v>5.9999335590071194E-2</v>
      </c>
    </row>
    <row r="37" spans="1:49" x14ac:dyDescent="0.25">
      <c r="A37" s="4" t="s">
        <v>26</v>
      </c>
      <c r="B37" s="4" t="s">
        <v>5</v>
      </c>
      <c r="C37" s="4" t="s">
        <v>35</v>
      </c>
      <c r="D37" s="4">
        <v>844.02047702148081</v>
      </c>
      <c r="E37" s="4">
        <v>1406.696780941159</v>
      </c>
      <c r="F37" s="4">
        <v>2250.7052156787131</v>
      </c>
      <c r="G37" s="4">
        <v>3094.725692700194</v>
      </c>
      <c r="H37" s="4">
        <v>3376.0454875198998</v>
      </c>
      <c r="I37" s="4">
        <v>4220.0662582556242</v>
      </c>
      <c r="J37" s="4">
        <v>3657.3899543359448</v>
      </c>
      <c r="K37" s="4">
        <v>2250.7052156787131</v>
      </c>
      <c r="L37" s="4">
        <v>1969.373084860837</v>
      </c>
      <c r="M37" s="4">
        <v>1688.0289117590351</v>
      </c>
      <c r="N37" s="4">
        <v>1688.0289117590351</v>
      </c>
      <c r="O37" s="4">
        <v>1688.0289117590351</v>
      </c>
      <c r="P37" s="10">
        <f t="shared" si="6"/>
        <v>28133.814902269674</v>
      </c>
      <c r="Q37" s="14">
        <v>426.2696783025325</v>
      </c>
      <c r="S37" t="s">
        <v>139</v>
      </c>
      <c r="T37" t="s">
        <v>26</v>
      </c>
      <c r="U37" t="s">
        <v>5</v>
      </c>
      <c r="V37" t="s">
        <v>35</v>
      </c>
      <c r="W37" s="8">
        <v>844.02047702148081</v>
      </c>
      <c r="X37" s="8">
        <v>1406.696780941159</v>
      </c>
      <c r="Y37" s="8">
        <v>2250.7052156787131</v>
      </c>
      <c r="Z37" s="8">
        <v>3094.725692700194</v>
      </c>
      <c r="AA37" s="8">
        <v>3376.0454875198998</v>
      </c>
      <c r="AB37" s="8">
        <v>4220.0662582556242</v>
      </c>
      <c r="AC37" s="8">
        <v>3657.3899543359448</v>
      </c>
      <c r="AD37" s="8">
        <v>2250.7052156787131</v>
      </c>
      <c r="AE37" s="8">
        <v>1969.373084860837</v>
      </c>
      <c r="AF37" s="8">
        <v>1688.0289117590351</v>
      </c>
      <c r="AG37" s="8">
        <v>1688.0289117590351</v>
      </c>
      <c r="AH37" s="8">
        <v>1688.0289117590351</v>
      </c>
      <c r="AI37" s="8">
        <v>28133.814902269674</v>
      </c>
      <c r="AJ37" s="13">
        <f t="shared" si="4"/>
        <v>1</v>
      </c>
      <c r="AL37" s="20">
        <f t="shared" si="19"/>
        <v>3.0000214331167372E-2</v>
      </c>
      <c r="AM37" s="20">
        <f t="shared" si="20"/>
        <v>5.0000214539965386E-2</v>
      </c>
      <c r="AN37" s="20">
        <f t="shared" si="21"/>
        <v>8.000000083519207E-2</v>
      </c>
      <c r="AO37" s="20">
        <f t="shared" si="22"/>
        <v>0.11000021516635945</v>
      </c>
      <c r="AP37" s="20">
        <f t="shared" si="23"/>
        <v>0.1199995627769464</v>
      </c>
      <c r="AQ37" s="20">
        <f t="shared" si="24"/>
        <v>0.14999978754801482</v>
      </c>
      <c r="AR37" s="20">
        <f t="shared" si="25"/>
        <v>0.12999978733921674</v>
      </c>
      <c r="AS37" s="20">
        <f t="shared" si="26"/>
        <v>8.000000083519207E-2</v>
      </c>
      <c r="AT37" s="20">
        <f t="shared" si="27"/>
        <v>7.000021474876339E-2</v>
      </c>
      <c r="AU37" s="20">
        <f t="shared" si="28"/>
        <v>6.0000000626394059E-2</v>
      </c>
      <c r="AV37" s="20">
        <f t="shared" si="29"/>
        <v>6.0000000626394059E-2</v>
      </c>
      <c r="AW37" s="20">
        <f t="shared" si="30"/>
        <v>6.0000000626394059E-2</v>
      </c>
    </row>
    <row r="38" spans="1:49" x14ac:dyDescent="0.25">
      <c r="A38" s="4" t="s">
        <v>26</v>
      </c>
      <c r="B38" s="4" t="s">
        <v>5</v>
      </c>
      <c r="C38" s="4" t="s">
        <v>89</v>
      </c>
      <c r="D38" s="4">
        <v>772.97164208038987</v>
      </c>
      <c r="E38" s="4">
        <v>1288.271373819141</v>
      </c>
      <c r="F38" s="4">
        <v>2061.2430158995312</v>
      </c>
      <c r="G38" s="4">
        <v>2834.214657979921</v>
      </c>
      <c r="H38" s="4">
        <v>3091.8429534517072</v>
      </c>
      <c r="I38" s="4">
        <v>3864.7709806622438</v>
      </c>
      <c r="J38" s="4">
        <v>3349.4707748488199</v>
      </c>
      <c r="K38" s="4">
        <v>2061.2430158995312</v>
      </c>
      <c r="L38" s="4">
        <v>1803.5715796325651</v>
      </c>
      <c r="M38" s="4">
        <v>1545.94328416078</v>
      </c>
      <c r="N38" s="4">
        <v>1545.94328416078</v>
      </c>
      <c r="O38" s="4">
        <v>1545.94328416078</v>
      </c>
      <c r="P38" s="10">
        <f t="shared" si="6"/>
        <v>25765.429846756193</v>
      </c>
      <c r="Q38" s="14">
        <v>939.03731343283584</v>
      </c>
      <c r="S38" t="s">
        <v>139</v>
      </c>
      <c r="T38" t="s">
        <v>26</v>
      </c>
      <c r="U38" t="s">
        <v>5</v>
      </c>
      <c r="V38" t="s">
        <v>89</v>
      </c>
      <c r="W38" s="8">
        <v>772.97164208038987</v>
      </c>
      <c r="X38" s="8">
        <v>1288.271373819141</v>
      </c>
      <c r="Y38" s="8">
        <v>2061.2430158995312</v>
      </c>
      <c r="Z38" s="8">
        <v>2834.214657979921</v>
      </c>
      <c r="AA38" s="8">
        <v>3091.8429534517072</v>
      </c>
      <c r="AB38" s="8">
        <v>3864.7709806622438</v>
      </c>
      <c r="AC38" s="8">
        <v>3349.4707748488199</v>
      </c>
      <c r="AD38" s="8">
        <v>2061.2430158995312</v>
      </c>
      <c r="AE38" s="8">
        <v>1803.5715796325651</v>
      </c>
      <c r="AF38" s="8">
        <v>1545.94328416078</v>
      </c>
      <c r="AG38" s="8">
        <v>1545.94328416078</v>
      </c>
      <c r="AH38" s="8">
        <v>1545.94328416078</v>
      </c>
      <c r="AI38" s="8">
        <v>25765.429846756193</v>
      </c>
      <c r="AJ38" s="13">
        <f t="shared" si="4"/>
        <v>1</v>
      </c>
      <c r="AL38" s="20">
        <f t="shared" si="19"/>
        <v>3.00003394733857E-2</v>
      </c>
      <c r="AM38" s="20">
        <f t="shared" si="20"/>
        <v>4.9999995400089599E-2</v>
      </c>
      <c r="AN38" s="20">
        <f t="shared" si="21"/>
        <v>8.0000334873475312E-2</v>
      </c>
      <c r="AO38" s="20">
        <f t="shared" si="22"/>
        <v>0.110000674346861</v>
      </c>
      <c r="AP38" s="20">
        <f t="shared" si="23"/>
        <v>0.11999966512652468</v>
      </c>
      <c r="AQ38" s="20">
        <f t="shared" si="24"/>
        <v>0.14999831183289222</v>
      </c>
      <c r="AR38" s="20">
        <f t="shared" si="25"/>
        <v>0.1299986375065468</v>
      </c>
      <c r="AS38" s="20">
        <f t="shared" si="26"/>
        <v>8.0000334873475312E-2</v>
      </c>
      <c r="AT38" s="20">
        <f t="shared" si="27"/>
        <v>6.9999669726435038E-2</v>
      </c>
      <c r="AU38" s="20">
        <f t="shared" si="28"/>
        <v>6.0000678946771406E-2</v>
      </c>
      <c r="AV38" s="20">
        <f t="shared" si="29"/>
        <v>6.0000678946771406E-2</v>
      </c>
      <c r="AW38" s="20">
        <f t="shared" si="30"/>
        <v>6.0000678946771406E-2</v>
      </c>
    </row>
    <row r="39" spans="1:49" x14ac:dyDescent="0.25">
      <c r="A39" s="4" t="s">
        <v>26</v>
      </c>
      <c r="B39" s="4" t="s">
        <v>5</v>
      </c>
      <c r="C39" s="4" t="s">
        <v>36</v>
      </c>
      <c r="D39" s="4">
        <v>18571.666041354281</v>
      </c>
      <c r="E39" s="4">
        <v>31837.14178517877</v>
      </c>
      <c r="F39" s="4">
        <v>42449.522380238363</v>
      </c>
      <c r="G39" s="4">
        <v>45102.617529003262</v>
      </c>
      <c r="H39" s="4">
        <v>31837.14178517877</v>
      </c>
      <c r="I39" s="4">
        <v>31837.14178517877</v>
      </c>
      <c r="J39" s="4">
        <v>26530.951487648981</v>
      </c>
      <c r="K39" s="4">
        <v>21224.761190119181</v>
      </c>
      <c r="L39" s="4">
        <v>13265.475743824491</v>
      </c>
      <c r="M39" s="4">
        <v>2653.0951487648981</v>
      </c>
      <c r="N39" s="4"/>
      <c r="O39" s="4"/>
      <c r="P39" s="10">
        <f t="shared" si="6"/>
        <v>265309.51487648976</v>
      </c>
      <c r="Q39" s="14">
        <v>350.53688313939966</v>
      </c>
      <c r="S39" t="s">
        <v>139</v>
      </c>
      <c r="T39" t="s">
        <v>26</v>
      </c>
      <c r="U39" t="s">
        <v>5</v>
      </c>
      <c r="V39" t="s">
        <v>36</v>
      </c>
      <c r="W39" s="8">
        <v>18571.666041354281</v>
      </c>
      <c r="X39" s="8">
        <v>31837.14178517877</v>
      </c>
      <c r="Y39" s="8">
        <v>42449.522380238363</v>
      </c>
      <c r="Z39" s="8">
        <v>45102.617529003262</v>
      </c>
      <c r="AA39" s="8">
        <v>31837.14178517877</v>
      </c>
      <c r="AB39" s="8">
        <v>31837.14178517877</v>
      </c>
      <c r="AC39" s="8">
        <v>26530.951487648981</v>
      </c>
      <c r="AD39" s="8">
        <v>21224.761190119181</v>
      </c>
      <c r="AE39" s="8">
        <v>13265.475743824491</v>
      </c>
      <c r="AF39" s="8">
        <v>2653.0951487648981</v>
      </c>
      <c r="AG39" s="8"/>
      <c r="AH39" s="8"/>
      <c r="AI39" s="8">
        <v>265309.51487648976</v>
      </c>
      <c r="AJ39" s="13">
        <f t="shared" si="4"/>
        <v>1</v>
      </c>
      <c r="AL39" s="20">
        <f t="shared" si="19"/>
        <v>6.9999999999999993E-2</v>
      </c>
      <c r="AM39" s="20">
        <f t="shared" si="20"/>
        <v>0.12</v>
      </c>
      <c r="AN39" s="20">
        <f t="shared" si="21"/>
        <v>0.16</v>
      </c>
      <c r="AO39" s="20">
        <f t="shared" si="22"/>
        <v>0.17</v>
      </c>
      <c r="AP39" s="20">
        <f t="shared" si="23"/>
        <v>0.12</v>
      </c>
      <c r="AQ39" s="20">
        <f t="shared" si="24"/>
        <v>0.12</v>
      </c>
      <c r="AR39" s="20">
        <f t="shared" si="25"/>
        <v>0.10000000000000002</v>
      </c>
      <c r="AS39" s="20">
        <f t="shared" si="26"/>
        <v>0.08</v>
      </c>
      <c r="AT39" s="20">
        <f t="shared" si="27"/>
        <v>5.000000000000001E-2</v>
      </c>
      <c r="AU39" s="20">
        <f t="shared" si="28"/>
        <v>1.0000000000000002E-2</v>
      </c>
      <c r="AV39" s="20">
        <f t="shared" si="29"/>
        <v>0</v>
      </c>
      <c r="AW39" s="20">
        <f t="shared" si="30"/>
        <v>0</v>
      </c>
    </row>
    <row r="40" spans="1:49" x14ac:dyDescent="0.25">
      <c r="A40" s="4" t="s">
        <v>26</v>
      </c>
      <c r="B40" s="4" t="s">
        <v>5</v>
      </c>
      <c r="C40" s="4" t="s">
        <v>90</v>
      </c>
      <c r="D40" s="4">
        <v>474.53483573696678</v>
      </c>
      <c r="E40" s="4">
        <v>790.89139289494472</v>
      </c>
      <c r="F40" s="4">
        <v>1265.426228631911</v>
      </c>
      <c r="G40" s="4">
        <v>1739.9610643688779</v>
      </c>
      <c r="H40" s="4">
        <v>1898.1393429478669</v>
      </c>
      <c r="I40" s="4">
        <v>2372.6738493429862</v>
      </c>
      <c r="J40" s="4">
        <v>2056.3172921850091</v>
      </c>
      <c r="K40" s="4">
        <v>1265.426228631911</v>
      </c>
      <c r="L40" s="4">
        <v>1107.2479500529221</v>
      </c>
      <c r="M40" s="4">
        <v>949.06967147393357</v>
      </c>
      <c r="N40" s="4">
        <v>949.06967147393357</v>
      </c>
      <c r="O40" s="4">
        <v>949.06967147393357</v>
      </c>
      <c r="P40" s="10">
        <f t="shared" si="6"/>
        <v>15817.827199215197</v>
      </c>
      <c r="Q40" s="14">
        <v>197.56969309462914</v>
      </c>
      <c r="S40" t="s">
        <v>139</v>
      </c>
      <c r="T40" t="s">
        <v>26</v>
      </c>
      <c r="U40" t="s">
        <v>5</v>
      </c>
      <c r="V40" t="s">
        <v>90</v>
      </c>
      <c r="W40" s="8">
        <v>474.53483573696678</v>
      </c>
      <c r="X40" s="8">
        <v>790.89139289494472</v>
      </c>
      <c r="Y40" s="8">
        <v>1265.426228631911</v>
      </c>
      <c r="Z40" s="8">
        <v>1739.9610643688779</v>
      </c>
      <c r="AA40" s="8">
        <v>1898.1393429478669</v>
      </c>
      <c r="AB40" s="8">
        <v>2372.6738493429862</v>
      </c>
      <c r="AC40" s="8">
        <v>2056.3172921850091</v>
      </c>
      <c r="AD40" s="8">
        <v>1265.426228631911</v>
      </c>
      <c r="AE40" s="8">
        <v>1107.2479500529221</v>
      </c>
      <c r="AF40" s="8">
        <v>949.06967147393357</v>
      </c>
      <c r="AG40" s="8">
        <v>949.06967147393357</v>
      </c>
      <c r="AH40" s="8">
        <v>949.06967147393357</v>
      </c>
      <c r="AI40" s="8">
        <v>15817.827199215197</v>
      </c>
      <c r="AJ40" s="13">
        <f t="shared" si="4"/>
        <v>1</v>
      </c>
      <c r="AL40" s="20">
        <f t="shared" si="19"/>
        <v>3.0000001249255705E-2</v>
      </c>
      <c r="AM40" s="20">
        <f t="shared" si="20"/>
        <v>5.0000002082092848E-2</v>
      </c>
      <c r="AN40" s="20">
        <f t="shared" si="21"/>
        <v>8.0000003331348518E-2</v>
      </c>
      <c r="AO40" s="20">
        <f t="shared" si="22"/>
        <v>0.11000000458060424</v>
      </c>
      <c r="AP40" s="20">
        <f t="shared" si="23"/>
        <v>0.1200000049970228</v>
      </c>
      <c r="AQ40" s="20">
        <f t="shared" si="24"/>
        <v>0.14999998542535012</v>
      </c>
      <c r="AR40" s="20">
        <f t="shared" si="25"/>
        <v>0.12999998459251302</v>
      </c>
      <c r="AS40" s="20">
        <f t="shared" si="26"/>
        <v>8.0000003331348518E-2</v>
      </c>
      <c r="AT40" s="20">
        <f t="shared" si="27"/>
        <v>7.0000002914929957E-2</v>
      </c>
      <c r="AU40" s="20">
        <f t="shared" si="28"/>
        <v>6.0000002498511409E-2</v>
      </c>
      <c r="AV40" s="20">
        <f t="shared" si="29"/>
        <v>6.0000002498511409E-2</v>
      </c>
      <c r="AW40" s="20">
        <f t="shared" si="30"/>
        <v>6.0000002498511409E-2</v>
      </c>
    </row>
    <row r="41" spans="1:49" x14ac:dyDescent="0.25">
      <c r="A41" s="4" t="s">
        <v>26</v>
      </c>
      <c r="B41" s="4" t="s">
        <v>5</v>
      </c>
      <c r="C41" s="4" t="s">
        <v>91</v>
      </c>
      <c r="D41" s="4">
        <v>2303.708788404972</v>
      </c>
      <c r="E41" s="4">
        <v>3839.5211208612909</v>
      </c>
      <c r="F41" s="4">
        <v>6143.2299092662624</v>
      </c>
      <c r="G41" s="4">
        <v>8446.948947410714</v>
      </c>
      <c r="H41" s="4">
        <v>9214.8551136388742</v>
      </c>
      <c r="I41" s="4">
        <v>11518.563902043839</v>
      </c>
      <c r="J41" s="4">
        <v>9982.7510301275543</v>
      </c>
      <c r="K41" s="4">
        <v>6143.2299092662624</v>
      </c>
      <c r="L41" s="4">
        <v>5375.3339927775833</v>
      </c>
      <c r="M41" s="4">
        <v>4607.4272870894501</v>
      </c>
      <c r="N41" s="4">
        <v>4607.4272870894501</v>
      </c>
      <c r="O41" s="4">
        <v>4607.4272870894501</v>
      </c>
      <c r="P41" s="10">
        <f t="shared" si="6"/>
        <v>76790.424575065699</v>
      </c>
      <c r="Q41" s="14">
        <v>193.76001033324724</v>
      </c>
      <c r="S41" t="s">
        <v>139</v>
      </c>
      <c r="T41" t="s">
        <v>26</v>
      </c>
      <c r="U41" t="s">
        <v>5</v>
      </c>
      <c r="V41" t="s">
        <v>91</v>
      </c>
      <c r="W41" s="8">
        <v>2303.708788404972</v>
      </c>
      <c r="X41" s="8">
        <v>3839.5211208612909</v>
      </c>
      <c r="Y41" s="8">
        <v>6143.2299092662624</v>
      </c>
      <c r="Z41" s="8">
        <v>8446.948947410714</v>
      </c>
      <c r="AA41" s="8">
        <v>9214.8551136388742</v>
      </c>
      <c r="AB41" s="8">
        <v>11518.563902043839</v>
      </c>
      <c r="AC41" s="8">
        <v>9982.7510301275543</v>
      </c>
      <c r="AD41" s="8">
        <v>6143.2299092662624</v>
      </c>
      <c r="AE41" s="8">
        <v>5375.3339927775833</v>
      </c>
      <c r="AF41" s="8">
        <v>4607.4272870894501</v>
      </c>
      <c r="AG41" s="8">
        <v>4607.4272870894501</v>
      </c>
      <c r="AH41" s="8">
        <v>4607.4272870894501</v>
      </c>
      <c r="AI41" s="8">
        <v>76790.424575065699</v>
      </c>
      <c r="AJ41" s="13">
        <f t="shared" si="4"/>
        <v>1</v>
      </c>
      <c r="AL41" s="20">
        <f t="shared" si="19"/>
        <v>2.9999948576309859E-2</v>
      </c>
      <c r="AM41" s="20">
        <f t="shared" si="20"/>
        <v>4.9999998594981152E-2</v>
      </c>
      <c r="AN41" s="20">
        <f t="shared" si="21"/>
        <v>7.9999947171291011E-2</v>
      </c>
      <c r="AO41" s="20">
        <f t="shared" si="22"/>
        <v>0.11000002922439223</v>
      </c>
      <c r="AP41" s="20">
        <f t="shared" si="23"/>
        <v>0.12000005423372788</v>
      </c>
      <c r="AQ41" s="20">
        <f t="shared" si="24"/>
        <v>0.15000000281003764</v>
      </c>
      <c r="AR41" s="20">
        <f t="shared" si="25"/>
        <v>0.12999994576627216</v>
      </c>
      <c r="AS41" s="20">
        <f t="shared" si="26"/>
        <v>7.9999947171291011E-2</v>
      </c>
      <c r="AT41" s="20">
        <f t="shared" si="27"/>
        <v>7.0000055638746728E-2</v>
      </c>
      <c r="AU41" s="20">
        <f t="shared" si="28"/>
        <v>6.0000023604316791E-2</v>
      </c>
      <c r="AV41" s="20">
        <f t="shared" si="29"/>
        <v>6.0000023604316791E-2</v>
      </c>
      <c r="AW41" s="20">
        <f t="shared" si="30"/>
        <v>6.0000023604316791E-2</v>
      </c>
    </row>
    <row r="42" spans="1:49" s="18" customFormat="1" x14ac:dyDescent="0.25">
      <c r="A42" s="16" t="s">
        <v>26</v>
      </c>
      <c r="B42" s="16" t="s">
        <v>5</v>
      </c>
      <c r="C42" s="16" t="s">
        <v>92</v>
      </c>
      <c r="D42" s="16">
        <v>8439.4423227899297</v>
      </c>
      <c r="E42" s="16">
        <v>16878.884645579859</v>
      </c>
      <c r="F42" s="16">
        <v>25318.326968369791</v>
      </c>
      <c r="G42" s="16">
        <v>21098.605806974829</v>
      </c>
      <c r="H42" s="16">
        <v>10549.302903487411</v>
      </c>
      <c r="I42" s="16">
        <v>10549.302903487411</v>
      </c>
      <c r="J42" s="16">
        <v>8439.4423227899297</v>
      </c>
      <c r="K42" s="16">
        <v>2109.860580697482</v>
      </c>
      <c r="L42" s="16">
        <v>2109.860580697482</v>
      </c>
      <c r="M42" s="16"/>
      <c r="N42" s="16"/>
      <c r="O42" s="16"/>
      <c r="P42" s="16">
        <f t="shared" si="6"/>
        <v>105493.0290348741</v>
      </c>
      <c r="Q42" s="17">
        <v>287.81997201761612</v>
      </c>
      <c r="S42" t="s">
        <v>139</v>
      </c>
      <c r="T42" s="18" t="s">
        <v>26</v>
      </c>
      <c r="U42" s="18" t="s">
        <v>5</v>
      </c>
      <c r="V42" s="18" t="s">
        <v>92</v>
      </c>
      <c r="W42" s="16">
        <v>11179.34534349002</v>
      </c>
      <c r="X42" s="16">
        <v>11179.34534349002</v>
      </c>
      <c r="Y42" s="16">
        <v>11179.34534349002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>
        <v>33538.036030470059</v>
      </c>
      <c r="AJ42" s="19">
        <f t="shared" si="4"/>
        <v>0.31791708264802016</v>
      </c>
      <c r="AL42" s="20">
        <f t="shared" si="19"/>
        <v>0.33333333333333337</v>
      </c>
      <c r="AM42" s="20">
        <f t="shared" si="20"/>
        <v>0.33333333333333337</v>
      </c>
      <c r="AN42" s="20">
        <f t="shared" si="21"/>
        <v>0.33333333333333337</v>
      </c>
      <c r="AO42" s="20">
        <f t="shared" si="22"/>
        <v>0</v>
      </c>
      <c r="AP42" s="20">
        <f t="shared" si="23"/>
        <v>0</v>
      </c>
      <c r="AQ42" s="20">
        <f t="shared" si="24"/>
        <v>0</v>
      </c>
      <c r="AR42" s="20">
        <f t="shared" si="25"/>
        <v>0</v>
      </c>
      <c r="AS42" s="20">
        <f t="shared" si="26"/>
        <v>0</v>
      </c>
      <c r="AT42" s="20">
        <f t="shared" si="27"/>
        <v>0</v>
      </c>
      <c r="AU42" s="20">
        <f t="shared" si="28"/>
        <v>0</v>
      </c>
      <c r="AV42" s="20">
        <f t="shared" si="29"/>
        <v>0</v>
      </c>
      <c r="AW42" s="20">
        <f t="shared" si="30"/>
        <v>0</v>
      </c>
    </row>
    <row r="43" spans="1:49" s="18" customFormat="1" x14ac:dyDescent="0.25">
      <c r="A43" s="16" t="s">
        <v>26</v>
      </c>
      <c r="B43" s="16" t="s">
        <v>5</v>
      </c>
      <c r="C43" s="16" t="s">
        <v>37</v>
      </c>
      <c r="D43" s="16">
        <v>7923.0630585124882</v>
      </c>
      <c r="E43" s="16">
        <v>13205.105097520811</v>
      </c>
      <c r="F43" s="16">
        <v>21128.168156033302</v>
      </c>
      <c r="G43" s="16">
        <v>29051.231214545791</v>
      </c>
      <c r="H43" s="16">
        <v>31692.252234049949</v>
      </c>
      <c r="I43" s="16">
        <v>39615.315292562438</v>
      </c>
      <c r="J43" s="16">
        <v>34333.273253554107</v>
      </c>
      <c r="K43" s="16">
        <v>21128.168156033302</v>
      </c>
      <c r="L43" s="16">
        <v>18487.14713652914</v>
      </c>
      <c r="M43" s="16">
        <v>15846.12611702498</v>
      </c>
      <c r="N43" s="16">
        <v>15846.12611702498</v>
      </c>
      <c r="O43" s="16">
        <v>15846.12611702498</v>
      </c>
      <c r="P43" s="16">
        <f t="shared" si="6"/>
        <v>264102.10195041628</v>
      </c>
      <c r="Q43" s="17">
        <v>298.10000000000002</v>
      </c>
      <c r="S43" t="s">
        <v>139</v>
      </c>
      <c r="T43" s="18" t="s">
        <v>26</v>
      </c>
      <c r="U43" s="18" t="s">
        <v>5</v>
      </c>
      <c r="V43" s="18" t="s">
        <v>37</v>
      </c>
      <c r="W43" s="16">
        <v>16394.050195041629</v>
      </c>
      <c r="X43" s="16">
        <v>19672.860234049956</v>
      </c>
      <c r="Y43" s="16">
        <v>34591.075292562396</v>
      </c>
      <c r="Z43" s="16">
        <v>16394.050195041629</v>
      </c>
      <c r="AA43" s="16">
        <v>16394.050195041629</v>
      </c>
      <c r="AB43" s="16">
        <v>8033.4552145458001</v>
      </c>
      <c r="AC43" s="16">
        <v>19672.860234049953</v>
      </c>
      <c r="AD43" s="16">
        <v>18033.455214545789</v>
      </c>
      <c r="AE43" s="16">
        <v>14754.645175537464</v>
      </c>
      <c r="AF43" s="16"/>
      <c r="AG43" s="16"/>
      <c r="AH43" s="16"/>
      <c r="AI43" s="16">
        <v>163940.50195041628</v>
      </c>
      <c r="AJ43" s="19">
        <f t="shared" si="4"/>
        <v>0.62074667615176804</v>
      </c>
      <c r="AK43" s="16"/>
      <c r="AL43" s="20">
        <f t="shared" si="19"/>
        <v>0.1</v>
      </c>
      <c r="AM43" s="20">
        <f t="shared" si="20"/>
        <v>0.12000000000000002</v>
      </c>
      <c r="AN43" s="20">
        <f t="shared" si="21"/>
        <v>0.21099773930803536</v>
      </c>
      <c r="AO43" s="20">
        <f t="shared" si="22"/>
        <v>0.1</v>
      </c>
      <c r="AP43" s="20">
        <f t="shared" si="23"/>
        <v>0.1</v>
      </c>
      <c r="AQ43" s="20">
        <f t="shared" si="24"/>
        <v>4.9002260691964422E-2</v>
      </c>
      <c r="AR43" s="20">
        <f t="shared" si="25"/>
        <v>0.12</v>
      </c>
      <c r="AS43" s="20">
        <f t="shared" si="26"/>
        <v>0.10999999999999999</v>
      </c>
      <c r="AT43" s="20">
        <f t="shared" si="27"/>
        <v>0.09</v>
      </c>
      <c r="AU43" s="20">
        <f t="shared" si="28"/>
        <v>0</v>
      </c>
      <c r="AV43" s="20">
        <f t="shared" si="29"/>
        <v>0</v>
      </c>
      <c r="AW43" s="20">
        <f t="shared" si="30"/>
        <v>0</v>
      </c>
    </row>
    <row r="44" spans="1:49" s="18" customFormat="1" x14ac:dyDescent="0.25">
      <c r="A44" s="16" t="s">
        <v>26</v>
      </c>
      <c r="B44" s="16" t="s">
        <v>5</v>
      </c>
      <c r="C44" s="16" t="s">
        <v>93</v>
      </c>
      <c r="D44" s="16"/>
      <c r="E44" s="16"/>
      <c r="F44" s="16"/>
      <c r="G44" s="16">
        <v>69524.480601013187</v>
      </c>
      <c r="H44" s="16">
        <v>85568.591508939309</v>
      </c>
      <c r="I44" s="16">
        <v>101612.7024168654</v>
      </c>
      <c r="J44" s="16">
        <v>74872.517570321899</v>
      </c>
      <c r="K44" s="16">
        <v>48132.33272377836</v>
      </c>
      <c r="L44" s="16">
        <v>42784.295754469647</v>
      </c>
      <c r="M44" s="16">
        <v>37436.25878516095</v>
      </c>
      <c r="N44" s="16">
        <v>37436.25878516095</v>
      </c>
      <c r="O44" s="16">
        <v>37436.25878516095</v>
      </c>
      <c r="P44" s="16">
        <f t="shared" si="6"/>
        <v>534803.69693087065</v>
      </c>
      <c r="Q44" s="17">
        <v>298.57999428408118</v>
      </c>
      <c r="S44" t="s">
        <v>139</v>
      </c>
      <c r="T44" s="18" t="s">
        <v>26</v>
      </c>
      <c r="U44" s="18" t="s">
        <v>5</v>
      </c>
      <c r="V44" s="18" t="s">
        <v>93</v>
      </c>
      <c r="W44" s="16"/>
      <c r="X44" s="16"/>
      <c r="Y44" s="16"/>
      <c r="Z44" s="16">
        <v>41383.181860683471</v>
      </c>
      <c r="AA44" s="16">
        <v>41383.181860683471</v>
      </c>
      <c r="AB44" s="16">
        <v>40745.904848854698</v>
      </c>
      <c r="AC44" s="16">
        <v>80108.627837025895</v>
      </c>
      <c r="AD44" s="16">
        <v>70745.904848854698</v>
      </c>
      <c r="AE44" s="16">
        <v>47020.45887251223</v>
      </c>
      <c r="AF44" s="16">
        <v>76590.025792339526</v>
      </c>
      <c r="AG44" s="16">
        <v>38295.012896169763</v>
      </c>
      <c r="AH44" s="16"/>
      <c r="AI44" s="16">
        <v>436272.29881712381</v>
      </c>
      <c r="AJ44" s="19">
        <f t="shared" si="4"/>
        <v>0.8157615613369944</v>
      </c>
      <c r="AK44" s="16"/>
      <c r="AL44" s="20">
        <f t="shared" si="19"/>
        <v>0</v>
      </c>
      <c r="AM44" s="20">
        <f t="shared" si="20"/>
        <v>0</v>
      </c>
      <c r="AN44" s="20">
        <f t="shared" si="21"/>
        <v>0</v>
      </c>
      <c r="AO44" s="20">
        <f t="shared" si="22"/>
        <v>9.4856313299943054E-2</v>
      </c>
      <c r="AP44" s="20">
        <f t="shared" si="23"/>
        <v>9.4856313299943054E-2</v>
      </c>
      <c r="AQ44" s="20">
        <f t="shared" si="24"/>
        <v>9.3395581061025662E-2</v>
      </c>
      <c r="AR44" s="20">
        <f t="shared" si="25"/>
        <v>0.1836207067334471</v>
      </c>
      <c r="AS44" s="20">
        <f t="shared" si="26"/>
        <v>0.16215997449452985</v>
      </c>
      <c r="AT44" s="20">
        <f t="shared" si="27"/>
        <v>0.10777777777777778</v>
      </c>
      <c r="AU44" s="20">
        <f t="shared" si="28"/>
        <v>0.17555555555555558</v>
      </c>
      <c r="AV44" s="20">
        <f t="shared" si="29"/>
        <v>8.7777777777777788E-2</v>
      </c>
      <c r="AW44" s="20">
        <f t="shared" si="30"/>
        <v>0</v>
      </c>
    </row>
    <row r="45" spans="1:49" s="18" customFormat="1" x14ac:dyDescent="0.25">
      <c r="A45" s="16" t="s">
        <v>26</v>
      </c>
      <c r="B45" s="16" t="s">
        <v>5</v>
      </c>
      <c r="C45" s="16" t="s">
        <v>94</v>
      </c>
      <c r="D45" s="16">
        <v>1796.81577066315</v>
      </c>
      <c r="E45" s="16">
        <v>2994.692951105249</v>
      </c>
      <c r="F45" s="16">
        <v>4791.5087217683986</v>
      </c>
      <c r="G45" s="16">
        <v>6588.3244924315486</v>
      </c>
      <c r="H45" s="16">
        <v>7187.2630826525983</v>
      </c>
      <c r="I45" s="16">
        <v>8984.0788533157483</v>
      </c>
      <c r="J45" s="16">
        <v>7786.2016728736489</v>
      </c>
      <c r="K45" s="16">
        <v>4791.5087217683986</v>
      </c>
      <c r="L45" s="16">
        <v>4192.5701315473498</v>
      </c>
      <c r="M45" s="16">
        <v>3593.6315413262992</v>
      </c>
      <c r="N45" s="16">
        <v>3593.6315413262992</v>
      </c>
      <c r="O45" s="16">
        <v>3593.6315413262992</v>
      </c>
      <c r="P45" s="16">
        <f t="shared" si="6"/>
        <v>59893.859022104989</v>
      </c>
      <c r="Q45" s="17">
        <v>1300.02</v>
      </c>
      <c r="S45" t="s">
        <v>139</v>
      </c>
      <c r="T45" s="18" t="s">
        <v>26</v>
      </c>
      <c r="U45" s="18" t="s">
        <v>5</v>
      </c>
      <c r="V45" s="18" t="s">
        <v>94</v>
      </c>
      <c r="W45" s="16">
        <v>12900.867877294648</v>
      </c>
      <c r="X45" s="16">
        <v>12900.867877294648</v>
      </c>
      <c r="Y45" s="16">
        <v>13291.803267515697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>
        <v>39093.539022104989</v>
      </c>
      <c r="AJ45" s="19">
        <f t="shared" si="4"/>
        <v>0.65271364477745142</v>
      </c>
      <c r="AK45" s="16"/>
      <c r="AL45" s="20">
        <f t="shared" si="19"/>
        <v>0.33</v>
      </c>
      <c r="AM45" s="20">
        <f t="shared" si="20"/>
        <v>0.33</v>
      </c>
      <c r="AN45" s="20">
        <f t="shared" si="21"/>
        <v>0.34</v>
      </c>
      <c r="AO45" s="20">
        <f t="shared" si="22"/>
        <v>0</v>
      </c>
      <c r="AP45" s="20">
        <f t="shared" si="23"/>
        <v>0</v>
      </c>
      <c r="AQ45" s="20">
        <f t="shared" si="24"/>
        <v>0</v>
      </c>
      <c r="AR45" s="20">
        <f t="shared" si="25"/>
        <v>0</v>
      </c>
      <c r="AS45" s="20">
        <f t="shared" si="26"/>
        <v>0</v>
      </c>
      <c r="AT45" s="20">
        <f t="shared" si="27"/>
        <v>0</v>
      </c>
      <c r="AU45" s="20">
        <f t="shared" si="28"/>
        <v>0</v>
      </c>
      <c r="AV45" s="20">
        <f t="shared" si="29"/>
        <v>0</v>
      </c>
      <c r="AW45" s="20">
        <f t="shared" si="30"/>
        <v>0</v>
      </c>
    </row>
    <row r="46" spans="1:49" x14ac:dyDescent="0.25">
      <c r="A46" s="4" t="s">
        <v>26</v>
      </c>
      <c r="B46" s="4" t="s">
        <v>5</v>
      </c>
      <c r="C46" s="4" t="s">
        <v>95</v>
      </c>
      <c r="D46" s="4">
        <v>1475.004726869236</v>
      </c>
      <c r="E46" s="4">
        <v>2458.335941981818</v>
      </c>
      <c r="F46" s="4">
        <v>3933.322963442241</v>
      </c>
      <c r="G46" s="4">
        <v>5408.3276903114775</v>
      </c>
      <c r="H46" s="4">
        <v>5899.9664235865303</v>
      </c>
      <c r="I46" s="4">
        <v>7374.9717827917966</v>
      </c>
      <c r="J46" s="4">
        <v>6391.6405676792147</v>
      </c>
      <c r="K46" s="4">
        <v>3933.322963442241</v>
      </c>
      <c r="L46" s="4">
        <v>3441.666524758371</v>
      </c>
      <c r="M46" s="4">
        <v>2949.992380665688</v>
      </c>
      <c r="N46" s="4">
        <v>2949.992380665688</v>
      </c>
      <c r="O46" s="4">
        <v>2949.992380665688</v>
      </c>
      <c r="P46" s="10">
        <f t="shared" si="6"/>
        <v>49166.536726859988</v>
      </c>
      <c r="Q46" s="14">
        <v>288.34013793669243</v>
      </c>
      <c r="S46" t="s">
        <v>139</v>
      </c>
      <c r="T46" t="s">
        <v>26</v>
      </c>
      <c r="U46" t="s">
        <v>5</v>
      </c>
      <c r="V46" t="s">
        <v>95</v>
      </c>
      <c r="W46" s="8">
        <v>1475.004726869236</v>
      </c>
      <c r="X46" s="8">
        <v>2458.335941981818</v>
      </c>
      <c r="Y46" s="8">
        <v>3933.322963442241</v>
      </c>
      <c r="Z46" s="8">
        <v>5408.3276903114775</v>
      </c>
      <c r="AA46" s="8">
        <v>5899.9664235865303</v>
      </c>
      <c r="AB46" s="8">
        <v>7374.9717827917966</v>
      </c>
      <c r="AC46" s="8">
        <v>6391.6405676792147</v>
      </c>
      <c r="AD46" s="8">
        <v>3933.322963442241</v>
      </c>
      <c r="AE46" s="8">
        <v>3441.666524758371</v>
      </c>
      <c r="AF46" s="8">
        <v>2949.992380665688</v>
      </c>
      <c r="AG46" s="8">
        <v>2949.992380665688</v>
      </c>
      <c r="AH46" s="8">
        <v>2949.992380665688</v>
      </c>
      <c r="AI46" s="8">
        <v>49166.536726859988</v>
      </c>
      <c r="AJ46" s="13">
        <f t="shared" si="4"/>
        <v>1</v>
      </c>
      <c r="AL46" s="20">
        <f t="shared" si="19"/>
        <v>3.0000175425482667E-2</v>
      </c>
      <c r="AM46" s="20">
        <f t="shared" si="20"/>
        <v>5.0000185199923053E-2</v>
      </c>
      <c r="AN46" s="20">
        <f t="shared" si="21"/>
        <v>8.0000000514444253E-2</v>
      </c>
      <c r="AO46" s="20">
        <f t="shared" si="22"/>
        <v>0.11000017593992692</v>
      </c>
      <c r="AP46" s="20">
        <f t="shared" si="23"/>
        <v>0.11999963423015193</v>
      </c>
      <c r="AQ46" s="20">
        <f t="shared" si="24"/>
        <v>0.14999982251674041</v>
      </c>
      <c r="AR46" s="20">
        <f t="shared" si="25"/>
        <v>0.12999981274230002</v>
      </c>
      <c r="AS46" s="20">
        <f t="shared" si="26"/>
        <v>8.0000000514444253E-2</v>
      </c>
      <c r="AT46" s="20">
        <f t="shared" si="27"/>
        <v>7.0000182113257675E-2</v>
      </c>
      <c r="AU46" s="20">
        <f t="shared" si="28"/>
        <v>6.0000003601109624E-2</v>
      </c>
      <c r="AV46" s="20">
        <f t="shared" si="29"/>
        <v>6.0000003601109624E-2</v>
      </c>
      <c r="AW46" s="20">
        <f t="shared" si="30"/>
        <v>6.0000003601109624E-2</v>
      </c>
    </row>
    <row r="47" spans="1:49" x14ac:dyDescent="0.25">
      <c r="A47" s="4" t="s">
        <v>26</v>
      </c>
      <c r="B47" s="4" t="s">
        <v>5</v>
      </c>
      <c r="C47" s="4" t="s">
        <v>112</v>
      </c>
      <c r="D47" s="4">
        <v>1475.700007667657</v>
      </c>
      <c r="E47" s="4">
        <v>1844.6249516283881</v>
      </c>
      <c r="F47" s="4">
        <v>2213.5216129723722</v>
      </c>
      <c r="G47" s="4">
        <v>2333.2968895288932</v>
      </c>
      <c r="H47" s="4">
        <v>2999.9605944254231</v>
      </c>
      <c r="I47" s="4">
        <v>3666.6240898632459</v>
      </c>
      <c r="J47" s="4">
        <v>3999.955837582158</v>
      </c>
      <c r="K47" s="4">
        <v>3333.2923421443352</v>
      </c>
      <c r="L47" s="4">
        <v>3333.2923421443352</v>
      </c>
      <c r="M47" s="4">
        <v>2666.6286372478048</v>
      </c>
      <c r="N47" s="4">
        <v>2999.9605944254231</v>
      </c>
      <c r="O47" s="4">
        <v>2999.9605944254231</v>
      </c>
      <c r="P47" s="10">
        <f t="shared" si="6"/>
        <v>33866.818494055457</v>
      </c>
      <c r="Q47" s="14">
        <v>1310.319213313162</v>
      </c>
      <c r="S47" t="s">
        <v>139</v>
      </c>
      <c r="T47" t="s">
        <v>26</v>
      </c>
      <c r="U47" t="s">
        <v>5</v>
      </c>
      <c r="V47" t="s">
        <v>112</v>
      </c>
      <c r="W47" s="8">
        <v>1475.700007667657</v>
      </c>
      <c r="X47" s="8">
        <v>1844.6249516283881</v>
      </c>
      <c r="Y47" s="8">
        <v>2213.5216129723722</v>
      </c>
      <c r="Z47" s="8">
        <v>2333.2968895288932</v>
      </c>
      <c r="AA47" s="8">
        <v>2999.9605944254231</v>
      </c>
      <c r="AB47" s="8">
        <v>3666.6240898632459</v>
      </c>
      <c r="AC47" s="8">
        <v>3999.955837582158</v>
      </c>
      <c r="AD47" s="8">
        <v>3333.2923421443352</v>
      </c>
      <c r="AE47" s="8">
        <v>3333.2923421443352</v>
      </c>
      <c r="AF47" s="8">
        <v>2666.6286372478048</v>
      </c>
      <c r="AG47" s="8">
        <v>2999.9605944254231</v>
      </c>
      <c r="AH47" s="8">
        <v>2999.9605944254231</v>
      </c>
      <c r="AI47" s="8">
        <v>33866.818494055457</v>
      </c>
      <c r="AJ47" s="13">
        <f t="shared" si="4"/>
        <v>1</v>
      </c>
      <c r="AL47" s="20">
        <f t="shared" si="19"/>
        <v>4.3573623779472589E-2</v>
      </c>
      <c r="AM47" s="20">
        <f t="shared" si="20"/>
        <v>5.4467028013043789E-2</v>
      </c>
      <c r="AN47" s="20">
        <f t="shared" si="21"/>
        <v>6.5359597133722649E-2</v>
      </c>
      <c r="AO47" s="20">
        <f t="shared" si="22"/>
        <v>6.8896252830434893E-2</v>
      </c>
      <c r="AP47" s="20">
        <f t="shared" si="23"/>
        <v>8.858111649761248E-2</v>
      </c>
      <c r="AQ47" s="20">
        <f t="shared" si="24"/>
        <v>0.10826597398001343</v>
      </c>
      <c r="AR47" s="20">
        <f t="shared" si="25"/>
        <v>0.11810840272121394</v>
      </c>
      <c r="AS47" s="20">
        <f t="shared" si="26"/>
        <v>9.8423545238812971E-2</v>
      </c>
      <c r="AT47" s="20">
        <f t="shared" si="27"/>
        <v>9.8423545238812971E-2</v>
      </c>
      <c r="AU47" s="20">
        <f t="shared" si="28"/>
        <v>7.8738681571635383E-2</v>
      </c>
      <c r="AV47" s="20">
        <f t="shared" si="29"/>
        <v>8.858111649761248E-2</v>
      </c>
      <c r="AW47" s="20">
        <f t="shared" si="30"/>
        <v>8.858111649761248E-2</v>
      </c>
    </row>
    <row r="48" spans="1:49" x14ac:dyDescent="0.25">
      <c r="A48" s="4" t="s">
        <v>26</v>
      </c>
      <c r="B48" s="4" t="s">
        <v>5</v>
      </c>
      <c r="C48" s="4" t="s">
        <v>113</v>
      </c>
      <c r="D48" s="4">
        <v>2593.7755479068469</v>
      </c>
      <c r="E48" s="4">
        <v>3242.2317088853761</v>
      </c>
      <c r="F48" s="4">
        <v>3890.6634245715818</v>
      </c>
      <c r="G48" s="4">
        <v>4101.1935377395448</v>
      </c>
      <c r="H48" s="4">
        <v>5272.96007074507</v>
      </c>
      <c r="I48" s="4">
        <v>6444.7045168948616</v>
      </c>
      <c r="J48" s="4">
        <v>7030.576739969757</v>
      </c>
      <c r="K48" s="4">
        <v>5858.8102069642318</v>
      </c>
      <c r="L48" s="4">
        <v>5858.8322938199663</v>
      </c>
      <c r="M48" s="4">
        <v>4687.0657608144402</v>
      </c>
      <c r="N48" s="4">
        <v>5272.96007074507</v>
      </c>
      <c r="O48" s="4">
        <v>5272.96007074507</v>
      </c>
      <c r="P48" s="10">
        <f t="shared" si="6"/>
        <v>59526.733949801812</v>
      </c>
      <c r="Q48" s="14">
        <v>1124.3397341211225</v>
      </c>
      <c r="S48" t="s">
        <v>139</v>
      </c>
      <c r="T48" t="s">
        <v>26</v>
      </c>
      <c r="U48" t="s">
        <v>5</v>
      </c>
      <c r="V48" t="s">
        <v>113</v>
      </c>
      <c r="W48" s="8">
        <v>2593.7755479068469</v>
      </c>
      <c r="X48" s="8">
        <v>3242.2317088853761</v>
      </c>
      <c r="Y48" s="8">
        <v>3890.6634245715818</v>
      </c>
      <c r="Z48" s="8">
        <v>4101.1935377395448</v>
      </c>
      <c r="AA48" s="8">
        <v>5272.96007074507</v>
      </c>
      <c r="AB48" s="8">
        <v>6444.7045168948616</v>
      </c>
      <c r="AC48" s="8">
        <v>7030.576739969757</v>
      </c>
      <c r="AD48" s="8">
        <v>5858.8102069642318</v>
      </c>
      <c r="AE48" s="8">
        <v>5858.8322938199663</v>
      </c>
      <c r="AF48" s="8">
        <v>4687.0657608144402</v>
      </c>
      <c r="AG48" s="8">
        <v>5272.96007074507</v>
      </c>
      <c r="AH48" s="8">
        <v>5272.96007074507</v>
      </c>
      <c r="AI48" s="8">
        <v>59526.733949801812</v>
      </c>
      <c r="AJ48" s="13">
        <f t="shared" si="4"/>
        <v>1</v>
      </c>
      <c r="AL48" s="20">
        <f t="shared" si="19"/>
        <v>4.3573288433632978E-2</v>
      </c>
      <c r="AM48" s="20">
        <f t="shared" si="20"/>
        <v>5.4466816735141414E-2</v>
      </c>
      <c r="AN48" s="20">
        <f t="shared" si="21"/>
        <v>6.5359934375914724E-2</v>
      </c>
      <c r="AO48" s="20">
        <f t="shared" si="22"/>
        <v>6.8896666516225002E-2</v>
      </c>
      <c r="AP48" s="20">
        <f t="shared" si="23"/>
        <v>8.8581377153863244E-2</v>
      </c>
      <c r="AQ48" s="20">
        <f t="shared" si="24"/>
        <v>0.10826571675055453</v>
      </c>
      <c r="AR48" s="20">
        <f t="shared" si="25"/>
        <v>0.11810788654890018</v>
      </c>
      <c r="AS48" s="20">
        <f t="shared" si="26"/>
        <v>9.8423175911261943E-2</v>
      </c>
      <c r="AT48" s="20">
        <f t="shared" si="27"/>
        <v>9.8423546952208896E-2</v>
      </c>
      <c r="AU48" s="20">
        <f t="shared" si="28"/>
        <v>7.873883631457064E-2</v>
      </c>
      <c r="AV48" s="20">
        <f t="shared" si="29"/>
        <v>8.8581377153863244E-2</v>
      </c>
      <c r="AW48" s="20">
        <f t="shared" si="30"/>
        <v>8.8581377153863244E-2</v>
      </c>
    </row>
    <row r="49" spans="1:49" x14ac:dyDescent="0.25">
      <c r="A49" s="4" t="s">
        <v>26</v>
      </c>
      <c r="B49" s="4" t="s">
        <v>5</v>
      </c>
      <c r="C49" s="4" t="s">
        <v>114</v>
      </c>
      <c r="D49" s="4">
        <v>1281.412544253631</v>
      </c>
      <c r="E49" s="4">
        <v>1601.7656803170389</v>
      </c>
      <c r="F49" s="4">
        <v>1922.118816380447</v>
      </c>
      <c r="G49" s="4">
        <v>2242.4719524438551</v>
      </c>
      <c r="H49" s="4">
        <v>2883.17822457067</v>
      </c>
      <c r="I49" s="4">
        <v>3523.8844966974848</v>
      </c>
      <c r="J49" s="4">
        <v>3844.2376327608931</v>
      </c>
      <c r="K49" s="4">
        <v>3203.5313606340778</v>
      </c>
      <c r="L49" s="4">
        <v>3203.5313606340778</v>
      </c>
      <c r="M49" s="4">
        <v>2562.8250885072621</v>
      </c>
      <c r="N49" s="4">
        <v>2883.17822457067</v>
      </c>
      <c r="O49" s="4">
        <v>2883.17822457067</v>
      </c>
      <c r="P49" s="10">
        <f t="shared" si="6"/>
        <v>32035.313606340784</v>
      </c>
      <c r="Q49" s="14">
        <v>6554.2520000000004</v>
      </c>
      <c r="S49" t="s">
        <v>139</v>
      </c>
      <c r="T49" t="s">
        <v>26</v>
      </c>
      <c r="U49" t="s">
        <v>5</v>
      </c>
      <c r="V49" t="s">
        <v>114</v>
      </c>
      <c r="W49" s="8">
        <v>1281.412544253631</v>
      </c>
      <c r="X49" s="8">
        <v>1601.7656803170389</v>
      </c>
      <c r="Y49" s="8">
        <v>1922.118816380447</v>
      </c>
      <c r="Z49" s="8">
        <v>2242.4719524438551</v>
      </c>
      <c r="AA49" s="8">
        <v>2883.17822457067</v>
      </c>
      <c r="AB49" s="8">
        <v>3523.8844966974848</v>
      </c>
      <c r="AC49" s="8">
        <v>3844.2376327608931</v>
      </c>
      <c r="AD49" s="8">
        <v>3203.5313606340778</v>
      </c>
      <c r="AE49" s="8">
        <v>3203.5313606340778</v>
      </c>
      <c r="AF49" s="8">
        <v>2562.8250885072621</v>
      </c>
      <c r="AG49" s="8">
        <v>2883.17822457067</v>
      </c>
      <c r="AH49" s="8">
        <v>2883.17822457067</v>
      </c>
      <c r="AI49" s="8">
        <v>32035.313606340784</v>
      </c>
      <c r="AJ49" s="13">
        <f t="shared" si="4"/>
        <v>1</v>
      </c>
      <c r="AL49" s="20">
        <f t="shared" si="19"/>
        <v>3.9999999999999987E-2</v>
      </c>
      <c r="AM49" s="20">
        <f t="shared" si="20"/>
        <v>4.9999999999999989E-2</v>
      </c>
      <c r="AN49" s="20">
        <f t="shared" si="21"/>
        <v>0.06</v>
      </c>
      <c r="AO49" s="20">
        <f t="shared" si="22"/>
        <v>7.0000000000000007E-2</v>
      </c>
      <c r="AP49" s="20">
        <f t="shared" si="23"/>
        <v>8.9999999999999983E-2</v>
      </c>
      <c r="AQ49" s="20">
        <f t="shared" si="24"/>
        <v>0.10999999999999996</v>
      </c>
      <c r="AR49" s="20">
        <f t="shared" si="25"/>
        <v>0.11999999999999997</v>
      </c>
      <c r="AS49" s="20">
        <f t="shared" si="26"/>
        <v>9.9999999999999978E-2</v>
      </c>
      <c r="AT49" s="20">
        <f t="shared" si="27"/>
        <v>9.9999999999999978E-2</v>
      </c>
      <c r="AU49" s="20">
        <f t="shared" si="28"/>
        <v>7.9999999999999974E-2</v>
      </c>
      <c r="AV49" s="20">
        <f t="shared" si="29"/>
        <v>8.9999999999999983E-2</v>
      </c>
      <c r="AW49" s="20">
        <f t="shared" si="30"/>
        <v>8.9999999999999983E-2</v>
      </c>
    </row>
    <row r="50" spans="1:49" x14ac:dyDescent="0.25">
      <c r="A50" s="4" t="s">
        <v>26</v>
      </c>
      <c r="B50" s="4" t="s">
        <v>5</v>
      </c>
      <c r="C50" s="4" t="s">
        <v>96</v>
      </c>
      <c r="D50" s="4">
        <v>304.62155999999891</v>
      </c>
      <c r="E50" s="4">
        <v>507.7025999999982</v>
      </c>
      <c r="F50" s="4">
        <v>812.32415999999705</v>
      </c>
      <c r="G50" s="4">
        <v>1116.9457199999961</v>
      </c>
      <c r="H50" s="4">
        <v>1218.4862399999961</v>
      </c>
      <c r="I50" s="4">
        <v>1523.107799999995</v>
      </c>
      <c r="J50" s="4">
        <v>1320.026759999995</v>
      </c>
      <c r="K50" s="4">
        <v>812.32415999999705</v>
      </c>
      <c r="L50" s="4">
        <v>710.78363999999738</v>
      </c>
      <c r="M50" s="4">
        <v>609.24311999999782</v>
      </c>
      <c r="N50" s="4">
        <v>609.24311999999782</v>
      </c>
      <c r="O50" s="4">
        <v>609.24311999999782</v>
      </c>
      <c r="P50" s="10">
        <f t="shared" si="6"/>
        <v>10154.051999999963</v>
      </c>
      <c r="Q50" s="14">
        <v>454.32000000000005</v>
      </c>
      <c r="S50" t="s">
        <v>139</v>
      </c>
      <c r="T50" t="s">
        <v>26</v>
      </c>
      <c r="U50" t="s">
        <v>5</v>
      </c>
      <c r="V50" t="s">
        <v>96</v>
      </c>
      <c r="W50" s="8">
        <v>304.62155999999891</v>
      </c>
      <c r="X50" s="8">
        <v>507.7025999999982</v>
      </c>
      <c r="Y50" s="8">
        <v>812.32415999999705</v>
      </c>
      <c r="Z50" s="8">
        <v>1116.9457199999961</v>
      </c>
      <c r="AA50" s="8">
        <v>1218.4862399999961</v>
      </c>
      <c r="AB50" s="8">
        <v>1523.107799999995</v>
      </c>
      <c r="AC50" s="8">
        <v>1320.026759999995</v>
      </c>
      <c r="AD50" s="8">
        <v>812.32415999999705</v>
      </c>
      <c r="AE50" s="8">
        <v>710.78363999999738</v>
      </c>
      <c r="AF50" s="8">
        <v>609.24311999999782</v>
      </c>
      <c r="AG50" s="8">
        <v>609.24311999999782</v>
      </c>
      <c r="AH50" s="8">
        <v>609.24311999999782</v>
      </c>
      <c r="AI50" s="8">
        <v>10154.051999999963</v>
      </c>
      <c r="AJ50" s="13">
        <f t="shared" si="4"/>
        <v>1</v>
      </c>
      <c r="AL50" s="20">
        <f t="shared" si="19"/>
        <v>3.0000000000000002E-2</v>
      </c>
      <c r="AM50" s="20">
        <f t="shared" si="20"/>
        <v>0.05</v>
      </c>
      <c r="AN50" s="20">
        <f t="shared" si="21"/>
        <v>0.08</v>
      </c>
      <c r="AO50" s="20">
        <f t="shared" si="22"/>
        <v>0.11000000000000001</v>
      </c>
      <c r="AP50" s="20">
        <f t="shared" si="23"/>
        <v>0.12000000000000005</v>
      </c>
      <c r="AQ50" s="20">
        <f t="shared" si="24"/>
        <v>0.15000000000000005</v>
      </c>
      <c r="AR50" s="20">
        <f t="shared" si="25"/>
        <v>0.12999999999999998</v>
      </c>
      <c r="AS50" s="20">
        <f t="shared" si="26"/>
        <v>0.08</v>
      </c>
      <c r="AT50" s="20">
        <f t="shared" si="27"/>
        <v>6.9999999999999993E-2</v>
      </c>
      <c r="AU50" s="20">
        <f t="shared" si="28"/>
        <v>6.0000000000000005E-2</v>
      </c>
      <c r="AV50" s="20">
        <f t="shared" si="29"/>
        <v>6.0000000000000005E-2</v>
      </c>
      <c r="AW50" s="20">
        <f t="shared" si="30"/>
        <v>6.0000000000000005E-2</v>
      </c>
    </row>
    <row r="51" spans="1:49" x14ac:dyDescent="0.25">
      <c r="A51" s="4" t="s">
        <v>26</v>
      </c>
      <c r="B51" s="4" t="s">
        <v>5</v>
      </c>
      <c r="C51" s="4" t="s">
        <v>97</v>
      </c>
      <c r="D51" s="4">
        <v>53.673972000000042</v>
      </c>
      <c r="E51" s="4">
        <v>89.456620000000058</v>
      </c>
      <c r="F51" s="4">
        <v>143.13059200000009</v>
      </c>
      <c r="G51" s="4">
        <v>196.8045640000002</v>
      </c>
      <c r="H51" s="4">
        <v>214.6958880000002</v>
      </c>
      <c r="I51" s="4">
        <v>268.36986000000019</v>
      </c>
      <c r="J51" s="4">
        <v>232.58721200000019</v>
      </c>
      <c r="K51" s="4">
        <v>143.13059200000009</v>
      </c>
      <c r="L51" s="4">
        <v>125.2392680000001</v>
      </c>
      <c r="M51" s="4">
        <v>107.3479440000001</v>
      </c>
      <c r="N51" s="4">
        <v>107.3479440000001</v>
      </c>
      <c r="O51" s="4">
        <v>107.3479440000001</v>
      </c>
      <c r="P51" s="10">
        <f t="shared" si="6"/>
        <v>1789.1324000000016</v>
      </c>
      <c r="Q51" s="14">
        <v>533.67111111111114</v>
      </c>
      <c r="S51" t="s">
        <v>139</v>
      </c>
      <c r="T51" t="s">
        <v>26</v>
      </c>
      <c r="U51" t="s">
        <v>5</v>
      </c>
      <c r="V51" t="s">
        <v>97</v>
      </c>
      <c r="W51" s="8">
        <v>53.673972000000042</v>
      </c>
      <c r="X51" s="8">
        <v>89.456620000000058</v>
      </c>
      <c r="Y51" s="8">
        <v>143.13059200000009</v>
      </c>
      <c r="Z51" s="8">
        <v>196.8045640000002</v>
      </c>
      <c r="AA51" s="8">
        <v>214.6958880000002</v>
      </c>
      <c r="AB51" s="8">
        <v>268.36986000000019</v>
      </c>
      <c r="AC51" s="8">
        <v>232.58721200000019</v>
      </c>
      <c r="AD51" s="8">
        <v>143.13059200000009</v>
      </c>
      <c r="AE51" s="8">
        <v>125.2392680000001</v>
      </c>
      <c r="AF51" s="8">
        <v>107.3479440000001</v>
      </c>
      <c r="AG51" s="8">
        <v>107.3479440000001</v>
      </c>
      <c r="AH51" s="8">
        <v>107.3479440000001</v>
      </c>
      <c r="AI51" s="8">
        <v>1789.1324000000016</v>
      </c>
      <c r="AJ51" s="13">
        <f t="shared" si="4"/>
        <v>1</v>
      </c>
      <c r="AL51" s="20">
        <f t="shared" si="19"/>
        <v>0.03</v>
      </c>
      <c r="AM51" s="20">
        <f t="shared" si="20"/>
        <v>4.9999999999999989E-2</v>
      </c>
      <c r="AN51" s="20">
        <f t="shared" si="21"/>
        <v>7.9999999999999988E-2</v>
      </c>
      <c r="AO51" s="20">
        <f t="shared" si="22"/>
        <v>0.11000000000000001</v>
      </c>
      <c r="AP51" s="20">
        <f t="shared" si="23"/>
        <v>0.12000000000000001</v>
      </c>
      <c r="AQ51" s="20">
        <f t="shared" si="24"/>
        <v>0.14999999999999997</v>
      </c>
      <c r="AR51" s="20">
        <f t="shared" si="25"/>
        <v>0.13</v>
      </c>
      <c r="AS51" s="20">
        <f t="shared" si="26"/>
        <v>7.9999999999999988E-2</v>
      </c>
      <c r="AT51" s="20">
        <f t="shared" si="27"/>
        <v>6.9999999999999993E-2</v>
      </c>
      <c r="AU51" s="20">
        <f t="shared" si="28"/>
        <v>6.0000000000000005E-2</v>
      </c>
      <c r="AV51" s="20">
        <f t="shared" si="29"/>
        <v>6.0000000000000005E-2</v>
      </c>
      <c r="AW51" s="20">
        <f t="shared" si="30"/>
        <v>6.0000000000000005E-2</v>
      </c>
    </row>
    <row r="52" spans="1:49" x14ac:dyDescent="0.25">
      <c r="A52" s="4" t="s">
        <v>26</v>
      </c>
      <c r="B52" s="4" t="s">
        <v>5</v>
      </c>
      <c r="C52" s="4" t="s">
        <v>98</v>
      </c>
      <c r="D52" s="4">
        <v>1139.347125</v>
      </c>
      <c r="E52" s="4">
        <v>1139.347125</v>
      </c>
      <c r="F52" s="4">
        <v>759.56474999999989</v>
      </c>
      <c r="G52" s="4">
        <v>5696.7356249999993</v>
      </c>
      <c r="H52" s="4">
        <v>5696.7356249999993</v>
      </c>
      <c r="I52" s="4">
        <v>6076.5179999999991</v>
      </c>
      <c r="J52" s="4">
        <v>4937.1708749999998</v>
      </c>
      <c r="K52" s="4">
        <v>3038.259</v>
      </c>
      <c r="L52" s="4">
        <v>2658.4766249999998</v>
      </c>
      <c r="M52" s="4">
        <v>2278.69425</v>
      </c>
      <c r="N52" s="4">
        <v>2278.69425</v>
      </c>
      <c r="O52" s="4">
        <v>2278.69425</v>
      </c>
      <c r="P52" s="10">
        <f t="shared" si="6"/>
        <v>37978.237499999996</v>
      </c>
      <c r="Q52" s="14">
        <v>339.85</v>
      </c>
      <c r="S52" t="s">
        <v>139</v>
      </c>
      <c r="T52" t="s">
        <v>26</v>
      </c>
      <c r="U52" t="s">
        <v>5</v>
      </c>
      <c r="V52" t="s">
        <v>98</v>
      </c>
      <c r="W52" s="8">
        <v>1139.347125</v>
      </c>
      <c r="X52" s="8">
        <v>1139.347125</v>
      </c>
      <c r="Y52" s="8">
        <v>759.56474999999989</v>
      </c>
      <c r="Z52" s="8">
        <v>5696.7356249999993</v>
      </c>
      <c r="AA52" s="8">
        <v>5696.7356249999993</v>
      </c>
      <c r="AB52" s="8">
        <v>6076.5179999999991</v>
      </c>
      <c r="AC52" s="8">
        <v>4937.1708749999998</v>
      </c>
      <c r="AD52" s="8">
        <v>3038.259</v>
      </c>
      <c r="AE52" s="8">
        <v>2658.4766249999998</v>
      </c>
      <c r="AF52" s="8">
        <v>2278.69425</v>
      </c>
      <c r="AG52" s="8">
        <v>2278.69425</v>
      </c>
      <c r="AH52" s="8">
        <v>2278.69425</v>
      </c>
      <c r="AI52" s="8">
        <v>37978.237499999996</v>
      </c>
      <c r="AJ52" s="13">
        <f t="shared" si="4"/>
        <v>1</v>
      </c>
      <c r="AL52" s="20">
        <f t="shared" si="19"/>
        <v>3.0000000000000002E-2</v>
      </c>
      <c r="AM52" s="20">
        <f t="shared" si="20"/>
        <v>3.0000000000000002E-2</v>
      </c>
      <c r="AN52" s="20">
        <f t="shared" si="21"/>
        <v>0.02</v>
      </c>
      <c r="AO52" s="20">
        <f t="shared" si="22"/>
        <v>0.15</v>
      </c>
      <c r="AP52" s="20">
        <f t="shared" si="23"/>
        <v>0.15</v>
      </c>
      <c r="AQ52" s="20">
        <f t="shared" si="24"/>
        <v>0.16</v>
      </c>
      <c r="AR52" s="20">
        <f t="shared" si="25"/>
        <v>0.13</v>
      </c>
      <c r="AS52" s="20">
        <f t="shared" si="26"/>
        <v>8.0000000000000016E-2</v>
      </c>
      <c r="AT52" s="20">
        <f t="shared" si="27"/>
        <v>7.0000000000000007E-2</v>
      </c>
      <c r="AU52" s="20">
        <f t="shared" si="28"/>
        <v>6.0000000000000005E-2</v>
      </c>
      <c r="AV52" s="20">
        <f t="shared" si="29"/>
        <v>6.0000000000000005E-2</v>
      </c>
      <c r="AW52" s="20">
        <f t="shared" si="30"/>
        <v>6.0000000000000005E-2</v>
      </c>
    </row>
    <row r="53" spans="1:49" x14ac:dyDescent="0.25">
      <c r="A53" s="4" t="s">
        <v>26</v>
      </c>
      <c r="B53" s="4" t="s">
        <v>5</v>
      </c>
      <c r="C53" s="4" t="s">
        <v>99</v>
      </c>
      <c r="D53" s="4">
        <v>42.996132024447981</v>
      </c>
      <c r="E53" s="4">
        <v>71.658584645332169</v>
      </c>
      <c r="F53" s="4">
        <v>114.6546434431198</v>
      </c>
      <c r="G53" s="4">
        <v>157.6507754675678</v>
      </c>
      <c r="H53" s="4">
        <v>171.97962191154849</v>
      </c>
      <c r="I53" s="4">
        <v>214.9709209764134</v>
      </c>
      <c r="J53" s="4">
        <v>186.30846835552919</v>
      </c>
      <c r="K53" s="4">
        <v>114.6546434431198</v>
      </c>
      <c r="L53" s="4">
        <v>100.32103726621629</v>
      </c>
      <c r="M53" s="4">
        <v>85.992190822235628</v>
      </c>
      <c r="N53" s="4">
        <v>85.992190822235628</v>
      </c>
      <c r="O53" s="4">
        <v>85.992190822235628</v>
      </c>
      <c r="P53" s="10">
        <f t="shared" si="6"/>
        <v>1433.171400000002</v>
      </c>
      <c r="Q53" s="14">
        <v>665.64705882352939</v>
      </c>
      <c r="S53" t="s">
        <v>139</v>
      </c>
      <c r="T53" t="s">
        <v>26</v>
      </c>
      <c r="U53" t="s">
        <v>5</v>
      </c>
      <c r="V53" t="s">
        <v>99</v>
      </c>
      <c r="W53" s="8">
        <v>42.996132024447981</v>
      </c>
      <c r="X53" s="8">
        <v>71.658584645332169</v>
      </c>
      <c r="Y53" s="8">
        <v>114.6546434431198</v>
      </c>
      <c r="Z53" s="8">
        <v>157.6507754675678</v>
      </c>
      <c r="AA53" s="8">
        <v>171.97962191154849</v>
      </c>
      <c r="AB53" s="8">
        <v>214.9709209764134</v>
      </c>
      <c r="AC53" s="8">
        <v>186.30846835552919</v>
      </c>
      <c r="AD53" s="8">
        <v>114.6546434431198</v>
      </c>
      <c r="AE53" s="8">
        <v>100.32103726621629</v>
      </c>
      <c r="AF53" s="8">
        <v>85.992190822235628</v>
      </c>
      <c r="AG53" s="8">
        <v>85.992190822235628</v>
      </c>
      <c r="AH53" s="8">
        <v>85.992190822235628</v>
      </c>
      <c r="AI53" s="8">
        <v>1433.171400000002</v>
      </c>
      <c r="AJ53" s="13">
        <f t="shared" si="4"/>
        <v>1</v>
      </c>
      <c r="AL53" s="20">
        <f t="shared" si="19"/>
        <v>3.0000690792774627E-2</v>
      </c>
      <c r="AM53" s="20">
        <f t="shared" si="20"/>
        <v>5.000001021882803E-2</v>
      </c>
      <c r="AN53" s="20">
        <f t="shared" si="21"/>
        <v>8.0000649917462516E-2</v>
      </c>
      <c r="AO53" s="20">
        <f t="shared" si="22"/>
        <v>0.11000134071023715</v>
      </c>
      <c r="AP53" s="20">
        <f t="shared" si="23"/>
        <v>0.11999933986370943</v>
      </c>
      <c r="AQ53" s="20">
        <f t="shared" si="24"/>
        <v>0.14999665844323512</v>
      </c>
      <c r="AR53" s="20">
        <f t="shared" si="25"/>
        <v>0.12999733901718172</v>
      </c>
      <c r="AS53" s="20">
        <f t="shared" si="26"/>
        <v>8.0000649917462516E-2</v>
      </c>
      <c r="AT53" s="20">
        <f t="shared" si="27"/>
        <v>6.9999329644881383E-2</v>
      </c>
      <c r="AU53" s="20">
        <f t="shared" si="28"/>
        <v>6.0001330491409127E-2</v>
      </c>
      <c r="AV53" s="20">
        <f t="shared" si="29"/>
        <v>6.0001330491409127E-2</v>
      </c>
      <c r="AW53" s="20">
        <f t="shared" si="30"/>
        <v>6.0001330491409127E-2</v>
      </c>
    </row>
    <row r="54" spans="1:49" x14ac:dyDescent="0.25">
      <c r="A54" s="4" t="s">
        <v>26</v>
      </c>
      <c r="B54" s="4" t="s">
        <v>5</v>
      </c>
      <c r="C54" s="4" t="s">
        <v>100</v>
      </c>
      <c r="D54" s="4">
        <v>113.0156916369255</v>
      </c>
      <c r="E54" s="4">
        <v>188.35945954505291</v>
      </c>
      <c r="F54" s="4">
        <v>301.37515118197848</v>
      </c>
      <c r="G54" s="4">
        <v>414.39084281890399</v>
      </c>
      <c r="H54" s="4">
        <v>452.0626869982334</v>
      </c>
      <c r="I54" s="4">
        <v>565.07837863515874</v>
      </c>
      <c r="J54" s="4">
        <v>489.73461072703151</v>
      </c>
      <c r="K54" s="4">
        <v>301.37515118197848</v>
      </c>
      <c r="L54" s="4">
        <v>263.70322745318038</v>
      </c>
      <c r="M54" s="4">
        <v>226.03138327385111</v>
      </c>
      <c r="N54" s="4">
        <v>226.03138327385111</v>
      </c>
      <c r="O54" s="4">
        <v>226.03138327385111</v>
      </c>
      <c r="P54" s="10">
        <f t="shared" si="6"/>
        <v>3767.1893499999969</v>
      </c>
      <c r="Q54" s="14">
        <v>702.30972222222226</v>
      </c>
      <c r="S54" t="s">
        <v>139</v>
      </c>
      <c r="T54" t="s">
        <v>26</v>
      </c>
      <c r="U54" t="s">
        <v>5</v>
      </c>
      <c r="V54" t="s">
        <v>100</v>
      </c>
      <c r="W54" s="8">
        <v>113.0156916369255</v>
      </c>
      <c r="X54" s="8">
        <v>188.35945954505291</v>
      </c>
      <c r="Y54" s="8">
        <v>301.37515118197848</v>
      </c>
      <c r="Z54" s="8">
        <v>414.39084281890399</v>
      </c>
      <c r="AA54" s="8">
        <v>452.0626869982334</v>
      </c>
      <c r="AB54" s="8">
        <v>565.07837863515874</v>
      </c>
      <c r="AC54" s="8">
        <v>489.73461072703151</v>
      </c>
      <c r="AD54" s="8">
        <v>301.37515118197848</v>
      </c>
      <c r="AE54" s="8">
        <v>263.70322745318038</v>
      </c>
      <c r="AF54" s="8">
        <v>226.03138327385111</v>
      </c>
      <c r="AG54" s="8">
        <v>226.03138327385111</v>
      </c>
      <c r="AH54" s="8">
        <v>226.03138327385111</v>
      </c>
      <c r="AI54" s="8">
        <v>3767.1893499999969</v>
      </c>
      <c r="AJ54" s="13">
        <f t="shared" si="4"/>
        <v>1</v>
      </c>
      <c r="AL54" s="20">
        <f t="shared" si="19"/>
        <v>3.0000002956295676E-2</v>
      </c>
      <c r="AM54" s="20">
        <f t="shared" si="20"/>
        <v>4.9999997888360209E-2</v>
      </c>
      <c r="AN54" s="20">
        <f t="shared" si="21"/>
        <v>8.0000000844655902E-2</v>
      </c>
      <c r="AO54" s="20">
        <f t="shared" si="22"/>
        <v>0.11000000380095158</v>
      </c>
      <c r="AP54" s="20">
        <f t="shared" si="23"/>
        <v>0.11999999070878499</v>
      </c>
      <c r="AQ54" s="20">
        <f t="shared" si="24"/>
        <v>0.14999999366508063</v>
      </c>
      <c r="AR54" s="20">
        <f t="shared" si="25"/>
        <v>0.12999999873301615</v>
      </c>
      <c r="AS54" s="20">
        <f t="shared" si="26"/>
        <v>8.0000000844655902E-2</v>
      </c>
      <c r="AT54" s="20">
        <f t="shared" si="27"/>
        <v>6.9999992820424753E-2</v>
      </c>
      <c r="AU54" s="20">
        <f t="shared" si="28"/>
        <v>6.0000005912591386E-2</v>
      </c>
      <c r="AV54" s="20">
        <f t="shared" si="29"/>
        <v>6.0000005912591386E-2</v>
      </c>
      <c r="AW54" s="20">
        <f t="shared" si="30"/>
        <v>6.0000005912591386E-2</v>
      </c>
    </row>
    <row r="55" spans="1:49" x14ac:dyDescent="0.25">
      <c r="A55" s="4" t="s">
        <v>26</v>
      </c>
      <c r="B55" s="4" t="s">
        <v>5</v>
      </c>
      <c r="C55" s="4" t="s">
        <v>101</v>
      </c>
      <c r="D55" s="4">
        <v>123.8985660000002</v>
      </c>
      <c r="E55" s="4">
        <v>206.49761000000041</v>
      </c>
      <c r="F55" s="4">
        <v>330.39617600000071</v>
      </c>
      <c r="G55" s="4">
        <v>454.29474200000089</v>
      </c>
      <c r="H55" s="4">
        <v>495.59426400000092</v>
      </c>
      <c r="I55" s="4">
        <v>619.49283000000128</v>
      </c>
      <c r="J55" s="4">
        <v>536.893786000001</v>
      </c>
      <c r="K55" s="4">
        <v>330.39617600000071</v>
      </c>
      <c r="L55" s="4">
        <v>289.09665400000063</v>
      </c>
      <c r="M55" s="4">
        <v>247.79713200000049</v>
      </c>
      <c r="N55" s="4">
        <v>247.79713200000049</v>
      </c>
      <c r="O55" s="4">
        <v>247.79713200000049</v>
      </c>
      <c r="P55" s="10">
        <f t="shared" si="6"/>
        <v>4129.9522000000088</v>
      </c>
      <c r="Q55" s="14">
        <v>503.96</v>
      </c>
      <c r="S55" t="s">
        <v>139</v>
      </c>
      <c r="T55" t="s">
        <v>26</v>
      </c>
      <c r="U55" t="s">
        <v>5</v>
      </c>
      <c r="V55" t="s">
        <v>101</v>
      </c>
      <c r="W55" s="8">
        <v>123.8985660000002</v>
      </c>
      <c r="X55" s="8">
        <v>206.49761000000041</v>
      </c>
      <c r="Y55" s="8">
        <v>330.39617600000071</v>
      </c>
      <c r="Z55" s="8">
        <v>454.29474200000089</v>
      </c>
      <c r="AA55" s="8">
        <v>495.59426400000092</v>
      </c>
      <c r="AB55" s="8">
        <v>619.49283000000128</v>
      </c>
      <c r="AC55" s="8">
        <v>536.893786000001</v>
      </c>
      <c r="AD55" s="8">
        <v>330.39617600000071</v>
      </c>
      <c r="AE55" s="8">
        <v>289.09665400000063</v>
      </c>
      <c r="AF55" s="8">
        <v>247.79713200000049</v>
      </c>
      <c r="AG55" s="8">
        <v>247.79713200000049</v>
      </c>
      <c r="AH55" s="8">
        <v>247.79713200000049</v>
      </c>
      <c r="AI55" s="8">
        <v>4129.9522000000088</v>
      </c>
      <c r="AJ55" s="13">
        <f t="shared" si="4"/>
        <v>1</v>
      </c>
      <c r="AL55" s="20">
        <f t="shared" si="19"/>
        <v>2.9999999999999985E-2</v>
      </c>
      <c r="AM55" s="20">
        <f t="shared" si="20"/>
        <v>4.9999999999999989E-2</v>
      </c>
      <c r="AN55" s="20">
        <f t="shared" si="21"/>
        <v>0.08</v>
      </c>
      <c r="AO55" s="20">
        <f t="shared" si="22"/>
        <v>0.10999999999999999</v>
      </c>
      <c r="AP55" s="20">
        <f t="shared" si="23"/>
        <v>0.11999999999999997</v>
      </c>
      <c r="AQ55" s="20">
        <f t="shared" si="24"/>
        <v>0.15</v>
      </c>
      <c r="AR55" s="20">
        <f t="shared" si="25"/>
        <v>0.12999999999999998</v>
      </c>
      <c r="AS55" s="20">
        <f t="shared" si="26"/>
        <v>0.08</v>
      </c>
      <c r="AT55" s="20">
        <f t="shared" si="27"/>
        <v>7.0000000000000007E-2</v>
      </c>
      <c r="AU55" s="20">
        <f t="shared" si="28"/>
        <v>5.9999999999999991E-2</v>
      </c>
      <c r="AV55" s="20">
        <f t="shared" si="29"/>
        <v>5.9999999999999991E-2</v>
      </c>
      <c r="AW55" s="20">
        <f t="shared" si="30"/>
        <v>5.9999999999999991E-2</v>
      </c>
    </row>
    <row r="56" spans="1:49" x14ac:dyDescent="0.25">
      <c r="A56" s="4" t="s">
        <v>26</v>
      </c>
      <c r="B56" s="4" t="s">
        <v>5</v>
      </c>
      <c r="C56" s="4" t="s">
        <v>102</v>
      </c>
      <c r="D56" s="4">
        <v>623.9012780728093</v>
      </c>
      <c r="E56" s="4">
        <v>1039.835523149377</v>
      </c>
      <c r="F56" s="4">
        <v>1663.7368012221859</v>
      </c>
      <c r="G56" s="4">
        <v>2066.9310694483811</v>
      </c>
      <c r="H56" s="4">
        <v>2254.8339086533588</v>
      </c>
      <c r="I56" s="4">
        <v>2818.5423453651042</v>
      </c>
      <c r="J56" s="4">
        <v>2442.7366669551461</v>
      </c>
      <c r="K56" s="4">
        <v>1503.222551833446</v>
      </c>
      <c r="L56" s="4">
        <v>1315.319793531658</v>
      </c>
      <c r="M56" s="4">
        <v>1127.4169543266801</v>
      </c>
      <c r="N56" s="4">
        <v>1127.4169543266801</v>
      </c>
      <c r="O56" s="4">
        <v>1127.4169543266801</v>
      </c>
      <c r="P56" s="10">
        <f t="shared" si="6"/>
        <v>19111.310801211508</v>
      </c>
      <c r="Q56" s="14">
        <v>382.22998477929985</v>
      </c>
      <c r="S56" t="s">
        <v>139</v>
      </c>
      <c r="T56" t="s">
        <v>26</v>
      </c>
      <c r="U56" t="s">
        <v>5</v>
      </c>
      <c r="V56" t="s">
        <v>102</v>
      </c>
      <c r="W56" s="8">
        <v>623.9012780728093</v>
      </c>
      <c r="X56" s="8">
        <v>1039.835523149377</v>
      </c>
      <c r="Y56" s="8">
        <v>1663.7368012221859</v>
      </c>
      <c r="Z56" s="8">
        <v>2066.9310694483811</v>
      </c>
      <c r="AA56" s="8">
        <v>2254.8339086533588</v>
      </c>
      <c r="AB56" s="8">
        <v>2818.5423453651042</v>
      </c>
      <c r="AC56" s="8">
        <v>2442.7366669551461</v>
      </c>
      <c r="AD56" s="8">
        <v>1503.222551833446</v>
      </c>
      <c r="AE56" s="8">
        <v>1315.319793531658</v>
      </c>
      <c r="AF56" s="8">
        <v>1127.4169543266801</v>
      </c>
      <c r="AG56" s="8">
        <v>1127.4169543266801</v>
      </c>
      <c r="AH56" s="8">
        <v>1127.4169543266801</v>
      </c>
      <c r="AI56" s="8">
        <v>19111.310801211508</v>
      </c>
      <c r="AJ56" s="13">
        <f t="shared" si="4"/>
        <v>1</v>
      </c>
      <c r="AL56" s="20">
        <f t="shared" si="19"/>
        <v>3.2645655997246344E-2</v>
      </c>
      <c r="AM56" s="20">
        <f t="shared" si="20"/>
        <v>5.4409429785604216E-2</v>
      </c>
      <c r="AN56" s="20">
        <f t="shared" si="21"/>
        <v>8.7055085782850539E-2</v>
      </c>
      <c r="AO56" s="20">
        <f t="shared" si="22"/>
        <v>0.10815223984099269</v>
      </c>
      <c r="AP56" s="20">
        <f t="shared" si="23"/>
        <v>0.1179842624144033</v>
      </c>
      <c r="AQ56" s="20">
        <f t="shared" si="24"/>
        <v>0.14748032590137305</v>
      </c>
      <c r="AR56" s="20">
        <f t="shared" si="25"/>
        <v>0.12781628075455168</v>
      </c>
      <c r="AS56" s="20">
        <f t="shared" si="26"/>
        <v>7.8656172120760731E-2</v>
      </c>
      <c r="AT56" s="20">
        <f t="shared" si="27"/>
        <v>6.882415378061231E-2</v>
      </c>
      <c r="AU56" s="20">
        <f t="shared" si="28"/>
        <v>5.899213120720169E-2</v>
      </c>
      <c r="AV56" s="20">
        <f t="shared" si="29"/>
        <v>5.899213120720169E-2</v>
      </c>
      <c r="AW56" s="20">
        <f t="shared" si="30"/>
        <v>5.899213120720169E-2</v>
      </c>
    </row>
    <row r="57" spans="1:49" x14ac:dyDescent="0.25">
      <c r="A57" s="4" t="s">
        <v>26</v>
      </c>
      <c r="B57" s="4" t="s">
        <v>5</v>
      </c>
      <c r="C57" s="4" t="s">
        <v>103</v>
      </c>
      <c r="D57" s="4">
        <v>242.59148640031361</v>
      </c>
      <c r="E57" s="4">
        <v>404.31914400052273</v>
      </c>
      <c r="F57" s="4">
        <v>646.91063040083623</v>
      </c>
      <c r="G57" s="4">
        <v>803.68459776619954</v>
      </c>
      <c r="H57" s="4">
        <v>876.7468339267632</v>
      </c>
      <c r="I57" s="4">
        <v>1095.9335424084541</v>
      </c>
      <c r="J57" s="4">
        <v>949.80907008732686</v>
      </c>
      <c r="K57" s="4">
        <v>584.49788928450869</v>
      </c>
      <c r="L57" s="4">
        <v>511.43565312394531</v>
      </c>
      <c r="M57" s="4">
        <v>438.3734169633816</v>
      </c>
      <c r="N57" s="4">
        <v>438.3734169633816</v>
      </c>
      <c r="O57" s="4">
        <v>438.3734169633816</v>
      </c>
      <c r="P57" s="10">
        <f t="shared" si="6"/>
        <v>7431.0490982890151</v>
      </c>
      <c r="Q57" s="14">
        <v>371.56007866273353</v>
      </c>
      <c r="S57" t="s">
        <v>139</v>
      </c>
      <c r="T57" t="s">
        <v>26</v>
      </c>
      <c r="U57" t="s">
        <v>5</v>
      </c>
      <c r="V57" t="s">
        <v>103</v>
      </c>
      <c r="W57" s="8">
        <v>242.59148640031361</v>
      </c>
      <c r="X57" s="8">
        <v>404.31914400052273</v>
      </c>
      <c r="Y57" s="8">
        <v>646.91063040083623</v>
      </c>
      <c r="Z57" s="8">
        <v>803.68459776619954</v>
      </c>
      <c r="AA57" s="8">
        <v>876.7468339267632</v>
      </c>
      <c r="AB57" s="8">
        <v>1095.9335424084541</v>
      </c>
      <c r="AC57" s="8">
        <v>949.80907008732686</v>
      </c>
      <c r="AD57" s="8">
        <v>584.49788928450869</v>
      </c>
      <c r="AE57" s="8">
        <v>511.43565312394531</v>
      </c>
      <c r="AF57" s="8">
        <v>438.3734169633816</v>
      </c>
      <c r="AG57" s="8">
        <v>438.3734169633816</v>
      </c>
      <c r="AH57" s="8">
        <v>438.3734169633816</v>
      </c>
      <c r="AI57" s="8">
        <v>7431.0490982890151</v>
      </c>
      <c r="AJ57" s="13">
        <f t="shared" si="4"/>
        <v>1</v>
      </c>
      <c r="AL57" s="20">
        <f t="shared" si="19"/>
        <v>3.2645657859557115E-2</v>
      </c>
      <c r="AM57" s="20">
        <f t="shared" si="20"/>
        <v>5.4409429765928531E-2</v>
      </c>
      <c r="AN57" s="20">
        <f t="shared" si="21"/>
        <v>8.7055087625485639E-2</v>
      </c>
      <c r="AO57" s="20">
        <f t="shared" si="22"/>
        <v>0.10815223895522993</v>
      </c>
      <c r="AP57" s="20">
        <f t="shared" si="23"/>
        <v>0.11798426067843266</v>
      </c>
      <c r="AQ57" s="20">
        <f t="shared" si="24"/>
        <v>0.14748032584804086</v>
      </c>
      <c r="AR57" s="20">
        <f t="shared" si="25"/>
        <v>0.12781628240163539</v>
      </c>
      <c r="AS57" s="20">
        <f t="shared" si="26"/>
        <v>7.8656173785621772E-2</v>
      </c>
      <c r="AT57" s="20">
        <f t="shared" si="27"/>
        <v>6.8824152062419069E-2</v>
      </c>
      <c r="AU57" s="20">
        <f t="shared" si="28"/>
        <v>5.8992130339216332E-2</v>
      </c>
      <c r="AV57" s="20">
        <f t="shared" si="29"/>
        <v>5.8992130339216332E-2</v>
      </c>
      <c r="AW57" s="20">
        <f t="shared" si="30"/>
        <v>5.8992130339216332E-2</v>
      </c>
    </row>
    <row r="58" spans="1:49" x14ac:dyDescent="0.25">
      <c r="A58" s="4" t="s">
        <v>26</v>
      </c>
      <c r="B58" s="4" t="s">
        <v>5</v>
      </c>
      <c r="C58" s="4" t="s">
        <v>104</v>
      </c>
      <c r="D58" s="4"/>
      <c r="E58" s="4"/>
      <c r="F58" s="4"/>
      <c r="G58" s="4">
        <v>2851.748249999996</v>
      </c>
      <c r="H58" s="4">
        <v>3509.843999999995</v>
      </c>
      <c r="I58" s="4">
        <v>4167.9397499999941</v>
      </c>
      <c r="J58" s="4">
        <v>3071.1134999999958</v>
      </c>
      <c r="K58" s="4">
        <v>1974.2872499999969</v>
      </c>
      <c r="L58" s="4">
        <v>1754.921999999998</v>
      </c>
      <c r="M58" s="4">
        <v>1535.5567499999979</v>
      </c>
      <c r="N58" s="4">
        <v>1535.5567499999979</v>
      </c>
      <c r="O58" s="4">
        <v>1535.5567499999979</v>
      </c>
      <c r="P58" s="10">
        <f t="shared" si="6"/>
        <v>21936.524999999965</v>
      </c>
      <c r="Q58" s="14">
        <v>294.45</v>
      </c>
      <c r="S58" t="s">
        <v>139</v>
      </c>
      <c r="T58" t="s">
        <v>26</v>
      </c>
      <c r="U58" t="s">
        <v>5</v>
      </c>
      <c r="V58" t="s">
        <v>104</v>
      </c>
      <c r="W58" s="8"/>
      <c r="X58" s="8"/>
      <c r="Y58" s="8"/>
      <c r="Z58" s="8">
        <v>2851.748249999996</v>
      </c>
      <c r="AA58" s="8">
        <v>3509.843999999995</v>
      </c>
      <c r="AB58" s="8">
        <v>4167.9397499999941</v>
      </c>
      <c r="AC58" s="8">
        <v>3071.1134999999958</v>
      </c>
      <c r="AD58" s="8">
        <v>1974.2872499999969</v>
      </c>
      <c r="AE58" s="8">
        <v>1754.921999999998</v>
      </c>
      <c r="AF58" s="8">
        <v>1535.5567499999979</v>
      </c>
      <c r="AG58" s="8">
        <v>1535.5567499999979</v>
      </c>
      <c r="AH58" s="8">
        <v>1535.5567499999979</v>
      </c>
      <c r="AI58" s="8">
        <v>21936.524999999965</v>
      </c>
      <c r="AJ58" s="13">
        <f t="shared" si="4"/>
        <v>1</v>
      </c>
      <c r="AL58" s="20">
        <f t="shared" si="19"/>
        <v>0</v>
      </c>
      <c r="AM58" s="20">
        <f t="shared" si="20"/>
        <v>0</v>
      </c>
      <c r="AN58" s="20">
        <f t="shared" si="21"/>
        <v>0</v>
      </c>
      <c r="AO58" s="20">
        <f t="shared" si="22"/>
        <v>0.13000000000000003</v>
      </c>
      <c r="AP58" s="20">
        <f t="shared" si="23"/>
        <v>0.16000000000000003</v>
      </c>
      <c r="AQ58" s="20">
        <f t="shared" si="24"/>
        <v>0.19000000000000003</v>
      </c>
      <c r="AR58" s="20">
        <f t="shared" si="25"/>
        <v>0.14000000000000004</v>
      </c>
      <c r="AS58" s="20">
        <f t="shared" si="26"/>
        <v>0.09</v>
      </c>
      <c r="AT58" s="20">
        <f t="shared" si="27"/>
        <v>8.0000000000000029E-2</v>
      </c>
      <c r="AU58" s="20">
        <f t="shared" si="28"/>
        <v>7.0000000000000021E-2</v>
      </c>
      <c r="AV58" s="20">
        <f t="shared" si="29"/>
        <v>7.0000000000000021E-2</v>
      </c>
      <c r="AW58" s="20">
        <f t="shared" si="30"/>
        <v>7.0000000000000021E-2</v>
      </c>
    </row>
    <row r="59" spans="1:49" x14ac:dyDescent="0.25">
      <c r="A59" s="4" t="s">
        <v>26</v>
      </c>
      <c r="B59" s="4" t="s">
        <v>5</v>
      </c>
      <c r="C59" s="4" t="s">
        <v>105</v>
      </c>
      <c r="D59" s="4">
        <v>94.442841602022426</v>
      </c>
      <c r="E59" s="4">
        <v>157.40470956998439</v>
      </c>
      <c r="F59" s="4">
        <v>251.8475511720068</v>
      </c>
      <c r="G59" s="4">
        <v>346.29039277402921</v>
      </c>
      <c r="H59" s="4">
        <v>377.77128710793062</v>
      </c>
      <c r="I59" s="4">
        <v>472.21412870995312</v>
      </c>
      <c r="J59" s="4">
        <v>409.25226074199122</v>
      </c>
      <c r="K59" s="4">
        <v>251.8475511720068</v>
      </c>
      <c r="L59" s="4">
        <v>220.36657753794631</v>
      </c>
      <c r="M59" s="4">
        <v>188.88568320404491</v>
      </c>
      <c r="N59" s="4">
        <v>188.88568320404491</v>
      </c>
      <c r="O59" s="4">
        <v>188.88568320404491</v>
      </c>
      <c r="P59" s="10">
        <f t="shared" si="6"/>
        <v>3148.0943500000062</v>
      </c>
      <c r="Q59" s="14">
        <v>378.98026905829596</v>
      </c>
      <c r="S59" t="s">
        <v>139</v>
      </c>
      <c r="T59" t="s">
        <v>26</v>
      </c>
      <c r="U59" t="s">
        <v>5</v>
      </c>
      <c r="V59" t="s">
        <v>105</v>
      </c>
      <c r="W59" s="8">
        <v>94.442841602022426</v>
      </c>
      <c r="X59" s="8">
        <v>157.40470956998439</v>
      </c>
      <c r="Y59" s="8">
        <v>251.8475511720068</v>
      </c>
      <c r="Z59" s="8">
        <v>346.29039277402921</v>
      </c>
      <c r="AA59" s="8">
        <v>377.77128710793062</v>
      </c>
      <c r="AB59" s="8">
        <v>472.21412870995312</v>
      </c>
      <c r="AC59" s="8">
        <v>409.25226074199122</v>
      </c>
      <c r="AD59" s="8">
        <v>251.8475511720068</v>
      </c>
      <c r="AE59" s="8">
        <v>220.36657753794631</v>
      </c>
      <c r="AF59" s="8">
        <v>188.88568320404491</v>
      </c>
      <c r="AG59" s="8">
        <v>188.88568320404491</v>
      </c>
      <c r="AH59" s="8">
        <v>188.88568320404491</v>
      </c>
      <c r="AI59" s="8">
        <v>3148.0943500000062</v>
      </c>
      <c r="AJ59" s="13">
        <f t="shared" si="4"/>
        <v>1</v>
      </c>
      <c r="AL59" s="20">
        <f t="shared" si="19"/>
        <v>3.0000003526584978E-2</v>
      </c>
      <c r="AM59" s="20">
        <f t="shared" si="20"/>
        <v>4.9999997481010722E-2</v>
      </c>
      <c r="AN59" s="20">
        <f t="shared" si="21"/>
        <v>8.0000001007595689E-2</v>
      </c>
      <c r="AO59" s="20">
        <f t="shared" si="22"/>
        <v>0.11000000453418067</v>
      </c>
      <c r="AP59" s="20">
        <f t="shared" si="23"/>
        <v>0.11999998891644714</v>
      </c>
      <c r="AQ59" s="20">
        <f t="shared" si="24"/>
        <v>0.14999999244303214</v>
      </c>
      <c r="AR59" s="20">
        <f t="shared" si="25"/>
        <v>0.12999999848860641</v>
      </c>
      <c r="AS59" s="20">
        <f t="shared" si="26"/>
        <v>8.0000001007595689E-2</v>
      </c>
      <c r="AT59" s="20">
        <f t="shared" si="27"/>
        <v>6.9999991435436448E-2</v>
      </c>
      <c r="AU59" s="20">
        <f t="shared" si="28"/>
        <v>6.0000007053169969E-2</v>
      </c>
      <c r="AV59" s="20">
        <f t="shared" si="29"/>
        <v>6.0000007053169969E-2</v>
      </c>
      <c r="AW59" s="20">
        <f t="shared" si="30"/>
        <v>6.0000007053169969E-2</v>
      </c>
    </row>
    <row r="60" spans="1:49" x14ac:dyDescent="0.25">
      <c r="A60" s="4" t="s">
        <v>26</v>
      </c>
      <c r="B60" s="4" t="s">
        <v>5</v>
      </c>
      <c r="C60" s="4" t="s">
        <v>106</v>
      </c>
      <c r="D60" s="4">
        <v>517.07112641719334</v>
      </c>
      <c r="E60" s="4">
        <v>861.78590218463182</v>
      </c>
      <c r="F60" s="4">
        <v>1378.857028601825</v>
      </c>
      <c r="G60" s="4">
        <v>1713.0125132694941</v>
      </c>
      <c r="H60" s="4">
        <v>1868.7420027247481</v>
      </c>
      <c r="I60" s="4">
        <v>2335.9304710905099</v>
      </c>
      <c r="J60" s="4">
        <v>2024.4697882462749</v>
      </c>
      <c r="K60" s="4">
        <v>1245.8274527711869</v>
      </c>
      <c r="L60" s="4">
        <v>1090.0996672496599</v>
      </c>
      <c r="M60" s="4">
        <v>934.37017779440578</v>
      </c>
      <c r="N60" s="4">
        <v>934.37017779440578</v>
      </c>
      <c r="O60" s="4">
        <v>934.37017779440578</v>
      </c>
      <c r="P60" s="10">
        <f t="shared" si="6"/>
        <v>15838.906485938744</v>
      </c>
      <c r="Q60" s="14">
        <v>316.78009185090247</v>
      </c>
      <c r="S60" t="s">
        <v>139</v>
      </c>
      <c r="T60" t="s">
        <v>26</v>
      </c>
      <c r="U60" t="s">
        <v>5</v>
      </c>
      <c r="V60" t="s">
        <v>106</v>
      </c>
      <c r="W60" s="8">
        <v>517.07112641719334</v>
      </c>
      <c r="X60" s="8">
        <v>861.78590218463182</v>
      </c>
      <c r="Y60" s="8">
        <v>1378.857028601825</v>
      </c>
      <c r="Z60" s="8">
        <v>1713.0125132694941</v>
      </c>
      <c r="AA60" s="8">
        <v>1868.7420027247481</v>
      </c>
      <c r="AB60" s="8">
        <v>2335.9304710905099</v>
      </c>
      <c r="AC60" s="8">
        <v>2024.4697882462749</v>
      </c>
      <c r="AD60" s="8">
        <v>1245.8274527711869</v>
      </c>
      <c r="AE60" s="8">
        <v>1090.0996672496599</v>
      </c>
      <c r="AF60" s="8">
        <v>934.37017779440578</v>
      </c>
      <c r="AG60" s="8">
        <v>934.37017779440578</v>
      </c>
      <c r="AH60" s="8">
        <v>934.37017779440578</v>
      </c>
      <c r="AI60" s="8">
        <v>15838.906485938744</v>
      </c>
      <c r="AJ60" s="13">
        <f t="shared" si="4"/>
        <v>1</v>
      </c>
      <c r="AL60" s="20">
        <f t="shared" si="19"/>
        <v>3.2645632883572612E-2</v>
      </c>
      <c r="AM60" s="20">
        <f t="shared" si="20"/>
        <v>5.4409431796929718E-2</v>
      </c>
      <c r="AN60" s="20">
        <f t="shared" si="21"/>
        <v>8.7055064680502323E-2</v>
      </c>
      <c r="AO60" s="20">
        <f t="shared" si="22"/>
        <v>0.10815219565758848</v>
      </c>
      <c r="AP60" s="20">
        <f t="shared" si="23"/>
        <v>0.11798428157800889</v>
      </c>
      <c r="AQ60" s="20">
        <f t="shared" si="24"/>
        <v>0.14748053933927013</v>
      </c>
      <c r="AR60" s="20">
        <f t="shared" si="25"/>
        <v>0.12781625991942891</v>
      </c>
      <c r="AS60" s="20">
        <f t="shared" si="26"/>
        <v>7.8656153054328035E-2</v>
      </c>
      <c r="AT60" s="20">
        <f t="shared" si="27"/>
        <v>6.8824174712908012E-2</v>
      </c>
      <c r="AU60" s="20">
        <f t="shared" si="28"/>
        <v>5.8992088792487581E-2</v>
      </c>
      <c r="AV60" s="20">
        <f t="shared" si="29"/>
        <v>5.8992088792487581E-2</v>
      </c>
      <c r="AW60" s="20">
        <f t="shared" si="30"/>
        <v>5.8992088792487581E-2</v>
      </c>
    </row>
    <row r="61" spans="1:49" x14ac:dyDescent="0.25">
      <c r="A61" s="4" t="s">
        <v>26</v>
      </c>
      <c r="B61" s="4" t="s">
        <v>5</v>
      </c>
      <c r="C61" s="4" t="s">
        <v>107</v>
      </c>
      <c r="D61" s="4">
        <v>200.15350700264739</v>
      </c>
      <c r="E61" s="4">
        <v>333.58892665210772</v>
      </c>
      <c r="F61" s="4">
        <v>533.74162266769929</v>
      </c>
      <c r="G61" s="4">
        <v>663.09028494818199</v>
      </c>
      <c r="H61" s="4">
        <v>723.37009441112934</v>
      </c>
      <c r="I61" s="4">
        <v>904.21318652259458</v>
      </c>
      <c r="J61" s="4">
        <v>783.65136936312626</v>
      </c>
      <c r="K61" s="4">
        <v>482.24721810376928</v>
      </c>
      <c r="L61" s="4">
        <v>421.96667589629732</v>
      </c>
      <c r="M61" s="4">
        <v>361.68542621135327</v>
      </c>
      <c r="N61" s="4">
        <v>361.68542621135327</v>
      </c>
      <c r="O61" s="4">
        <v>361.68542621135327</v>
      </c>
      <c r="P61" s="10">
        <f t="shared" si="6"/>
        <v>6131.079164201612</v>
      </c>
      <c r="Q61" s="14">
        <v>306.54995242626069</v>
      </c>
      <c r="S61" t="s">
        <v>139</v>
      </c>
      <c r="T61" t="s">
        <v>26</v>
      </c>
      <c r="U61" t="s">
        <v>5</v>
      </c>
      <c r="V61" t="s">
        <v>107</v>
      </c>
      <c r="W61" s="8">
        <v>200.15350700264739</v>
      </c>
      <c r="X61" s="8">
        <v>333.58892665210772</v>
      </c>
      <c r="Y61" s="8">
        <v>533.74162266769929</v>
      </c>
      <c r="Z61" s="8">
        <v>663.09028494818199</v>
      </c>
      <c r="AA61" s="8">
        <v>723.37009441112934</v>
      </c>
      <c r="AB61" s="8">
        <v>904.21318652259458</v>
      </c>
      <c r="AC61" s="8">
        <v>783.65136936312626</v>
      </c>
      <c r="AD61" s="8">
        <v>482.24721810376928</v>
      </c>
      <c r="AE61" s="8">
        <v>421.96667589629732</v>
      </c>
      <c r="AF61" s="8">
        <v>361.68542621135327</v>
      </c>
      <c r="AG61" s="8">
        <v>361.68542621135327</v>
      </c>
      <c r="AH61" s="8">
        <v>361.68542621135327</v>
      </c>
      <c r="AI61" s="8">
        <v>6131.079164201612</v>
      </c>
      <c r="AJ61" s="13">
        <f t="shared" si="4"/>
        <v>1</v>
      </c>
      <c r="AL61" s="20">
        <f t="shared" si="19"/>
        <v>3.2645722170953462E-2</v>
      </c>
      <c r="AM61" s="20">
        <f t="shared" si="20"/>
        <v>5.4409495900799972E-2</v>
      </c>
      <c r="AN61" s="20">
        <f t="shared" si="21"/>
        <v>8.705508579698841E-2</v>
      </c>
      <c r="AO61" s="20">
        <f t="shared" si="22"/>
        <v>0.10815229540989453</v>
      </c>
      <c r="AP61" s="20">
        <f t="shared" si="23"/>
        <v>0.11798413868716152</v>
      </c>
      <c r="AQ61" s="20">
        <f t="shared" si="24"/>
        <v>0.14748026608466425</v>
      </c>
      <c r="AR61" s="20">
        <f t="shared" si="25"/>
        <v>0.12781622099070927</v>
      </c>
      <c r="AS61" s="20">
        <f t="shared" si="26"/>
        <v>7.8656172133534569E-2</v>
      </c>
      <c r="AT61" s="20">
        <f t="shared" si="27"/>
        <v>6.8824209343127232E-2</v>
      </c>
      <c r="AU61" s="20">
        <f t="shared" si="28"/>
        <v>5.8992131160722321E-2</v>
      </c>
      <c r="AV61" s="20">
        <f t="shared" si="29"/>
        <v>5.8992131160722321E-2</v>
      </c>
      <c r="AW61" s="20">
        <f t="shared" si="30"/>
        <v>5.8992131160722321E-2</v>
      </c>
    </row>
    <row r="62" spans="1:49" x14ac:dyDescent="0.25">
      <c r="A62" s="4" t="s">
        <v>26</v>
      </c>
      <c r="B62" s="4" t="s">
        <v>5</v>
      </c>
      <c r="C62" s="4" t="s">
        <v>115</v>
      </c>
      <c r="D62" s="4">
        <v>86.922627141317733</v>
      </c>
      <c r="E62" s="4">
        <v>115.8934270341681</v>
      </c>
      <c r="F62" s="4">
        <v>231.79193563788689</v>
      </c>
      <c r="G62" s="4">
        <v>289.73868131680348</v>
      </c>
      <c r="H62" s="4">
        <v>289.73868131680348</v>
      </c>
      <c r="I62" s="4">
        <v>289.73868131680348</v>
      </c>
      <c r="J62" s="4">
        <v>318.71456277920458</v>
      </c>
      <c r="K62" s="4">
        <v>289.73868131680348</v>
      </c>
      <c r="L62" s="4">
        <v>260.76279985440237</v>
      </c>
      <c r="M62" s="4">
        <v>231.79193563788689</v>
      </c>
      <c r="N62" s="4">
        <v>231.79193563788689</v>
      </c>
      <c r="O62" s="4">
        <v>260.76279985440237</v>
      </c>
      <c r="P62" s="10">
        <f t="shared" si="6"/>
        <v>2897.3867488443702</v>
      </c>
      <c r="Q62" s="14">
        <v>802.22013651877137</v>
      </c>
      <c r="S62" t="s">
        <v>139</v>
      </c>
      <c r="T62" t="s">
        <v>26</v>
      </c>
      <c r="U62" t="s">
        <v>5</v>
      </c>
      <c r="V62" t="s">
        <v>115</v>
      </c>
      <c r="W62" s="8">
        <v>86.922627141317733</v>
      </c>
      <c r="X62" s="8">
        <v>115.8934270341681</v>
      </c>
      <c r="Y62" s="8">
        <v>231.79193563788689</v>
      </c>
      <c r="Z62" s="8">
        <v>289.73868131680348</v>
      </c>
      <c r="AA62" s="8">
        <v>289.73868131680348</v>
      </c>
      <c r="AB62" s="8">
        <v>289.73868131680348</v>
      </c>
      <c r="AC62" s="8">
        <v>318.71456277920458</v>
      </c>
      <c r="AD62" s="8">
        <v>289.73868131680348</v>
      </c>
      <c r="AE62" s="8">
        <v>260.76279985440237</v>
      </c>
      <c r="AF62" s="8">
        <v>231.79193563788689</v>
      </c>
      <c r="AG62" s="8">
        <v>231.79193563788689</v>
      </c>
      <c r="AH62" s="8">
        <v>260.76279985440237</v>
      </c>
      <c r="AI62" s="8">
        <v>2897.3867488443702</v>
      </c>
      <c r="AJ62" s="13">
        <f t="shared" si="4"/>
        <v>1</v>
      </c>
      <c r="AL62" s="20">
        <f t="shared" si="19"/>
        <v>3.0000353655233302E-2</v>
      </c>
      <c r="AM62" s="20">
        <f t="shared" si="20"/>
        <v>3.9999294909591365E-2</v>
      </c>
      <c r="AN62" s="20">
        <f t="shared" si="21"/>
        <v>8.0000343664972468E-2</v>
      </c>
      <c r="AO62" s="20">
        <f t="shared" si="22"/>
        <v>0.10000000222005793</v>
      </c>
      <c r="AP62" s="20">
        <f t="shared" si="23"/>
        <v>0.10000000222005793</v>
      </c>
      <c r="AQ62" s="20">
        <f t="shared" si="24"/>
        <v>0.10000000222005793</v>
      </c>
      <c r="AR62" s="20">
        <f t="shared" si="25"/>
        <v>0.11000069732020576</v>
      </c>
      <c r="AS62" s="20">
        <f t="shared" si="26"/>
        <v>0.10000000222005793</v>
      </c>
      <c r="AT62" s="20">
        <f t="shared" si="27"/>
        <v>8.9999307119910124E-2</v>
      </c>
      <c r="AU62" s="20">
        <f t="shared" si="28"/>
        <v>8.0000343664972468E-2</v>
      </c>
      <c r="AV62" s="20">
        <f t="shared" si="29"/>
        <v>8.0000343664972468E-2</v>
      </c>
      <c r="AW62" s="20">
        <f t="shared" si="30"/>
        <v>8.9999307119910124E-2</v>
      </c>
    </row>
    <row r="63" spans="1:49" x14ac:dyDescent="0.25">
      <c r="A63" s="4" t="s">
        <v>26</v>
      </c>
      <c r="B63" s="4" t="s">
        <v>5</v>
      </c>
      <c r="C63" s="4" t="s">
        <v>116</v>
      </c>
      <c r="D63" s="4">
        <v>822.96786487576526</v>
      </c>
      <c r="E63" s="4">
        <v>1097.298571115128</v>
      </c>
      <c r="F63" s="4">
        <v>2194.597488713719</v>
      </c>
      <c r="G63" s="4">
        <v>2743.259247675906</v>
      </c>
      <c r="H63" s="4">
        <v>2743.259247675906</v>
      </c>
      <c r="I63" s="4">
        <v>2743.259247675906</v>
      </c>
      <c r="J63" s="4">
        <v>3017.6405405006881</v>
      </c>
      <c r="K63" s="4">
        <v>2743.259247675906</v>
      </c>
      <c r="L63" s="4">
        <v>2468.9285414365431</v>
      </c>
      <c r="M63" s="4">
        <v>2194.597488713719</v>
      </c>
      <c r="N63" s="4">
        <v>2194.597488713719</v>
      </c>
      <c r="O63" s="4">
        <v>2468.9285414365431</v>
      </c>
      <c r="P63" s="10">
        <f t="shared" si="6"/>
        <v>27432.59351620945</v>
      </c>
      <c r="Q63" s="14">
        <v>776.32110091743118</v>
      </c>
      <c r="S63" t="s">
        <v>139</v>
      </c>
      <c r="T63" t="s">
        <v>26</v>
      </c>
      <c r="U63" t="s">
        <v>5</v>
      </c>
      <c r="V63" t="s">
        <v>116</v>
      </c>
      <c r="W63" s="8">
        <v>822.96786487576526</v>
      </c>
      <c r="X63" s="8">
        <v>1097.298571115128</v>
      </c>
      <c r="Y63" s="8">
        <v>2194.597488713719</v>
      </c>
      <c r="Z63" s="8">
        <v>2743.259247675906</v>
      </c>
      <c r="AA63" s="8">
        <v>2743.259247675906</v>
      </c>
      <c r="AB63" s="8">
        <v>2743.259247675906</v>
      </c>
      <c r="AC63" s="8">
        <v>3017.6405405006881</v>
      </c>
      <c r="AD63" s="8">
        <v>2743.259247675906</v>
      </c>
      <c r="AE63" s="8">
        <v>2468.9285414365431</v>
      </c>
      <c r="AF63" s="8">
        <v>2194.597488713719</v>
      </c>
      <c r="AG63" s="8">
        <v>2194.597488713719</v>
      </c>
      <c r="AH63" s="8">
        <v>2468.9285414365431</v>
      </c>
      <c r="AI63" s="8">
        <v>27432.59351620945</v>
      </c>
      <c r="AJ63" s="13">
        <f t="shared" si="4"/>
        <v>1</v>
      </c>
      <c r="AL63" s="20">
        <f t="shared" si="19"/>
        <v>2.9999637635044884E-2</v>
      </c>
      <c r="AM63" s="20">
        <f t="shared" si="20"/>
        <v>3.9999811555066898E-2</v>
      </c>
      <c r="AN63" s="20">
        <f t="shared" si="21"/>
        <v>7.9999635740491279E-2</v>
      </c>
      <c r="AO63" s="20">
        <f t="shared" si="22"/>
        <v>9.9999996210892741E-2</v>
      </c>
      <c r="AP63" s="20">
        <f t="shared" si="23"/>
        <v>9.9999996210892741E-2</v>
      </c>
      <c r="AQ63" s="20">
        <f t="shared" si="24"/>
        <v>9.9999996210892741E-2</v>
      </c>
      <c r="AR63" s="20">
        <f t="shared" si="25"/>
        <v>0.11000201416310186</v>
      </c>
      <c r="AS63" s="20">
        <f t="shared" si="26"/>
        <v>9.9999996210892741E-2</v>
      </c>
      <c r="AT63" s="20">
        <f t="shared" si="27"/>
        <v>8.9999822290870723E-2</v>
      </c>
      <c r="AU63" s="20">
        <f t="shared" si="28"/>
        <v>7.9999635740491279E-2</v>
      </c>
      <c r="AV63" s="20">
        <f t="shared" si="29"/>
        <v>7.9999635740491279E-2</v>
      </c>
      <c r="AW63" s="20">
        <f t="shared" si="30"/>
        <v>8.9999822290870723E-2</v>
      </c>
    </row>
    <row r="64" spans="1:49" x14ac:dyDescent="0.25">
      <c r="A64" s="4" t="s">
        <v>26</v>
      </c>
      <c r="B64" s="4" t="s">
        <v>5</v>
      </c>
      <c r="C64" s="4" t="s">
        <v>117</v>
      </c>
      <c r="D64" s="4">
        <v>6968.0914010542892</v>
      </c>
      <c r="E64" s="4">
        <v>9290.7883546447792</v>
      </c>
      <c r="F64" s="4">
        <v>18581.637220966419</v>
      </c>
      <c r="G64" s="4">
        <v>23227.031128147399</v>
      </c>
      <c r="H64" s="4">
        <v>23227.031128147399</v>
      </c>
      <c r="I64" s="4">
        <v>23227.031128147399</v>
      </c>
      <c r="J64" s="4">
        <v>25549.72862202071</v>
      </c>
      <c r="K64" s="4">
        <v>23227.031128147399</v>
      </c>
      <c r="L64" s="4">
        <v>20904.334174556909</v>
      </c>
      <c r="M64" s="4">
        <v>18581.637220966419</v>
      </c>
      <c r="N64" s="4">
        <v>18581.637220966419</v>
      </c>
      <c r="O64" s="4">
        <v>20904.334174556909</v>
      </c>
      <c r="P64" s="10">
        <f t="shared" si="6"/>
        <v>232270.3129023225</v>
      </c>
      <c r="Q64" s="14">
        <v>1305.2300748001032</v>
      </c>
      <c r="S64" t="s">
        <v>139</v>
      </c>
      <c r="T64" t="s">
        <v>26</v>
      </c>
      <c r="U64" t="s">
        <v>5</v>
      </c>
      <c r="V64" t="s">
        <v>117</v>
      </c>
      <c r="W64" s="8">
        <v>6968.0914010542892</v>
      </c>
      <c r="X64" s="8">
        <v>9290.7883546447792</v>
      </c>
      <c r="Y64" s="8">
        <v>18581.637220966419</v>
      </c>
      <c r="Z64" s="8">
        <v>23227.031128147399</v>
      </c>
      <c r="AA64" s="8">
        <v>23227.031128147399</v>
      </c>
      <c r="AB64" s="8">
        <v>23227.031128147399</v>
      </c>
      <c r="AC64" s="8">
        <v>25549.72862202071</v>
      </c>
      <c r="AD64" s="8">
        <v>23227.031128147399</v>
      </c>
      <c r="AE64" s="8">
        <v>20904.334174556909</v>
      </c>
      <c r="AF64" s="8">
        <v>18581.637220966419</v>
      </c>
      <c r="AG64" s="8">
        <v>18581.637220966419</v>
      </c>
      <c r="AH64" s="8">
        <v>20904.334174556909</v>
      </c>
      <c r="AI64" s="8">
        <v>232270.3129023225</v>
      </c>
      <c r="AJ64" s="13">
        <f t="shared" si="4"/>
        <v>1</v>
      </c>
      <c r="AL64" s="20">
        <f t="shared" si="19"/>
        <v>2.9999922564295192E-2</v>
      </c>
      <c r="AM64" s="20">
        <f t="shared" si="20"/>
        <v>3.9999895977028577E-2</v>
      </c>
      <c r="AN64" s="20">
        <f t="shared" si="21"/>
        <v>8.0000052476704692E-2</v>
      </c>
      <c r="AO64" s="20">
        <f t="shared" si="22"/>
        <v>9.9999999302171461E-2</v>
      </c>
      <c r="AP64" s="20">
        <f t="shared" si="23"/>
        <v>9.9999999302171461E-2</v>
      </c>
      <c r="AQ64" s="20">
        <f t="shared" si="24"/>
        <v>9.9999999302171461E-2</v>
      </c>
      <c r="AR64" s="20">
        <f t="shared" si="25"/>
        <v>0.10999997504099988</v>
      </c>
      <c r="AS64" s="20">
        <f t="shared" si="26"/>
        <v>9.9999999302171461E-2</v>
      </c>
      <c r="AT64" s="20">
        <f t="shared" si="27"/>
        <v>9.0000025889438076E-2</v>
      </c>
      <c r="AU64" s="20">
        <f t="shared" si="28"/>
        <v>8.0000052476704692E-2</v>
      </c>
      <c r="AV64" s="20">
        <f t="shared" si="29"/>
        <v>8.0000052476704692E-2</v>
      </c>
      <c r="AW64" s="20">
        <f t="shared" si="30"/>
        <v>9.0000025889438076E-2</v>
      </c>
    </row>
    <row r="65" spans="1:49" x14ac:dyDescent="0.25">
      <c r="A65" s="4" t="s">
        <v>26</v>
      </c>
      <c r="B65" s="4" t="s">
        <v>5</v>
      </c>
      <c r="C65" s="4" t="s">
        <v>118</v>
      </c>
      <c r="D65" s="4">
        <v>360.80171311414779</v>
      </c>
      <c r="E65" s="4">
        <v>481.06891445445729</v>
      </c>
      <c r="F65" s="4">
        <v>962.13782890891468</v>
      </c>
      <c r="G65" s="4">
        <v>1202.672231589534</v>
      </c>
      <c r="H65" s="4">
        <v>1202.672231589534</v>
      </c>
      <c r="I65" s="4">
        <v>1202.672231589534</v>
      </c>
      <c r="J65" s="4">
        <v>1322.939432929843</v>
      </c>
      <c r="K65" s="4">
        <v>1202.672231589534</v>
      </c>
      <c r="L65" s="4">
        <v>1082.405030249224</v>
      </c>
      <c r="M65" s="4">
        <v>962.13782890891468</v>
      </c>
      <c r="N65" s="4">
        <v>962.13782890891468</v>
      </c>
      <c r="O65" s="4">
        <v>1082.405030249224</v>
      </c>
      <c r="P65" s="10">
        <f t="shared" si="6"/>
        <v>12026.722534081777</v>
      </c>
      <c r="Q65" s="14">
        <v>1336.6598039215687</v>
      </c>
      <c r="S65" t="s">
        <v>139</v>
      </c>
      <c r="T65" t="s">
        <v>26</v>
      </c>
      <c r="U65" t="s">
        <v>5</v>
      </c>
      <c r="V65" t="s">
        <v>118</v>
      </c>
      <c r="W65" s="8">
        <v>360.80171311414779</v>
      </c>
      <c r="X65" s="8">
        <v>481.06891445445729</v>
      </c>
      <c r="Y65" s="8">
        <v>962.13782890891468</v>
      </c>
      <c r="Z65" s="8">
        <v>1202.672231589534</v>
      </c>
      <c r="AA65" s="8">
        <v>1202.672231589534</v>
      </c>
      <c r="AB65" s="8">
        <v>1202.672231589534</v>
      </c>
      <c r="AC65" s="8">
        <v>1322.939432929843</v>
      </c>
      <c r="AD65" s="8">
        <v>1202.672231589534</v>
      </c>
      <c r="AE65" s="8">
        <v>1082.405030249224</v>
      </c>
      <c r="AF65" s="8">
        <v>962.13782890891468</v>
      </c>
      <c r="AG65" s="8">
        <v>962.13782890891468</v>
      </c>
      <c r="AH65" s="8">
        <v>1082.405030249224</v>
      </c>
      <c r="AI65" s="8">
        <v>12026.722534081777</v>
      </c>
      <c r="AJ65" s="13">
        <f t="shared" si="4"/>
        <v>1</v>
      </c>
      <c r="AL65" s="20">
        <f t="shared" si="19"/>
        <v>3.0000003084106611E-2</v>
      </c>
      <c r="AM65" s="20">
        <f t="shared" si="20"/>
        <v>4.0000001088508208E-2</v>
      </c>
      <c r="AN65" s="20">
        <f t="shared" si="21"/>
        <v>8.000000217701643E-2</v>
      </c>
      <c r="AO65" s="20">
        <f t="shared" si="22"/>
        <v>9.9999998185819658E-2</v>
      </c>
      <c r="AP65" s="20">
        <f t="shared" si="23"/>
        <v>9.9999998185819658E-2</v>
      </c>
      <c r="AQ65" s="20">
        <f t="shared" si="24"/>
        <v>9.9999998185819658E-2</v>
      </c>
      <c r="AR65" s="20">
        <f t="shared" si="25"/>
        <v>0.1099999961902212</v>
      </c>
      <c r="AS65" s="20">
        <f t="shared" si="26"/>
        <v>9.9999998185819658E-2</v>
      </c>
      <c r="AT65" s="20">
        <f t="shared" si="27"/>
        <v>9.0000000181418002E-2</v>
      </c>
      <c r="AU65" s="20">
        <f t="shared" si="28"/>
        <v>8.000000217701643E-2</v>
      </c>
      <c r="AV65" s="20">
        <f t="shared" si="29"/>
        <v>8.000000217701643E-2</v>
      </c>
      <c r="AW65" s="20">
        <f t="shared" si="30"/>
        <v>9.0000000181418002E-2</v>
      </c>
    </row>
    <row r="66" spans="1:49" x14ac:dyDescent="0.25">
      <c r="A66" s="4" t="s">
        <v>26</v>
      </c>
      <c r="B66" s="4" t="s">
        <v>39</v>
      </c>
      <c r="C66" s="4" t="s">
        <v>38</v>
      </c>
      <c r="D66" s="4">
        <v>3045.900005836535</v>
      </c>
      <c r="E66" s="4">
        <v>3783.409285916493</v>
      </c>
      <c r="F66" s="4">
        <v>4520.9187256966197</v>
      </c>
      <c r="G66" s="4">
        <v>5066.700797441631</v>
      </c>
      <c r="H66" s="4">
        <v>6541.7182397003526</v>
      </c>
      <c r="I66" s="4">
        <v>8016.7371192606079</v>
      </c>
      <c r="J66" s="4">
        <v>8850.1102430582941</v>
      </c>
      <c r="K66" s="4">
        <v>7375.0913634980388</v>
      </c>
      <c r="L66" s="4">
        <v>7375.0913634980388</v>
      </c>
      <c r="M66" s="4">
        <v>5900.0724839377845</v>
      </c>
      <c r="N66" s="4">
        <v>6637.5819237179121</v>
      </c>
      <c r="O66" s="4">
        <v>6637.5819237179121</v>
      </c>
      <c r="P66" s="10">
        <f t="shared" si="6"/>
        <v>73750.91347528022</v>
      </c>
      <c r="Q66" s="14" t="e">
        <v>#DIV/0!</v>
      </c>
      <c r="S66" t="s">
        <v>139</v>
      </c>
      <c r="T66" t="s">
        <v>26</v>
      </c>
      <c r="U66" t="s">
        <v>39</v>
      </c>
      <c r="V66" t="s">
        <v>38</v>
      </c>
      <c r="W66" s="8">
        <v>3045.900005836535</v>
      </c>
      <c r="X66" s="8">
        <v>3783.409285916493</v>
      </c>
      <c r="Y66" s="8">
        <v>4520.9187256966197</v>
      </c>
      <c r="Z66" s="8">
        <v>5066.700797441631</v>
      </c>
      <c r="AA66" s="8">
        <v>6541.7182397003526</v>
      </c>
      <c r="AB66" s="8">
        <v>8016.7371192606079</v>
      </c>
      <c r="AC66" s="8">
        <v>8850.1102430582941</v>
      </c>
      <c r="AD66" s="8">
        <v>7375.0913634980388</v>
      </c>
      <c r="AE66" s="8">
        <v>7375.0913634980388</v>
      </c>
      <c r="AF66" s="8">
        <v>5900.0724839377845</v>
      </c>
      <c r="AG66" s="8">
        <v>6637.5819237179121</v>
      </c>
      <c r="AH66" s="8">
        <v>6637.5819237179121</v>
      </c>
      <c r="AI66" s="8">
        <v>73750.91347528022</v>
      </c>
      <c r="AJ66" s="13">
        <f t="shared" si="4"/>
        <v>1</v>
      </c>
      <c r="AL66" s="20">
        <f t="shared" si="19"/>
        <v>4.1299827518169761E-2</v>
      </c>
      <c r="AM66" s="20">
        <f t="shared" si="20"/>
        <v>5.1299829488683057E-2</v>
      </c>
      <c r="AN66" s="20">
        <f t="shared" si="21"/>
        <v>6.1299833624595554E-2</v>
      </c>
      <c r="AO66" s="20">
        <f t="shared" si="22"/>
        <v>6.8700176834282659E-2</v>
      </c>
      <c r="AP66" s="20">
        <f t="shared" si="23"/>
        <v>8.8700165617514704E-2</v>
      </c>
      <c r="AQ66" s="20">
        <f t="shared" si="24"/>
        <v>0.10870017388933972</v>
      </c>
      <c r="AR66" s="20">
        <f t="shared" si="25"/>
        <v>0.12000000848836494</v>
      </c>
      <c r="AS66" s="20">
        <f t="shared" si="26"/>
        <v>0.10000000021653992</v>
      </c>
      <c r="AT66" s="20">
        <f t="shared" si="27"/>
        <v>0.10000000021653992</v>
      </c>
      <c r="AU66" s="20">
        <f t="shared" si="28"/>
        <v>7.9999991944714924E-2</v>
      </c>
      <c r="AV66" s="20">
        <f t="shared" si="29"/>
        <v>8.999999608062742E-2</v>
      </c>
      <c r="AW66" s="20">
        <f t="shared" si="30"/>
        <v>8.999999608062742E-2</v>
      </c>
    </row>
    <row r="67" spans="1:49" x14ac:dyDescent="0.25">
      <c r="A67" s="4" t="s">
        <v>26</v>
      </c>
      <c r="B67" s="4" t="s">
        <v>18</v>
      </c>
      <c r="C67" s="4" t="s">
        <v>17</v>
      </c>
      <c r="D67" s="4">
        <v>282.9784226843874</v>
      </c>
      <c r="E67" s="4">
        <v>415.73506436821089</v>
      </c>
      <c r="F67" s="4">
        <v>482.10400121158688</v>
      </c>
      <c r="G67" s="4">
        <v>520.15098159027878</v>
      </c>
      <c r="H67" s="4">
        <v>520.15098159027878</v>
      </c>
      <c r="I67" s="4">
        <v>520.15098159027878</v>
      </c>
      <c r="J67" s="4">
        <v>584.08391525589388</v>
      </c>
      <c r="K67" s="4">
        <v>597.35774678456221</v>
      </c>
      <c r="L67" s="4">
        <v>663.7266836279382</v>
      </c>
      <c r="M67" s="4">
        <v>643.82532033347138</v>
      </c>
      <c r="N67" s="4">
        <v>663.7266836279382</v>
      </c>
      <c r="O67" s="4">
        <v>730.0953996713489</v>
      </c>
      <c r="P67" s="10">
        <f t="shared" si="6"/>
        <v>6624.0861823361738</v>
      </c>
      <c r="Q67" s="14" t="e">
        <v>#DIV/0!</v>
      </c>
      <c r="S67" t="s">
        <v>139</v>
      </c>
      <c r="T67" t="s">
        <v>26</v>
      </c>
      <c r="U67" t="s">
        <v>18</v>
      </c>
      <c r="V67" t="s">
        <v>17</v>
      </c>
      <c r="W67" s="8">
        <v>282.9784226843874</v>
      </c>
      <c r="X67" s="8">
        <v>415.73506436821089</v>
      </c>
      <c r="Y67" s="8">
        <v>482.10400121158688</v>
      </c>
      <c r="Z67" s="8">
        <v>520.15098159027878</v>
      </c>
      <c r="AA67" s="8">
        <v>520.15098159027878</v>
      </c>
      <c r="AB67" s="8">
        <v>520.15098159027878</v>
      </c>
      <c r="AC67" s="8">
        <v>584.08391525589388</v>
      </c>
      <c r="AD67" s="8">
        <v>597.35774678456221</v>
      </c>
      <c r="AE67" s="8">
        <v>663.7266836279382</v>
      </c>
      <c r="AF67" s="8">
        <v>643.82532033347138</v>
      </c>
      <c r="AG67" s="8">
        <v>663.7266836279382</v>
      </c>
      <c r="AH67" s="8">
        <v>730.0953996713489</v>
      </c>
      <c r="AI67" s="8">
        <v>6624.0861823361738</v>
      </c>
      <c r="AJ67" s="13">
        <f t="shared" si="4"/>
        <v>1</v>
      </c>
      <c r="AL67" s="20">
        <f t="shared" si="19"/>
        <v>4.2719616698070638E-2</v>
      </c>
      <c r="AM67" s="20">
        <f t="shared" si="20"/>
        <v>6.2761119484950598E-2</v>
      </c>
      <c r="AN67" s="20">
        <f t="shared" si="21"/>
        <v>7.2780454230376435E-2</v>
      </c>
      <c r="AO67" s="20">
        <f t="shared" si="22"/>
        <v>7.8524186925181677E-2</v>
      </c>
      <c r="AP67" s="20">
        <f t="shared" si="23"/>
        <v>7.8524186925181677E-2</v>
      </c>
      <c r="AQ67" s="20">
        <f t="shared" si="24"/>
        <v>7.8524186925181677E-2</v>
      </c>
      <c r="AR67" s="20">
        <f t="shared" si="25"/>
        <v>8.8175772352330706E-2</v>
      </c>
      <c r="AS67" s="20">
        <f t="shared" si="26"/>
        <v>9.017964596799477E-2</v>
      </c>
      <c r="AT67" s="20">
        <f t="shared" si="27"/>
        <v>0.10019898071342061</v>
      </c>
      <c r="AU67" s="20">
        <f t="shared" si="28"/>
        <v>9.7194586937938657E-2</v>
      </c>
      <c r="AV67" s="20">
        <f t="shared" si="29"/>
        <v>0.10019898071342061</v>
      </c>
      <c r="AW67" s="20">
        <f t="shared" si="30"/>
        <v>0.11021828212595203</v>
      </c>
    </row>
    <row r="68" spans="1:49" x14ac:dyDescent="0.25">
      <c r="A68" s="4" t="s">
        <v>26</v>
      </c>
      <c r="B68" s="4" t="s">
        <v>18</v>
      </c>
      <c r="C68" s="4" t="s">
        <v>40</v>
      </c>
      <c r="D68" s="4">
        <v>3540.7362861730762</v>
      </c>
      <c r="E68" s="4">
        <v>5201.6396594103207</v>
      </c>
      <c r="F68" s="4">
        <v>6032.2537974543393</v>
      </c>
      <c r="G68" s="4">
        <v>6508.1839859033662</v>
      </c>
      <c r="H68" s="4">
        <v>6508.1839859033662</v>
      </c>
      <c r="I68" s="4">
        <v>6508.1839859033662</v>
      </c>
      <c r="J68" s="4">
        <v>7308.3647256648283</v>
      </c>
      <c r="K68" s="4">
        <v>7474.3900824183947</v>
      </c>
      <c r="L68" s="4">
        <v>8304.841769037017</v>
      </c>
      <c r="M68" s="4">
        <v>8055.8037339066686</v>
      </c>
      <c r="N68" s="4">
        <v>8304.841769037017</v>
      </c>
      <c r="O68" s="4">
        <v>9135.2934556556393</v>
      </c>
      <c r="P68" s="10">
        <f t="shared" si="6"/>
        <v>82882.71723646739</v>
      </c>
      <c r="Q68" s="14" t="e">
        <v>#DIV/0!</v>
      </c>
      <c r="S68" t="s">
        <v>139</v>
      </c>
      <c r="T68" t="s">
        <v>26</v>
      </c>
      <c r="U68" t="s">
        <v>18</v>
      </c>
      <c r="V68" t="s">
        <v>40</v>
      </c>
      <c r="W68" s="8">
        <v>3540.7362861730762</v>
      </c>
      <c r="X68" s="8">
        <v>5201.6396594103207</v>
      </c>
      <c r="Y68" s="8">
        <v>6032.2537974543393</v>
      </c>
      <c r="Z68" s="8">
        <v>6508.1839859033662</v>
      </c>
      <c r="AA68" s="8">
        <v>6508.1839859033662</v>
      </c>
      <c r="AB68" s="8">
        <v>6508.1839859033662</v>
      </c>
      <c r="AC68" s="8">
        <v>7308.3647256648283</v>
      </c>
      <c r="AD68" s="8">
        <v>7474.3900824183947</v>
      </c>
      <c r="AE68" s="8">
        <v>8304.841769037017</v>
      </c>
      <c r="AF68" s="8">
        <v>8055.8037339066686</v>
      </c>
      <c r="AG68" s="8">
        <v>8304.841769037017</v>
      </c>
      <c r="AH68" s="8">
        <v>9135.2934556556393</v>
      </c>
      <c r="AI68" s="8">
        <v>82882.71723646739</v>
      </c>
      <c r="AJ68" s="13">
        <f t="shared" si="4"/>
        <v>1</v>
      </c>
      <c r="AL68" s="20">
        <f t="shared" si="19"/>
        <v>4.2719838396118551E-2</v>
      </c>
      <c r="AM68" s="20">
        <f t="shared" si="20"/>
        <v>6.2759038709721049E-2</v>
      </c>
      <c r="AN68" s="20">
        <f t="shared" si="21"/>
        <v>7.2780598882202438E-2</v>
      </c>
      <c r="AO68" s="20">
        <f t="shared" si="22"/>
        <v>7.8522811545081006E-2</v>
      </c>
      <c r="AP68" s="20">
        <f t="shared" si="23"/>
        <v>7.8522811545081006E-2</v>
      </c>
      <c r="AQ68" s="20">
        <f t="shared" si="24"/>
        <v>7.8522811545081006E-2</v>
      </c>
      <c r="AR68" s="20">
        <f t="shared" si="25"/>
        <v>8.8177185417483345E-2</v>
      </c>
      <c r="AS68" s="20">
        <f t="shared" si="26"/>
        <v>9.0180321442571557E-2</v>
      </c>
      <c r="AT68" s="20">
        <f t="shared" si="27"/>
        <v>0.1001999215993728</v>
      </c>
      <c r="AU68" s="20">
        <f t="shared" si="28"/>
        <v>9.7195217561740516E-2</v>
      </c>
      <c r="AV68" s="20">
        <f t="shared" si="29"/>
        <v>0.1001999215993728</v>
      </c>
      <c r="AW68" s="20">
        <f t="shared" si="30"/>
        <v>0.11021952175617405</v>
      </c>
    </row>
    <row r="69" spans="1:49" x14ac:dyDescent="0.25">
      <c r="A69" s="4" t="s">
        <v>26</v>
      </c>
      <c r="B69" s="4" t="s">
        <v>18</v>
      </c>
      <c r="C69" s="4" t="s">
        <v>19</v>
      </c>
      <c r="D69" s="4">
        <v>617.06408580964342</v>
      </c>
      <c r="E69" s="4">
        <v>906.54376454022531</v>
      </c>
      <c r="F69" s="4">
        <v>1051.272937233492</v>
      </c>
      <c r="G69" s="4">
        <v>1134.233571594164</v>
      </c>
      <c r="H69" s="4">
        <v>1134.233571594164</v>
      </c>
      <c r="I69" s="4">
        <v>1134.233571594164</v>
      </c>
      <c r="J69" s="4">
        <v>1273.6593952777371</v>
      </c>
      <c r="K69" s="4">
        <v>1302.6052209274969</v>
      </c>
      <c r="L69" s="4">
        <v>1447.355726964812</v>
      </c>
      <c r="M69" s="4">
        <v>1403.92631626259</v>
      </c>
      <c r="N69" s="4">
        <v>1447.355726964812</v>
      </c>
      <c r="O69" s="4">
        <v>1592.0635774251471</v>
      </c>
      <c r="P69" s="10">
        <f t="shared" si="6"/>
        <v>14444.547466188447</v>
      </c>
      <c r="Q69" s="14" t="e">
        <v>#DIV/0!</v>
      </c>
      <c r="S69" t="s">
        <v>139</v>
      </c>
      <c r="T69" t="s">
        <v>26</v>
      </c>
      <c r="U69" t="s">
        <v>18</v>
      </c>
      <c r="V69" t="s">
        <v>19</v>
      </c>
      <c r="W69" s="8">
        <v>617.06408580964342</v>
      </c>
      <c r="X69" s="8">
        <v>906.54376454022531</v>
      </c>
      <c r="Y69" s="8">
        <v>1051.272937233492</v>
      </c>
      <c r="Z69" s="8">
        <v>1134.233571594164</v>
      </c>
      <c r="AA69" s="8">
        <v>1134.233571594164</v>
      </c>
      <c r="AB69" s="8">
        <v>1134.233571594164</v>
      </c>
      <c r="AC69" s="8">
        <v>1273.6593952777371</v>
      </c>
      <c r="AD69" s="8">
        <v>1302.6052209274969</v>
      </c>
      <c r="AE69" s="8">
        <v>1447.355726964812</v>
      </c>
      <c r="AF69" s="8">
        <v>1403.92631626259</v>
      </c>
      <c r="AG69" s="8">
        <v>1447.355726964812</v>
      </c>
      <c r="AH69" s="8">
        <v>1592.0635774251471</v>
      </c>
      <c r="AI69" s="8">
        <v>14444.547466188447</v>
      </c>
      <c r="AJ69" s="13">
        <f t="shared" ref="AJ69:AJ111" si="31">AI69/P69</f>
        <v>1</v>
      </c>
      <c r="AL69" s="20">
        <f t="shared" si="19"/>
        <v>4.2719516637960211E-2</v>
      </c>
      <c r="AM69" s="20">
        <f t="shared" si="20"/>
        <v>6.2760274536966115E-2</v>
      </c>
      <c r="AN69" s="20">
        <f t="shared" si="21"/>
        <v>7.2779915029826586E-2</v>
      </c>
      <c r="AO69" s="20">
        <f t="shared" si="22"/>
        <v>7.8523302599071296E-2</v>
      </c>
      <c r="AP69" s="20">
        <f t="shared" si="23"/>
        <v>7.8523302599071296E-2</v>
      </c>
      <c r="AQ69" s="20">
        <f t="shared" si="24"/>
        <v>7.8523302599071296E-2</v>
      </c>
      <c r="AR69" s="20">
        <f t="shared" si="25"/>
        <v>8.8175790779122534E-2</v>
      </c>
      <c r="AS69" s="20">
        <f t="shared" si="26"/>
        <v>9.0179718262314079E-2</v>
      </c>
      <c r="AT69" s="20">
        <f t="shared" si="27"/>
        <v>0.10020083566845953</v>
      </c>
      <c r="AU69" s="20">
        <f t="shared" si="28"/>
        <v>9.71942056024169E-2</v>
      </c>
      <c r="AV69" s="20">
        <f t="shared" si="29"/>
        <v>0.10020083566845953</v>
      </c>
      <c r="AW69" s="20">
        <f t="shared" si="30"/>
        <v>0.11021900001726068</v>
      </c>
    </row>
    <row r="70" spans="1:49" x14ac:dyDescent="0.25">
      <c r="A70" s="4" t="s">
        <v>26</v>
      </c>
      <c r="B70" s="4" t="s">
        <v>18</v>
      </c>
      <c r="C70" s="4" t="s">
        <v>119</v>
      </c>
      <c r="D70" s="4">
        <v>6.2416111384504926</v>
      </c>
      <c r="E70" s="4">
        <v>9.1752988415895036</v>
      </c>
      <c r="F70" s="4">
        <v>10.63629829534716</v>
      </c>
      <c r="G70" s="4">
        <v>11.47736970355297</v>
      </c>
      <c r="H70" s="4">
        <v>11.47736970355297</v>
      </c>
      <c r="I70" s="4">
        <v>11.47736970355297</v>
      </c>
      <c r="J70" s="4">
        <v>12.89184158009807</v>
      </c>
      <c r="K70" s="4">
        <v>13.18405035966757</v>
      </c>
      <c r="L70" s="4">
        <v>14.65672749802645</v>
      </c>
      <c r="M70" s="4">
        <v>14.212586597394051</v>
      </c>
      <c r="N70" s="4">
        <v>14.65672749802645</v>
      </c>
      <c r="O70" s="4">
        <v>16.129415747407791</v>
      </c>
      <c r="P70" s="10">
        <f t="shared" ref="P70:P111" si="32">SUM(D70:O70)</f>
        <v>146.21666666666644</v>
      </c>
      <c r="Q70" s="14" t="e">
        <v>#DIV/0!</v>
      </c>
      <c r="S70" t="s">
        <v>139</v>
      </c>
      <c r="T70" t="s">
        <v>26</v>
      </c>
      <c r="U70" t="s">
        <v>18</v>
      </c>
      <c r="V70" t="s">
        <v>119</v>
      </c>
      <c r="W70" s="8">
        <v>6.2416111384504926</v>
      </c>
      <c r="X70" s="8">
        <v>9.1752988415895036</v>
      </c>
      <c r="Y70" s="8">
        <v>10.63629829534716</v>
      </c>
      <c r="Z70" s="8">
        <v>11.47736970355297</v>
      </c>
      <c r="AA70" s="8">
        <v>11.47736970355297</v>
      </c>
      <c r="AB70" s="8">
        <v>11.47736970355297</v>
      </c>
      <c r="AC70" s="8">
        <v>12.89184158009807</v>
      </c>
      <c r="AD70" s="8">
        <v>13.18405035966757</v>
      </c>
      <c r="AE70" s="8">
        <v>14.65672749802645</v>
      </c>
      <c r="AF70" s="8">
        <v>14.212586597394051</v>
      </c>
      <c r="AG70" s="8">
        <v>14.65672749802645</v>
      </c>
      <c r="AH70" s="8">
        <v>16.129415747407791</v>
      </c>
      <c r="AI70" s="8">
        <v>146.21666666666644</v>
      </c>
      <c r="AJ70" s="13">
        <f t="shared" si="31"/>
        <v>1</v>
      </c>
      <c r="AL70" s="20">
        <f t="shared" si="19"/>
        <v>4.2687412322698064E-2</v>
      </c>
      <c r="AM70" s="20">
        <f t="shared" si="20"/>
        <v>6.2751388407086633E-2</v>
      </c>
      <c r="AN70" s="20">
        <f t="shared" si="21"/>
        <v>7.2743405644686038E-2</v>
      </c>
      <c r="AO70" s="20">
        <f t="shared" si="22"/>
        <v>7.8495632305161211E-2</v>
      </c>
      <c r="AP70" s="20">
        <f t="shared" si="23"/>
        <v>7.8495632305161211E-2</v>
      </c>
      <c r="AQ70" s="20">
        <f t="shared" si="24"/>
        <v>7.8495632305161211E-2</v>
      </c>
      <c r="AR70" s="20">
        <f t="shared" si="25"/>
        <v>8.8169439736223112E-2</v>
      </c>
      <c r="AS70" s="20">
        <f t="shared" si="26"/>
        <v>9.0167903975841263E-2</v>
      </c>
      <c r="AT70" s="20">
        <f t="shared" si="27"/>
        <v>0.1002397868325075</v>
      </c>
      <c r="AU70" s="20">
        <f t="shared" si="28"/>
        <v>9.7202233653669715E-2</v>
      </c>
      <c r="AV70" s="20">
        <f t="shared" si="29"/>
        <v>0.1002397868325075</v>
      </c>
      <c r="AW70" s="20">
        <f t="shared" si="30"/>
        <v>0.11031174567929658</v>
      </c>
    </row>
    <row r="71" spans="1:49" x14ac:dyDescent="0.25">
      <c r="A71" s="4" t="s">
        <v>26</v>
      </c>
      <c r="B71" s="4" t="s">
        <v>18</v>
      </c>
      <c r="C71" s="4" t="s">
        <v>20</v>
      </c>
      <c r="D71" s="4">
        <v>9526.6742285049695</v>
      </c>
      <c r="E71" s="4">
        <v>13995.796153970299</v>
      </c>
      <c r="F71" s="4">
        <v>16230.26338788357</v>
      </c>
      <c r="G71" s="4">
        <v>17510.960575084569</v>
      </c>
      <c r="H71" s="4">
        <v>17510.960575084569</v>
      </c>
      <c r="I71" s="4">
        <v>17510.960575084569</v>
      </c>
      <c r="J71" s="4">
        <v>19663.836451506129</v>
      </c>
      <c r="K71" s="4">
        <v>20110.767257337651</v>
      </c>
      <c r="L71" s="4">
        <v>22345.234712049081</v>
      </c>
      <c r="M71" s="4">
        <v>21674.838503301809</v>
      </c>
      <c r="N71" s="4">
        <v>22345.234712049081</v>
      </c>
      <c r="O71" s="4">
        <v>24579.889182802981</v>
      </c>
      <c r="P71" s="10">
        <f t="shared" si="32"/>
        <v>223005.41631465926</v>
      </c>
      <c r="Q71" s="14" t="e">
        <v>#DIV/0!</v>
      </c>
      <c r="S71" t="s">
        <v>139</v>
      </c>
      <c r="T71" t="s">
        <v>26</v>
      </c>
      <c r="U71" t="s">
        <v>18</v>
      </c>
      <c r="V71" t="s">
        <v>20</v>
      </c>
      <c r="W71" s="8">
        <v>9526.6742285049695</v>
      </c>
      <c r="X71" s="8">
        <v>13995.796153970299</v>
      </c>
      <c r="Y71" s="8">
        <v>16230.26338788357</v>
      </c>
      <c r="Z71" s="8">
        <v>17510.960575084569</v>
      </c>
      <c r="AA71" s="8">
        <v>17510.960575084569</v>
      </c>
      <c r="AB71" s="8">
        <v>17510.960575084569</v>
      </c>
      <c r="AC71" s="8">
        <v>19663.836451506129</v>
      </c>
      <c r="AD71" s="8">
        <v>20110.767257337651</v>
      </c>
      <c r="AE71" s="8">
        <v>22345.234712049081</v>
      </c>
      <c r="AF71" s="8">
        <v>21674.838503301809</v>
      </c>
      <c r="AG71" s="8">
        <v>22345.234712049081</v>
      </c>
      <c r="AH71" s="8">
        <v>24579.889182802981</v>
      </c>
      <c r="AI71" s="8">
        <v>223005.41631465926</v>
      </c>
      <c r="AJ71" s="13">
        <f t="shared" si="31"/>
        <v>1</v>
      </c>
      <c r="AL71" s="20">
        <f t="shared" si="19"/>
        <v>4.2719474647480722E-2</v>
      </c>
      <c r="AM71" s="20">
        <f t="shared" si="20"/>
        <v>6.2759893393003141E-2</v>
      </c>
      <c r="AN71" s="20">
        <f t="shared" si="21"/>
        <v>7.2779682467365589E-2</v>
      </c>
      <c r="AO71" s="20">
        <f t="shared" si="22"/>
        <v>7.8522579695448791E-2</v>
      </c>
      <c r="AP71" s="20">
        <f t="shared" si="23"/>
        <v>7.8522579695448791E-2</v>
      </c>
      <c r="AQ71" s="20">
        <f t="shared" si="24"/>
        <v>7.8522579695448791E-2</v>
      </c>
      <c r="AR71" s="20">
        <f t="shared" si="25"/>
        <v>8.8176497129381734E-2</v>
      </c>
      <c r="AS71" s="20">
        <f t="shared" si="26"/>
        <v>9.0180622469552413E-2</v>
      </c>
      <c r="AT71" s="20">
        <f t="shared" si="27"/>
        <v>0.10020041253401708</v>
      </c>
      <c r="AU71" s="20">
        <f t="shared" si="28"/>
        <v>9.71942245237611E-2</v>
      </c>
      <c r="AV71" s="20">
        <f t="shared" si="29"/>
        <v>0.10020041253401708</v>
      </c>
      <c r="AW71" s="20">
        <f t="shared" si="30"/>
        <v>0.11022104121507484</v>
      </c>
    </row>
    <row r="72" spans="1:49" x14ac:dyDescent="0.25">
      <c r="A72" s="4" t="s">
        <v>26</v>
      </c>
      <c r="B72" s="4" t="s">
        <v>18</v>
      </c>
      <c r="C72" s="4" t="s">
        <v>120</v>
      </c>
      <c r="D72" s="4">
        <v>235.36133102207671</v>
      </c>
      <c r="E72" s="4">
        <v>345.72979365945889</v>
      </c>
      <c r="F72" s="4">
        <v>400.99693208873998</v>
      </c>
      <c r="G72" s="4">
        <v>432.58317251169422</v>
      </c>
      <c r="H72" s="4">
        <v>432.58317251169422</v>
      </c>
      <c r="I72" s="4">
        <v>432.58317251169422</v>
      </c>
      <c r="J72" s="4">
        <v>485.77031384967597</v>
      </c>
      <c r="K72" s="4">
        <v>496.82378569378022</v>
      </c>
      <c r="L72" s="4">
        <v>552.0079066168513</v>
      </c>
      <c r="M72" s="4">
        <v>535.46931799942013</v>
      </c>
      <c r="N72" s="4">
        <v>552.0079066168513</v>
      </c>
      <c r="O72" s="4">
        <v>607.35828334358212</v>
      </c>
      <c r="P72" s="10">
        <f t="shared" si="32"/>
        <v>5509.2750884255192</v>
      </c>
      <c r="Q72" s="14" t="e">
        <v>#DIV/0!</v>
      </c>
      <c r="S72" t="s">
        <v>139</v>
      </c>
      <c r="T72" t="s">
        <v>26</v>
      </c>
      <c r="U72" t="s">
        <v>18</v>
      </c>
      <c r="V72" t="s">
        <v>120</v>
      </c>
      <c r="W72" s="8">
        <v>235.36133102207671</v>
      </c>
      <c r="X72" s="8">
        <v>345.72979365945889</v>
      </c>
      <c r="Y72" s="8">
        <v>400.99693208873998</v>
      </c>
      <c r="Z72" s="8">
        <v>432.58317251169422</v>
      </c>
      <c r="AA72" s="8">
        <v>432.58317251169422</v>
      </c>
      <c r="AB72" s="8">
        <v>432.58317251169422</v>
      </c>
      <c r="AC72" s="8">
        <v>485.77031384967597</v>
      </c>
      <c r="AD72" s="8">
        <v>496.82378569378022</v>
      </c>
      <c r="AE72" s="8">
        <v>552.0079066168513</v>
      </c>
      <c r="AF72" s="8">
        <v>535.46931799942013</v>
      </c>
      <c r="AG72" s="8">
        <v>552.0079066168513</v>
      </c>
      <c r="AH72" s="8">
        <v>607.35828334358212</v>
      </c>
      <c r="AI72" s="8">
        <v>5509.2750884255192</v>
      </c>
      <c r="AJ72" s="13">
        <f t="shared" si="31"/>
        <v>1</v>
      </c>
      <c r="AL72" s="20">
        <f t="shared" si="19"/>
        <v>4.2720925574500579E-2</v>
      </c>
      <c r="AM72" s="20">
        <f t="shared" si="20"/>
        <v>6.2754135183012635E-2</v>
      </c>
      <c r="AN72" s="20">
        <f t="shared" si="21"/>
        <v>7.2785788629650697E-2</v>
      </c>
      <c r="AO72" s="20">
        <f t="shared" si="22"/>
        <v>7.8519072939471066E-2</v>
      </c>
      <c r="AP72" s="20">
        <f t="shared" si="23"/>
        <v>7.8519072939471066E-2</v>
      </c>
      <c r="AQ72" s="20">
        <f t="shared" si="24"/>
        <v>7.8519072939471066E-2</v>
      </c>
      <c r="AR72" s="20">
        <f t="shared" si="25"/>
        <v>8.8173181780346166E-2</v>
      </c>
      <c r="AS72" s="20">
        <f t="shared" si="26"/>
        <v>9.0179520484929374E-2</v>
      </c>
      <c r="AT72" s="20">
        <f t="shared" si="27"/>
        <v>0.1001961052510464</v>
      </c>
      <c r="AU72" s="20">
        <f t="shared" si="28"/>
        <v>9.7194151572571136E-2</v>
      </c>
      <c r="AV72" s="20">
        <f t="shared" si="29"/>
        <v>0.1001961052510464</v>
      </c>
      <c r="AW72" s="20">
        <f t="shared" si="30"/>
        <v>0.11024286745448345</v>
      </c>
    </row>
    <row r="73" spans="1:49" x14ac:dyDescent="0.25">
      <c r="A73" s="4" t="s">
        <v>26</v>
      </c>
      <c r="B73" s="4" t="s">
        <v>18</v>
      </c>
      <c r="C73" s="4" t="s">
        <v>21</v>
      </c>
      <c r="D73" s="4">
        <v>2667.685317419192</v>
      </c>
      <c r="E73" s="4">
        <v>3919.1148665576302</v>
      </c>
      <c r="F73" s="4">
        <v>4544.8448414785453</v>
      </c>
      <c r="G73" s="4">
        <v>4903.4739380629444</v>
      </c>
      <c r="H73" s="4">
        <v>4903.4739380629444</v>
      </c>
      <c r="I73" s="4">
        <v>4903.4739380629444</v>
      </c>
      <c r="J73" s="4">
        <v>5506.3142769426613</v>
      </c>
      <c r="K73" s="4">
        <v>5631.4480592949521</v>
      </c>
      <c r="L73" s="4">
        <v>6257.1780716091071</v>
      </c>
      <c r="M73" s="4">
        <v>6069.4621042458757</v>
      </c>
      <c r="N73" s="4">
        <v>6257.1780716091071</v>
      </c>
      <c r="O73" s="4">
        <v>6882.9080465300221</v>
      </c>
      <c r="P73" s="10">
        <f t="shared" si="32"/>
        <v>62446.55546987593</v>
      </c>
      <c r="Q73" s="14" t="e">
        <v>#DIV/0!</v>
      </c>
      <c r="S73" t="s">
        <v>139</v>
      </c>
      <c r="T73" t="s">
        <v>26</v>
      </c>
      <c r="U73" t="s">
        <v>18</v>
      </c>
      <c r="V73" t="s">
        <v>21</v>
      </c>
      <c r="W73" s="8">
        <v>2667.685317419192</v>
      </c>
      <c r="X73" s="8">
        <v>3919.1148665576302</v>
      </c>
      <c r="Y73" s="8">
        <v>4544.8448414785453</v>
      </c>
      <c r="Z73" s="8">
        <v>4903.4739380629444</v>
      </c>
      <c r="AA73" s="8">
        <v>4903.4739380629444</v>
      </c>
      <c r="AB73" s="8">
        <v>4903.4739380629444</v>
      </c>
      <c r="AC73" s="8">
        <v>5506.3142769426613</v>
      </c>
      <c r="AD73" s="8">
        <v>5631.4480592949521</v>
      </c>
      <c r="AE73" s="8">
        <v>6257.1780716091071</v>
      </c>
      <c r="AF73" s="8">
        <v>6069.4621042458757</v>
      </c>
      <c r="AG73" s="8">
        <v>6257.1780716091071</v>
      </c>
      <c r="AH73" s="8">
        <v>6882.9080465300221</v>
      </c>
      <c r="AI73" s="8">
        <v>62446.55546987593</v>
      </c>
      <c r="AJ73" s="13">
        <f t="shared" si="31"/>
        <v>1</v>
      </c>
      <c r="AL73" s="20">
        <f t="shared" si="19"/>
        <v>4.2719495052150266E-2</v>
      </c>
      <c r="AM73" s="20">
        <f t="shared" si="20"/>
        <v>6.2759504300412564E-2</v>
      </c>
      <c r="AN73" s="20">
        <f t="shared" si="21"/>
        <v>7.2779752338317003E-2</v>
      </c>
      <c r="AO73" s="20">
        <f t="shared" si="22"/>
        <v>7.8522728774501713E-2</v>
      </c>
      <c r="AP73" s="20">
        <f t="shared" si="23"/>
        <v>7.8522728774501713E-2</v>
      </c>
      <c r="AQ73" s="20">
        <f t="shared" si="24"/>
        <v>7.8522728774501713E-2</v>
      </c>
      <c r="AR73" s="20">
        <f t="shared" si="25"/>
        <v>8.8176429196305223E-2</v>
      </c>
      <c r="AS73" s="20">
        <f t="shared" si="26"/>
        <v>9.0180283234542039E-2</v>
      </c>
      <c r="AT73" s="20">
        <f t="shared" si="27"/>
        <v>0.10020053187125037</v>
      </c>
      <c r="AU73" s="20">
        <f t="shared" si="28"/>
        <v>9.7194505903112141E-2</v>
      </c>
      <c r="AV73" s="20">
        <f t="shared" si="29"/>
        <v>0.10020053187125037</v>
      </c>
      <c r="AW73" s="20">
        <f t="shared" si="30"/>
        <v>0.11022077990915481</v>
      </c>
    </row>
    <row r="74" spans="1:49" x14ac:dyDescent="0.25">
      <c r="A74" s="4" t="s">
        <v>26</v>
      </c>
      <c r="B74" s="4" t="s">
        <v>18</v>
      </c>
      <c r="C74" s="4" t="s">
        <v>121</v>
      </c>
      <c r="D74" s="4">
        <v>339.18023124422581</v>
      </c>
      <c r="E74" s="4">
        <v>498.29194542079648</v>
      </c>
      <c r="F74" s="4">
        <v>577.90421656834496</v>
      </c>
      <c r="G74" s="4">
        <v>623.40612760267595</v>
      </c>
      <c r="H74" s="4">
        <v>623.40612760267595</v>
      </c>
      <c r="I74" s="4">
        <v>623.40612760267595</v>
      </c>
      <c r="J74" s="4">
        <v>700.11415216034948</v>
      </c>
      <c r="K74" s="4">
        <v>716.05912785383111</v>
      </c>
      <c r="L74" s="4">
        <v>795.55857088285336</v>
      </c>
      <c r="M74" s="4">
        <v>771.69752140189394</v>
      </c>
      <c r="N74" s="4">
        <v>795.55857088285336</v>
      </c>
      <c r="O74" s="4">
        <v>875.17084203040179</v>
      </c>
      <c r="P74" s="10">
        <f t="shared" si="32"/>
        <v>7939.7535612535776</v>
      </c>
      <c r="Q74" s="14" t="e">
        <v>#DIV/0!</v>
      </c>
      <c r="S74" t="s">
        <v>139</v>
      </c>
      <c r="T74" t="s">
        <v>26</v>
      </c>
      <c r="U74" t="s">
        <v>18</v>
      </c>
      <c r="V74" t="s">
        <v>121</v>
      </c>
      <c r="W74" s="8">
        <v>339.18023124422581</v>
      </c>
      <c r="X74" s="8">
        <v>498.29194542079648</v>
      </c>
      <c r="Y74" s="8">
        <v>577.90421656834496</v>
      </c>
      <c r="Z74" s="8">
        <v>623.40612760267595</v>
      </c>
      <c r="AA74" s="8">
        <v>623.40612760267595</v>
      </c>
      <c r="AB74" s="8">
        <v>623.40612760267595</v>
      </c>
      <c r="AC74" s="8">
        <v>700.11415216034948</v>
      </c>
      <c r="AD74" s="8">
        <v>716.05912785383111</v>
      </c>
      <c r="AE74" s="8">
        <v>795.55857088285336</v>
      </c>
      <c r="AF74" s="8">
        <v>771.69752140189394</v>
      </c>
      <c r="AG74" s="8">
        <v>795.55857088285336</v>
      </c>
      <c r="AH74" s="8">
        <v>875.17084203040179</v>
      </c>
      <c r="AI74" s="8">
        <v>7939.7535612535776</v>
      </c>
      <c r="AJ74" s="13">
        <f t="shared" si="31"/>
        <v>1</v>
      </c>
      <c r="AL74" s="20">
        <f t="shared" si="19"/>
        <v>4.2719239158686674E-2</v>
      </c>
      <c r="AM74" s="20">
        <f t="shared" si="20"/>
        <v>6.2759119861413318E-2</v>
      </c>
      <c r="AN74" s="20">
        <f t="shared" si="21"/>
        <v>7.278616547855446E-2</v>
      </c>
      <c r="AO74" s="20">
        <f t="shared" si="22"/>
        <v>7.8517062625839074E-2</v>
      </c>
      <c r="AP74" s="20">
        <f t="shared" si="23"/>
        <v>7.8517062625839074E-2</v>
      </c>
      <c r="AQ74" s="20">
        <f t="shared" si="24"/>
        <v>7.8517062625839074E-2</v>
      </c>
      <c r="AR74" s="20">
        <f t="shared" si="25"/>
        <v>8.8178322760160216E-2</v>
      </c>
      <c r="AS74" s="20">
        <f t="shared" si="26"/>
        <v>9.0186568428047689E-2</v>
      </c>
      <c r="AT74" s="20">
        <f t="shared" si="27"/>
        <v>0.10019940351363318</v>
      </c>
      <c r="AU74" s="20">
        <f t="shared" si="28"/>
        <v>9.7194140277579791E-2</v>
      </c>
      <c r="AV74" s="20">
        <f t="shared" si="29"/>
        <v>0.10019940351363318</v>
      </c>
      <c r="AW74" s="20">
        <f t="shared" si="30"/>
        <v>0.11022644913077433</v>
      </c>
    </row>
    <row r="75" spans="1:49" x14ac:dyDescent="0.25">
      <c r="A75" s="4" t="s">
        <v>26</v>
      </c>
      <c r="B75" s="4" t="s">
        <v>23</v>
      </c>
      <c r="C75" s="4" t="s">
        <v>41</v>
      </c>
      <c r="D75" s="4">
        <v>82.230412532602472</v>
      </c>
      <c r="E75" s="4">
        <v>122.05508549542679</v>
      </c>
      <c r="F75" s="4">
        <v>141.9681947869795</v>
      </c>
      <c r="G75" s="4">
        <v>158.70418891120741</v>
      </c>
      <c r="H75" s="4">
        <v>158.70418891120741</v>
      </c>
      <c r="I75" s="4">
        <v>158.70418891120741</v>
      </c>
      <c r="J75" s="4">
        <v>175.22675045266951</v>
      </c>
      <c r="K75" s="4">
        <v>179.2080474935963</v>
      </c>
      <c r="L75" s="4">
        <v>199.121156785149</v>
      </c>
      <c r="M75" s="4">
        <v>193.14755520202911</v>
      </c>
      <c r="N75" s="4">
        <v>199.121156785149</v>
      </c>
      <c r="O75" s="4">
        <v>219.03272045642069</v>
      </c>
      <c r="P75" s="10">
        <f t="shared" si="32"/>
        <v>1987.2236467236446</v>
      </c>
      <c r="Q75" s="14" t="e">
        <v>#DIV/0!</v>
      </c>
      <c r="S75" t="s">
        <v>139</v>
      </c>
      <c r="T75" t="s">
        <v>26</v>
      </c>
      <c r="U75" t="s">
        <v>23</v>
      </c>
      <c r="V75" t="s">
        <v>41</v>
      </c>
      <c r="W75" s="8">
        <v>82.230412532602472</v>
      </c>
      <c r="X75" s="8">
        <v>122.05508549542679</v>
      </c>
      <c r="Y75" s="8">
        <v>141.9681947869795</v>
      </c>
      <c r="Z75" s="8">
        <v>158.70418891120741</v>
      </c>
      <c r="AA75" s="8">
        <v>158.70418891120741</v>
      </c>
      <c r="AB75" s="8">
        <v>158.70418891120741</v>
      </c>
      <c r="AC75" s="8">
        <v>175.22675045266951</v>
      </c>
      <c r="AD75" s="8">
        <v>179.2080474935963</v>
      </c>
      <c r="AE75" s="8">
        <v>199.121156785149</v>
      </c>
      <c r="AF75" s="8">
        <v>193.14755520202911</v>
      </c>
      <c r="AG75" s="8">
        <v>199.121156785149</v>
      </c>
      <c r="AH75" s="8">
        <v>219.03272045642069</v>
      </c>
      <c r="AI75" s="8">
        <v>1987.2236467236446</v>
      </c>
      <c r="AJ75" s="13">
        <f t="shared" si="31"/>
        <v>1</v>
      </c>
      <c r="AL75" s="20">
        <f t="shared" si="19"/>
        <v>4.1379546116098495E-2</v>
      </c>
      <c r="AM75" s="20">
        <f t="shared" si="20"/>
        <v>6.1419903943202479E-2</v>
      </c>
      <c r="AN75" s="20">
        <f t="shared" si="21"/>
        <v>7.14404717461187E-2</v>
      </c>
      <c r="AO75" s="20">
        <f t="shared" si="22"/>
        <v>7.9862268735008554E-2</v>
      </c>
      <c r="AP75" s="20">
        <f t="shared" si="23"/>
        <v>7.9862268735008554E-2</v>
      </c>
      <c r="AQ75" s="20">
        <f t="shared" si="24"/>
        <v>7.9862268735008554E-2</v>
      </c>
      <c r="AR75" s="20">
        <f t="shared" si="25"/>
        <v>8.8176663327032959E-2</v>
      </c>
      <c r="AS75" s="20">
        <f t="shared" si="26"/>
        <v>9.0180110220134696E-2</v>
      </c>
      <c r="AT75" s="20">
        <f t="shared" si="27"/>
        <v>0.10020067802305092</v>
      </c>
      <c r="AU75" s="20">
        <f t="shared" si="28"/>
        <v>9.7194674349046425E-2</v>
      </c>
      <c r="AV75" s="20">
        <f t="shared" si="29"/>
        <v>0.10020067802305092</v>
      </c>
      <c r="AW75" s="20">
        <f t="shared" si="30"/>
        <v>0.11022046804723873</v>
      </c>
    </row>
    <row r="76" spans="1:49" x14ac:dyDescent="0.25">
      <c r="A76" s="4" t="s">
        <v>26</v>
      </c>
      <c r="B76" s="4" t="s">
        <v>23</v>
      </c>
      <c r="C76" s="4" t="s">
        <v>22</v>
      </c>
      <c r="D76" s="4">
        <v>3138.9498093980451</v>
      </c>
      <c r="E76" s="4">
        <v>4659.1242904563233</v>
      </c>
      <c r="F76" s="4">
        <v>5419.2105050336677</v>
      </c>
      <c r="G76" s="4">
        <v>6058.1047696530004</v>
      </c>
      <c r="H76" s="4">
        <v>6058.1047696530004</v>
      </c>
      <c r="I76" s="4">
        <v>6058.1047696530004</v>
      </c>
      <c r="J76" s="4">
        <v>6688.7667015041243</v>
      </c>
      <c r="K76" s="4">
        <v>6840.7841388104589</v>
      </c>
      <c r="L76" s="4">
        <v>7600.8713253421356</v>
      </c>
      <c r="M76" s="4">
        <v>7372.8452233800972</v>
      </c>
      <c r="N76" s="4">
        <v>7600.8713253421356</v>
      </c>
      <c r="O76" s="4">
        <v>8360.9606717723273</v>
      </c>
      <c r="P76" s="10">
        <f t="shared" si="32"/>
        <v>75856.698299998316</v>
      </c>
      <c r="Q76" s="14" t="e">
        <v>#DIV/0!</v>
      </c>
      <c r="S76" t="s">
        <v>139</v>
      </c>
      <c r="T76" t="s">
        <v>26</v>
      </c>
      <c r="U76" t="s">
        <v>23</v>
      </c>
      <c r="V76" t="s">
        <v>22</v>
      </c>
      <c r="W76" s="8">
        <v>3138.9498093980451</v>
      </c>
      <c r="X76" s="8">
        <v>4659.1242904563233</v>
      </c>
      <c r="Y76" s="8">
        <v>5419.2105050336677</v>
      </c>
      <c r="Z76" s="8">
        <v>6058.1047696530004</v>
      </c>
      <c r="AA76" s="8">
        <v>6058.1047696530004</v>
      </c>
      <c r="AB76" s="8">
        <v>6058.1047696530004</v>
      </c>
      <c r="AC76" s="8">
        <v>6688.7667015041243</v>
      </c>
      <c r="AD76" s="8">
        <v>6840.7841388104589</v>
      </c>
      <c r="AE76" s="8">
        <v>7600.8713253421356</v>
      </c>
      <c r="AF76" s="8">
        <v>7372.8452233800972</v>
      </c>
      <c r="AG76" s="8">
        <v>7600.8713253421356</v>
      </c>
      <c r="AH76" s="8">
        <v>8360.9606717723273</v>
      </c>
      <c r="AI76" s="8">
        <v>75856.698299998316</v>
      </c>
      <c r="AJ76" s="13">
        <f t="shared" si="31"/>
        <v>1</v>
      </c>
      <c r="AL76" s="20">
        <f t="shared" si="19"/>
        <v>4.1379995171739695E-2</v>
      </c>
      <c r="AM76" s="20">
        <f t="shared" si="20"/>
        <v>6.1420077526053184E-2</v>
      </c>
      <c r="AN76" s="20">
        <f t="shared" si="21"/>
        <v>7.1440105178342414E-2</v>
      </c>
      <c r="AO76" s="20">
        <f t="shared" si="22"/>
        <v>7.9862489475805917E-2</v>
      </c>
      <c r="AP76" s="20">
        <f t="shared" si="23"/>
        <v>7.9862489475805917E-2</v>
      </c>
      <c r="AQ76" s="20">
        <f t="shared" si="24"/>
        <v>7.9862489475805917E-2</v>
      </c>
      <c r="AR76" s="20">
        <f t="shared" si="25"/>
        <v>8.8176348976478885E-2</v>
      </c>
      <c r="AS76" s="20">
        <f t="shared" si="26"/>
        <v>9.0180357069543207E-2</v>
      </c>
      <c r="AT76" s="20">
        <f t="shared" si="27"/>
        <v>0.10020039753486482</v>
      </c>
      <c r="AU76" s="20">
        <f t="shared" si="28"/>
        <v>9.7194386107103486E-2</v>
      </c>
      <c r="AV76" s="20">
        <f t="shared" si="29"/>
        <v>0.10020039753486482</v>
      </c>
      <c r="AW76" s="20">
        <f t="shared" si="30"/>
        <v>0.11022046647359174</v>
      </c>
    </row>
    <row r="77" spans="1:49" x14ac:dyDescent="0.25">
      <c r="A77" s="4" t="s">
        <v>26</v>
      </c>
      <c r="B77" s="4" t="s">
        <v>25</v>
      </c>
      <c r="C77" s="4" t="s">
        <v>24</v>
      </c>
      <c r="D77" s="4">
        <v>10194.637962231864</v>
      </c>
      <c r="E77" s="4">
        <v>797.99934706070235</v>
      </c>
      <c r="F77" s="4">
        <v>949.99521352887564</v>
      </c>
      <c r="G77" s="4">
        <v>1203.895686364739</v>
      </c>
      <c r="H77" s="4">
        <v>1022.24221270245</v>
      </c>
      <c r="I77" s="4">
        <v>1174.23782733129</v>
      </c>
      <c r="J77" s="4">
        <v>1214.112135058924</v>
      </c>
      <c r="K77" s="4">
        <v>1062.116520430083</v>
      </c>
      <c r="L77" s="4">
        <v>1214.112135058924</v>
      </c>
      <c r="M77" s="4">
        <v>1621.9057450140069</v>
      </c>
      <c r="N77" s="4">
        <v>1623.7592825038059</v>
      </c>
      <c r="O77" s="4">
        <v>2576.5130616064221</v>
      </c>
      <c r="P77" s="10">
        <f t="shared" si="32"/>
        <v>24655.527128892085</v>
      </c>
      <c r="Q77" s="14" t="e">
        <v>#DIV/0!</v>
      </c>
      <c r="S77" t="s">
        <v>139</v>
      </c>
      <c r="T77" t="s">
        <v>26</v>
      </c>
      <c r="U77" t="s">
        <v>25</v>
      </c>
      <c r="V77" t="s">
        <v>24</v>
      </c>
      <c r="W77" s="8">
        <v>10194.637962231864</v>
      </c>
      <c r="X77" s="8">
        <v>797.99934706070235</v>
      </c>
      <c r="Y77" s="8">
        <v>949.99521352887564</v>
      </c>
      <c r="Z77" s="8">
        <v>1203.895686364739</v>
      </c>
      <c r="AA77" s="8">
        <v>1022.24221270245</v>
      </c>
      <c r="AB77" s="8">
        <v>1174.23782733129</v>
      </c>
      <c r="AC77" s="8">
        <v>1214.112135058924</v>
      </c>
      <c r="AD77" s="8">
        <v>1062.116520430083</v>
      </c>
      <c r="AE77" s="8">
        <v>1214.112135058924</v>
      </c>
      <c r="AF77" s="8">
        <v>1621.9057450140069</v>
      </c>
      <c r="AG77" s="8">
        <v>1623.7592825038059</v>
      </c>
      <c r="AH77" s="8">
        <v>2576.5130616064221</v>
      </c>
      <c r="AI77" s="8">
        <v>24655.527128892085</v>
      </c>
      <c r="AJ77" s="13">
        <f t="shared" si="31"/>
        <v>1</v>
      </c>
      <c r="AL77" s="20">
        <f t="shared" si="19"/>
        <v>0.41348286365719117</v>
      </c>
      <c r="AM77" s="20">
        <f t="shared" si="20"/>
        <v>3.2365941433293584E-2</v>
      </c>
      <c r="AN77" s="20">
        <f t="shared" si="21"/>
        <v>3.8530720051636727E-2</v>
      </c>
      <c r="AO77" s="20">
        <f t="shared" si="22"/>
        <v>4.8828633031089329E-2</v>
      </c>
      <c r="AP77" s="20">
        <f t="shared" si="23"/>
        <v>4.146097576249165E-2</v>
      </c>
      <c r="AQ77" s="20">
        <f t="shared" si="24"/>
        <v>4.7625744166519275E-2</v>
      </c>
      <c r="AR77" s="20">
        <f t="shared" si="25"/>
        <v>4.9243000513105678E-2</v>
      </c>
      <c r="AS77" s="20">
        <f t="shared" si="26"/>
        <v>4.3078232109078012E-2</v>
      </c>
      <c r="AT77" s="20">
        <f t="shared" si="27"/>
        <v>4.9243000513105678E-2</v>
      </c>
      <c r="AU77" s="20">
        <f t="shared" si="28"/>
        <v>6.5782643239998273E-2</v>
      </c>
      <c r="AV77" s="20">
        <f t="shared" si="29"/>
        <v>6.5857820602060302E-2</v>
      </c>
      <c r="AW77" s="20">
        <f t="shared" si="30"/>
        <v>0.10450042492043039</v>
      </c>
    </row>
    <row r="78" spans="1:49" x14ac:dyDescent="0.25">
      <c r="A78" s="4" t="s">
        <v>26</v>
      </c>
      <c r="B78" s="4" t="s">
        <v>25</v>
      </c>
      <c r="C78" s="4" t="s">
        <v>28</v>
      </c>
      <c r="D78" s="4">
        <v>435.73366376339669</v>
      </c>
      <c r="E78" s="4">
        <v>537.59416149884453</v>
      </c>
      <c r="F78" s="4">
        <v>640.1669704072674</v>
      </c>
      <c r="G78" s="4">
        <v>1341.2905683764661</v>
      </c>
      <c r="H78" s="4">
        <v>1218.7730466247385</v>
      </c>
      <c r="I78" s="4">
        <v>1321.3458555331617</v>
      </c>
      <c r="J78" s="4">
        <v>1348.2129060088168</v>
      </c>
      <c r="K78" s="4">
        <v>1245.6400971003936</v>
      </c>
      <c r="L78" s="4">
        <v>1348.2129060088168</v>
      </c>
      <c r="M78" s="4">
        <v>1889.1171696668703</v>
      </c>
      <c r="N78" s="4">
        <v>1889.1171696668703</v>
      </c>
      <c r="O78" s="4">
        <v>2268.5189414927227</v>
      </c>
      <c r="P78" s="10">
        <f t="shared" si="32"/>
        <v>15483.723456148366</v>
      </c>
      <c r="Q78" s="14" t="e">
        <v>#DIV/0!</v>
      </c>
      <c r="S78" t="s">
        <v>139</v>
      </c>
      <c r="T78" t="s">
        <v>26</v>
      </c>
      <c r="U78" t="s">
        <v>25</v>
      </c>
      <c r="V78" t="s">
        <v>28</v>
      </c>
      <c r="W78" s="8">
        <v>435.73366376339669</v>
      </c>
      <c r="X78" s="8">
        <v>537.59416149884453</v>
      </c>
      <c r="Y78" s="8">
        <v>640.1669704072674</v>
      </c>
      <c r="Z78" s="8">
        <v>1341.2905683764661</v>
      </c>
      <c r="AA78" s="8">
        <v>1218.7730466247385</v>
      </c>
      <c r="AB78" s="8">
        <v>1321.3458555331617</v>
      </c>
      <c r="AC78" s="8">
        <v>1348.2129060088168</v>
      </c>
      <c r="AD78" s="8">
        <v>1245.6400971003936</v>
      </c>
      <c r="AE78" s="8">
        <v>1348.2129060088168</v>
      </c>
      <c r="AF78" s="8">
        <v>1889.1171696668703</v>
      </c>
      <c r="AG78" s="8">
        <v>1889.1171696668703</v>
      </c>
      <c r="AH78" s="8">
        <v>2268.5189414927227</v>
      </c>
      <c r="AI78" s="8">
        <v>15483.723456148366</v>
      </c>
      <c r="AJ78" s="13">
        <f t="shared" si="31"/>
        <v>1</v>
      </c>
      <c r="AL78" s="20">
        <f t="shared" si="19"/>
        <v>2.8141400548611133E-2</v>
      </c>
      <c r="AM78" s="20">
        <f t="shared" si="20"/>
        <v>3.4719953699855935E-2</v>
      </c>
      <c r="AN78" s="20">
        <f t="shared" si="21"/>
        <v>4.1344510719291246E-2</v>
      </c>
      <c r="AO78" s="20">
        <f t="shared" si="22"/>
        <v>8.6625841140546778E-2</v>
      </c>
      <c r="AP78" s="20">
        <f t="shared" si="23"/>
        <v>7.8713175811776795E-2</v>
      </c>
      <c r="AQ78" s="20">
        <f t="shared" si="24"/>
        <v>8.5337732831212126E-2</v>
      </c>
      <c r="AR78" s="20">
        <f t="shared" si="25"/>
        <v>8.7072913038463026E-2</v>
      </c>
      <c r="AS78" s="20">
        <f t="shared" si="26"/>
        <v>8.0448356019027695E-2</v>
      </c>
      <c r="AT78" s="20">
        <f t="shared" si="27"/>
        <v>8.7072913038463026E-2</v>
      </c>
      <c r="AU78" s="20">
        <f t="shared" si="28"/>
        <v>0.12200664620606672</v>
      </c>
      <c r="AV78" s="20">
        <f t="shared" si="29"/>
        <v>0.12200664620606672</v>
      </c>
      <c r="AW78" s="20">
        <f t="shared" si="30"/>
        <v>0.14650991074061881</v>
      </c>
    </row>
    <row r="79" spans="1:49" x14ac:dyDescent="0.25">
      <c r="A79" s="4" t="s">
        <v>26</v>
      </c>
      <c r="B79" s="4" t="s">
        <v>25</v>
      </c>
      <c r="C79" s="4" t="s">
        <v>29</v>
      </c>
      <c r="D79" s="4">
        <v>1250.6034485172891</v>
      </c>
      <c r="E79" s="4">
        <v>1250.6034485172891</v>
      </c>
      <c r="F79" s="4">
        <v>1250.6034485172891</v>
      </c>
      <c r="G79" s="4">
        <v>3126.5086212932219</v>
      </c>
      <c r="H79" s="4">
        <v>3126.5086212932219</v>
      </c>
      <c r="I79" s="4">
        <v>3126.5086212932219</v>
      </c>
      <c r="J79" s="4">
        <v>7503.6206911037316</v>
      </c>
      <c r="K79" s="4">
        <v>7503.6206911037316</v>
      </c>
      <c r="L79" s="4">
        <v>7503.6206911037316</v>
      </c>
      <c r="M79" s="4">
        <v>8754.2241396210211</v>
      </c>
      <c r="N79" s="4">
        <v>9379.525863879664</v>
      </c>
      <c r="O79" s="4">
        <v>8754.2241396210211</v>
      </c>
      <c r="P79" s="10">
        <f t="shared" si="32"/>
        <v>62530.172425864439</v>
      </c>
      <c r="Q79" s="14" t="e">
        <v>#DIV/0!</v>
      </c>
      <c r="S79" t="s">
        <v>139</v>
      </c>
      <c r="T79" t="s">
        <v>26</v>
      </c>
      <c r="U79" t="s">
        <v>25</v>
      </c>
      <c r="V79" t="s">
        <v>29</v>
      </c>
      <c r="W79" s="8">
        <v>1250.6034485172891</v>
      </c>
      <c r="X79" s="8">
        <v>1250.6034485172891</v>
      </c>
      <c r="Y79" s="8">
        <v>1250.6034485172891</v>
      </c>
      <c r="Z79" s="8">
        <v>3126.5086212932219</v>
      </c>
      <c r="AA79" s="8">
        <v>3126.5086212932219</v>
      </c>
      <c r="AB79" s="8">
        <v>3126.5086212932219</v>
      </c>
      <c r="AC79" s="8">
        <v>7503.6206911037316</v>
      </c>
      <c r="AD79" s="8">
        <v>7503.6206911037316</v>
      </c>
      <c r="AE79" s="8">
        <v>7503.6206911037316</v>
      </c>
      <c r="AF79" s="8">
        <v>8754.2241396210211</v>
      </c>
      <c r="AG79" s="8">
        <v>9379.525863879664</v>
      </c>
      <c r="AH79" s="8">
        <v>8754.2241396210211</v>
      </c>
      <c r="AI79" s="8">
        <v>62530.172425864439</v>
      </c>
      <c r="AJ79" s="13">
        <f t="shared" si="31"/>
        <v>1</v>
      </c>
      <c r="AL79" s="20">
        <f t="shared" ref="AL79:AL111" si="33">W79/$AI79</f>
        <v>2.0000000000000004E-2</v>
      </c>
      <c r="AM79" s="20">
        <f t="shared" ref="AM79:AM111" si="34">X79/$AI79</f>
        <v>2.0000000000000004E-2</v>
      </c>
      <c r="AN79" s="20">
        <f t="shared" ref="AN79:AN111" si="35">Y79/$AI79</f>
        <v>2.0000000000000004E-2</v>
      </c>
      <c r="AO79" s="20">
        <f t="shared" ref="AO79:AO111" si="36">Z79/$AI79</f>
        <v>0.05</v>
      </c>
      <c r="AP79" s="20">
        <f t="shared" ref="AP79:AP111" si="37">AA79/$AI79</f>
        <v>0.05</v>
      </c>
      <c r="AQ79" s="20">
        <f t="shared" ref="AQ79:AQ111" si="38">AB79/$AI79</f>
        <v>0.05</v>
      </c>
      <c r="AR79" s="20">
        <f t="shared" ref="AR79:AR111" si="39">AC79/$AI79</f>
        <v>0.11999999999999998</v>
      </c>
      <c r="AS79" s="20">
        <f t="shared" ref="AS79:AS111" si="40">AD79/$AI79</f>
        <v>0.11999999999999998</v>
      </c>
      <c r="AT79" s="20">
        <f t="shared" ref="AT79:AT111" si="41">AE79/$AI79</f>
        <v>0.11999999999999998</v>
      </c>
      <c r="AU79" s="20">
        <f t="shared" ref="AU79:AU111" si="42">AF79/$AI79</f>
        <v>0.13999999999999999</v>
      </c>
      <c r="AV79" s="20">
        <f t="shared" ref="AV79:AV111" si="43">AG79/$AI79</f>
        <v>0.14999999999999997</v>
      </c>
      <c r="AW79" s="20">
        <f t="shared" ref="AW79:AW111" si="44">AH79/$AI79</f>
        <v>0.13999999999999999</v>
      </c>
    </row>
    <row r="80" spans="1:49" x14ac:dyDescent="0.25">
      <c r="A80" s="4" t="s">
        <v>26</v>
      </c>
      <c r="B80" s="4" t="s">
        <v>25</v>
      </c>
      <c r="C80" s="4" t="s">
        <v>42</v>
      </c>
      <c r="D80" s="4">
        <v>546.32641207786276</v>
      </c>
      <c r="E80" s="4">
        <v>674.5288219313253</v>
      </c>
      <c r="F80" s="4">
        <v>802.73129561134681</v>
      </c>
      <c r="G80" s="4">
        <v>1017.265169746579</v>
      </c>
      <c r="H80" s="4">
        <v>863.45765060155645</v>
      </c>
      <c r="I80" s="4">
        <v>991.66012428157831</v>
      </c>
      <c r="J80" s="4">
        <v>1025.3538879943701</v>
      </c>
      <c r="K80" s="4">
        <v>897.15141431434824</v>
      </c>
      <c r="L80" s="4">
        <v>1025.3538879943701</v>
      </c>
      <c r="M80" s="4">
        <v>1371.3321350232441</v>
      </c>
      <c r="N80" s="4">
        <v>1371.3321350232441</v>
      </c>
      <c r="O80" s="4">
        <v>2178.8215945779739</v>
      </c>
      <c r="P80" s="10">
        <f t="shared" si="32"/>
        <v>12765.314529177798</v>
      </c>
      <c r="Q80" s="14" t="e">
        <v>#DIV/0!</v>
      </c>
      <c r="S80" t="s">
        <v>139</v>
      </c>
      <c r="T80" t="s">
        <v>26</v>
      </c>
      <c r="U80" t="s">
        <v>25</v>
      </c>
      <c r="V80" t="s">
        <v>42</v>
      </c>
      <c r="W80" s="8">
        <v>546.32641207786276</v>
      </c>
      <c r="X80" s="8">
        <v>674.5288219313253</v>
      </c>
      <c r="Y80" s="8">
        <v>802.73129561134681</v>
      </c>
      <c r="Z80" s="8">
        <v>1017.265169746579</v>
      </c>
      <c r="AA80" s="8">
        <v>863.45765060155645</v>
      </c>
      <c r="AB80" s="8">
        <v>991.66012428157831</v>
      </c>
      <c r="AC80" s="8">
        <v>1025.3538879943701</v>
      </c>
      <c r="AD80" s="8">
        <v>897.15141431434824</v>
      </c>
      <c r="AE80" s="8">
        <v>1025.3538879943701</v>
      </c>
      <c r="AF80" s="8">
        <v>1371.3321350232441</v>
      </c>
      <c r="AG80" s="8">
        <v>1371.3321350232441</v>
      </c>
      <c r="AH80" s="8">
        <v>2178.8215945779739</v>
      </c>
      <c r="AI80" s="8">
        <v>12765.314529177798</v>
      </c>
      <c r="AJ80" s="13">
        <f t="shared" si="31"/>
        <v>1</v>
      </c>
      <c r="AL80" s="20">
        <f t="shared" si="33"/>
        <v>4.2797724320001625E-2</v>
      </c>
      <c r="AM80" s="20">
        <f t="shared" si="34"/>
        <v>5.2840752210965777E-2</v>
      </c>
      <c r="AN80" s="20">
        <f t="shared" si="35"/>
        <v>6.2883785101928852E-2</v>
      </c>
      <c r="AO80" s="20">
        <f t="shared" si="36"/>
        <v>7.9689784957621412E-2</v>
      </c>
      <c r="AP80" s="20">
        <f t="shared" si="37"/>
        <v>6.764092248788256E-2</v>
      </c>
      <c r="AQ80" s="20">
        <f t="shared" si="38"/>
        <v>7.7683955378845662E-2</v>
      </c>
      <c r="AR80" s="20">
        <f t="shared" si="39"/>
        <v>8.0323433132079056E-2</v>
      </c>
      <c r="AS80" s="20">
        <f t="shared" si="40"/>
        <v>7.0280400241115953E-2</v>
      </c>
      <c r="AT80" s="20">
        <f t="shared" si="41"/>
        <v>8.0323433132079056E-2</v>
      </c>
      <c r="AU80" s="20">
        <f t="shared" si="42"/>
        <v>0.10742642744045025</v>
      </c>
      <c r="AV80" s="20">
        <f t="shared" si="43"/>
        <v>0.10742642744045025</v>
      </c>
      <c r="AW80" s="20">
        <f t="shared" si="44"/>
        <v>0.17068295415657961</v>
      </c>
    </row>
    <row r="81" spans="1:49" x14ac:dyDescent="0.25">
      <c r="A81" s="4" t="s">
        <v>26</v>
      </c>
      <c r="B81" s="4" t="s">
        <v>25</v>
      </c>
      <c r="C81" s="4" t="s">
        <v>43</v>
      </c>
      <c r="D81" s="4">
        <v>2452.577942145881</v>
      </c>
      <c r="E81" s="4">
        <v>3028.1064093504569</v>
      </c>
      <c r="F81" s="4">
        <v>3603.6351630863219</v>
      </c>
      <c r="G81" s="4">
        <v>4566.7243272107598</v>
      </c>
      <c r="H81" s="4">
        <v>3876.2489622058888</v>
      </c>
      <c r="I81" s="4">
        <v>4451.7777159417546</v>
      </c>
      <c r="J81" s="4">
        <v>4603.0363405350154</v>
      </c>
      <c r="K81" s="4">
        <v>4027.50758679915</v>
      </c>
      <c r="L81" s="4">
        <v>4603.0363405350154</v>
      </c>
      <c r="M81" s="4">
        <v>6156.2078482020861</v>
      </c>
      <c r="N81" s="4">
        <v>6156.2078482020861</v>
      </c>
      <c r="O81" s="4">
        <v>9781.2034428448314</v>
      </c>
      <c r="P81" s="10">
        <f t="shared" si="32"/>
        <v>57306.269927059257</v>
      </c>
      <c r="Q81" s="14" t="e">
        <v>#DIV/0!</v>
      </c>
      <c r="S81" t="s">
        <v>139</v>
      </c>
      <c r="T81" t="s">
        <v>26</v>
      </c>
      <c r="U81" t="s">
        <v>25</v>
      </c>
      <c r="V81" t="s">
        <v>43</v>
      </c>
      <c r="W81" s="8">
        <v>2452.577942145881</v>
      </c>
      <c r="X81" s="8">
        <v>3028.1064093504569</v>
      </c>
      <c r="Y81" s="8">
        <v>3603.6351630863219</v>
      </c>
      <c r="Z81" s="8">
        <v>4566.7243272107598</v>
      </c>
      <c r="AA81" s="8">
        <v>3876.2489622058888</v>
      </c>
      <c r="AB81" s="8">
        <v>4451.7777159417546</v>
      </c>
      <c r="AC81" s="8">
        <v>4603.0363405350154</v>
      </c>
      <c r="AD81" s="8">
        <v>4027.50758679915</v>
      </c>
      <c r="AE81" s="8">
        <v>4603.0363405350154</v>
      </c>
      <c r="AF81" s="8">
        <v>6156.2078482020861</v>
      </c>
      <c r="AG81" s="8">
        <v>6156.2078482020861</v>
      </c>
      <c r="AH81" s="8">
        <v>9781.2034428448314</v>
      </c>
      <c r="AI81" s="8">
        <v>57306.269927059257</v>
      </c>
      <c r="AJ81" s="13">
        <f t="shared" si="31"/>
        <v>1</v>
      </c>
      <c r="AL81" s="20">
        <f t="shared" si="33"/>
        <v>4.2797724320001611E-2</v>
      </c>
      <c r="AM81" s="20">
        <f t="shared" si="34"/>
        <v>5.2840752210965757E-2</v>
      </c>
      <c r="AN81" s="20">
        <f t="shared" si="35"/>
        <v>6.2883785101928852E-2</v>
      </c>
      <c r="AO81" s="20">
        <f t="shared" si="36"/>
        <v>7.9689784957621426E-2</v>
      </c>
      <c r="AP81" s="20">
        <f t="shared" si="37"/>
        <v>6.7640922487882532E-2</v>
      </c>
      <c r="AQ81" s="20">
        <f t="shared" si="38"/>
        <v>7.7683955378845634E-2</v>
      </c>
      <c r="AR81" s="20">
        <f t="shared" si="39"/>
        <v>8.0323433132079028E-2</v>
      </c>
      <c r="AS81" s="20">
        <f t="shared" si="40"/>
        <v>7.0280400241115926E-2</v>
      </c>
      <c r="AT81" s="20">
        <f t="shared" si="41"/>
        <v>8.0323433132079028E-2</v>
      </c>
      <c r="AU81" s="20">
        <f t="shared" si="42"/>
        <v>0.10742642744045022</v>
      </c>
      <c r="AV81" s="20">
        <f t="shared" si="43"/>
        <v>0.10742642744045022</v>
      </c>
      <c r="AW81" s="20">
        <f t="shared" si="44"/>
        <v>0.17068295415657961</v>
      </c>
    </row>
    <row r="82" spans="1:49" x14ac:dyDescent="0.25">
      <c r="A82" s="4" t="s">
        <v>26</v>
      </c>
      <c r="B82" s="4" t="s">
        <v>25</v>
      </c>
      <c r="C82" s="4" t="s">
        <v>44</v>
      </c>
      <c r="D82" s="4">
        <v>110.8278812997619</v>
      </c>
      <c r="E82" s="4">
        <v>136.83415300239449</v>
      </c>
      <c r="F82" s="4">
        <v>162.8405973630654</v>
      </c>
      <c r="G82" s="4">
        <v>206.38982614451129</v>
      </c>
      <c r="H82" s="4">
        <v>175.1756700326815</v>
      </c>
      <c r="I82" s="4">
        <v>201.1819417353141</v>
      </c>
      <c r="J82" s="4">
        <v>208.01754125182239</v>
      </c>
      <c r="K82" s="4">
        <v>182.01126954918971</v>
      </c>
      <c r="L82" s="4">
        <v>208.01754125182239</v>
      </c>
      <c r="M82" s="4">
        <v>278.22478873298178</v>
      </c>
      <c r="N82" s="4">
        <v>278.22478873298178</v>
      </c>
      <c r="O82" s="4">
        <v>442.00854917900051</v>
      </c>
      <c r="P82" s="10">
        <f t="shared" si="32"/>
        <v>2589.7545482755272</v>
      </c>
      <c r="Q82" s="14" t="e">
        <v>#DIV/0!</v>
      </c>
      <c r="S82" t="s">
        <v>139</v>
      </c>
      <c r="T82" t="s">
        <v>26</v>
      </c>
      <c r="U82" t="s">
        <v>25</v>
      </c>
      <c r="V82" t="s">
        <v>44</v>
      </c>
      <c r="W82" s="8">
        <v>110.8278812997619</v>
      </c>
      <c r="X82" s="8">
        <v>136.83415300239449</v>
      </c>
      <c r="Y82" s="8">
        <v>162.8405973630654</v>
      </c>
      <c r="Z82" s="8">
        <v>206.38982614451129</v>
      </c>
      <c r="AA82" s="8">
        <v>175.1756700326815</v>
      </c>
      <c r="AB82" s="8">
        <v>201.1819417353141</v>
      </c>
      <c r="AC82" s="8">
        <v>208.01754125182239</v>
      </c>
      <c r="AD82" s="8">
        <v>182.01126954918971</v>
      </c>
      <c r="AE82" s="8">
        <v>208.01754125182239</v>
      </c>
      <c r="AF82" s="8">
        <v>278.22478873298178</v>
      </c>
      <c r="AG82" s="8">
        <v>278.22478873298178</v>
      </c>
      <c r="AH82" s="8">
        <v>442.00854917900051</v>
      </c>
      <c r="AI82" s="8">
        <v>2589.7545482755272</v>
      </c>
      <c r="AJ82" s="13">
        <f t="shared" si="31"/>
        <v>1</v>
      </c>
      <c r="AL82" s="20">
        <f t="shared" si="33"/>
        <v>4.2794743375799943E-2</v>
      </c>
      <c r="AM82" s="20">
        <f t="shared" si="34"/>
        <v>5.2836726589981273E-2</v>
      </c>
      <c r="AN82" s="20">
        <f t="shared" si="35"/>
        <v>6.2878776473816081E-2</v>
      </c>
      <c r="AO82" s="20">
        <f t="shared" si="36"/>
        <v>7.9694744153241362E-2</v>
      </c>
      <c r="AP82" s="20">
        <f t="shared" si="37"/>
        <v>6.7641804181530624E-2</v>
      </c>
      <c r="AQ82" s="20">
        <f t="shared" si="38"/>
        <v>7.7683787395711953E-2</v>
      </c>
      <c r="AR82" s="20">
        <f t="shared" si="39"/>
        <v>8.0323265148945361E-2</v>
      </c>
      <c r="AS82" s="20">
        <f t="shared" si="40"/>
        <v>7.0281281934764003E-2</v>
      </c>
      <c r="AT82" s="20">
        <f t="shared" si="41"/>
        <v>8.0323265148945361E-2</v>
      </c>
      <c r="AU82" s="20">
        <f t="shared" si="42"/>
        <v>0.10743287965967542</v>
      </c>
      <c r="AV82" s="20">
        <f t="shared" si="43"/>
        <v>0.10743287965967542</v>
      </c>
      <c r="AW82" s="20">
        <f t="shared" si="44"/>
        <v>0.17067584627791324</v>
      </c>
    </row>
    <row r="83" spans="1:49" x14ac:dyDescent="0.25">
      <c r="A83" s="4" t="s">
        <v>26</v>
      </c>
      <c r="B83" s="4" t="s">
        <v>25</v>
      </c>
      <c r="C83" s="4" t="s">
        <v>30</v>
      </c>
      <c r="D83" s="4">
        <v>1869.8774258715939</v>
      </c>
      <c r="E83" s="4">
        <v>2309.6455480855411</v>
      </c>
      <c r="F83" s="4">
        <v>2749.4182482651081</v>
      </c>
      <c r="G83" s="4">
        <v>3495.3512549692969</v>
      </c>
      <c r="H83" s="4">
        <v>2967.6259090844178</v>
      </c>
      <c r="I83" s="4">
        <v>3407.3940312983646</v>
      </c>
      <c r="J83" s="4">
        <v>3518.1783192384337</v>
      </c>
      <c r="K83" s="4">
        <v>3078.410197024486</v>
      </c>
      <c r="L83" s="4">
        <v>3518.1783192384337</v>
      </c>
      <c r="M83" s="4">
        <v>4705.5640848786934</v>
      </c>
      <c r="N83" s="4">
        <v>4705.5640848786934</v>
      </c>
      <c r="O83" s="4">
        <v>7476.1178096000158</v>
      </c>
      <c r="P83" s="10">
        <f t="shared" si="32"/>
        <v>43801.325232433075</v>
      </c>
      <c r="Q83" s="14" t="e">
        <v>#DIV/0!</v>
      </c>
      <c r="S83" t="s">
        <v>139</v>
      </c>
      <c r="T83" t="s">
        <v>26</v>
      </c>
      <c r="U83" t="s">
        <v>25</v>
      </c>
      <c r="V83" t="s">
        <v>30</v>
      </c>
      <c r="W83" s="8">
        <v>1869.8774258715939</v>
      </c>
      <c r="X83" s="8">
        <v>2309.6455480855411</v>
      </c>
      <c r="Y83" s="8">
        <v>2749.4182482651081</v>
      </c>
      <c r="Z83" s="8">
        <v>3495.3512549692969</v>
      </c>
      <c r="AA83" s="8">
        <v>2967.6259090844178</v>
      </c>
      <c r="AB83" s="8">
        <v>3407.3940312983646</v>
      </c>
      <c r="AC83" s="8">
        <v>3518.1783192384337</v>
      </c>
      <c r="AD83" s="8">
        <v>3078.410197024486</v>
      </c>
      <c r="AE83" s="8">
        <v>3518.1783192384337</v>
      </c>
      <c r="AF83" s="8">
        <v>4705.5640848786934</v>
      </c>
      <c r="AG83" s="8">
        <v>4705.5640848786934</v>
      </c>
      <c r="AH83" s="8">
        <v>7476.1178096000158</v>
      </c>
      <c r="AI83" s="8">
        <v>43801.325232433075</v>
      </c>
      <c r="AJ83" s="13">
        <f t="shared" si="31"/>
        <v>1</v>
      </c>
      <c r="AL83" s="20">
        <f t="shared" si="33"/>
        <v>4.2689973783875991E-2</v>
      </c>
      <c r="AM83" s="20">
        <f t="shared" si="34"/>
        <v>5.2730038094266241E-2</v>
      </c>
      <c r="AN83" s="20">
        <f t="shared" si="35"/>
        <v>6.2770206921257191E-2</v>
      </c>
      <c r="AO83" s="20">
        <f t="shared" si="36"/>
        <v>7.9800125599422123E-2</v>
      </c>
      <c r="AP83" s="20">
        <f t="shared" si="37"/>
        <v>6.7751966255281543E-2</v>
      </c>
      <c r="AQ83" s="20">
        <f t="shared" si="38"/>
        <v>7.7792030565671785E-2</v>
      </c>
      <c r="AR83" s="20">
        <f t="shared" si="39"/>
        <v>8.0321275682165155E-2</v>
      </c>
      <c r="AS83" s="20">
        <f t="shared" si="40"/>
        <v>7.0281211371774899E-2</v>
      </c>
      <c r="AT83" s="20">
        <f t="shared" si="41"/>
        <v>8.0321275682165155E-2</v>
      </c>
      <c r="AU83" s="20">
        <f t="shared" si="42"/>
        <v>0.10742971953265051</v>
      </c>
      <c r="AV83" s="20">
        <f t="shared" si="43"/>
        <v>0.10742971953265051</v>
      </c>
      <c r="AW83" s="20">
        <f t="shared" si="44"/>
        <v>0.17068245697881895</v>
      </c>
    </row>
    <row r="84" spans="1:49" x14ac:dyDescent="0.25">
      <c r="A84" s="4" t="s">
        <v>26</v>
      </c>
      <c r="B84" s="4" t="s">
        <v>25</v>
      </c>
      <c r="C84" s="4" t="s">
        <v>45</v>
      </c>
      <c r="D84" s="4">
        <v>1022.828435724936</v>
      </c>
      <c r="E84" s="4">
        <v>1262.762573749591</v>
      </c>
      <c r="F84" s="4">
        <v>1502.6967117742461</v>
      </c>
      <c r="G84" s="4">
        <v>1904.4070349896649</v>
      </c>
      <c r="H84" s="4">
        <v>1616.4829285659721</v>
      </c>
      <c r="I84" s="4">
        <v>1856.417066590627</v>
      </c>
      <c r="J84" s="4">
        <v>1919.494611809062</v>
      </c>
      <c r="K84" s="4">
        <v>1679.5604737844069</v>
      </c>
      <c r="L84" s="4">
        <v>1919.494611809062</v>
      </c>
      <c r="M84" s="4">
        <v>2567.3308497709809</v>
      </c>
      <c r="N84" s="4">
        <v>2567.3308497709809</v>
      </c>
      <c r="O84" s="4">
        <v>4078.930872237383</v>
      </c>
      <c r="P84" s="10">
        <f t="shared" si="32"/>
        <v>23897.737020576915</v>
      </c>
      <c r="Q84" s="14" t="e">
        <v>#DIV/0!</v>
      </c>
      <c r="S84" t="s">
        <v>139</v>
      </c>
      <c r="T84" t="s">
        <v>26</v>
      </c>
      <c r="U84" t="s">
        <v>25</v>
      </c>
      <c r="V84" t="s">
        <v>45</v>
      </c>
      <c r="W84" s="8">
        <v>1022.828435724936</v>
      </c>
      <c r="X84" s="8">
        <v>1262.762573749591</v>
      </c>
      <c r="Y84" s="8">
        <v>1502.6967117742461</v>
      </c>
      <c r="Z84" s="8">
        <v>1904.4070349896649</v>
      </c>
      <c r="AA84" s="8">
        <v>1616.4829285659721</v>
      </c>
      <c r="AB84" s="8">
        <v>1856.417066590627</v>
      </c>
      <c r="AC84" s="8">
        <v>1919.494611809062</v>
      </c>
      <c r="AD84" s="8">
        <v>1679.5604737844069</v>
      </c>
      <c r="AE84" s="8">
        <v>1919.494611809062</v>
      </c>
      <c r="AF84" s="8">
        <v>2567.3308497709809</v>
      </c>
      <c r="AG84" s="8">
        <v>2567.3308497709809</v>
      </c>
      <c r="AH84" s="8">
        <v>4078.930872237383</v>
      </c>
      <c r="AI84" s="8">
        <v>23897.737020576915</v>
      </c>
      <c r="AJ84" s="13">
        <f t="shared" si="31"/>
        <v>1</v>
      </c>
      <c r="AL84" s="20">
        <f t="shared" si="33"/>
        <v>4.2800221411937012E-2</v>
      </c>
      <c r="AM84" s="20">
        <f t="shared" si="34"/>
        <v>5.2840257329064319E-2</v>
      </c>
      <c r="AN84" s="20">
        <f t="shared" si="35"/>
        <v>6.2880293246191626E-2</v>
      </c>
      <c r="AO84" s="20">
        <f t="shared" si="36"/>
        <v>7.9689848178925632E-2</v>
      </c>
      <c r="AP84" s="20">
        <f t="shared" si="37"/>
        <v>6.7641673651949355E-2</v>
      </c>
      <c r="AQ84" s="20">
        <f t="shared" si="38"/>
        <v>7.7681709569076648E-2</v>
      </c>
      <c r="AR84" s="20">
        <f t="shared" si="39"/>
        <v>8.0321187322310042E-2</v>
      </c>
      <c r="AS84" s="20">
        <f t="shared" si="40"/>
        <v>7.0281151405182749E-2</v>
      </c>
      <c r="AT84" s="20">
        <f t="shared" si="41"/>
        <v>8.0321187322310042E-2</v>
      </c>
      <c r="AU84" s="20">
        <f t="shared" si="42"/>
        <v>0.10742987286036354</v>
      </c>
      <c r="AV84" s="20">
        <f t="shared" si="43"/>
        <v>0.10742987286036354</v>
      </c>
      <c r="AW84" s="20">
        <f t="shared" si="44"/>
        <v>0.17068272484232541</v>
      </c>
    </row>
    <row r="85" spans="1:49" x14ac:dyDescent="0.25">
      <c r="A85" s="4" t="s">
        <v>26</v>
      </c>
      <c r="B85" s="4" t="s">
        <v>25</v>
      </c>
      <c r="C85" s="4" t="s">
        <v>46</v>
      </c>
      <c r="D85" s="4">
        <v>221.69269341391899</v>
      </c>
      <c r="E85" s="4">
        <v>273.51635453973051</v>
      </c>
      <c r="F85" s="4">
        <v>326.05986426041733</v>
      </c>
      <c r="G85" s="4">
        <v>413.14592542014032</v>
      </c>
      <c r="H85" s="4">
        <v>350.52583006291599</v>
      </c>
      <c r="I85" s="4">
        <v>402.34949118872748</v>
      </c>
      <c r="J85" s="4">
        <v>416.02820938121221</v>
      </c>
      <c r="K85" s="4">
        <v>364.20454825540082</v>
      </c>
      <c r="L85" s="4">
        <v>416.02820938121221</v>
      </c>
      <c r="M85" s="4">
        <v>556.38366695798186</v>
      </c>
      <c r="N85" s="4">
        <v>556.38366695798186</v>
      </c>
      <c r="O85" s="4">
        <v>886.03936673451847</v>
      </c>
      <c r="P85" s="10">
        <f t="shared" si="32"/>
        <v>5182.3578265541582</v>
      </c>
      <c r="Q85" s="14" t="e">
        <v>#DIV/0!</v>
      </c>
      <c r="S85" t="s">
        <v>139</v>
      </c>
      <c r="T85" t="s">
        <v>26</v>
      </c>
      <c r="U85" t="s">
        <v>25</v>
      </c>
      <c r="V85" t="s">
        <v>46</v>
      </c>
      <c r="W85" s="8">
        <v>221.69269341391899</v>
      </c>
      <c r="X85" s="8">
        <v>273.51635453973051</v>
      </c>
      <c r="Y85" s="8">
        <v>326.05986426041733</v>
      </c>
      <c r="Z85" s="8">
        <v>413.14592542014032</v>
      </c>
      <c r="AA85" s="8">
        <v>350.52583006291599</v>
      </c>
      <c r="AB85" s="8">
        <v>402.34949118872748</v>
      </c>
      <c r="AC85" s="8">
        <v>416.02820938121221</v>
      </c>
      <c r="AD85" s="8">
        <v>364.20454825540082</v>
      </c>
      <c r="AE85" s="8">
        <v>416.02820938121221</v>
      </c>
      <c r="AF85" s="8">
        <v>556.38366695798186</v>
      </c>
      <c r="AG85" s="8">
        <v>556.38366695798186</v>
      </c>
      <c r="AH85" s="8">
        <v>886.03936673451847</v>
      </c>
      <c r="AI85" s="8">
        <v>5182.3578265541582</v>
      </c>
      <c r="AJ85" s="13">
        <f t="shared" si="31"/>
        <v>1</v>
      </c>
      <c r="AL85" s="20">
        <f t="shared" si="33"/>
        <v>4.2778345462363872E-2</v>
      </c>
      <c r="AM85" s="20">
        <f t="shared" si="34"/>
        <v>5.2778361451277171E-2</v>
      </c>
      <c r="AN85" s="20">
        <f t="shared" si="35"/>
        <v>6.2917281124375835E-2</v>
      </c>
      <c r="AO85" s="20">
        <f t="shared" si="36"/>
        <v>7.9721613066392291E-2</v>
      </c>
      <c r="AP85" s="20">
        <f t="shared" si="37"/>
        <v>6.7638291641468312E-2</v>
      </c>
      <c r="AQ85" s="20">
        <f t="shared" si="38"/>
        <v>7.7638307630381598E-2</v>
      </c>
      <c r="AR85" s="20">
        <f t="shared" si="39"/>
        <v>8.0277785383615005E-2</v>
      </c>
      <c r="AS85" s="20">
        <f t="shared" si="40"/>
        <v>7.0277769394701733E-2</v>
      </c>
      <c r="AT85" s="20">
        <f t="shared" si="41"/>
        <v>8.0277785383615005E-2</v>
      </c>
      <c r="AU85" s="20">
        <f t="shared" si="42"/>
        <v>0.10736110580923186</v>
      </c>
      <c r="AV85" s="20">
        <f t="shared" si="43"/>
        <v>0.10736110580923186</v>
      </c>
      <c r="AW85" s="20">
        <f t="shared" si="44"/>
        <v>0.17097224784334542</v>
      </c>
    </row>
    <row r="86" spans="1:49" x14ac:dyDescent="0.25">
      <c r="A86" s="4" t="s">
        <v>26</v>
      </c>
      <c r="B86" s="4" t="s">
        <v>25</v>
      </c>
      <c r="C86" s="4" t="s">
        <v>47</v>
      </c>
      <c r="D86" s="4">
        <v>107.6999604409226</v>
      </c>
      <c r="E86" s="4">
        <v>132.92067958174621</v>
      </c>
      <c r="F86" s="4">
        <v>158.3153052100794</v>
      </c>
      <c r="G86" s="4">
        <v>200.514431870197</v>
      </c>
      <c r="H86" s="4">
        <v>170.2496695706659</v>
      </c>
      <c r="I86" s="4">
        <v>195.47038871148951</v>
      </c>
      <c r="J86" s="4">
        <v>202.11356610160809</v>
      </c>
      <c r="K86" s="4">
        <v>176.89284696078451</v>
      </c>
      <c r="L86" s="4">
        <v>202.11356610160809</v>
      </c>
      <c r="M86" s="4">
        <v>270.47039268046052</v>
      </c>
      <c r="N86" s="4">
        <v>270.47039268046052</v>
      </c>
      <c r="O86" s="4">
        <v>429.62175783154942</v>
      </c>
      <c r="P86" s="10">
        <f t="shared" si="32"/>
        <v>2516.8529577415716</v>
      </c>
      <c r="Q86" s="14" t="e">
        <v>#DIV/0!</v>
      </c>
      <c r="S86" t="s">
        <v>139</v>
      </c>
      <c r="T86" t="s">
        <v>26</v>
      </c>
      <c r="U86" t="s">
        <v>25</v>
      </c>
      <c r="V86" t="s">
        <v>47</v>
      </c>
      <c r="W86" s="8">
        <v>107.6999604409226</v>
      </c>
      <c r="X86" s="8">
        <v>132.92067958174621</v>
      </c>
      <c r="Y86" s="8">
        <v>158.3153052100794</v>
      </c>
      <c r="Z86" s="8">
        <v>200.514431870197</v>
      </c>
      <c r="AA86" s="8">
        <v>170.2496695706659</v>
      </c>
      <c r="AB86" s="8">
        <v>195.47038871148951</v>
      </c>
      <c r="AC86" s="8">
        <v>202.11356610160809</v>
      </c>
      <c r="AD86" s="8">
        <v>176.89284696078451</v>
      </c>
      <c r="AE86" s="8">
        <v>202.11356610160809</v>
      </c>
      <c r="AF86" s="8">
        <v>270.47039268046052</v>
      </c>
      <c r="AG86" s="8">
        <v>270.47039268046052</v>
      </c>
      <c r="AH86" s="8">
        <v>429.62175783154942</v>
      </c>
      <c r="AI86" s="8">
        <v>2516.8529577415716</v>
      </c>
      <c r="AJ86" s="13">
        <f t="shared" si="31"/>
        <v>1</v>
      </c>
      <c r="AL86" s="20">
        <f t="shared" si="33"/>
        <v>4.2791518713736924E-2</v>
      </c>
      <c r="AM86" s="20">
        <f t="shared" si="34"/>
        <v>5.2812254753658278E-2</v>
      </c>
      <c r="AN86" s="20">
        <f t="shared" si="35"/>
        <v>6.2902087594397749E-2</v>
      </c>
      <c r="AO86" s="20">
        <f t="shared" si="36"/>
        <v>7.9668711377609877E-2</v>
      </c>
      <c r="AP86" s="20">
        <f t="shared" si="37"/>
        <v>6.7643868127852308E-2</v>
      </c>
      <c r="AQ86" s="20">
        <f t="shared" si="38"/>
        <v>7.7664604167773654E-2</v>
      </c>
      <c r="AR86" s="20">
        <f t="shared" si="39"/>
        <v>8.0304081921007062E-2</v>
      </c>
      <c r="AS86" s="20">
        <f t="shared" si="40"/>
        <v>7.0283345881085729E-2</v>
      </c>
      <c r="AT86" s="20">
        <f t="shared" si="41"/>
        <v>8.0304081921007062E-2</v>
      </c>
      <c r="AU86" s="20">
        <f t="shared" si="42"/>
        <v>0.10746372442955891</v>
      </c>
      <c r="AV86" s="20">
        <f t="shared" si="43"/>
        <v>0.10746372442955891</v>
      </c>
      <c r="AW86" s="20">
        <f t="shared" si="44"/>
        <v>0.17069799668275362</v>
      </c>
    </row>
    <row r="87" spans="1:49" x14ac:dyDescent="0.25">
      <c r="A87" s="4" t="s">
        <v>26</v>
      </c>
      <c r="B87" s="4" t="s">
        <v>25</v>
      </c>
      <c r="C87" s="4" t="s">
        <v>48</v>
      </c>
      <c r="D87" s="4">
        <v>1109.1699840883</v>
      </c>
      <c r="E87" s="4">
        <v>1369.279256032728</v>
      </c>
      <c r="F87" s="4">
        <v>1629.4714537347591</v>
      </c>
      <c r="G87" s="4">
        <v>2065.1110787003199</v>
      </c>
      <c r="H87" s="4">
        <v>1752.8635323776221</v>
      </c>
      <c r="I87" s="4">
        <v>2013.0560540083929</v>
      </c>
      <c r="J87" s="4">
        <v>2081.456275502348</v>
      </c>
      <c r="K87" s="4">
        <v>1821.263753871576</v>
      </c>
      <c r="L87" s="4">
        <v>2081.456275502348</v>
      </c>
      <c r="M87" s="4">
        <v>2783.9926042712041</v>
      </c>
      <c r="N87" s="4">
        <v>2783.9926042712041</v>
      </c>
      <c r="O87" s="4">
        <v>4423.188322321811</v>
      </c>
      <c r="P87" s="10">
        <f t="shared" si="32"/>
        <v>25914.301194682608</v>
      </c>
      <c r="Q87" s="14" t="e">
        <v>#DIV/0!</v>
      </c>
      <c r="S87" t="s">
        <v>139</v>
      </c>
      <c r="T87" t="s">
        <v>26</v>
      </c>
      <c r="U87" t="s">
        <v>25</v>
      </c>
      <c r="V87" t="s">
        <v>48</v>
      </c>
      <c r="W87" s="8">
        <v>1109.1699840883</v>
      </c>
      <c r="X87" s="8">
        <v>1369.279256032728</v>
      </c>
      <c r="Y87" s="8">
        <v>1629.4714537347591</v>
      </c>
      <c r="Z87" s="8">
        <v>2065.1110787003199</v>
      </c>
      <c r="AA87" s="8">
        <v>1752.8635323776221</v>
      </c>
      <c r="AB87" s="8">
        <v>2013.0560540083929</v>
      </c>
      <c r="AC87" s="8">
        <v>2081.456275502348</v>
      </c>
      <c r="AD87" s="8">
        <v>1821.263753871576</v>
      </c>
      <c r="AE87" s="8">
        <v>2081.456275502348</v>
      </c>
      <c r="AF87" s="8">
        <v>2783.9926042712041</v>
      </c>
      <c r="AG87" s="8">
        <v>2783.9926042712041</v>
      </c>
      <c r="AH87" s="8">
        <v>4423.188322321811</v>
      </c>
      <c r="AI87" s="8">
        <v>25914.301194682608</v>
      </c>
      <c r="AJ87" s="13">
        <f t="shared" si="31"/>
        <v>1</v>
      </c>
      <c r="AL87" s="20">
        <f t="shared" si="33"/>
        <v>4.2801462241084554E-2</v>
      </c>
      <c r="AM87" s="20">
        <f t="shared" si="34"/>
        <v>5.2838748988288067E-2</v>
      </c>
      <c r="AN87" s="20">
        <f t="shared" si="35"/>
        <v>6.2879235735251574E-2</v>
      </c>
      <c r="AO87" s="20">
        <f t="shared" si="36"/>
        <v>7.9690016072054573E-2</v>
      </c>
      <c r="AP87" s="20">
        <f t="shared" si="37"/>
        <v>6.7640779475747342E-2</v>
      </c>
      <c r="AQ87" s="20">
        <f t="shared" si="38"/>
        <v>7.7681278722709871E-2</v>
      </c>
      <c r="AR87" s="20">
        <f t="shared" si="39"/>
        <v>8.0320756475943292E-2</v>
      </c>
      <c r="AS87" s="20">
        <f t="shared" si="40"/>
        <v>7.0280257228980722E-2</v>
      </c>
      <c r="AT87" s="20">
        <f t="shared" si="41"/>
        <v>8.0320756475943292E-2</v>
      </c>
      <c r="AU87" s="20">
        <f t="shared" si="42"/>
        <v>0.10743074194269439</v>
      </c>
      <c r="AV87" s="20">
        <f t="shared" si="43"/>
        <v>0.10743074194269439</v>
      </c>
      <c r="AW87" s="20">
        <f t="shared" si="44"/>
        <v>0.17068522469860817</v>
      </c>
    </row>
    <row r="88" spans="1:49" x14ac:dyDescent="0.25">
      <c r="A88" s="4" t="s">
        <v>26</v>
      </c>
      <c r="B88" s="4" t="s">
        <v>25</v>
      </c>
      <c r="C88" s="4" t="s">
        <v>31</v>
      </c>
      <c r="D88" s="4">
        <v>1957.8192839538456</v>
      </c>
      <c r="E88" s="4">
        <v>2418.1347455191299</v>
      </c>
      <c r="F88" s="4">
        <v>2878.529073015945</v>
      </c>
      <c r="G88" s="4">
        <v>3659.0474094766132</v>
      </c>
      <c r="H88" s="4">
        <v>3106.5131533429612</v>
      </c>
      <c r="I88" s="4">
        <v>3566.9076027839187</v>
      </c>
      <c r="J88" s="4">
        <v>3683.1126578525686</v>
      </c>
      <c r="K88" s="4">
        <v>3222.7182084116112</v>
      </c>
      <c r="L88" s="4">
        <v>3683.1126578525686</v>
      </c>
      <c r="M88" s="4">
        <v>4926.1987132890372</v>
      </c>
      <c r="N88" s="4">
        <v>4926.1987132890372</v>
      </c>
      <c r="O88" s="4">
        <v>7826.8089452599324</v>
      </c>
      <c r="P88" s="10">
        <f t="shared" si="32"/>
        <v>45855.10116404717</v>
      </c>
      <c r="Q88" s="14" t="e">
        <v>#DIV/0!</v>
      </c>
      <c r="S88" t="s">
        <v>139</v>
      </c>
      <c r="T88" t="s">
        <v>26</v>
      </c>
      <c r="U88" t="s">
        <v>25</v>
      </c>
      <c r="V88" t="s">
        <v>31</v>
      </c>
      <c r="W88" s="8">
        <v>1957.8192839538456</v>
      </c>
      <c r="X88" s="8">
        <v>2418.1347455191299</v>
      </c>
      <c r="Y88" s="8">
        <v>2878.529073015945</v>
      </c>
      <c r="Z88" s="8">
        <v>3659.0474094766132</v>
      </c>
      <c r="AA88" s="8">
        <v>3106.5131533429612</v>
      </c>
      <c r="AB88" s="8">
        <v>3566.9076027839187</v>
      </c>
      <c r="AC88" s="8">
        <v>3683.1126578525686</v>
      </c>
      <c r="AD88" s="8">
        <v>3222.7182084116112</v>
      </c>
      <c r="AE88" s="8">
        <v>3683.1126578525686</v>
      </c>
      <c r="AF88" s="8">
        <v>4926.1987132890372</v>
      </c>
      <c r="AG88" s="8">
        <v>4926.1987132890372</v>
      </c>
      <c r="AH88" s="8">
        <v>7826.8089452599324</v>
      </c>
      <c r="AI88" s="8">
        <v>45855.10116404717</v>
      </c>
      <c r="AJ88" s="13">
        <f t="shared" si="31"/>
        <v>1</v>
      </c>
      <c r="AL88" s="20">
        <f t="shared" si="33"/>
        <v>4.2695779406302557E-2</v>
      </c>
      <c r="AM88" s="20">
        <f t="shared" si="34"/>
        <v>5.2734258220655188E-2</v>
      </c>
      <c r="AN88" s="20">
        <f t="shared" si="35"/>
        <v>6.277445692940406E-2</v>
      </c>
      <c r="AO88" s="20">
        <f t="shared" si="36"/>
        <v>7.9795863853540039E-2</v>
      </c>
      <c r="AP88" s="20">
        <f t="shared" si="37"/>
        <v>6.7746293748854103E-2</v>
      </c>
      <c r="AQ88" s="20">
        <f t="shared" si="38"/>
        <v>7.7786495116939428E-2</v>
      </c>
      <c r="AR88" s="20">
        <f t="shared" si="39"/>
        <v>8.0320674567398498E-2</v>
      </c>
      <c r="AS88" s="20">
        <f t="shared" si="40"/>
        <v>7.0280473199313173E-2</v>
      </c>
      <c r="AT88" s="20">
        <f t="shared" si="41"/>
        <v>8.0320674567398498E-2</v>
      </c>
      <c r="AU88" s="20">
        <f t="shared" si="42"/>
        <v>0.10742967714029247</v>
      </c>
      <c r="AV88" s="20">
        <f t="shared" si="43"/>
        <v>0.10742967714029247</v>
      </c>
      <c r="AW88" s="20">
        <f t="shared" si="44"/>
        <v>0.1706856761096095</v>
      </c>
    </row>
    <row r="89" spans="1:49" x14ac:dyDescent="0.25">
      <c r="A89" s="4" t="s">
        <v>26</v>
      </c>
      <c r="B89" s="4" t="s">
        <v>25</v>
      </c>
      <c r="C89" s="4" t="s">
        <v>49</v>
      </c>
      <c r="D89" s="4">
        <v>221.70612924766479</v>
      </c>
      <c r="E89" s="4">
        <v>273.67403912787353</v>
      </c>
      <c r="F89" s="4">
        <v>325.68260801625081</v>
      </c>
      <c r="G89" s="4">
        <v>412.76733424161989</v>
      </c>
      <c r="H89" s="4">
        <v>350.34876438918872</v>
      </c>
      <c r="I89" s="4">
        <v>402.35759225214042</v>
      </c>
      <c r="J89" s="4">
        <v>416.02892799714721</v>
      </c>
      <c r="K89" s="4">
        <v>364.02010013419562</v>
      </c>
      <c r="L89" s="4">
        <v>416.02892799714721</v>
      </c>
      <c r="M89" s="4">
        <v>556.44002167806002</v>
      </c>
      <c r="N89" s="4">
        <v>556.44002167806002</v>
      </c>
      <c r="O89" s="4">
        <v>884.06642488267187</v>
      </c>
      <c r="P89" s="10">
        <f t="shared" si="32"/>
        <v>5179.5608916420197</v>
      </c>
      <c r="Q89" s="14" t="e">
        <v>#DIV/0!</v>
      </c>
      <c r="S89" t="s">
        <v>139</v>
      </c>
      <c r="T89" t="s">
        <v>26</v>
      </c>
      <c r="U89" t="s">
        <v>25</v>
      </c>
      <c r="V89" t="s">
        <v>49</v>
      </c>
      <c r="W89" s="8">
        <v>221.70612924766479</v>
      </c>
      <c r="X89" s="8">
        <v>273.67403912787353</v>
      </c>
      <c r="Y89" s="8">
        <v>325.68260801625081</v>
      </c>
      <c r="Z89" s="8">
        <v>412.76733424161989</v>
      </c>
      <c r="AA89" s="8">
        <v>350.34876438918872</v>
      </c>
      <c r="AB89" s="8">
        <v>402.35759225214042</v>
      </c>
      <c r="AC89" s="8">
        <v>416.02892799714721</v>
      </c>
      <c r="AD89" s="8">
        <v>364.02010013419562</v>
      </c>
      <c r="AE89" s="8">
        <v>416.02892799714721</v>
      </c>
      <c r="AF89" s="8">
        <v>556.44002167806002</v>
      </c>
      <c r="AG89" s="8">
        <v>556.44002167806002</v>
      </c>
      <c r="AH89" s="8">
        <v>884.06642488267187</v>
      </c>
      <c r="AI89" s="8">
        <v>5179.5608916420197</v>
      </c>
      <c r="AJ89" s="13">
        <f t="shared" si="31"/>
        <v>1</v>
      </c>
      <c r="AL89" s="20">
        <f t="shared" si="33"/>
        <v>4.2804039548105348E-2</v>
      </c>
      <c r="AM89" s="20">
        <f t="shared" si="34"/>
        <v>5.2837305102346938E-2</v>
      </c>
      <c r="AN89" s="20">
        <f t="shared" si="35"/>
        <v>6.2878420551399916E-2</v>
      </c>
      <c r="AO89" s="20">
        <f t="shared" si="36"/>
        <v>7.9691569010739982E-2</v>
      </c>
      <c r="AP89" s="20">
        <f t="shared" si="37"/>
        <v>6.7640630493316103E-2</v>
      </c>
      <c r="AQ89" s="20">
        <f t="shared" si="38"/>
        <v>7.7681795941699106E-2</v>
      </c>
      <c r="AR89" s="20">
        <f t="shared" si="39"/>
        <v>8.0321273694932485E-2</v>
      </c>
      <c r="AS89" s="20">
        <f t="shared" si="40"/>
        <v>7.0280108246549511E-2</v>
      </c>
      <c r="AT89" s="20">
        <f t="shared" si="41"/>
        <v>8.0321273694932485E-2</v>
      </c>
      <c r="AU89" s="20">
        <f t="shared" si="42"/>
        <v>0.10742996043853013</v>
      </c>
      <c r="AV89" s="20">
        <f t="shared" si="43"/>
        <v>0.10742996043853013</v>
      </c>
      <c r="AW89" s="20">
        <f t="shared" si="44"/>
        <v>0.17068366283891798</v>
      </c>
    </row>
    <row r="90" spans="1:49" x14ac:dyDescent="0.25">
      <c r="A90" s="4" t="s">
        <v>26</v>
      </c>
      <c r="B90" s="4" t="s">
        <v>25</v>
      </c>
      <c r="C90" s="4" t="s">
        <v>50</v>
      </c>
      <c r="D90" s="4">
        <v>299.75688670215931</v>
      </c>
      <c r="E90" s="4">
        <v>369.93183824418492</v>
      </c>
      <c r="F90" s="4">
        <v>440.39312438838522</v>
      </c>
      <c r="G90" s="4">
        <v>558.09457714273253</v>
      </c>
      <c r="H90" s="4">
        <v>473.59841275846452</v>
      </c>
      <c r="I90" s="4">
        <v>544.05969890266476</v>
      </c>
      <c r="J90" s="4">
        <v>562.54439040321608</v>
      </c>
      <c r="K90" s="4">
        <v>492.08310425901573</v>
      </c>
      <c r="L90" s="4">
        <v>562.54439040321608</v>
      </c>
      <c r="M90" s="4">
        <v>752.44614940160977</v>
      </c>
      <c r="N90" s="4">
        <v>752.44614940160977</v>
      </c>
      <c r="O90" s="4">
        <v>1195.263732348458</v>
      </c>
      <c r="P90" s="10">
        <f t="shared" si="32"/>
        <v>7003.1624543557155</v>
      </c>
      <c r="Q90" s="14" t="e">
        <v>#DIV/0!</v>
      </c>
      <c r="S90" t="s">
        <v>139</v>
      </c>
      <c r="T90" t="s">
        <v>26</v>
      </c>
      <c r="U90" t="s">
        <v>25</v>
      </c>
      <c r="V90" t="s">
        <v>50</v>
      </c>
      <c r="W90" s="8">
        <v>299.75688670215931</v>
      </c>
      <c r="X90" s="8">
        <v>369.93183824418492</v>
      </c>
      <c r="Y90" s="8">
        <v>440.39312438838522</v>
      </c>
      <c r="Z90" s="8">
        <v>558.09457714273253</v>
      </c>
      <c r="AA90" s="8">
        <v>473.59841275846452</v>
      </c>
      <c r="AB90" s="8">
        <v>544.05969890266476</v>
      </c>
      <c r="AC90" s="8">
        <v>562.54439040321608</v>
      </c>
      <c r="AD90" s="8">
        <v>492.08310425901573</v>
      </c>
      <c r="AE90" s="8">
        <v>562.54439040321608</v>
      </c>
      <c r="AF90" s="8">
        <v>752.44614940160977</v>
      </c>
      <c r="AG90" s="8">
        <v>752.44614940160977</v>
      </c>
      <c r="AH90" s="8">
        <v>1195.263732348458</v>
      </c>
      <c r="AI90" s="8">
        <v>7003.1624543557155</v>
      </c>
      <c r="AJ90" s="13">
        <f t="shared" si="31"/>
        <v>1</v>
      </c>
      <c r="AL90" s="20">
        <f t="shared" si="33"/>
        <v>4.2803074847381453E-2</v>
      </c>
      <c r="AM90" s="20">
        <f t="shared" si="34"/>
        <v>5.2823540886746186E-2</v>
      </c>
      <c r="AN90" s="20">
        <f t="shared" si="35"/>
        <v>6.28848933976216E-2</v>
      </c>
      <c r="AO90" s="20">
        <f t="shared" si="36"/>
        <v>7.9691793640402811E-2</v>
      </c>
      <c r="AP90" s="20">
        <f t="shared" si="37"/>
        <v>6.7626363924187319E-2</v>
      </c>
      <c r="AQ90" s="20">
        <f t="shared" si="38"/>
        <v>7.7687716435062726E-2</v>
      </c>
      <c r="AR90" s="20">
        <f t="shared" si="39"/>
        <v>8.0327194188296133E-2</v>
      </c>
      <c r="AS90" s="20">
        <f t="shared" si="40"/>
        <v>7.0265841677420712E-2</v>
      </c>
      <c r="AT90" s="20">
        <f t="shared" si="41"/>
        <v>8.0327194188296133E-2</v>
      </c>
      <c r="AU90" s="20">
        <f t="shared" si="42"/>
        <v>0.10744376619931403</v>
      </c>
      <c r="AV90" s="20">
        <f t="shared" si="43"/>
        <v>0.10744376619931403</v>
      </c>
      <c r="AW90" s="20">
        <f t="shared" si="44"/>
        <v>0.17067485441595703</v>
      </c>
    </row>
    <row r="91" spans="1:49" x14ac:dyDescent="0.25">
      <c r="A91" s="4" t="s">
        <v>26</v>
      </c>
      <c r="B91" s="4" t="s">
        <v>25</v>
      </c>
      <c r="C91" s="4" t="s">
        <v>51</v>
      </c>
      <c r="D91" s="4">
        <v>146.66380907586031</v>
      </c>
      <c r="E91" s="4">
        <v>180.9987189693359</v>
      </c>
      <c r="F91" s="4">
        <v>215.47372547205759</v>
      </c>
      <c r="G91" s="4">
        <v>273.06220520519281</v>
      </c>
      <c r="H91" s="4">
        <v>231.72027155610829</v>
      </c>
      <c r="I91" s="4">
        <v>266.19527805883001</v>
      </c>
      <c r="J91" s="4">
        <v>275.2393914231269</v>
      </c>
      <c r="K91" s="4">
        <v>240.76438492040509</v>
      </c>
      <c r="L91" s="4">
        <v>275.2393914231269</v>
      </c>
      <c r="M91" s="4">
        <v>368.15373821704759</v>
      </c>
      <c r="N91" s="4">
        <v>368.15373821704759</v>
      </c>
      <c r="O91" s="4">
        <v>584.81369273972928</v>
      </c>
      <c r="P91" s="10">
        <f t="shared" si="32"/>
        <v>3426.4783452778684</v>
      </c>
      <c r="Q91" s="14" t="e">
        <v>#DIV/0!</v>
      </c>
      <c r="S91" t="s">
        <v>139</v>
      </c>
      <c r="T91" t="s">
        <v>26</v>
      </c>
      <c r="U91" t="s">
        <v>25</v>
      </c>
      <c r="V91" t="s">
        <v>51</v>
      </c>
      <c r="W91" s="8">
        <v>146.66380907586031</v>
      </c>
      <c r="X91" s="8">
        <v>180.9987189693359</v>
      </c>
      <c r="Y91" s="8">
        <v>215.47372547205759</v>
      </c>
      <c r="Z91" s="8">
        <v>273.06220520519281</v>
      </c>
      <c r="AA91" s="8">
        <v>231.72027155610829</v>
      </c>
      <c r="AB91" s="8">
        <v>266.19527805883001</v>
      </c>
      <c r="AC91" s="8">
        <v>275.2393914231269</v>
      </c>
      <c r="AD91" s="8">
        <v>240.76438492040509</v>
      </c>
      <c r="AE91" s="8">
        <v>275.2393914231269</v>
      </c>
      <c r="AF91" s="8">
        <v>368.15373821704759</v>
      </c>
      <c r="AG91" s="8">
        <v>368.15373821704759</v>
      </c>
      <c r="AH91" s="8">
        <v>584.81369273972928</v>
      </c>
      <c r="AI91" s="8">
        <v>3426.4783452778684</v>
      </c>
      <c r="AJ91" s="13">
        <f t="shared" si="31"/>
        <v>1</v>
      </c>
      <c r="AL91" s="20">
        <f t="shared" si="33"/>
        <v>4.2803074847381446E-2</v>
      </c>
      <c r="AM91" s="20">
        <f t="shared" si="34"/>
        <v>5.2823540886746186E-2</v>
      </c>
      <c r="AN91" s="20">
        <f t="shared" si="35"/>
        <v>6.28848933976216E-2</v>
      </c>
      <c r="AO91" s="20">
        <f t="shared" si="36"/>
        <v>7.9691793640402825E-2</v>
      </c>
      <c r="AP91" s="20">
        <f t="shared" si="37"/>
        <v>6.7626363924187319E-2</v>
      </c>
      <c r="AQ91" s="20">
        <f t="shared" si="38"/>
        <v>7.768771643506274E-2</v>
      </c>
      <c r="AR91" s="20">
        <f t="shared" si="39"/>
        <v>8.0327194188296119E-2</v>
      </c>
      <c r="AS91" s="20">
        <f t="shared" si="40"/>
        <v>7.0265841677420685E-2</v>
      </c>
      <c r="AT91" s="20">
        <f t="shared" si="41"/>
        <v>8.0327194188296119E-2</v>
      </c>
      <c r="AU91" s="20">
        <f t="shared" si="42"/>
        <v>0.10744376619931399</v>
      </c>
      <c r="AV91" s="20">
        <f t="shared" si="43"/>
        <v>0.10744376619931399</v>
      </c>
      <c r="AW91" s="20">
        <f t="shared" si="44"/>
        <v>0.17067485441595695</v>
      </c>
    </row>
    <row r="92" spans="1:49" x14ac:dyDescent="0.25">
      <c r="A92" s="4" t="s">
        <v>26</v>
      </c>
      <c r="B92" s="4" t="s">
        <v>25</v>
      </c>
      <c r="C92" s="4" t="s">
        <v>122</v>
      </c>
      <c r="D92" s="4">
        <v>166.77654585807761</v>
      </c>
      <c r="E92" s="4">
        <v>205.912773968892</v>
      </c>
      <c r="F92" s="4">
        <v>245.04902156397961</v>
      </c>
      <c r="G92" s="4">
        <v>310.53957392762112</v>
      </c>
      <c r="H92" s="4">
        <v>263.58689837886658</v>
      </c>
      <c r="I92" s="4">
        <v>302.72314597395427</v>
      </c>
      <c r="J92" s="4">
        <v>313.00880927843463</v>
      </c>
      <c r="K92" s="4">
        <v>273.87256168334687</v>
      </c>
      <c r="L92" s="4">
        <v>313.00880927843463</v>
      </c>
      <c r="M92" s="4">
        <v>418.62526073655062</v>
      </c>
      <c r="N92" s="4">
        <v>418.62526073655062</v>
      </c>
      <c r="O92" s="4">
        <v>665.12680249644359</v>
      </c>
      <c r="P92" s="10">
        <f t="shared" si="32"/>
        <v>3896.855463881152</v>
      </c>
      <c r="Q92" s="14" t="e">
        <v>#DIV/0!</v>
      </c>
      <c r="S92" t="s">
        <v>139</v>
      </c>
      <c r="T92" t="s">
        <v>26</v>
      </c>
      <c r="U92" t="s">
        <v>25</v>
      </c>
      <c r="V92" t="s">
        <v>122</v>
      </c>
      <c r="W92" s="8">
        <v>166.77654585807761</v>
      </c>
      <c r="X92" s="8">
        <v>205.912773968892</v>
      </c>
      <c r="Y92" s="8">
        <v>245.04902156397961</v>
      </c>
      <c r="Z92" s="8">
        <v>310.53957392762112</v>
      </c>
      <c r="AA92" s="8">
        <v>263.58689837886658</v>
      </c>
      <c r="AB92" s="8">
        <v>302.72314597395427</v>
      </c>
      <c r="AC92" s="8">
        <v>313.00880927843463</v>
      </c>
      <c r="AD92" s="8">
        <v>273.87256168334687</v>
      </c>
      <c r="AE92" s="8">
        <v>313.00880927843463</v>
      </c>
      <c r="AF92" s="8">
        <v>418.62526073655062</v>
      </c>
      <c r="AG92" s="8">
        <v>418.62526073655062</v>
      </c>
      <c r="AH92" s="8">
        <v>665.12680249644359</v>
      </c>
      <c r="AI92" s="8">
        <v>3896.855463881152</v>
      </c>
      <c r="AJ92" s="13">
        <f t="shared" si="31"/>
        <v>1</v>
      </c>
      <c r="AL92" s="20">
        <f t="shared" si="33"/>
        <v>4.2797724320001632E-2</v>
      </c>
      <c r="AM92" s="20">
        <f t="shared" si="34"/>
        <v>5.2840752210965763E-2</v>
      </c>
      <c r="AN92" s="20">
        <f t="shared" si="35"/>
        <v>6.2883785101928852E-2</v>
      </c>
      <c r="AO92" s="20">
        <f t="shared" si="36"/>
        <v>7.968978495762144E-2</v>
      </c>
      <c r="AP92" s="20">
        <f t="shared" si="37"/>
        <v>6.7640922487882546E-2</v>
      </c>
      <c r="AQ92" s="20">
        <f t="shared" si="38"/>
        <v>7.7683955378845648E-2</v>
      </c>
      <c r="AR92" s="20">
        <f t="shared" si="39"/>
        <v>8.0323433132079056E-2</v>
      </c>
      <c r="AS92" s="20">
        <f t="shared" si="40"/>
        <v>7.028040024111594E-2</v>
      </c>
      <c r="AT92" s="20">
        <f t="shared" si="41"/>
        <v>8.0323433132079056E-2</v>
      </c>
      <c r="AU92" s="20">
        <f t="shared" si="42"/>
        <v>0.10742642744045024</v>
      </c>
      <c r="AV92" s="20">
        <f t="shared" si="43"/>
        <v>0.10742642744045024</v>
      </c>
      <c r="AW92" s="20">
        <f t="shared" si="44"/>
        <v>0.17068295415657964</v>
      </c>
    </row>
    <row r="93" spans="1:49" x14ac:dyDescent="0.25">
      <c r="A93" s="4" t="s">
        <v>26</v>
      </c>
      <c r="B93" s="4" t="s">
        <v>25</v>
      </c>
      <c r="C93" s="4" t="s">
        <v>52</v>
      </c>
      <c r="D93" s="4">
        <v>332.7825308098295</v>
      </c>
      <c r="E93" s="4">
        <v>410.46739799445061</v>
      </c>
      <c r="F93" s="4">
        <v>488.15226517907138</v>
      </c>
      <c r="G93" s="4">
        <v>619.43396002740621</v>
      </c>
      <c r="H93" s="4">
        <v>525.59679372519076</v>
      </c>
      <c r="I93" s="4">
        <v>603.28166090981165</v>
      </c>
      <c r="J93" s="4">
        <v>623.78640877948146</v>
      </c>
      <c r="K93" s="4">
        <v>546.10154159486058</v>
      </c>
      <c r="L93" s="4">
        <v>623.78640877948146</v>
      </c>
      <c r="M93" s="4">
        <v>834.53545440904736</v>
      </c>
      <c r="N93" s="4">
        <v>834.53545440904736</v>
      </c>
      <c r="O93" s="4">
        <v>1326.0268418444221</v>
      </c>
      <c r="P93" s="10">
        <f t="shared" si="32"/>
        <v>7768.4867184621007</v>
      </c>
      <c r="Q93" s="14" t="e">
        <v>#DIV/0!</v>
      </c>
      <c r="S93" t="s">
        <v>139</v>
      </c>
      <c r="T93" t="s">
        <v>26</v>
      </c>
      <c r="U93" t="s">
        <v>25</v>
      </c>
      <c r="V93" t="s">
        <v>52</v>
      </c>
      <c r="W93" s="8">
        <v>332.7825308098295</v>
      </c>
      <c r="X93" s="8">
        <v>410.46739799445061</v>
      </c>
      <c r="Y93" s="8">
        <v>488.15226517907138</v>
      </c>
      <c r="Z93" s="8">
        <v>619.43396002740621</v>
      </c>
      <c r="AA93" s="8">
        <v>525.59679372519076</v>
      </c>
      <c r="AB93" s="8">
        <v>603.28166090981165</v>
      </c>
      <c r="AC93" s="8">
        <v>623.78640877948146</v>
      </c>
      <c r="AD93" s="8">
        <v>546.10154159486058</v>
      </c>
      <c r="AE93" s="8">
        <v>623.78640877948146</v>
      </c>
      <c r="AF93" s="8">
        <v>834.53545440904736</v>
      </c>
      <c r="AG93" s="8">
        <v>834.53545440904736</v>
      </c>
      <c r="AH93" s="8">
        <v>1326.0268418444221</v>
      </c>
      <c r="AI93" s="8">
        <v>7768.4867184621007</v>
      </c>
      <c r="AJ93" s="13">
        <f t="shared" si="31"/>
        <v>1</v>
      </c>
      <c r="AL93" s="20">
        <f t="shared" si="33"/>
        <v>4.2837497555213593E-2</v>
      </c>
      <c r="AM93" s="20">
        <f t="shared" si="34"/>
        <v>5.2837497555213608E-2</v>
      </c>
      <c r="AN93" s="20">
        <f t="shared" si="35"/>
        <v>6.2837497555213576E-2</v>
      </c>
      <c r="AO93" s="20">
        <f t="shared" si="36"/>
        <v>7.9736759870528987E-2</v>
      </c>
      <c r="AP93" s="20">
        <f t="shared" si="37"/>
        <v>6.765755194973691E-2</v>
      </c>
      <c r="AQ93" s="20">
        <f t="shared" si="38"/>
        <v>7.7657551949736892E-2</v>
      </c>
      <c r="AR93" s="20">
        <f t="shared" si="39"/>
        <v>8.0297029702970285E-2</v>
      </c>
      <c r="AS93" s="20">
        <f t="shared" si="40"/>
        <v>7.0297029702970304E-2</v>
      </c>
      <c r="AT93" s="20">
        <f t="shared" si="41"/>
        <v>8.0297029702970285E-2</v>
      </c>
      <c r="AU93" s="20">
        <f t="shared" si="42"/>
        <v>0.10742574257425741</v>
      </c>
      <c r="AV93" s="20">
        <f t="shared" si="43"/>
        <v>0.10742574257425741</v>
      </c>
      <c r="AW93" s="20">
        <f t="shared" si="44"/>
        <v>0.17069306930693071</v>
      </c>
    </row>
    <row r="94" spans="1:49" x14ac:dyDescent="0.25">
      <c r="A94" s="4" t="s">
        <v>26</v>
      </c>
      <c r="B94" s="4" t="s">
        <v>33</v>
      </c>
      <c r="C94" s="4" t="s">
        <v>32</v>
      </c>
      <c r="D94" s="4">
        <v>1359.9511054522568</v>
      </c>
      <c r="E94" s="4">
        <v>1689.847667807305</v>
      </c>
      <c r="F94" s="4">
        <v>2019.7416657712154</v>
      </c>
      <c r="G94" s="4">
        <v>2664.773073311233</v>
      </c>
      <c r="H94" s="4">
        <v>2268.8992772536808</v>
      </c>
      <c r="I94" s="4">
        <v>2598.7958396087297</v>
      </c>
      <c r="J94" s="4">
        <v>2639.1654950408247</v>
      </c>
      <c r="K94" s="4">
        <v>2309.2689326857758</v>
      </c>
      <c r="L94" s="4">
        <v>2639.1654950408247</v>
      </c>
      <c r="M94" s="4">
        <v>3529.8819302314159</v>
      </c>
      <c r="N94" s="4">
        <v>3529.8819302314159</v>
      </c>
      <c r="O94" s="4">
        <v>5608.2314372851042</v>
      </c>
      <c r="P94" s="10">
        <f t="shared" si="32"/>
        <v>32857.603849719781</v>
      </c>
      <c r="Q94" s="14" t="e">
        <v>#DIV/0!</v>
      </c>
      <c r="S94" t="s">
        <v>139</v>
      </c>
      <c r="T94" t="s">
        <v>26</v>
      </c>
      <c r="U94" t="s">
        <v>33</v>
      </c>
      <c r="V94" t="s">
        <v>32</v>
      </c>
      <c r="W94" s="8">
        <v>1359.9511054522568</v>
      </c>
      <c r="X94" s="8">
        <v>1689.847667807305</v>
      </c>
      <c r="Y94" s="8">
        <v>2019.7416657712154</v>
      </c>
      <c r="Z94" s="8">
        <v>2664.773073311233</v>
      </c>
      <c r="AA94" s="8">
        <v>2268.8992772536808</v>
      </c>
      <c r="AB94" s="8">
        <v>2598.7958396087297</v>
      </c>
      <c r="AC94" s="8">
        <v>2639.1654950408247</v>
      </c>
      <c r="AD94" s="8">
        <v>2309.2689326857758</v>
      </c>
      <c r="AE94" s="8">
        <v>2639.1654950408247</v>
      </c>
      <c r="AF94" s="8">
        <v>3529.8819302314159</v>
      </c>
      <c r="AG94" s="8">
        <v>3529.8819302314159</v>
      </c>
      <c r="AH94" s="8">
        <v>5608.2314372851042</v>
      </c>
      <c r="AI94" s="8">
        <v>32857.603849719781</v>
      </c>
      <c r="AJ94" s="13">
        <f t="shared" si="31"/>
        <v>1</v>
      </c>
      <c r="AL94" s="20">
        <f t="shared" si="33"/>
        <v>4.1389235553275283E-2</v>
      </c>
      <c r="AM94" s="20">
        <f t="shared" si="34"/>
        <v>5.1429424845954384E-2</v>
      </c>
      <c r="AN94" s="20">
        <f t="shared" si="35"/>
        <v>6.1469536093041684E-2</v>
      </c>
      <c r="AO94" s="20">
        <f t="shared" si="36"/>
        <v>8.1100651328656126E-2</v>
      </c>
      <c r="AP94" s="20">
        <f t="shared" si="37"/>
        <v>6.9052487443421129E-2</v>
      </c>
      <c r="AQ94" s="20">
        <f t="shared" si="38"/>
        <v>7.9092676736100251E-2</v>
      </c>
      <c r="AR94" s="20">
        <f t="shared" si="39"/>
        <v>8.0321301185306379E-2</v>
      </c>
      <c r="AS94" s="20">
        <f t="shared" si="40"/>
        <v>7.0281111892627243E-2</v>
      </c>
      <c r="AT94" s="20">
        <f t="shared" si="41"/>
        <v>8.0321301185306379E-2</v>
      </c>
      <c r="AU94" s="20">
        <f t="shared" si="42"/>
        <v>0.10742968192008072</v>
      </c>
      <c r="AV94" s="20">
        <f t="shared" si="43"/>
        <v>0.10742968192008072</v>
      </c>
      <c r="AW94" s="20">
        <f t="shared" si="44"/>
        <v>0.17068290989614973</v>
      </c>
    </row>
    <row r="95" spans="1:49" x14ac:dyDescent="0.25">
      <c r="A95" s="4" t="s">
        <v>26</v>
      </c>
      <c r="B95" s="4" t="s">
        <v>53</v>
      </c>
      <c r="C95" s="4" t="s">
        <v>54</v>
      </c>
      <c r="D95" s="4">
        <v>184.27794605768651</v>
      </c>
      <c r="E95" s="4">
        <v>276.44559952876858</v>
      </c>
      <c r="F95" s="4">
        <v>276.44559952876858</v>
      </c>
      <c r="G95" s="4">
        <v>276.44559952876858</v>
      </c>
      <c r="H95" s="4">
        <v>322.51502845194079</v>
      </c>
      <c r="I95" s="4">
        <v>322.51502845194079</v>
      </c>
      <c r="J95" s="4">
        <v>368.58457255761192</v>
      </c>
      <c r="K95" s="4">
        <v>368.58457255761192</v>
      </c>
      <c r="L95" s="4">
        <v>460.72354558645509</v>
      </c>
      <c r="M95" s="4">
        <v>552.86251861529843</v>
      </c>
      <c r="N95" s="4">
        <v>644.97281120190269</v>
      </c>
      <c r="O95" s="4">
        <v>552.86251861529843</v>
      </c>
      <c r="P95" s="10">
        <f t="shared" si="32"/>
        <v>4607.235340682053</v>
      </c>
      <c r="Q95" s="14" t="e">
        <v>#DIV/0!</v>
      </c>
      <c r="S95" t="s">
        <v>139</v>
      </c>
      <c r="T95" t="s">
        <v>26</v>
      </c>
      <c r="U95" t="s">
        <v>53</v>
      </c>
      <c r="V95" t="s">
        <v>54</v>
      </c>
      <c r="W95" s="8">
        <v>184.27794605768651</v>
      </c>
      <c r="X95" s="8">
        <v>276.44559952876858</v>
      </c>
      <c r="Y95" s="8">
        <v>276.44559952876858</v>
      </c>
      <c r="Z95" s="8">
        <v>276.44559952876858</v>
      </c>
      <c r="AA95" s="8">
        <v>322.51502845194079</v>
      </c>
      <c r="AB95" s="8">
        <v>322.51502845194079</v>
      </c>
      <c r="AC95" s="8">
        <v>368.58457255761192</v>
      </c>
      <c r="AD95" s="8">
        <v>368.58457255761192</v>
      </c>
      <c r="AE95" s="8">
        <v>460.72354558645509</v>
      </c>
      <c r="AF95" s="8">
        <v>552.86251861529843</v>
      </c>
      <c r="AG95" s="8">
        <v>644.97281120190269</v>
      </c>
      <c r="AH95" s="8">
        <v>552.86251861529843</v>
      </c>
      <c r="AI95" s="8">
        <v>4607.235340682053</v>
      </c>
      <c r="AJ95" s="13">
        <f t="shared" si="31"/>
        <v>1</v>
      </c>
      <c r="AL95" s="20">
        <f t="shared" si="33"/>
        <v>3.9997510965091285E-2</v>
      </c>
      <c r="AM95" s="20">
        <f t="shared" si="34"/>
        <v>6.0002491534943754E-2</v>
      </c>
      <c r="AN95" s="20">
        <f t="shared" si="35"/>
        <v>6.0002491534943754E-2</v>
      </c>
      <c r="AO95" s="20">
        <f t="shared" si="36"/>
        <v>6.0002491534943754E-2</v>
      </c>
      <c r="AP95" s="20">
        <f t="shared" si="37"/>
        <v>7.0001856776041274E-2</v>
      </c>
      <c r="AQ95" s="20">
        <f t="shared" si="38"/>
        <v>7.0001856776041274E-2</v>
      </c>
      <c r="AR95" s="20">
        <f t="shared" si="39"/>
        <v>8.000124701748941E-2</v>
      </c>
      <c r="AS95" s="20">
        <f t="shared" si="40"/>
        <v>8.000124701748941E-2</v>
      </c>
      <c r="AT95" s="20">
        <f t="shared" si="41"/>
        <v>0.10000000250003505</v>
      </c>
      <c r="AU95" s="20">
        <f t="shared" si="42"/>
        <v>0.11999875798258071</v>
      </c>
      <c r="AV95" s="20">
        <f t="shared" si="43"/>
        <v>0.13999128837781949</v>
      </c>
      <c r="AW95" s="20">
        <f t="shared" si="44"/>
        <v>0.11999875798258071</v>
      </c>
    </row>
    <row r="96" spans="1:49" x14ac:dyDescent="0.25">
      <c r="A96" s="4" t="s">
        <v>26</v>
      </c>
      <c r="B96" s="4" t="s">
        <v>53</v>
      </c>
      <c r="C96" s="4" t="s">
        <v>55</v>
      </c>
      <c r="D96" s="4">
        <v>9.5723435614787515</v>
      </c>
      <c r="E96" s="4">
        <v>14.358514145648559</v>
      </c>
      <c r="F96" s="4">
        <v>14.358514145648559</v>
      </c>
      <c r="G96" s="4">
        <v>14.358514145648559</v>
      </c>
      <c r="H96" s="4">
        <v>16.751600634303031</v>
      </c>
      <c r="I96" s="4">
        <v>16.751600634303031</v>
      </c>
      <c r="J96" s="4">
        <v>19.1446871229575</v>
      </c>
      <c r="K96" s="4">
        <v>19.1446871229575</v>
      </c>
      <c r="L96" s="4">
        <v>23.930857707127309</v>
      </c>
      <c r="M96" s="4">
        <v>28.717030684436249</v>
      </c>
      <c r="N96" s="4">
        <v>33.503201268606063</v>
      </c>
      <c r="O96" s="4">
        <v>28.717030684436249</v>
      </c>
      <c r="P96" s="10">
        <f t="shared" si="32"/>
        <v>239.30858185755136</v>
      </c>
      <c r="Q96" s="14" t="e">
        <v>#DIV/0!</v>
      </c>
      <c r="S96" t="s">
        <v>139</v>
      </c>
      <c r="T96" t="s">
        <v>26</v>
      </c>
      <c r="U96" t="s">
        <v>53</v>
      </c>
      <c r="V96" t="s">
        <v>55</v>
      </c>
      <c r="W96" s="8">
        <v>9.5723435614787515</v>
      </c>
      <c r="X96" s="8">
        <v>14.358514145648559</v>
      </c>
      <c r="Y96" s="8">
        <v>14.358514145648559</v>
      </c>
      <c r="Z96" s="8">
        <v>14.358514145648559</v>
      </c>
      <c r="AA96" s="8">
        <v>16.751600634303031</v>
      </c>
      <c r="AB96" s="8">
        <v>16.751600634303031</v>
      </c>
      <c r="AC96" s="8">
        <v>19.1446871229575</v>
      </c>
      <c r="AD96" s="8">
        <v>19.1446871229575</v>
      </c>
      <c r="AE96" s="8">
        <v>23.930857707127309</v>
      </c>
      <c r="AF96" s="8">
        <v>28.717030684436249</v>
      </c>
      <c r="AG96" s="8">
        <v>33.503201268606063</v>
      </c>
      <c r="AH96" s="8">
        <v>28.717030684436249</v>
      </c>
      <c r="AI96" s="8">
        <v>239.30858185755136</v>
      </c>
      <c r="AJ96" s="13">
        <f t="shared" si="31"/>
        <v>1</v>
      </c>
      <c r="AL96" s="20">
        <f t="shared" si="33"/>
        <v>4.0000001200026739E-2</v>
      </c>
      <c r="AM96" s="20">
        <f t="shared" si="34"/>
        <v>5.9999996799928713E-2</v>
      </c>
      <c r="AN96" s="20">
        <f t="shared" si="35"/>
        <v>5.9999996799928713E-2</v>
      </c>
      <c r="AO96" s="20">
        <f t="shared" si="36"/>
        <v>5.9999996799928713E-2</v>
      </c>
      <c r="AP96" s="20">
        <f t="shared" si="37"/>
        <v>6.9999999599991092E-2</v>
      </c>
      <c r="AQ96" s="20">
        <f t="shared" si="38"/>
        <v>6.9999999599991092E-2</v>
      </c>
      <c r="AR96" s="20">
        <f t="shared" si="39"/>
        <v>8.0000002400053463E-2</v>
      </c>
      <c r="AS96" s="20">
        <f t="shared" si="40"/>
        <v>8.0000002400053463E-2</v>
      </c>
      <c r="AT96" s="20">
        <f t="shared" si="41"/>
        <v>9.9999997999955445E-2</v>
      </c>
      <c r="AU96" s="20">
        <f t="shared" si="42"/>
        <v>0.1200000036000802</v>
      </c>
      <c r="AV96" s="20">
        <f t="shared" si="43"/>
        <v>0.13999999919998218</v>
      </c>
      <c r="AW96" s="20">
        <f t="shared" si="44"/>
        <v>0.1200000036000802</v>
      </c>
    </row>
    <row r="97" spans="1:49" x14ac:dyDescent="0.25">
      <c r="A97" s="4" t="s">
        <v>26</v>
      </c>
      <c r="B97" s="4" t="s">
        <v>57</v>
      </c>
      <c r="C97" s="4" t="s">
        <v>123</v>
      </c>
      <c r="D97" s="4">
        <v>20.79002079002078</v>
      </c>
      <c r="E97" s="4">
        <v>25.98752598752597</v>
      </c>
      <c r="F97" s="4">
        <v>31.185031185031161</v>
      </c>
      <c r="G97" s="4">
        <v>25.98752598752597</v>
      </c>
      <c r="H97" s="4">
        <v>31.185031185031161</v>
      </c>
      <c r="I97" s="4">
        <v>41.580041580041552</v>
      </c>
      <c r="J97" s="4">
        <v>36.382536382536358</v>
      </c>
      <c r="K97" s="4">
        <v>51.97505197505194</v>
      </c>
      <c r="L97" s="4">
        <v>72.765072765072716</v>
      </c>
      <c r="M97" s="4">
        <v>72.765072765072716</v>
      </c>
      <c r="N97" s="4">
        <v>62.370062370062328</v>
      </c>
      <c r="O97" s="4">
        <v>46.777546777546753</v>
      </c>
      <c r="P97" s="10">
        <f t="shared" si="32"/>
        <v>519.7505197505194</v>
      </c>
      <c r="Q97" s="14" t="e">
        <v>#DIV/0!</v>
      </c>
      <c r="S97" t="s">
        <v>139</v>
      </c>
      <c r="T97" t="s">
        <v>26</v>
      </c>
      <c r="U97" t="s">
        <v>57</v>
      </c>
      <c r="V97" t="s">
        <v>123</v>
      </c>
      <c r="W97" s="8">
        <v>20.79002079002078</v>
      </c>
      <c r="X97" s="8">
        <v>25.98752598752597</v>
      </c>
      <c r="Y97" s="8">
        <v>31.185031185031161</v>
      </c>
      <c r="Z97" s="8">
        <v>25.98752598752597</v>
      </c>
      <c r="AA97" s="8">
        <v>31.185031185031161</v>
      </c>
      <c r="AB97" s="8">
        <v>41.580041580041552</v>
      </c>
      <c r="AC97" s="8">
        <v>36.382536382536358</v>
      </c>
      <c r="AD97" s="8">
        <v>51.97505197505194</v>
      </c>
      <c r="AE97" s="8">
        <v>72.765072765072716</v>
      </c>
      <c r="AF97" s="8">
        <v>72.765072765072716</v>
      </c>
      <c r="AG97" s="8">
        <v>62.370062370062328</v>
      </c>
      <c r="AH97" s="8">
        <v>46.777546777546753</v>
      </c>
      <c r="AI97" s="8">
        <v>519.7505197505194</v>
      </c>
      <c r="AJ97" s="13">
        <f t="shared" si="31"/>
        <v>1</v>
      </c>
      <c r="AL97" s="20">
        <f t="shared" si="33"/>
        <v>4.0000000000000008E-2</v>
      </c>
      <c r="AM97" s="20">
        <f t="shared" si="34"/>
        <v>0.05</v>
      </c>
      <c r="AN97" s="20">
        <f t="shared" si="35"/>
        <v>5.9999999999999991E-2</v>
      </c>
      <c r="AO97" s="20">
        <f t="shared" si="36"/>
        <v>0.05</v>
      </c>
      <c r="AP97" s="20">
        <f t="shared" si="37"/>
        <v>5.9999999999999991E-2</v>
      </c>
      <c r="AQ97" s="20">
        <f t="shared" si="38"/>
        <v>0.08</v>
      </c>
      <c r="AR97" s="20">
        <f t="shared" si="39"/>
        <v>7.0000000000000007E-2</v>
      </c>
      <c r="AS97" s="20">
        <f t="shared" si="40"/>
        <v>0.1</v>
      </c>
      <c r="AT97" s="20">
        <f t="shared" si="41"/>
        <v>0.14000000000000001</v>
      </c>
      <c r="AU97" s="20">
        <f t="shared" si="42"/>
        <v>0.14000000000000001</v>
      </c>
      <c r="AV97" s="20">
        <f t="shared" si="43"/>
        <v>0.12</v>
      </c>
      <c r="AW97" s="20">
        <f t="shared" si="44"/>
        <v>9.0000000000000011E-2</v>
      </c>
    </row>
    <row r="98" spans="1:49" x14ac:dyDescent="0.25">
      <c r="A98" s="4" t="s">
        <v>26</v>
      </c>
      <c r="B98" s="4" t="s">
        <v>57</v>
      </c>
      <c r="C98" s="4" t="s">
        <v>125</v>
      </c>
      <c r="D98" s="4">
        <v>180.87318087318101</v>
      </c>
      <c r="E98" s="4">
        <v>226.0914760914763</v>
      </c>
      <c r="F98" s="4">
        <v>271.30977130977158</v>
      </c>
      <c r="G98" s="4">
        <v>226.0914760914763</v>
      </c>
      <c r="H98" s="4">
        <v>271.30977130977158</v>
      </c>
      <c r="I98" s="4">
        <v>361.74636174636208</v>
      </c>
      <c r="J98" s="4">
        <v>316.52806652806692</v>
      </c>
      <c r="K98" s="4">
        <v>452.18295218295259</v>
      </c>
      <c r="L98" s="4">
        <v>633.05613305613372</v>
      </c>
      <c r="M98" s="4">
        <v>633.05613305613372</v>
      </c>
      <c r="N98" s="4">
        <v>542.61954261954315</v>
      </c>
      <c r="O98" s="4">
        <v>406.96465696465731</v>
      </c>
      <c r="P98" s="10">
        <f t="shared" si="32"/>
        <v>4521.8295218295261</v>
      </c>
      <c r="Q98" s="14" t="e">
        <v>#DIV/0!</v>
      </c>
      <c r="S98" t="s">
        <v>139</v>
      </c>
      <c r="T98" t="s">
        <v>26</v>
      </c>
      <c r="U98" t="s">
        <v>57</v>
      </c>
      <c r="V98" t="s">
        <v>125</v>
      </c>
      <c r="W98" s="8">
        <v>180.87318087318101</v>
      </c>
      <c r="X98" s="8">
        <v>226.0914760914763</v>
      </c>
      <c r="Y98" s="8">
        <v>271.30977130977158</v>
      </c>
      <c r="Z98" s="8">
        <v>226.0914760914763</v>
      </c>
      <c r="AA98" s="8">
        <v>271.30977130977158</v>
      </c>
      <c r="AB98" s="8">
        <v>361.74636174636208</v>
      </c>
      <c r="AC98" s="8">
        <v>316.52806652806692</v>
      </c>
      <c r="AD98" s="8">
        <v>452.18295218295259</v>
      </c>
      <c r="AE98" s="8">
        <v>633.05613305613372</v>
      </c>
      <c r="AF98" s="8">
        <v>633.05613305613372</v>
      </c>
      <c r="AG98" s="8">
        <v>542.61954261954315</v>
      </c>
      <c r="AH98" s="8">
        <v>406.96465696465731</v>
      </c>
      <c r="AI98" s="8">
        <v>4521.8295218295261</v>
      </c>
      <c r="AJ98" s="13">
        <f t="shared" si="31"/>
        <v>1</v>
      </c>
      <c r="AL98" s="20">
        <f t="shared" si="33"/>
        <v>3.9999999999999994E-2</v>
      </c>
      <c r="AM98" s="20">
        <f t="shared" si="34"/>
        <v>4.9999999999999996E-2</v>
      </c>
      <c r="AN98" s="20">
        <f t="shared" si="35"/>
        <v>6.0000000000000005E-2</v>
      </c>
      <c r="AO98" s="20">
        <f t="shared" si="36"/>
        <v>4.9999999999999996E-2</v>
      </c>
      <c r="AP98" s="20">
        <f t="shared" si="37"/>
        <v>6.0000000000000005E-2</v>
      </c>
      <c r="AQ98" s="20">
        <f t="shared" si="38"/>
        <v>0.08</v>
      </c>
      <c r="AR98" s="20">
        <f t="shared" si="39"/>
        <v>7.0000000000000021E-2</v>
      </c>
      <c r="AS98" s="20">
        <f t="shared" si="40"/>
        <v>9.9999999999999992E-2</v>
      </c>
      <c r="AT98" s="20">
        <f t="shared" si="41"/>
        <v>0.14000000000000001</v>
      </c>
      <c r="AU98" s="20">
        <f t="shared" si="42"/>
        <v>0.14000000000000001</v>
      </c>
      <c r="AV98" s="20">
        <f t="shared" si="43"/>
        <v>0.12000000000000001</v>
      </c>
      <c r="AW98" s="20">
        <f t="shared" si="44"/>
        <v>0.09</v>
      </c>
    </row>
    <row r="99" spans="1:49" x14ac:dyDescent="0.25">
      <c r="A99" s="4" t="s">
        <v>26</v>
      </c>
      <c r="B99" s="4" t="s">
        <v>57</v>
      </c>
      <c r="C99" s="4" t="s">
        <v>126</v>
      </c>
      <c r="D99" s="4">
        <v>145.5301455301458</v>
      </c>
      <c r="E99" s="4">
        <v>181.9126819126823</v>
      </c>
      <c r="F99" s="4">
        <v>218.29521829521869</v>
      </c>
      <c r="G99" s="4">
        <v>181.9126819126823</v>
      </c>
      <c r="H99" s="4">
        <v>218.29521829521869</v>
      </c>
      <c r="I99" s="4">
        <v>291.0602910602916</v>
      </c>
      <c r="J99" s="4">
        <v>254.67775467775519</v>
      </c>
      <c r="K99" s="4">
        <v>363.82536382536449</v>
      </c>
      <c r="L99" s="4">
        <v>509.35550935551038</v>
      </c>
      <c r="M99" s="4">
        <v>509.35550935551038</v>
      </c>
      <c r="N99" s="4">
        <v>436.59043659043738</v>
      </c>
      <c r="O99" s="4">
        <v>327.44282744282799</v>
      </c>
      <c r="P99" s="10">
        <f t="shared" si="32"/>
        <v>3638.2536382536455</v>
      </c>
      <c r="Q99" s="14" t="e">
        <v>#DIV/0!</v>
      </c>
      <c r="S99" t="s">
        <v>139</v>
      </c>
      <c r="T99" t="s">
        <v>26</v>
      </c>
      <c r="U99" t="s">
        <v>57</v>
      </c>
      <c r="V99" t="s">
        <v>126</v>
      </c>
      <c r="W99" s="8">
        <v>145.5301455301458</v>
      </c>
      <c r="X99" s="8">
        <v>181.9126819126823</v>
      </c>
      <c r="Y99" s="8">
        <v>218.29521829521869</v>
      </c>
      <c r="Z99" s="8">
        <v>181.9126819126823</v>
      </c>
      <c r="AA99" s="8">
        <v>218.29521829521869</v>
      </c>
      <c r="AB99" s="8">
        <v>291.0602910602916</v>
      </c>
      <c r="AC99" s="8">
        <v>254.67775467775519</v>
      </c>
      <c r="AD99" s="8">
        <v>363.82536382536449</v>
      </c>
      <c r="AE99" s="8">
        <v>509.35550935551038</v>
      </c>
      <c r="AF99" s="8">
        <v>509.35550935551038</v>
      </c>
      <c r="AG99" s="8">
        <v>436.59043659043738</v>
      </c>
      <c r="AH99" s="8">
        <v>327.44282744282799</v>
      </c>
      <c r="AI99" s="8">
        <v>3638.2536382536455</v>
      </c>
      <c r="AJ99" s="13">
        <f t="shared" si="31"/>
        <v>1</v>
      </c>
      <c r="AL99" s="20">
        <f t="shared" si="33"/>
        <v>3.9999999999999994E-2</v>
      </c>
      <c r="AM99" s="20">
        <f t="shared" si="34"/>
        <v>5.000000000000001E-2</v>
      </c>
      <c r="AN99" s="20">
        <f t="shared" si="35"/>
        <v>5.9999999999999991E-2</v>
      </c>
      <c r="AO99" s="20">
        <f t="shared" si="36"/>
        <v>5.000000000000001E-2</v>
      </c>
      <c r="AP99" s="20">
        <f t="shared" si="37"/>
        <v>5.9999999999999991E-2</v>
      </c>
      <c r="AQ99" s="20">
        <f t="shared" si="38"/>
        <v>7.9999999999999988E-2</v>
      </c>
      <c r="AR99" s="20">
        <f t="shared" si="39"/>
        <v>7.0000000000000007E-2</v>
      </c>
      <c r="AS99" s="20">
        <f t="shared" si="40"/>
        <v>9.9999999999999978E-2</v>
      </c>
      <c r="AT99" s="20">
        <f t="shared" si="41"/>
        <v>0.14000000000000001</v>
      </c>
      <c r="AU99" s="20">
        <f t="shared" si="42"/>
        <v>0.14000000000000001</v>
      </c>
      <c r="AV99" s="20">
        <f t="shared" si="43"/>
        <v>0.11999999999999998</v>
      </c>
      <c r="AW99" s="20">
        <f t="shared" si="44"/>
        <v>8.9999999999999969E-2</v>
      </c>
    </row>
    <row r="100" spans="1:49" x14ac:dyDescent="0.25">
      <c r="A100" s="4" t="s">
        <v>26</v>
      </c>
      <c r="B100" s="4" t="s">
        <v>57</v>
      </c>
      <c r="C100" s="4" t="s">
        <v>127</v>
      </c>
      <c r="D100" s="4">
        <v>62.370062370062293</v>
      </c>
      <c r="E100" s="4">
        <v>77.962577962577868</v>
      </c>
      <c r="F100" s="4">
        <v>93.555093555093421</v>
      </c>
      <c r="G100" s="4">
        <v>77.962577962577868</v>
      </c>
      <c r="H100" s="4">
        <v>93.555093555093421</v>
      </c>
      <c r="I100" s="4">
        <v>124.7401247401246</v>
      </c>
      <c r="J100" s="4">
        <v>109.147609147609</v>
      </c>
      <c r="K100" s="4">
        <v>155.92515592515571</v>
      </c>
      <c r="L100" s="4">
        <v>218.29521829521801</v>
      </c>
      <c r="M100" s="4">
        <v>218.29521829521801</v>
      </c>
      <c r="N100" s="4">
        <v>187.11018711018681</v>
      </c>
      <c r="O100" s="4">
        <v>140.33264033264021</v>
      </c>
      <c r="P100" s="10">
        <f t="shared" si="32"/>
        <v>1559.2515592515574</v>
      </c>
      <c r="Q100" s="14" t="e">
        <v>#DIV/0!</v>
      </c>
      <c r="S100" t="s">
        <v>139</v>
      </c>
      <c r="T100" t="s">
        <v>26</v>
      </c>
      <c r="U100" t="s">
        <v>57</v>
      </c>
      <c r="V100" t="s">
        <v>127</v>
      </c>
      <c r="W100" s="8">
        <v>62.370062370062293</v>
      </c>
      <c r="X100" s="8">
        <v>77.962577962577868</v>
      </c>
      <c r="Y100" s="8">
        <v>93.555093555093421</v>
      </c>
      <c r="Z100" s="8">
        <v>77.962577962577868</v>
      </c>
      <c r="AA100" s="8">
        <v>93.555093555093421</v>
      </c>
      <c r="AB100" s="8">
        <v>124.7401247401246</v>
      </c>
      <c r="AC100" s="8">
        <v>109.147609147609</v>
      </c>
      <c r="AD100" s="8">
        <v>155.92515592515571</v>
      </c>
      <c r="AE100" s="8">
        <v>218.29521829521801</v>
      </c>
      <c r="AF100" s="8">
        <v>218.29521829521801</v>
      </c>
      <c r="AG100" s="8">
        <v>187.11018711018681</v>
      </c>
      <c r="AH100" s="8">
        <v>140.33264033264021</v>
      </c>
      <c r="AI100" s="8">
        <v>1559.2515592515574</v>
      </c>
      <c r="AJ100" s="13">
        <f t="shared" si="31"/>
        <v>1</v>
      </c>
      <c r="AL100" s="20">
        <f t="shared" si="33"/>
        <v>0.04</v>
      </c>
      <c r="AM100" s="20">
        <f t="shared" si="34"/>
        <v>4.9999999999999996E-2</v>
      </c>
      <c r="AN100" s="20">
        <f t="shared" si="35"/>
        <v>5.9999999999999984E-2</v>
      </c>
      <c r="AO100" s="20">
        <f t="shared" si="36"/>
        <v>4.9999999999999996E-2</v>
      </c>
      <c r="AP100" s="20">
        <f t="shared" si="37"/>
        <v>5.9999999999999984E-2</v>
      </c>
      <c r="AQ100" s="20">
        <f t="shared" si="38"/>
        <v>0.08</v>
      </c>
      <c r="AR100" s="20">
        <f t="shared" si="39"/>
        <v>6.9999999999999993E-2</v>
      </c>
      <c r="AS100" s="20">
        <f t="shared" si="40"/>
        <v>9.9999999999999978E-2</v>
      </c>
      <c r="AT100" s="20">
        <f t="shared" si="41"/>
        <v>0.13999999999999999</v>
      </c>
      <c r="AU100" s="20">
        <f t="shared" si="42"/>
        <v>0.13999999999999999</v>
      </c>
      <c r="AV100" s="20">
        <f t="shared" si="43"/>
        <v>0.11999999999999995</v>
      </c>
      <c r="AW100" s="20">
        <f t="shared" si="44"/>
        <v>9.0000000000000024E-2</v>
      </c>
    </row>
    <row r="101" spans="1:49" x14ac:dyDescent="0.25">
      <c r="A101" s="4" t="s">
        <v>26</v>
      </c>
      <c r="B101" s="4" t="s">
        <v>57</v>
      </c>
      <c r="C101" s="4" t="s">
        <v>124</v>
      </c>
      <c r="D101" s="4">
        <v>20.79002079002079</v>
      </c>
      <c r="E101" s="4">
        <v>25.987525987525991</v>
      </c>
      <c r="F101" s="4">
        <v>31.185031185031189</v>
      </c>
      <c r="G101" s="4">
        <v>25.987525987525991</v>
      </c>
      <c r="H101" s="4">
        <v>31.185031185031189</v>
      </c>
      <c r="I101" s="4">
        <v>41.580041580041588</v>
      </c>
      <c r="J101" s="4">
        <v>36.382536382536387</v>
      </c>
      <c r="K101" s="4">
        <v>51.97505197505199</v>
      </c>
      <c r="L101" s="4">
        <v>72.765072765072787</v>
      </c>
      <c r="M101" s="4">
        <v>72.765072765072787</v>
      </c>
      <c r="N101" s="4">
        <v>62.370062370062378</v>
      </c>
      <c r="O101" s="4">
        <v>46.777546777546789</v>
      </c>
      <c r="P101" s="10">
        <f t="shared" si="32"/>
        <v>519.75051975051986</v>
      </c>
      <c r="Q101" s="14" t="e">
        <v>#DIV/0!</v>
      </c>
      <c r="S101" t="s">
        <v>139</v>
      </c>
      <c r="T101" t="s">
        <v>26</v>
      </c>
      <c r="U101" t="s">
        <v>57</v>
      </c>
      <c r="V101" t="s">
        <v>124</v>
      </c>
      <c r="W101" s="8">
        <v>20.79002079002079</v>
      </c>
      <c r="X101" s="8">
        <v>25.987525987525991</v>
      </c>
      <c r="Y101" s="8">
        <v>31.185031185031189</v>
      </c>
      <c r="Z101" s="8">
        <v>25.987525987525991</v>
      </c>
      <c r="AA101" s="8">
        <v>31.185031185031189</v>
      </c>
      <c r="AB101" s="8">
        <v>41.580041580041588</v>
      </c>
      <c r="AC101" s="8">
        <v>36.382536382536387</v>
      </c>
      <c r="AD101" s="8">
        <v>51.97505197505199</v>
      </c>
      <c r="AE101" s="8">
        <v>72.765072765072787</v>
      </c>
      <c r="AF101" s="8">
        <v>72.765072765072787</v>
      </c>
      <c r="AG101" s="8">
        <v>62.370062370062378</v>
      </c>
      <c r="AH101" s="8">
        <v>46.777546777546789</v>
      </c>
      <c r="AI101" s="8">
        <v>519.75051975051986</v>
      </c>
      <c r="AJ101" s="13">
        <f t="shared" si="31"/>
        <v>1</v>
      </c>
      <c r="AL101" s="20">
        <f t="shared" si="33"/>
        <v>3.9999999999999994E-2</v>
      </c>
      <c r="AM101" s="20">
        <f t="shared" si="34"/>
        <v>4.9999999999999996E-2</v>
      </c>
      <c r="AN101" s="20">
        <f t="shared" si="35"/>
        <v>0.06</v>
      </c>
      <c r="AO101" s="20">
        <f t="shared" si="36"/>
        <v>4.9999999999999996E-2</v>
      </c>
      <c r="AP101" s="20">
        <f t="shared" si="37"/>
        <v>0.06</v>
      </c>
      <c r="AQ101" s="20">
        <f t="shared" si="38"/>
        <v>0.08</v>
      </c>
      <c r="AR101" s="20">
        <f t="shared" si="39"/>
        <v>6.9999999999999993E-2</v>
      </c>
      <c r="AS101" s="20">
        <f t="shared" si="40"/>
        <v>0.1</v>
      </c>
      <c r="AT101" s="20">
        <f t="shared" si="41"/>
        <v>0.14000000000000001</v>
      </c>
      <c r="AU101" s="20">
        <f t="shared" si="42"/>
        <v>0.14000000000000001</v>
      </c>
      <c r="AV101" s="20">
        <f t="shared" si="43"/>
        <v>0.12</v>
      </c>
      <c r="AW101" s="20">
        <f t="shared" si="44"/>
        <v>0.09</v>
      </c>
    </row>
    <row r="102" spans="1:49" x14ac:dyDescent="0.25">
      <c r="A102" s="4" t="s">
        <v>26</v>
      </c>
      <c r="B102" s="4" t="s">
        <v>57</v>
      </c>
      <c r="C102" s="4" t="s">
        <v>56</v>
      </c>
      <c r="D102" s="4">
        <v>176.71517671517671</v>
      </c>
      <c r="E102" s="4">
        <v>220.89397089397099</v>
      </c>
      <c r="F102" s="4">
        <v>265.07276507276509</v>
      </c>
      <c r="G102" s="4">
        <v>220.89397089397099</v>
      </c>
      <c r="H102" s="4">
        <v>265.07276507276509</v>
      </c>
      <c r="I102" s="4">
        <v>353.43035343035348</v>
      </c>
      <c r="J102" s="4">
        <v>309.25155925155929</v>
      </c>
      <c r="K102" s="4">
        <v>441.78794178794192</v>
      </c>
      <c r="L102" s="4">
        <v>618.50311850311869</v>
      </c>
      <c r="M102" s="4">
        <v>618.50311850311869</v>
      </c>
      <c r="N102" s="4">
        <v>530.14553014553019</v>
      </c>
      <c r="O102" s="4">
        <v>397.60914760914773</v>
      </c>
      <c r="P102" s="10">
        <f t="shared" si="32"/>
        <v>4417.8794178794178</v>
      </c>
      <c r="Q102" s="14" t="e">
        <v>#DIV/0!</v>
      </c>
      <c r="S102" t="s">
        <v>139</v>
      </c>
      <c r="T102" t="s">
        <v>26</v>
      </c>
      <c r="U102" t="s">
        <v>57</v>
      </c>
      <c r="V102" t="s">
        <v>56</v>
      </c>
      <c r="W102" s="8">
        <v>176.71517671517671</v>
      </c>
      <c r="X102" s="8">
        <v>220.89397089397099</v>
      </c>
      <c r="Y102" s="8">
        <v>265.07276507276509</v>
      </c>
      <c r="Z102" s="8">
        <v>220.89397089397099</v>
      </c>
      <c r="AA102" s="8">
        <v>265.07276507276509</v>
      </c>
      <c r="AB102" s="8">
        <v>353.43035343035348</v>
      </c>
      <c r="AC102" s="8">
        <v>309.25155925155929</v>
      </c>
      <c r="AD102" s="8">
        <v>441.78794178794192</v>
      </c>
      <c r="AE102" s="8">
        <v>618.50311850311869</v>
      </c>
      <c r="AF102" s="8">
        <v>618.50311850311869</v>
      </c>
      <c r="AG102" s="8">
        <v>530.14553014553019</v>
      </c>
      <c r="AH102" s="8">
        <v>397.60914760914773</v>
      </c>
      <c r="AI102" s="8">
        <v>4417.8794178794178</v>
      </c>
      <c r="AJ102" s="13">
        <f t="shared" si="31"/>
        <v>1</v>
      </c>
      <c r="AL102" s="20">
        <f t="shared" si="33"/>
        <v>0.04</v>
      </c>
      <c r="AM102" s="20">
        <f t="shared" si="34"/>
        <v>5.0000000000000024E-2</v>
      </c>
      <c r="AN102" s="20">
        <f t="shared" si="35"/>
        <v>6.0000000000000005E-2</v>
      </c>
      <c r="AO102" s="20">
        <f t="shared" si="36"/>
        <v>5.0000000000000024E-2</v>
      </c>
      <c r="AP102" s="20">
        <f t="shared" si="37"/>
        <v>6.0000000000000005E-2</v>
      </c>
      <c r="AQ102" s="20">
        <f t="shared" si="38"/>
        <v>8.0000000000000016E-2</v>
      </c>
      <c r="AR102" s="20">
        <f t="shared" si="39"/>
        <v>7.0000000000000007E-2</v>
      </c>
      <c r="AS102" s="20">
        <f t="shared" si="40"/>
        <v>0.10000000000000003</v>
      </c>
      <c r="AT102" s="20">
        <f t="shared" si="41"/>
        <v>0.14000000000000004</v>
      </c>
      <c r="AU102" s="20">
        <f t="shared" si="42"/>
        <v>0.14000000000000004</v>
      </c>
      <c r="AV102" s="20">
        <f t="shared" si="43"/>
        <v>0.12000000000000001</v>
      </c>
      <c r="AW102" s="20">
        <f t="shared" si="44"/>
        <v>9.0000000000000024E-2</v>
      </c>
    </row>
    <row r="103" spans="1:49" x14ac:dyDescent="0.25">
      <c r="A103" s="4" t="s">
        <v>26</v>
      </c>
      <c r="B103" s="4" t="s">
        <v>57</v>
      </c>
      <c r="C103" s="4" t="s">
        <v>128</v>
      </c>
      <c r="D103" s="4">
        <v>504.15800415800493</v>
      </c>
      <c r="E103" s="4">
        <v>630.19750519750608</v>
      </c>
      <c r="F103" s="4">
        <v>756.23700623700722</v>
      </c>
      <c r="G103" s="4">
        <v>630.19750519750608</v>
      </c>
      <c r="H103" s="4">
        <v>756.23700623700722</v>
      </c>
      <c r="I103" s="4">
        <v>1008.31600831601</v>
      </c>
      <c r="J103" s="4">
        <v>882.2765072765086</v>
      </c>
      <c r="K103" s="4">
        <v>1260.3950103950119</v>
      </c>
      <c r="L103" s="4">
        <v>1764.553014553017</v>
      </c>
      <c r="M103" s="4">
        <v>1764.553014553017</v>
      </c>
      <c r="N103" s="4">
        <v>1512.474012474014</v>
      </c>
      <c r="O103" s="4">
        <v>1134.355509355511</v>
      </c>
      <c r="P103" s="10">
        <f t="shared" si="32"/>
        <v>12603.950103950123</v>
      </c>
      <c r="Q103" s="14" t="e">
        <v>#DIV/0!</v>
      </c>
      <c r="S103" t="s">
        <v>139</v>
      </c>
      <c r="T103" t="s">
        <v>26</v>
      </c>
      <c r="U103" t="s">
        <v>57</v>
      </c>
      <c r="V103" t="s">
        <v>128</v>
      </c>
      <c r="W103" s="8">
        <v>504.15800415800493</v>
      </c>
      <c r="X103" s="8">
        <v>630.19750519750608</v>
      </c>
      <c r="Y103" s="8">
        <v>756.23700623700722</v>
      </c>
      <c r="Z103" s="8">
        <v>630.19750519750608</v>
      </c>
      <c r="AA103" s="8">
        <v>756.23700623700722</v>
      </c>
      <c r="AB103" s="8">
        <v>1008.31600831601</v>
      </c>
      <c r="AC103" s="8">
        <v>882.2765072765086</v>
      </c>
      <c r="AD103" s="8">
        <v>1260.3950103950119</v>
      </c>
      <c r="AE103" s="8">
        <v>1764.553014553017</v>
      </c>
      <c r="AF103" s="8">
        <v>1764.553014553017</v>
      </c>
      <c r="AG103" s="8">
        <v>1512.474012474014</v>
      </c>
      <c r="AH103" s="8">
        <v>1134.355509355511</v>
      </c>
      <c r="AI103" s="8">
        <v>12603.950103950123</v>
      </c>
      <c r="AJ103" s="13">
        <f t="shared" si="31"/>
        <v>1</v>
      </c>
      <c r="AL103" s="20">
        <f t="shared" si="33"/>
        <v>0.04</v>
      </c>
      <c r="AM103" s="20">
        <f t="shared" si="34"/>
        <v>4.9999999999999996E-2</v>
      </c>
      <c r="AN103" s="20">
        <f t="shared" si="35"/>
        <v>5.9999999999999991E-2</v>
      </c>
      <c r="AO103" s="20">
        <f t="shared" si="36"/>
        <v>4.9999999999999996E-2</v>
      </c>
      <c r="AP103" s="20">
        <f t="shared" si="37"/>
        <v>5.9999999999999991E-2</v>
      </c>
      <c r="AQ103" s="20">
        <f t="shared" si="38"/>
        <v>8.0000000000000016E-2</v>
      </c>
      <c r="AR103" s="20">
        <f t="shared" si="39"/>
        <v>6.9999999999999993E-2</v>
      </c>
      <c r="AS103" s="20">
        <f t="shared" si="40"/>
        <v>9.9999999999999978E-2</v>
      </c>
      <c r="AT103" s="20">
        <f t="shared" si="41"/>
        <v>0.13999999999999999</v>
      </c>
      <c r="AU103" s="20">
        <f t="shared" si="42"/>
        <v>0.13999999999999999</v>
      </c>
      <c r="AV103" s="20">
        <f t="shared" si="43"/>
        <v>0.11999999999999994</v>
      </c>
      <c r="AW103" s="20">
        <f t="shared" si="44"/>
        <v>0.09</v>
      </c>
    </row>
    <row r="104" spans="1:49" x14ac:dyDescent="0.25">
      <c r="A104" s="4" t="s">
        <v>26</v>
      </c>
      <c r="B104" s="4" t="s">
        <v>57</v>
      </c>
      <c r="C104" s="4" t="s">
        <v>129</v>
      </c>
      <c r="D104" s="4">
        <v>443.86694386694342</v>
      </c>
      <c r="E104" s="4">
        <v>554.83367983367918</v>
      </c>
      <c r="F104" s="4">
        <v>665.80041580041495</v>
      </c>
      <c r="G104" s="4">
        <v>554.83367983367918</v>
      </c>
      <c r="H104" s="4">
        <v>665.80041580041495</v>
      </c>
      <c r="I104" s="4">
        <v>887.73388773388672</v>
      </c>
      <c r="J104" s="4">
        <v>776.76715176715095</v>
      </c>
      <c r="K104" s="4">
        <v>1109.6673596673579</v>
      </c>
      <c r="L104" s="4">
        <v>1553.5343035343019</v>
      </c>
      <c r="M104" s="4">
        <v>1553.5343035343019</v>
      </c>
      <c r="N104" s="4">
        <v>1331.6008316008299</v>
      </c>
      <c r="O104" s="4">
        <v>998.70062370062249</v>
      </c>
      <c r="P104" s="10">
        <f t="shared" si="32"/>
        <v>11096.673596673583</v>
      </c>
      <c r="Q104" s="14" t="e">
        <v>#DIV/0!</v>
      </c>
      <c r="S104" t="s">
        <v>139</v>
      </c>
      <c r="T104" t="s">
        <v>26</v>
      </c>
      <c r="U104" t="s">
        <v>57</v>
      </c>
      <c r="V104" t="s">
        <v>129</v>
      </c>
      <c r="W104" s="8">
        <v>443.86694386694342</v>
      </c>
      <c r="X104" s="8">
        <v>554.83367983367918</v>
      </c>
      <c r="Y104" s="8">
        <v>665.80041580041495</v>
      </c>
      <c r="Z104" s="8">
        <v>554.83367983367918</v>
      </c>
      <c r="AA104" s="8">
        <v>665.80041580041495</v>
      </c>
      <c r="AB104" s="8">
        <v>887.73388773388672</v>
      </c>
      <c r="AC104" s="8">
        <v>776.76715176715095</v>
      </c>
      <c r="AD104" s="8">
        <v>1109.6673596673579</v>
      </c>
      <c r="AE104" s="8">
        <v>1553.5343035343019</v>
      </c>
      <c r="AF104" s="8">
        <v>1553.5343035343019</v>
      </c>
      <c r="AG104" s="8">
        <v>1331.6008316008299</v>
      </c>
      <c r="AH104" s="8">
        <v>998.70062370062249</v>
      </c>
      <c r="AI104" s="8">
        <v>11096.673596673583</v>
      </c>
      <c r="AJ104" s="13">
        <f t="shared" si="31"/>
        <v>1</v>
      </c>
      <c r="AL104" s="20">
        <f t="shared" si="33"/>
        <v>4.0000000000000008E-2</v>
      </c>
      <c r="AM104" s="20">
        <f t="shared" si="34"/>
        <v>0.05</v>
      </c>
      <c r="AN104" s="20">
        <f t="shared" si="35"/>
        <v>0.06</v>
      </c>
      <c r="AO104" s="20">
        <f t="shared" si="36"/>
        <v>0.05</v>
      </c>
      <c r="AP104" s="20">
        <f t="shared" si="37"/>
        <v>0.06</v>
      </c>
      <c r="AQ104" s="20">
        <f t="shared" si="38"/>
        <v>0.08</v>
      </c>
      <c r="AR104" s="20">
        <f t="shared" si="39"/>
        <v>7.0000000000000007E-2</v>
      </c>
      <c r="AS104" s="20">
        <f t="shared" si="40"/>
        <v>9.9999999999999964E-2</v>
      </c>
      <c r="AT104" s="20">
        <f t="shared" si="41"/>
        <v>0.14000000000000001</v>
      </c>
      <c r="AU104" s="20">
        <f t="shared" si="42"/>
        <v>0.14000000000000001</v>
      </c>
      <c r="AV104" s="20">
        <f t="shared" si="43"/>
        <v>0.12</v>
      </c>
      <c r="AW104" s="20">
        <f t="shared" si="44"/>
        <v>0.09</v>
      </c>
    </row>
    <row r="105" spans="1:49" x14ac:dyDescent="0.25">
      <c r="A105" s="4" t="s">
        <v>26</v>
      </c>
      <c r="B105" s="4" t="s">
        <v>57</v>
      </c>
      <c r="C105" s="4" t="s">
        <v>130</v>
      </c>
      <c r="D105" s="4">
        <v>446.98544698544703</v>
      </c>
      <c r="E105" s="4">
        <v>558.73180873180877</v>
      </c>
      <c r="F105" s="4">
        <v>670.47817047817045</v>
      </c>
      <c r="G105" s="4">
        <v>558.73180873180877</v>
      </c>
      <c r="H105" s="4">
        <v>670.47817047817045</v>
      </c>
      <c r="I105" s="4">
        <v>893.97089397089394</v>
      </c>
      <c r="J105" s="4">
        <v>782.22453222453225</v>
      </c>
      <c r="K105" s="4">
        <v>1117.463617463618</v>
      </c>
      <c r="L105" s="4">
        <v>1564.449064449065</v>
      </c>
      <c r="M105" s="4">
        <v>1564.449064449065</v>
      </c>
      <c r="N105" s="4">
        <v>1340.9563409563409</v>
      </c>
      <c r="O105" s="4">
        <v>1005.717255717256</v>
      </c>
      <c r="P105" s="10">
        <f t="shared" si="32"/>
        <v>11174.636174636178</v>
      </c>
      <c r="Q105" s="14" t="e">
        <v>#DIV/0!</v>
      </c>
      <c r="S105" t="s">
        <v>139</v>
      </c>
      <c r="T105" t="s">
        <v>26</v>
      </c>
      <c r="U105" t="s">
        <v>57</v>
      </c>
      <c r="V105" t="s">
        <v>130</v>
      </c>
      <c r="W105" s="8">
        <v>446.98544698544703</v>
      </c>
      <c r="X105" s="8">
        <v>558.73180873180877</v>
      </c>
      <c r="Y105" s="8">
        <v>670.47817047817045</v>
      </c>
      <c r="Z105" s="8">
        <v>558.73180873180877</v>
      </c>
      <c r="AA105" s="8">
        <v>670.47817047817045</v>
      </c>
      <c r="AB105" s="8">
        <v>893.97089397089394</v>
      </c>
      <c r="AC105" s="8">
        <v>782.22453222453225</v>
      </c>
      <c r="AD105" s="8">
        <v>1117.463617463618</v>
      </c>
      <c r="AE105" s="8">
        <v>1564.449064449065</v>
      </c>
      <c r="AF105" s="8">
        <v>1564.449064449065</v>
      </c>
      <c r="AG105" s="8">
        <v>1340.9563409563409</v>
      </c>
      <c r="AH105" s="8">
        <v>1005.717255717256</v>
      </c>
      <c r="AI105" s="8">
        <v>11174.636174636178</v>
      </c>
      <c r="AJ105" s="13">
        <f t="shared" si="31"/>
        <v>1</v>
      </c>
      <c r="AL105" s="20">
        <f t="shared" si="33"/>
        <v>3.9999999999999994E-2</v>
      </c>
      <c r="AM105" s="20">
        <f t="shared" si="34"/>
        <v>4.9999999999999989E-2</v>
      </c>
      <c r="AN105" s="20">
        <f t="shared" si="35"/>
        <v>5.9999999999999977E-2</v>
      </c>
      <c r="AO105" s="20">
        <f t="shared" si="36"/>
        <v>4.9999999999999989E-2</v>
      </c>
      <c r="AP105" s="20">
        <f t="shared" si="37"/>
        <v>5.9999999999999977E-2</v>
      </c>
      <c r="AQ105" s="20">
        <f t="shared" si="38"/>
        <v>7.9999999999999974E-2</v>
      </c>
      <c r="AR105" s="20">
        <f t="shared" si="39"/>
        <v>6.9999999999999979E-2</v>
      </c>
      <c r="AS105" s="20">
        <f t="shared" si="40"/>
        <v>0.10000000000000002</v>
      </c>
      <c r="AT105" s="20">
        <f t="shared" si="41"/>
        <v>0.14000000000000001</v>
      </c>
      <c r="AU105" s="20">
        <f t="shared" si="42"/>
        <v>0.14000000000000001</v>
      </c>
      <c r="AV105" s="20">
        <f t="shared" si="43"/>
        <v>0.11999999999999995</v>
      </c>
      <c r="AW105" s="20">
        <f t="shared" si="44"/>
        <v>0.09</v>
      </c>
    </row>
    <row r="106" spans="1:49" x14ac:dyDescent="0.25">
      <c r="A106" s="4" t="s">
        <v>26</v>
      </c>
      <c r="B106" s="4" t="s">
        <v>59</v>
      </c>
      <c r="C106" s="4" t="s">
        <v>60</v>
      </c>
      <c r="D106" s="4"/>
      <c r="E106" s="4"/>
      <c r="F106" s="4">
        <v>110.8869108503652</v>
      </c>
      <c r="G106" s="4">
        <v>138.60863856295649</v>
      </c>
      <c r="H106" s="4">
        <v>138.60863856295649</v>
      </c>
      <c r="I106" s="4">
        <v>138.60863856295649</v>
      </c>
      <c r="J106" s="4">
        <v>152.46950241925219</v>
      </c>
      <c r="K106" s="4">
        <v>152.46950241925219</v>
      </c>
      <c r="L106" s="4">
        <v>138.60863856295649</v>
      </c>
      <c r="M106" s="4">
        <v>138.60863856295649</v>
      </c>
      <c r="N106" s="4">
        <v>138.60863856295649</v>
      </c>
      <c r="O106" s="4">
        <v>138.60863856295649</v>
      </c>
      <c r="P106" s="10">
        <f t="shared" si="32"/>
        <v>1386.0863856295648</v>
      </c>
      <c r="Q106" s="14" t="e">
        <v>#DIV/0!</v>
      </c>
      <c r="S106" t="s">
        <v>139</v>
      </c>
      <c r="T106" t="s">
        <v>26</v>
      </c>
      <c r="U106" t="s">
        <v>59</v>
      </c>
      <c r="V106" t="s">
        <v>60</v>
      </c>
      <c r="W106" s="8"/>
      <c r="X106" s="8"/>
      <c r="Y106" s="8">
        <v>110.8869108503652</v>
      </c>
      <c r="Z106" s="8">
        <v>138.60863856295649</v>
      </c>
      <c r="AA106" s="8">
        <v>138.60863856295649</v>
      </c>
      <c r="AB106" s="8">
        <v>138.60863856295649</v>
      </c>
      <c r="AC106" s="8">
        <v>152.46950241925219</v>
      </c>
      <c r="AD106" s="8">
        <v>152.46950241925219</v>
      </c>
      <c r="AE106" s="8">
        <v>138.60863856295649</v>
      </c>
      <c r="AF106" s="8">
        <v>138.60863856295649</v>
      </c>
      <c r="AG106" s="8">
        <v>138.60863856295649</v>
      </c>
      <c r="AH106" s="8">
        <v>138.60863856295649</v>
      </c>
      <c r="AI106" s="8">
        <v>1386.0863856295648</v>
      </c>
      <c r="AJ106" s="13">
        <f t="shared" si="31"/>
        <v>1</v>
      </c>
      <c r="AL106" s="20">
        <f t="shared" si="33"/>
        <v>0</v>
      </c>
      <c r="AM106" s="20">
        <f t="shared" si="34"/>
        <v>0</v>
      </c>
      <c r="AN106" s="20">
        <f t="shared" si="35"/>
        <v>8.0000000000000016E-2</v>
      </c>
      <c r="AO106" s="20">
        <f t="shared" si="36"/>
        <v>0.1</v>
      </c>
      <c r="AP106" s="20">
        <f t="shared" si="37"/>
        <v>0.1</v>
      </c>
      <c r="AQ106" s="20">
        <f t="shared" si="38"/>
        <v>0.1</v>
      </c>
      <c r="AR106" s="20">
        <f t="shared" si="39"/>
        <v>0.11000000000000004</v>
      </c>
      <c r="AS106" s="20">
        <f t="shared" si="40"/>
        <v>0.11000000000000004</v>
      </c>
      <c r="AT106" s="20">
        <f t="shared" si="41"/>
        <v>0.1</v>
      </c>
      <c r="AU106" s="20">
        <f t="shared" si="42"/>
        <v>0.1</v>
      </c>
      <c r="AV106" s="20">
        <f t="shared" si="43"/>
        <v>0.1</v>
      </c>
      <c r="AW106" s="20">
        <f t="shared" si="44"/>
        <v>0.1</v>
      </c>
    </row>
    <row r="107" spans="1:49" x14ac:dyDescent="0.25">
      <c r="A107" s="4" t="s">
        <v>26</v>
      </c>
      <c r="B107" s="4" t="s">
        <v>59</v>
      </c>
      <c r="C107" s="4" t="s">
        <v>62</v>
      </c>
      <c r="D107" s="4"/>
      <c r="E107" s="4"/>
      <c r="F107" s="4">
        <v>1269.01360932736</v>
      </c>
      <c r="G107" s="4">
        <v>2855.2806209865598</v>
      </c>
      <c r="H107" s="4">
        <v>3807.0408279820799</v>
      </c>
      <c r="I107" s="4">
        <v>6979.5748513004801</v>
      </c>
      <c r="J107" s="4">
        <v>7931.3350582960002</v>
      </c>
      <c r="K107" s="4">
        <v>6345.0680466368003</v>
      </c>
      <c r="L107" s="4">
        <v>634.50680466367999</v>
      </c>
      <c r="M107" s="4">
        <v>634.50680466367999</v>
      </c>
      <c r="N107" s="4">
        <v>634.50680466367999</v>
      </c>
      <c r="O107" s="4">
        <v>634.50680466367999</v>
      </c>
      <c r="P107" s="10">
        <f t="shared" si="32"/>
        <v>31725.340233184001</v>
      </c>
      <c r="Q107" s="14" t="e">
        <v>#DIV/0!</v>
      </c>
      <c r="S107" t="s">
        <v>139</v>
      </c>
      <c r="T107" t="s">
        <v>26</v>
      </c>
      <c r="U107" t="s">
        <v>59</v>
      </c>
      <c r="V107" t="s">
        <v>62</v>
      </c>
      <c r="W107" s="8"/>
      <c r="X107" s="8"/>
      <c r="Y107" s="8">
        <v>1269.01360932736</v>
      </c>
      <c r="Z107" s="8">
        <v>2855.2806209865598</v>
      </c>
      <c r="AA107" s="8">
        <v>3807.0408279820799</v>
      </c>
      <c r="AB107" s="8">
        <v>6979.5748513004801</v>
      </c>
      <c r="AC107" s="8">
        <v>7931.3350582960002</v>
      </c>
      <c r="AD107" s="8">
        <v>6345.0680466368003</v>
      </c>
      <c r="AE107" s="8">
        <v>634.50680466367999</v>
      </c>
      <c r="AF107" s="8">
        <v>634.50680466367999</v>
      </c>
      <c r="AG107" s="8">
        <v>634.50680466367999</v>
      </c>
      <c r="AH107" s="8">
        <v>634.50680466367999</v>
      </c>
      <c r="AI107" s="8">
        <v>31725.340233184001</v>
      </c>
      <c r="AJ107" s="13">
        <f t="shared" si="31"/>
        <v>1</v>
      </c>
      <c r="AL107" s="20">
        <f t="shared" si="33"/>
        <v>0</v>
      </c>
      <c r="AM107" s="20">
        <f t="shared" si="34"/>
        <v>0</v>
      </c>
      <c r="AN107" s="20">
        <f t="shared" si="35"/>
        <v>0.04</v>
      </c>
      <c r="AO107" s="20">
        <f t="shared" si="36"/>
        <v>0.09</v>
      </c>
      <c r="AP107" s="20">
        <f t="shared" si="37"/>
        <v>0.12</v>
      </c>
      <c r="AQ107" s="20">
        <f t="shared" si="38"/>
        <v>0.22</v>
      </c>
      <c r="AR107" s="20">
        <f t="shared" si="39"/>
        <v>0.25</v>
      </c>
      <c r="AS107" s="20">
        <f t="shared" si="40"/>
        <v>0.2</v>
      </c>
      <c r="AT107" s="20">
        <f t="shared" si="41"/>
        <v>0.02</v>
      </c>
      <c r="AU107" s="20">
        <f t="shared" si="42"/>
        <v>0.02</v>
      </c>
      <c r="AV107" s="20">
        <f t="shared" si="43"/>
        <v>0.02</v>
      </c>
      <c r="AW107" s="20">
        <f t="shared" si="44"/>
        <v>0.02</v>
      </c>
    </row>
    <row r="108" spans="1:49" x14ac:dyDescent="0.25">
      <c r="A108" s="4" t="s">
        <v>26</v>
      </c>
      <c r="B108" s="4" t="s">
        <v>59</v>
      </c>
      <c r="C108" s="4" t="s">
        <v>58</v>
      </c>
      <c r="D108" s="4"/>
      <c r="E108" s="4">
        <v>213.46243566215639</v>
      </c>
      <c r="F108" s="4">
        <v>304.94633666022338</v>
      </c>
      <c r="G108" s="4">
        <v>91.483900998067014</v>
      </c>
      <c r="H108" s="4">
        <v>152.47316833011169</v>
      </c>
      <c r="I108" s="4">
        <v>518.40877232237983</v>
      </c>
      <c r="J108" s="4">
        <v>701.37657431851392</v>
      </c>
      <c r="K108" s="4">
        <v>457.4195049903351</v>
      </c>
      <c r="L108" s="4">
        <v>243.9570693281787</v>
      </c>
      <c r="M108" s="4">
        <v>182.967801996134</v>
      </c>
      <c r="N108" s="4">
        <v>182.967801996134</v>
      </c>
      <c r="O108" s="4"/>
      <c r="P108" s="10">
        <f t="shared" si="32"/>
        <v>3049.4633666022337</v>
      </c>
      <c r="Q108" s="14" t="e">
        <v>#DIV/0!</v>
      </c>
      <c r="S108" t="s">
        <v>139</v>
      </c>
      <c r="T108" t="s">
        <v>26</v>
      </c>
      <c r="U108" t="s">
        <v>59</v>
      </c>
      <c r="V108" t="s">
        <v>58</v>
      </c>
      <c r="W108" s="8"/>
      <c r="X108" s="8">
        <v>213.46243566215639</v>
      </c>
      <c r="Y108" s="8">
        <v>304.94633666022338</v>
      </c>
      <c r="Z108" s="8">
        <v>91.483900998067014</v>
      </c>
      <c r="AA108" s="8">
        <v>152.47316833011169</v>
      </c>
      <c r="AB108" s="8">
        <v>518.40877232237983</v>
      </c>
      <c r="AC108" s="8">
        <v>701.37657431851392</v>
      </c>
      <c r="AD108" s="8">
        <v>457.4195049903351</v>
      </c>
      <c r="AE108" s="8">
        <v>243.9570693281787</v>
      </c>
      <c r="AF108" s="8">
        <v>182.967801996134</v>
      </c>
      <c r="AG108" s="8">
        <v>182.967801996134</v>
      </c>
      <c r="AH108" s="8"/>
      <c r="AI108" s="8">
        <v>3049.4633666022337</v>
      </c>
      <c r="AJ108" s="13">
        <f t="shared" si="31"/>
        <v>1</v>
      </c>
      <c r="AL108" s="20">
        <f t="shared" si="33"/>
        <v>0</v>
      </c>
      <c r="AM108" s="20">
        <f t="shared" si="34"/>
        <v>7.0000000000000007E-2</v>
      </c>
      <c r="AN108" s="20">
        <f t="shared" si="35"/>
        <v>0.1</v>
      </c>
      <c r="AO108" s="20">
        <f t="shared" si="36"/>
        <v>3.0000000000000002E-2</v>
      </c>
      <c r="AP108" s="20">
        <f t="shared" si="37"/>
        <v>0.05</v>
      </c>
      <c r="AQ108" s="20">
        <f t="shared" si="38"/>
        <v>0.17000000000000004</v>
      </c>
      <c r="AR108" s="20">
        <f t="shared" si="39"/>
        <v>0.23000000000000007</v>
      </c>
      <c r="AS108" s="20">
        <f t="shared" si="40"/>
        <v>0.15000000000000002</v>
      </c>
      <c r="AT108" s="20">
        <f t="shared" si="41"/>
        <v>0.08</v>
      </c>
      <c r="AU108" s="20">
        <f t="shared" si="42"/>
        <v>5.9999999999999991E-2</v>
      </c>
      <c r="AV108" s="20">
        <f t="shared" si="43"/>
        <v>5.9999999999999991E-2</v>
      </c>
      <c r="AW108" s="20">
        <f t="shared" si="44"/>
        <v>0</v>
      </c>
    </row>
    <row r="109" spans="1:49" x14ac:dyDescent="0.25">
      <c r="A109" s="4" t="s">
        <v>26</v>
      </c>
      <c r="B109" s="4" t="s">
        <v>59</v>
      </c>
      <c r="C109" s="4" t="s">
        <v>131</v>
      </c>
      <c r="D109" s="4"/>
      <c r="E109" s="4"/>
      <c r="F109" s="4">
        <v>737.75309796120916</v>
      </c>
      <c r="G109" s="4">
        <v>1475.5061959224181</v>
      </c>
      <c r="H109" s="4">
        <v>2582.135842864232</v>
      </c>
      <c r="I109" s="4">
        <v>3688.7654898060459</v>
      </c>
      <c r="J109" s="4">
        <v>3873.2037642963478</v>
      </c>
      <c r="K109" s="4">
        <v>4057.6420387866501</v>
      </c>
      <c r="L109" s="4">
        <v>1659.94447041272</v>
      </c>
      <c r="M109" s="4">
        <v>184.43827449030229</v>
      </c>
      <c r="N109" s="4">
        <v>184.43827449030229</v>
      </c>
      <c r="O109" s="4"/>
      <c r="P109" s="10">
        <f t="shared" si="32"/>
        <v>18443.827449030225</v>
      </c>
      <c r="Q109" s="14" t="e">
        <v>#DIV/0!</v>
      </c>
      <c r="S109" t="s">
        <v>139</v>
      </c>
      <c r="T109" t="s">
        <v>26</v>
      </c>
      <c r="U109" t="s">
        <v>59</v>
      </c>
      <c r="V109" t="s">
        <v>131</v>
      </c>
      <c r="W109" s="8"/>
      <c r="X109" s="8"/>
      <c r="Y109" s="8">
        <v>737.75309796120916</v>
      </c>
      <c r="Z109" s="8">
        <v>1475.5061959224181</v>
      </c>
      <c r="AA109" s="8">
        <v>2582.135842864232</v>
      </c>
      <c r="AB109" s="8">
        <v>3688.7654898060459</v>
      </c>
      <c r="AC109" s="8">
        <v>3873.2037642963478</v>
      </c>
      <c r="AD109" s="8">
        <v>4057.6420387866501</v>
      </c>
      <c r="AE109" s="8">
        <v>1659.94447041272</v>
      </c>
      <c r="AF109" s="8">
        <v>184.43827449030229</v>
      </c>
      <c r="AG109" s="8">
        <v>184.43827449030229</v>
      </c>
      <c r="AH109" s="8"/>
      <c r="AI109" s="8">
        <v>18443.827449030225</v>
      </c>
      <c r="AJ109" s="13">
        <f t="shared" si="31"/>
        <v>1</v>
      </c>
      <c r="AL109" s="20">
        <f t="shared" si="33"/>
        <v>0</v>
      </c>
      <c r="AM109" s="20">
        <f t="shared" si="34"/>
        <v>0</v>
      </c>
      <c r="AN109" s="20">
        <f t="shared" si="35"/>
        <v>4.0000000000000008E-2</v>
      </c>
      <c r="AO109" s="20">
        <f t="shared" si="36"/>
        <v>0.08</v>
      </c>
      <c r="AP109" s="20">
        <f t="shared" si="37"/>
        <v>0.14000000000000004</v>
      </c>
      <c r="AQ109" s="20">
        <f t="shared" si="38"/>
        <v>0.20000000000000007</v>
      </c>
      <c r="AR109" s="20">
        <f t="shared" si="39"/>
        <v>0.21000000000000002</v>
      </c>
      <c r="AS109" s="20">
        <f t="shared" si="40"/>
        <v>0.22000000000000003</v>
      </c>
      <c r="AT109" s="20">
        <f t="shared" si="41"/>
        <v>8.9999999999999983E-2</v>
      </c>
      <c r="AU109" s="20">
        <f t="shared" si="42"/>
        <v>1.0000000000000002E-2</v>
      </c>
      <c r="AV109" s="20">
        <f t="shared" si="43"/>
        <v>1.0000000000000002E-2</v>
      </c>
      <c r="AW109" s="20">
        <f t="shared" si="44"/>
        <v>0</v>
      </c>
    </row>
    <row r="110" spans="1:49" x14ac:dyDescent="0.25">
      <c r="A110" s="4" t="s">
        <v>26</v>
      </c>
      <c r="B110" s="4" t="s">
        <v>59</v>
      </c>
      <c r="C110" s="4" t="s">
        <v>61</v>
      </c>
      <c r="D110" s="4"/>
      <c r="E110" s="4"/>
      <c r="F110" s="4">
        <v>1546.0023309081771</v>
      </c>
      <c r="G110" s="4">
        <v>3478.505244543398</v>
      </c>
      <c r="H110" s="4">
        <v>4638.0069927245313</v>
      </c>
      <c r="I110" s="4">
        <v>8503.0128199949741</v>
      </c>
      <c r="J110" s="4">
        <v>9662.5145681761078</v>
      </c>
      <c r="K110" s="4">
        <v>7730.0116545408864</v>
      </c>
      <c r="L110" s="4">
        <v>773.00116545408866</v>
      </c>
      <c r="M110" s="4">
        <v>773.00116545408866</v>
      </c>
      <c r="N110" s="4">
        <v>773.00116545408866</v>
      </c>
      <c r="O110" s="4">
        <v>773.00116545408866</v>
      </c>
      <c r="P110" s="10">
        <f t="shared" si="32"/>
        <v>38650.058272704424</v>
      </c>
      <c r="Q110" s="14" t="e">
        <v>#DIV/0!</v>
      </c>
      <c r="S110" t="s">
        <v>139</v>
      </c>
      <c r="T110" t="s">
        <v>26</v>
      </c>
      <c r="U110" t="s">
        <v>59</v>
      </c>
      <c r="V110" t="s">
        <v>61</v>
      </c>
      <c r="W110" s="8"/>
      <c r="X110" s="8"/>
      <c r="Y110" s="8">
        <v>1546.0023309081771</v>
      </c>
      <c r="Z110" s="8">
        <v>3478.505244543398</v>
      </c>
      <c r="AA110" s="8">
        <v>4638.0069927245313</v>
      </c>
      <c r="AB110" s="8">
        <v>8503.0128199949741</v>
      </c>
      <c r="AC110" s="8">
        <v>9662.5145681761078</v>
      </c>
      <c r="AD110" s="8">
        <v>7730.0116545408864</v>
      </c>
      <c r="AE110" s="8">
        <v>773.00116545408866</v>
      </c>
      <c r="AF110" s="8">
        <v>773.00116545408866</v>
      </c>
      <c r="AG110" s="8">
        <v>773.00116545408866</v>
      </c>
      <c r="AH110" s="8">
        <v>773.00116545408866</v>
      </c>
      <c r="AI110" s="8">
        <v>38650.058272704424</v>
      </c>
      <c r="AJ110" s="13">
        <f t="shared" si="31"/>
        <v>1</v>
      </c>
      <c r="AL110" s="20">
        <f t="shared" si="33"/>
        <v>0</v>
      </c>
      <c r="AM110" s="20">
        <f t="shared" si="34"/>
        <v>0</v>
      </c>
      <c r="AN110" s="20">
        <f t="shared" si="35"/>
        <v>0.04</v>
      </c>
      <c r="AO110" s="20">
        <f t="shared" si="36"/>
        <v>0.09</v>
      </c>
      <c r="AP110" s="20">
        <f t="shared" si="37"/>
        <v>0.12000000000000001</v>
      </c>
      <c r="AQ110" s="20">
        <f t="shared" si="38"/>
        <v>0.22000000000000003</v>
      </c>
      <c r="AR110" s="20">
        <f t="shared" si="39"/>
        <v>0.25000000000000006</v>
      </c>
      <c r="AS110" s="20">
        <f t="shared" si="40"/>
        <v>0.20000000000000004</v>
      </c>
      <c r="AT110" s="20">
        <f t="shared" si="41"/>
        <v>2.0000000000000004E-2</v>
      </c>
      <c r="AU110" s="20">
        <f t="shared" si="42"/>
        <v>2.0000000000000004E-2</v>
      </c>
      <c r="AV110" s="20">
        <f t="shared" si="43"/>
        <v>2.0000000000000004E-2</v>
      </c>
      <c r="AW110" s="20">
        <f t="shared" si="44"/>
        <v>2.0000000000000004E-2</v>
      </c>
    </row>
    <row r="111" spans="1:49" x14ac:dyDescent="0.25">
      <c r="A111" s="4" t="s">
        <v>26</v>
      </c>
      <c r="B111" s="4" t="s">
        <v>133</v>
      </c>
      <c r="C111" s="4" t="s">
        <v>132</v>
      </c>
      <c r="D111" s="4">
        <v>1279.793800528417</v>
      </c>
      <c r="E111" s="4">
        <v>1599.7452901753561</v>
      </c>
      <c r="F111" s="4">
        <v>1919.6967798222961</v>
      </c>
      <c r="G111" s="4">
        <v>2239.642510388494</v>
      </c>
      <c r="H111" s="4">
        <v>2879.539730601633</v>
      </c>
      <c r="I111" s="4">
        <v>3519.4420699976522</v>
      </c>
      <c r="J111" s="4">
        <v>3839.3935596445908</v>
      </c>
      <c r="K111" s="4">
        <v>3199.4912202485721</v>
      </c>
      <c r="L111" s="4">
        <v>3199.4912202485721</v>
      </c>
      <c r="M111" s="4">
        <v>2559.594000035434</v>
      </c>
      <c r="N111" s="4">
        <v>2879.539730601633</v>
      </c>
      <c r="O111" s="4">
        <v>2879.539730601633</v>
      </c>
      <c r="P111" s="10">
        <f t="shared" si="32"/>
        <v>31994.909642894279</v>
      </c>
      <c r="Q111" s="14" t="e">
        <v>#DIV/0!</v>
      </c>
      <c r="S111" t="s">
        <v>139</v>
      </c>
      <c r="T111" t="s">
        <v>26</v>
      </c>
      <c r="U111" t="s">
        <v>133</v>
      </c>
      <c r="V111" t="s">
        <v>132</v>
      </c>
      <c r="W111" s="8">
        <v>1279.793800528417</v>
      </c>
      <c r="X111" s="8">
        <v>1599.7452901753561</v>
      </c>
      <c r="Y111" s="8">
        <v>1919.6967798222961</v>
      </c>
      <c r="Z111" s="8">
        <v>2239.642510388494</v>
      </c>
      <c r="AA111" s="8">
        <v>2879.539730601633</v>
      </c>
      <c r="AB111" s="8">
        <v>3519.4420699976522</v>
      </c>
      <c r="AC111" s="8">
        <v>3839.3935596445908</v>
      </c>
      <c r="AD111" s="8">
        <v>3199.4912202485721</v>
      </c>
      <c r="AE111" s="8">
        <v>3199.4912202485721</v>
      </c>
      <c r="AF111" s="8">
        <v>2559.594000035434</v>
      </c>
      <c r="AG111" s="8">
        <v>2879.539730601633</v>
      </c>
      <c r="AH111" s="8">
        <v>2879.539730601633</v>
      </c>
      <c r="AI111" s="8">
        <v>31994.909642894279</v>
      </c>
      <c r="AJ111" s="13">
        <f t="shared" si="31"/>
        <v>1</v>
      </c>
      <c r="AL111" s="20">
        <f t="shared" si="33"/>
        <v>3.999991920004204E-2</v>
      </c>
      <c r="AM111" s="20">
        <f t="shared" si="34"/>
        <v>4.9999994000003128E-2</v>
      </c>
      <c r="AN111" s="20">
        <f t="shared" si="35"/>
        <v>6.0000068799964244E-2</v>
      </c>
      <c r="AO111" s="20">
        <f t="shared" si="36"/>
        <v>6.9999963600018922E-2</v>
      </c>
      <c r="AP111" s="20">
        <f t="shared" si="37"/>
        <v>8.9999933200034757E-2</v>
      </c>
      <c r="AQ111" s="20">
        <f t="shared" si="38"/>
        <v>0.11000006279996737</v>
      </c>
      <c r="AR111" s="20">
        <f t="shared" si="39"/>
        <v>0.12000013759992843</v>
      </c>
      <c r="AS111" s="20">
        <f t="shared" si="40"/>
        <v>0.10000000799999584</v>
      </c>
      <c r="AT111" s="20">
        <f t="shared" si="41"/>
        <v>0.10000000799999584</v>
      </c>
      <c r="AU111" s="20">
        <f t="shared" si="42"/>
        <v>8.0000038399980045E-2</v>
      </c>
      <c r="AV111" s="20">
        <f t="shared" si="43"/>
        <v>8.9999933200034757E-2</v>
      </c>
      <c r="AW111" s="20">
        <f t="shared" si="44"/>
        <v>8.9999933200034757E-2</v>
      </c>
    </row>
    <row r="112" spans="1:49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S112" t="s">
        <v>138</v>
      </c>
      <c r="T112" t="s">
        <v>26</v>
      </c>
      <c r="U112" t="s">
        <v>25</v>
      </c>
      <c r="V112" s="21" t="s">
        <v>24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L112" s="20">
        <v>0.41348286365719117</v>
      </c>
      <c r="AM112" s="20">
        <v>3.2365941433293584E-2</v>
      </c>
      <c r="AN112" s="20">
        <v>3.8530720051636727E-2</v>
      </c>
      <c r="AO112" s="20">
        <v>4.8828633031089329E-2</v>
      </c>
      <c r="AP112" s="20">
        <v>4.146097576249165E-2</v>
      </c>
      <c r="AQ112" s="20">
        <v>4.7625744166519275E-2</v>
      </c>
      <c r="AR112" s="20">
        <v>4.9243000513105678E-2</v>
      </c>
      <c r="AS112" s="20">
        <v>4.3078232109078012E-2</v>
      </c>
      <c r="AT112" s="20">
        <v>4.9243000513105678E-2</v>
      </c>
      <c r="AU112" s="20">
        <v>6.5782643239998273E-2</v>
      </c>
      <c r="AV112" s="20">
        <v>6.5857820602060302E-2</v>
      </c>
      <c r="AW112" s="20">
        <v>0.10450042492043039</v>
      </c>
    </row>
    <row r="113" spans="19:49" x14ac:dyDescent="0.25">
      <c r="S113" t="s">
        <v>138</v>
      </c>
      <c r="T113" t="s">
        <v>26</v>
      </c>
      <c r="U113" t="s">
        <v>25</v>
      </c>
      <c r="V113" s="21" t="s">
        <v>28</v>
      </c>
      <c r="AL113" s="20">
        <v>2.8141400548611133E-2</v>
      </c>
      <c r="AM113" s="20">
        <v>3.4719953699855935E-2</v>
      </c>
      <c r="AN113" s="20">
        <v>4.1344510719291246E-2</v>
      </c>
      <c r="AO113" s="20">
        <v>8.6625841140546778E-2</v>
      </c>
      <c r="AP113" s="20">
        <v>7.8713175811776795E-2</v>
      </c>
      <c r="AQ113" s="20">
        <v>8.5337732831212126E-2</v>
      </c>
      <c r="AR113" s="20">
        <v>8.7072913038463026E-2</v>
      </c>
      <c r="AS113" s="20">
        <v>8.0448356019027695E-2</v>
      </c>
      <c r="AT113" s="20">
        <v>8.7072913038463026E-2</v>
      </c>
      <c r="AU113" s="20">
        <v>0.12200664620606672</v>
      </c>
      <c r="AV113" s="20">
        <v>0.12200664620606672</v>
      </c>
      <c r="AW113" s="20">
        <v>0.14650991074061881</v>
      </c>
    </row>
    <row r="114" spans="19:49" x14ac:dyDescent="0.25">
      <c r="S114" t="s">
        <v>138</v>
      </c>
      <c r="T114" t="s">
        <v>26</v>
      </c>
      <c r="U114" t="s">
        <v>25</v>
      </c>
      <c r="V114" s="21" t="s">
        <v>29</v>
      </c>
      <c r="AL114" s="20">
        <v>2.0000000000000004E-2</v>
      </c>
      <c r="AM114" s="20">
        <v>2.0000000000000004E-2</v>
      </c>
      <c r="AN114" s="20">
        <v>2.0000000000000004E-2</v>
      </c>
      <c r="AO114" s="20">
        <v>0.05</v>
      </c>
      <c r="AP114" s="20">
        <v>0.05</v>
      </c>
      <c r="AQ114" s="20">
        <v>0.05</v>
      </c>
      <c r="AR114" s="20">
        <v>0.11999999999999998</v>
      </c>
      <c r="AS114" s="20">
        <v>0.11999999999999998</v>
      </c>
      <c r="AT114" s="20">
        <v>0.11999999999999998</v>
      </c>
      <c r="AU114" s="20">
        <v>0.13999999999999999</v>
      </c>
      <c r="AV114" s="20">
        <v>0.14999999999999997</v>
      </c>
      <c r="AW114" s="20">
        <v>0.13999999999999999</v>
      </c>
    </row>
    <row r="115" spans="19:49" x14ac:dyDescent="0.25">
      <c r="S115" t="s">
        <v>138</v>
      </c>
      <c r="T115" t="s">
        <v>26</v>
      </c>
      <c r="U115" t="s">
        <v>25</v>
      </c>
      <c r="V115" s="21" t="s">
        <v>30</v>
      </c>
      <c r="AL115" s="20">
        <v>4.2689973783875991E-2</v>
      </c>
      <c r="AM115" s="20">
        <v>5.2730038094266241E-2</v>
      </c>
      <c r="AN115" s="20">
        <v>6.2770206921257191E-2</v>
      </c>
      <c r="AO115" s="20">
        <v>7.9800125599422123E-2</v>
      </c>
      <c r="AP115" s="20">
        <v>6.7751966255281543E-2</v>
      </c>
      <c r="AQ115" s="20">
        <v>7.7792030565671785E-2</v>
      </c>
      <c r="AR115" s="20">
        <v>8.0321275682165155E-2</v>
      </c>
      <c r="AS115" s="20">
        <v>7.0281211371774899E-2</v>
      </c>
      <c r="AT115" s="20">
        <v>8.0321275682165155E-2</v>
      </c>
      <c r="AU115" s="20">
        <v>0.10742971953265051</v>
      </c>
      <c r="AV115" s="20">
        <v>0.10742971953265051</v>
      </c>
      <c r="AW115" s="20">
        <v>0.17068245697881895</v>
      </c>
    </row>
    <row r="116" spans="19:49" x14ac:dyDescent="0.25">
      <c r="S116" t="s">
        <v>138</v>
      </c>
      <c r="T116" t="s">
        <v>26</v>
      </c>
      <c r="U116" t="s">
        <v>25</v>
      </c>
      <c r="V116" s="21" t="s">
        <v>31</v>
      </c>
      <c r="AL116" s="20">
        <v>4.2800221411937012E-2</v>
      </c>
      <c r="AM116" s="20">
        <v>5.2840257329064319E-2</v>
      </c>
      <c r="AN116" s="20">
        <v>6.2880293246191626E-2</v>
      </c>
      <c r="AO116" s="20">
        <v>7.9689848178925632E-2</v>
      </c>
      <c r="AP116" s="20">
        <v>6.7641673651949355E-2</v>
      </c>
      <c r="AQ116" s="20">
        <v>7.7681709569076648E-2</v>
      </c>
      <c r="AR116" s="20">
        <v>8.0321187322310042E-2</v>
      </c>
      <c r="AS116" s="20">
        <v>7.0281151405182749E-2</v>
      </c>
      <c r="AT116" s="20">
        <v>8.0321187322310042E-2</v>
      </c>
      <c r="AU116" s="20">
        <v>0.10742987286036354</v>
      </c>
      <c r="AV116" s="20">
        <v>0.10742987286036354</v>
      </c>
      <c r="AW116" s="20">
        <v>0.17068272484232541</v>
      </c>
    </row>
    <row r="117" spans="19:49" x14ac:dyDescent="0.25">
      <c r="S117" t="s">
        <v>138</v>
      </c>
      <c r="T117" t="s">
        <v>26</v>
      </c>
      <c r="U117" t="s">
        <v>25</v>
      </c>
      <c r="V117" s="21" t="s">
        <v>32</v>
      </c>
      <c r="AL117" s="20">
        <v>4.1389235553275283E-2</v>
      </c>
      <c r="AM117" s="20">
        <v>5.1429424845954384E-2</v>
      </c>
      <c r="AN117" s="20">
        <v>6.1469536093041684E-2</v>
      </c>
      <c r="AO117" s="20">
        <v>8.1100651328656126E-2</v>
      </c>
      <c r="AP117" s="20">
        <v>6.9052487443421129E-2</v>
      </c>
      <c r="AQ117" s="20">
        <v>7.9092676736100251E-2</v>
      </c>
      <c r="AR117" s="20">
        <v>8.0321301185306379E-2</v>
      </c>
      <c r="AS117" s="20">
        <v>7.0281111892627243E-2</v>
      </c>
      <c r="AT117" s="20">
        <v>8.0321301185306379E-2</v>
      </c>
      <c r="AU117" s="20">
        <v>0.10742968192008072</v>
      </c>
      <c r="AV117" s="20">
        <v>0.10742968192008072</v>
      </c>
      <c r="AW117" s="20">
        <v>0.17068290989614973</v>
      </c>
    </row>
  </sheetData>
  <autoFilter ref="T4:V111" xr:uid="{B8B6ED74-D95F-4137-B6E8-3ACBDBC8842E}"/>
  <mergeCells count="1">
    <mergeCell ref="Q1:Q2"/>
  </mergeCells>
  <conditionalFormatting sqref="AL5:AW1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12:AW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6F7C-A931-48AC-94AA-F9E01C514A66}">
  <dimension ref="A1:B6"/>
  <sheetViews>
    <sheetView workbookViewId="0">
      <selection activeCell="A4" sqref="A4"/>
    </sheetView>
  </sheetViews>
  <sheetFormatPr defaultRowHeight="15" x14ac:dyDescent="0.25"/>
  <cols>
    <col min="1" max="1" width="30.140625" bestFit="1" customWidth="1"/>
    <col min="2" max="2" width="17.85546875" bestFit="1" customWidth="1"/>
  </cols>
  <sheetData>
    <row r="1" spans="1:2" x14ac:dyDescent="0.25">
      <c r="A1" s="26" t="s">
        <v>141</v>
      </c>
      <c r="B1" t="s">
        <v>140</v>
      </c>
    </row>
    <row r="2" spans="1:2" x14ac:dyDescent="0.25">
      <c r="A2" s="27" t="s">
        <v>26</v>
      </c>
      <c r="B2" s="28"/>
    </row>
    <row r="3" spans="1:2" x14ac:dyDescent="0.25">
      <c r="A3" s="29" t="s">
        <v>26</v>
      </c>
      <c r="B3" s="25">
        <v>5302647.6205462329</v>
      </c>
    </row>
    <row r="4" spans="1:2" x14ac:dyDescent="0.25">
      <c r="A4" s="29" t="s">
        <v>142</v>
      </c>
      <c r="B4" s="25">
        <v>27632.554552214147</v>
      </c>
    </row>
    <row r="5" spans="1:2" x14ac:dyDescent="0.25">
      <c r="A5" s="29" t="s">
        <v>143</v>
      </c>
      <c r="B5" s="25">
        <v>0</v>
      </c>
    </row>
    <row r="6" spans="1:2" x14ac:dyDescent="0.25">
      <c r="A6" s="27" t="s">
        <v>134</v>
      </c>
      <c r="B6" s="25">
        <v>5330280.1750984471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C083-57D7-4B09-8F3E-EDD9DEADBF17}">
  <dimension ref="A1:AK114"/>
  <sheetViews>
    <sheetView tabSelected="1" workbookViewId="0">
      <selection activeCell="B10" sqref="B10"/>
    </sheetView>
  </sheetViews>
  <sheetFormatPr defaultRowHeight="15" x14ac:dyDescent="0.25"/>
  <cols>
    <col min="1" max="1" width="27" customWidth="1"/>
    <col min="2" max="2" width="42.7109375" bestFit="1" customWidth="1"/>
  </cols>
  <sheetData>
    <row r="1" spans="1:14" x14ac:dyDescent="0.25">
      <c r="A1" s="2" t="s">
        <v>0</v>
      </c>
      <c r="B1" s="2" t="s">
        <v>1</v>
      </c>
      <c r="C1" s="3" t="s">
        <v>3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</row>
    <row r="2" spans="1:14" x14ac:dyDescent="0.25">
      <c r="A2" t="s">
        <v>26</v>
      </c>
      <c r="B2" t="s">
        <v>63</v>
      </c>
      <c r="C2" s="20">
        <v>3.0000010718672317E-2</v>
      </c>
      <c r="D2" s="20">
        <v>5.0000003281226217E-2</v>
      </c>
      <c r="E2" s="20">
        <v>7.9999992125057096E-2</v>
      </c>
      <c r="F2" s="20">
        <v>0.11000000284372938</v>
      </c>
      <c r="G2" s="20">
        <v>0.11999999912500632</v>
      </c>
      <c r="H2" s="20">
        <v>0.15000000984367862</v>
      </c>
      <c r="I2" s="20">
        <v>0.12999999540628326</v>
      </c>
      <c r="J2" s="20">
        <v>7.9999992125057096E-2</v>
      </c>
      <c r="K2" s="20">
        <v>6.9999995843780097E-2</v>
      </c>
      <c r="L2" s="20">
        <v>5.999999956250316E-2</v>
      </c>
      <c r="M2" s="20">
        <v>5.999999956250316E-2</v>
      </c>
      <c r="N2" s="20">
        <v>5.999999956250316E-2</v>
      </c>
    </row>
    <row r="3" spans="1:14" x14ac:dyDescent="0.25">
      <c r="A3" t="s">
        <v>26</v>
      </c>
      <c r="B3" t="s">
        <v>64</v>
      </c>
      <c r="C3" s="20">
        <v>3.0000000000000006E-2</v>
      </c>
      <c r="D3" s="20">
        <v>4.9999999999999996E-2</v>
      </c>
      <c r="E3" s="20">
        <v>0.08</v>
      </c>
      <c r="F3" s="20">
        <v>0.11</v>
      </c>
      <c r="G3" s="20">
        <v>0.12000000000000002</v>
      </c>
      <c r="H3" s="20">
        <v>0.14999999999999994</v>
      </c>
      <c r="I3" s="20">
        <v>0.13</v>
      </c>
      <c r="J3" s="20">
        <v>0.08</v>
      </c>
      <c r="K3" s="20">
        <v>6.9999999999999993E-2</v>
      </c>
      <c r="L3" s="20">
        <v>6.0000000000000012E-2</v>
      </c>
      <c r="M3" s="20">
        <v>6.0000000000000012E-2</v>
      </c>
      <c r="N3" s="20">
        <v>6.0000000000000012E-2</v>
      </c>
    </row>
    <row r="4" spans="1:14" x14ac:dyDescent="0.25">
      <c r="A4" t="s">
        <v>26</v>
      </c>
      <c r="B4" t="s">
        <v>65</v>
      </c>
      <c r="C4" s="20">
        <v>3.0000000935383936E-2</v>
      </c>
      <c r="D4" s="20">
        <v>4.9999999331868619E-2</v>
      </c>
      <c r="E4" s="20">
        <v>8.0000000267252555E-2</v>
      </c>
      <c r="F4" s="20">
        <v>0.1100000012026365</v>
      </c>
      <c r="G4" s="20">
        <v>0.11999999706022196</v>
      </c>
      <c r="H4" s="20">
        <v>0.14999999799560587</v>
      </c>
      <c r="I4" s="20">
        <v>0.1299999995991212</v>
      </c>
      <c r="J4" s="20">
        <v>8.0000000267252555E-2</v>
      </c>
      <c r="K4" s="20">
        <v>6.999999772835333E-2</v>
      </c>
      <c r="L4" s="20">
        <v>6.0000001870767872E-2</v>
      </c>
      <c r="M4" s="20">
        <v>6.0000001870767872E-2</v>
      </c>
      <c r="N4" s="20">
        <v>6.0000001870767872E-2</v>
      </c>
    </row>
    <row r="5" spans="1:14" x14ac:dyDescent="0.25">
      <c r="A5" t="s">
        <v>26</v>
      </c>
      <c r="B5" t="s">
        <v>66</v>
      </c>
      <c r="C5" s="20">
        <v>3.2645657158738559E-2</v>
      </c>
      <c r="D5" s="20">
        <v>5.4409429773332803E-2</v>
      </c>
      <c r="E5" s="20">
        <v>8.7055086932071368E-2</v>
      </c>
      <c r="F5" s="20">
        <v>0.10815223928855719</v>
      </c>
      <c r="G5" s="20">
        <v>0.11798426133170732</v>
      </c>
      <c r="H5" s="20">
        <v>0.14748032586811055</v>
      </c>
      <c r="I5" s="20">
        <v>0.12781628178181037</v>
      </c>
      <c r="J5" s="20">
        <v>7.8656173159106835E-2</v>
      </c>
      <c r="K5" s="20">
        <v>6.8824152709003786E-2</v>
      </c>
      <c r="L5" s="20">
        <v>5.8992130665853661E-2</v>
      </c>
      <c r="M5" s="20">
        <v>5.8992130665853661E-2</v>
      </c>
      <c r="N5" s="20">
        <v>5.8992130665853661E-2</v>
      </c>
    </row>
    <row r="6" spans="1:14" x14ac:dyDescent="0.25">
      <c r="A6" t="s">
        <v>26</v>
      </c>
      <c r="B6" t="s">
        <v>108</v>
      </c>
      <c r="C6" s="20">
        <v>0.04</v>
      </c>
      <c r="D6" s="20">
        <v>0.05</v>
      </c>
      <c r="E6" s="20">
        <v>5.9999999999999991E-2</v>
      </c>
      <c r="F6" s="20">
        <v>7.0000000000000021E-2</v>
      </c>
      <c r="G6" s="20">
        <v>9.0000000000000011E-2</v>
      </c>
      <c r="H6" s="20">
        <v>0.11</v>
      </c>
      <c r="I6" s="20">
        <v>0.11999999999999998</v>
      </c>
      <c r="J6" s="20">
        <v>0.1</v>
      </c>
      <c r="K6" s="20">
        <v>0.1</v>
      </c>
      <c r="L6" s="20">
        <v>0.08</v>
      </c>
      <c r="M6" s="20">
        <v>9.0000000000000011E-2</v>
      </c>
      <c r="N6" s="20">
        <v>9.0000000000000011E-2</v>
      </c>
    </row>
    <row r="7" spans="1:14" x14ac:dyDescent="0.25">
      <c r="A7" t="s">
        <v>26</v>
      </c>
      <c r="B7" t="s">
        <v>109</v>
      </c>
      <c r="C7" s="20">
        <v>0</v>
      </c>
      <c r="D7" s="20">
        <v>0</v>
      </c>
      <c r="E7" s="20">
        <v>0</v>
      </c>
      <c r="F7" s="20">
        <v>7.4467997079617168E-2</v>
      </c>
      <c r="G7" s="20">
        <v>0.10638267155407613</v>
      </c>
      <c r="H7" s="20">
        <v>0.12765999455058288</v>
      </c>
      <c r="I7" s="20">
        <v>0.12765999455058288</v>
      </c>
      <c r="J7" s="20">
        <v>0.12765999455058288</v>
      </c>
      <c r="K7" s="20">
        <v>0.11702133305232951</v>
      </c>
      <c r="L7" s="20">
        <v>0.10638267155407613</v>
      </c>
      <c r="M7" s="20">
        <v>0.10638267155407613</v>
      </c>
      <c r="N7" s="20">
        <v>0.10638267155407613</v>
      </c>
    </row>
    <row r="8" spans="1:14" x14ac:dyDescent="0.25">
      <c r="A8" t="s">
        <v>26</v>
      </c>
      <c r="B8" t="s">
        <v>67</v>
      </c>
      <c r="C8" s="20">
        <v>2.9999496992093182E-2</v>
      </c>
      <c r="D8" s="20">
        <v>5.0000012485028028E-2</v>
      </c>
      <c r="E8" s="20">
        <v>7.9999509477121214E-2</v>
      </c>
      <c r="F8" s="20">
        <v>0.11000025497201674</v>
      </c>
      <c r="G8" s="20">
        <v>0.12000048497397743</v>
      </c>
      <c r="H8" s="20">
        <v>0.15000000971057734</v>
      </c>
      <c r="I8" s="20">
        <v>0.12999949421764254</v>
      </c>
      <c r="J8" s="20">
        <v>7.9999509477121214E-2</v>
      </c>
      <c r="K8" s="20">
        <v>7.0000500233456178E-2</v>
      </c>
      <c r="L8" s="20">
        <v>6.0000242486988736E-2</v>
      </c>
      <c r="M8" s="20">
        <v>6.0000242486988736E-2</v>
      </c>
      <c r="N8" s="20">
        <v>6.0000242486988736E-2</v>
      </c>
    </row>
    <row r="9" spans="1:14" x14ac:dyDescent="0.25">
      <c r="A9" t="s">
        <v>26</v>
      </c>
      <c r="B9" t="s">
        <v>34</v>
      </c>
      <c r="C9" s="20">
        <v>0.03</v>
      </c>
      <c r="D9" s="20">
        <v>0.05</v>
      </c>
      <c r="E9" s="20">
        <v>8.0000000000000016E-2</v>
      </c>
      <c r="F9" s="20">
        <v>0.11</v>
      </c>
      <c r="G9" s="20">
        <v>0.12</v>
      </c>
      <c r="H9" s="20">
        <v>0.15000000000000005</v>
      </c>
      <c r="I9" s="20">
        <v>0.13000000000000003</v>
      </c>
      <c r="J9" s="20">
        <v>8.0000000000000016E-2</v>
      </c>
      <c r="K9" s="20">
        <v>7.0000000000000034E-2</v>
      </c>
      <c r="L9" s="20">
        <v>0.06</v>
      </c>
      <c r="M9" s="20">
        <v>0.06</v>
      </c>
      <c r="N9" s="20">
        <v>0.06</v>
      </c>
    </row>
    <row r="10" spans="1:14" x14ac:dyDescent="0.25">
      <c r="A10" t="s">
        <v>26</v>
      </c>
      <c r="B10" t="s">
        <v>68</v>
      </c>
      <c r="C10" s="20">
        <v>3.0000944135483643E-2</v>
      </c>
      <c r="D10" s="20">
        <v>4.9999990103401649E-2</v>
      </c>
      <c r="E10" s="20">
        <v>8.0000934238885338E-2</v>
      </c>
      <c r="F10" s="20">
        <v>0.10999952793225817</v>
      </c>
      <c r="G10" s="20">
        <v>0.11999907565771312</v>
      </c>
      <c r="H10" s="20">
        <v>0.14999999505170084</v>
      </c>
      <c r="I10" s="20">
        <v>0.13000092434228697</v>
      </c>
      <c r="J10" s="20">
        <v>8.0000934238885338E-2</v>
      </c>
      <c r="K10" s="20">
        <v>6.9999060812815553E-2</v>
      </c>
      <c r="L10" s="20">
        <v>5.9999537828856558E-2</v>
      </c>
      <c r="M10" s="20">
        <v>5.9999537828856558E-2</v>
      </c>
      <c r="N10" s="20">
        <v>5.9999537828856558E-2</v>
      </c>
    </row>
    <row r="11" spans="1:14" x14ac:dyDescent="0.25">
      <c r="A11" t="s">
        <v>26</v>
      </c>
      <c r="B11" t="s">
        <v>69</v>
      </c>
      <c r="C11" s="20">
        <v>2.9999950396826781E-2</v>
      </c>
      <c r="D11" s="20">
        <v>4.999999860665244E-2</v>
      </c>
      <c r="E11" s="20">
        <v>7.999994900347919E-2</v>
      </c>
      <c r="F11" s="20">
        <v>0.10999989940030599</v>
      </c>
      <c r="G11" s="20">
        <v>0.12000005238986833</v>
      </c>
      <c r="H11" s="20">
        <v>0.15000050439181759</v>
      </c>
      <c r="I11" s="20">
        <v>0.12999994761013167</v>
      </c>
      <c r="J11" s="20">
        <v>7.999994900347919E-2</v>
      </c>
      <c r="K11" s="20">
        <v>7.000004681647809E-2</v>
      </c>
      <c r="L11" s="20">
        <v>5.9999900793653561E-2</v>
      </c>
      <c r="M11" s="20">
        <v>5.9999900793653561E-2</v>
      </c>
      <c r="N11" s="20">
        <v>5.9999900793653561E-2</v>
      </c>
    </row>
    <row r="12" spans="1:14" x14ac:dyDescent="0.25">
      <c r="A12" t="s">
        <v>26</v>
      </c>
      <c r="B12" t="s">
        <v>70</v>
      </c>
      <c r="C12" s="20">
        <v>2.9999496992093179E-2</v>
      </c>
      <c r="D12" s="20">
        <v>5.0000012485028028E-2</v>
      </c>
      <c r="E12" s="20">
        <v>7.9999509477121228E-2</v>
      </c>
      <c r="F12" s="20">
        <v>0.11000025497201678</v>
      </c>
      <c r="G12" s="20">
        <v>0.12000048497397743</v>
      </c>
      <c r="H12" s="20">
        <v>0.15000000971057734</v>
      </c>
      <c r="I12" s="20">
        <v>0.12999949421764254</v>
      </c>
      <c r="J12" s="20">
        <v>7.9999509477121228E-2</v>
      </c>
      <c r="K12" s="20">
        <v>7.0000500233456164E-2</v>
      </c>
      <c r="L12" s="20">
        <v>6.0000242486988736E-2</v>
      </c>
      <c r="M12" s="20">
        <v>6.0000242486988736E-2</v>
      </c>
      <c r="N12" s="20">
        <v>6.0000242486988736E-2</v>
      </c>
    </row>
    <row r="13" spans="1:14" x14ac:dyDescent="0.25">
      <c r="A13" t="s">
        <v>26</v>
      </c>
      <c r="B13" t="s">
        <v>71</v>
      </c>
      <c r="C13" s="20">
        <v>3.0000010458878044E-2</v>
      </c>
      <c r="D13" s="20">
        <v>4.9999999999999989E-2</v>
      </c>
      <c r="E13" s="20">
        <v>8.0000010458878043E-2</v>
      </c>
      <c r="F13" s="20">
        <v>0.10999999477056095</v>
      </c>
      <c r="G13" s="20">
        <v>0.11999998954112193</v>
      </c>
      <c r="H13" s="20">
        <v>0.15000000000000002</v>
      </c>
      <c r="I13" s="20">
        <v>0.13000001045887796</v>
      </c>
      <c r="J13" s="20">
        <v>8.0000010458878043E-2</v>
      </c>
      <c r="K13" s="20">
        <v>6.9999989541121937E-2</v>
      </c>
      <c r="L13" s="20">
        <v>5.9999994770560963E-2</v>
      </c>
      <c r="M13" s="20">
        <v>5.9999994770560963E-2</v>
      </c>
      <c r="N13" s="20">
        <v>5.9999994770560963E-2</v>
      </c>
    </row>
    <row r="14" spans="1:14" x14ac:dyDescent="0.25">
      <c r="A14" t="s">
        <v>26</v>
      </c>
      <c r="B14" t="s">
        <v>72</v>
      </c>
      <c r="C14" s="20">
        <v>2.9999978263877972E-2</v>
      </c>
      <c r="D14" s="20">
        <v>4.9999963773129943E-2</v>
      </c>
      <c r="E14" s="20">
        <v>8.0000014490748006E-2</v>
      </c>
      <c r="F14" s="20">
        <v>0.10999999275462598</v>
      </c>
      <c r="G14" s="20">
        <v>0.11999998550925195</v>
      </c>
      <c r="H14" s="20">
        <v>0.14999996377312991</v>
      </c>
      <c r="I14" s="20">
        <v>0.12999997826387794</v>
      </c>
      <c r="J14" s="20">
        <v>8.0000014490748006E-2</v>
      </c>
      <c r="K14" s="20">
        <v>7.000002173612202E-2</v>
      </c>
      <c r="L14" s="20">
        <v>6.0000028981496041E-2</v>
      </c>
      <c r="M14" s="20">
        <v>6.0000028981496041E-2</v>
      </c>
      <c r="N14" s="20">
        <v>6.0000028981496041E-2</v>
      </c>
    </row>
    <row r="15" spans="1:14" x14ac:dyDescent="0.25">
      <c r="A15" t="s">
        <v>26</v>
      </c>
      <c r="B15" t="s">
        <v>73</v>
      </c>
      <c r="C15" s="20">
        <v>2.9999496992093179E-2</v>
      </c>
      <c r="D15" s="20">
        <v>5.0000012485028021E-2</v>
      </c>
      <c r="E15" s="20">
        <v>7.9999509477121228E-2</v>
      </c>
      <c r="F15" s="20">
        <v>0.11000025497201672</v>
      </c>
      <c r="G15" s="20">
        <v>0.12000048497397743</v>
      </c>
      <c r="H15" s="20">
        <v>0.15000000971057734</v>
      </c>
      <c r="I15" s="20">
        <v>0.12999949421764251</v>
      </c>
      <c r="J15" s="20">
        <v>7.9999509477121228E-2</v>
      </c>
      <c r="K15" s="20">
        <v>7.0000500233456164E-2</v>
      </c>
      <c r="L15" s="20">
        <v>6.0000242486988715E-2</v>
      </c>
      <c r="M15" s="20">
        <v>6.0000242486988715E-2</v>
      </c>
      <c r="N15" s="20">
        <v>6.0000242486988715E-2</v>
      </c>
    </row>
    <row r="16" spans="1:14" x14ac:dyDescent="0.25">
      <c r="A16" t="s">
        <v>26</v>
      </c>
      <c r="B16" t="s">
        <v>74</v>
      </c>
      <c r="C16" s="20">
        <v>0</v>
      </c>
      <c r="D16" s="20">
        <v>0</v>
      </c>
      <c r="E16" s="20">
        <v>6.9999998730819663E-2</v>
      </c>
      <c r="F16" s="20">
        <v>0.11000000086838656</v>
      </c>
      <c r="G16" s="20">
        <v>0.12999999859722172</v>
      </c>
      <c r="H16" s="20">
        <v>0.17000000073478866</v>
      </c>
      <c r="I16" s="20">
        <v>0.14000000414153588</v>
      </c>
      <c r="J16" s="20">
        <v>9.0000003139551407E-2</v>
      </c>
      <c r="K16" s="20">
        <v>7.9999997595237238E-2</v>
      </c>
      <c r="L16" s="20">
        <v>6.9999998730819663E-2</v>
      </c>
      <c r="M16" s="20">
        <v>6.9999998730819663E-2</v>
      </c>
      <c r="N16" s="20">
        <v>6.9999998730819663E-2</v>
      </c>
    </row>
    <row r="17" spans="1:14" x14ac:dyDescent="0.25">
      <c r="A17" t="s">
        <v>26</v>
      </c>
      <c r="B17" t="s">
        <v>75</v>
      </c>
      <c r="C17" s="20">
        <v>0</v>
      </c>
      <c r="D17" s="20">
        <v>0</v>
      </c>
      <c r="E17" s="20">
        <v>7.0000150717413598E-2</v>
      </c>
      <c r="F17" s="20">
        <v>0.14999984979610398</v>
      </c>
      <c r="G17" s="20">
        <v>0.13999999332427127</v>
      </c>
      <c r="H17" s="20">
        <v>0.16999985801238549</v>
      </c>
      <c r="I17" s="20">
        <v>0.16999985801238549</v>
      </c>
      <c r="J17" s="20">
        <v>0.15000014506872006</v>
      </c>
      <c r="K17" s="20">
        <v>5.9999998972964798E-2</v>
      </c>
      <c r="L17" s="20">
        <v>5.9999998972964798E-2</v>
      </c>
      <c r="M17" s="20">
        <v>3.0000147122790449E-2</v>
      </c>
      <c r="N17" s="20">
        <v>0</v>
      </c>
    </row>
    <row r="18" spans="1:14" x14ac:dyDescent="0.25">
      <c r="A18" t="s">
        <v>26</v>
      </c>
      <c r="B18" t="s">
        <v>76</v>
      </c>
      <c r="C18" s="20">
        <v>2.9999951929256172E-2</v>
      </c>
      <c r="D18" s="20">
        <v>5.0000079416655512E-2</v>
      </c>
      <c r="E18" s="20">
        <v>8.0000031345911715E-2</v>
      </c>
      <c r="F18" s="20">
        <v>0.1099999832751679</v>
      </c>
      <c r="G18" s="20">
        <v>0.11999997075784075</v>
      </c>
      <c r="H18" s="20">
        <v>0.14999992268709691</v>
      </c>
      <c r="I18" s="20">
        <v>0.12999979519969762</v>
      </c>
      <c r="J18" s="20">
        <v>8.0000031345911715E-2</v>
      </c>
      <c r="K18" s="20">
        <v>7.0000049122620034E-2</v>
      </c>
      <c r="L18" s="20">
        <v>6.00000616399472E-2</v>
      </c>
      <c r="M18" s="20">
        <v>6.00000616399472E-2</v>
      </c>
      <c r="N18" s="20">
        <v>6.00000616399472E-2</v>
      </c>
    </row>
    <row r="19" spans="1:14" x14ac:dyDescent="0.25">
      <c r="A19" t="s">
        <v>26</v>
      </c>
      <c r="B19" t="s">
        <v>77</v>
      </c>
      <c r="C19" s="20">
        <v>0.03</v>
      </c>
      <c r="D19" s="20">
        <v>0.05</v>
      </c>
      <c r="E19" s="20">
        <v>0.08</v>
      </c>
      <c r="F19" s="20">
        <v>0.11000000000000003</v>
      </c>
      <c r="G19" s="20">
        <v>0.11999999999999998</v>
      </c>
      <c r="H19" s="20">
        <v>0.15000000000000002</v>
      </c>
      <c r="I19" s="20">
        <v>0.13000000000000003</v>
      </c>
      <c r="J19" s="20">
        <v>0.08</v>
      </c>
      <c r="K19" s="20">
        <v>7.0000000000000021E-2</v>
      </c>
      <c r="L19" s="20">
        <v>5.9999999999999991E-2</v>
      </c>
      <c r="M19" s="20">
        <v>5.9999999999999991E-2</v>
      </c>
      <c r="N19" s="20">
        <v>5.9999999999999991E-2</v>
      </c>
    </row>
    <row r="20" spans="1:14" x14ac:dyDescent="0.25">
      <c r="A20" t="s">
        <v>26</v>
      </c>
      <c r="B20" t="s">
        <v>78</v>
      </c>
      <c r="C20" s="20">
        <v>2.9999999762039879E-2</v>
      </c>
      <c r="D20" s="20">
        <v>5.000000016997154E-2</v>
      </c>
      <c r="E20" s="20">
        <v>7.9999999932011401E-2</v>
      </c>
      <c r="F20" s="20">
        <v>0.10999999969405126</v>
      </c>
      <c r="G20" s="20">
        <v>0.12000000074787474</v>
      </c>
      <c r="H20" s="20">
        <v>0.1500000005099146</v>
      </c>
      <c r="I20" s="20">
        <v>0.13000000010198295</v>
      </c>
      <c r="J20" s="20">
        <v>7.9999999932011401E-2</v>
      </c>
      <c r="K20" s="20">
        <v>7.0000000577903204E-2</v>
      </c>
      <c r="L20" s="20">
        <v>5.9999999524079743E-2</v>
      </c>
      <c r="M20" s="20">
        <v>5.9999999524079743E-2</v>
      </c>
      <c r="N20" s="20">
        <v>5.9999999524079743E-2</v>
      </c>
    </row>
    <row r="21" spans="1:14" x14ac:dyDescent="0.25">
      <c r="A21" t="s">
        <v>26</v>
      </c>
      <c r="B21" t="s">
        <v>79</v>
      </c>
      <c r="C21" s="20">
        <v>0</v>
      </c>
      <c r="D21" s="20">
        <v>0</v>
      </c>
      <c r="E21" s="20">
        <v>7.000000987044093E-2</v>
      </c>
      <c r="F21" s="20">
        <v>0.1500000017018002</v>
      </c>
      <c r="G21" s="20">
        <v>0.13999998570487868</v>
      </c>
      <c r="H21" s="20">
        <v>0.16999999965963997</v>
      </c>
      <c r="I21" s="20">
        <v>0.16999999965963997</v>
      </c>
      <c r="J21" s="20">
        <v>0.1500000017018002</v>
      </c>
      <c r="K21" s="20">
        <v>5.999999387351939E-2</v>
      </c>
      <c r="L21" s="20">
        <v>5.999999387351939E-2</v>
      </c>
      <c r="M21" s="20">
        <v>3.0000013954761321E-2</v>
      </c>
      <c r="N21" s="20">
        <v>0</v>
      </c>
    </row>
    <row r="22" spans="1:14" x14ac:dyDescent="0.25">
      <c r="A22" t="s">
        <v>26</v>
      </c>
      <c r="B22" t="s">
        <v>80</v>
      </c>
      <c r="C22" s="20">
        <v>0</v>
      </c>
      <c r="D22" s="20">
        <v>0</v>
      </c>
      <c r="E22" s="20">
        <v>7.0000011323048783E-2</v>
      </c>
      <c r="F22" s="20">
        <v>0.15000000297974969</v>
      </c>
      <c r="G22" s="20">
        <v>0.13999999284860076</v>
      </c>
      <c r="H22" s="20">
        <v>0.16999999344455069</v>
      </c>
      <c r="I22" s="20">
        <v>0.16999999344455069</v>
      </c>
      <c r="J22" s="20">
        <v>0.15000000297974969</v>
      </c>
      <c r="K22" s="20">
        <v>6.0000001191899875E-2</v>
      </c>
      <c r="L22" s="20">
        <v>6.0000001191899875E-2</v>
      </c>
      <c r="M22" s="20">
        <v>3.0000000595949924E-2</v>
      </c>
      <c r="N22" s="20">
        <v>0</v>
      </c>
    </row>
    <row r="23" spans="1:14" x14ac:dyDescent="0.25">
      <c r="A23" t="s">
        <v>26</v>
      </c>
      <c r="B23" t="s">
        <v>110</v>
      </c>
      <c r="C23" s="20">
        <v>4.3573286788257323E-2</v>
      </c>
      <c r="D23" s="20">
        <v>5.4466888254169607E-2</v>
      </c>
      <c r="E23" s="20">
        <v>6.5359934924230895E-2</v>
      </c>
      <c r="F23" s="20">
        <v>6.8896736235269221E-2</v>
      </c>
      <c r="G23" s="20">
        <v>8.8581444570595455E-2</v>
      </c>
      <c r="H23" s="20">
        <v>0.10826564735138783</v>
      </c>
      <c r="I23" s="20">
        <v>0.11810774874178402</v>
      </c>
      <c r="J23" s="20">
        <v>9.842304040645776E-2</v>
      </c>
      <c r="K23" s="20">
        <v>9.8423545960991649E-2</v>
      </c>
      <c r="L23" s="20">
        <v>7.87388376256654E-2</v>
      </c>
      <c r="M23" s="20">
        <v>8.8581444570595455E-2</v>
      </c>
      <c r="N23" s="20">
        <v>8.8581444570595455E-2</v>
      </c>
    </row>
    <row r="24" spans="1:14" x14ac:dyDescent="0.25">
      <c r="A24" t="s">
        <v>26</v>
      </c>
      <c r="B24" t="s">
        <v>4</v>
      </c>
      <c r="C24" s="20">
        <v>4.3573289558328197E-2</v>
      </c>
      <c r="D24" s="20">
        <v>5.4466612253726253E-2</v>
      </c>
      <c r="E24" s="20">
        <v>6.5359934949124343E-2</v>
      </c>
      <c r="F24" s="20">
        <v>6.8896484382510392E-2</v>
      </c>
      <c r="G24" s="20">
        <v>8.8581193416623516E-2</v>
      </c>
      <c r="H24" s="20">
        <v>0.10826590355598242</v>
      </c>
      <c r="I24" s="20">
        <v>0.11810825862566188</v>
      </c>
      <c r="J24" s="20">
        <v>9.8423548486302984E-2</v>
      </c>
      <c r="K24" s="20">
        <v>9.8423548486302984E-2</v>
      </c>
      <c r="L24" s="20">
        <v>7.8738839452189846E-2</v>
      </c>
      <c r="M24" s="20">
        <v>8.8581193416623516E-2</v>
      </c>
      <c r="N24" s="20">
        <v>8.8581193416623516E-2</v>
      </c>
    </row>
    <row r="25" spans="1:14" x14ac:dyDescent="0.25">
      <c r="A25" t="s">
        <v>26</v>
      </c>
      <c r="B25" t="s">
        <v>111</v>
      </c>
      <c r="C25" s="20">
        <v>3.9999999999999994E-2</v>
      </c>
      <c r="D25" s="20">
        <v>4.9999999999999989E-2</v>
      </c>
      <c r="E25" s="20">
        <v>5.9999999999999991E-2</v>
      </c>
      <c r="F25" s="20">
        <v>6.9999999999999993E-2</v>
      </c>
      <c r="G25" s="20">
        <v>8.9999999999999969E-2</v>
      </c>
      <c r="H25" s="20">
        <v>0.11</v>
      </c>
      <c r="I25" s="20">
        <v>0.12</v>
      </c>
      <c r="J25" s="20">
        <v>9.9999999999999978E-2</v>
      </c>
      <c r="K25" s="20">
        <v>9.9999999999999978E-2</v>
      </c>
      <c r="L25" s="20">
        <v>7.9999999999999988E-2</v>
      </c>
      <c r="M25" s="20">
        <v>8.9999999999999969E-2</v>
      </c>
      <c r="N25" s="20">
        <v>8.9999999999999969E-2</v>
      </c>
    </row>
    <row r="26" spans="1:14" x14ac:dyDescent="0.25">
      <c r="A26" t="s">
        <v>26</v>
      </c>
      <c r="B26" t="s">
        <v>81</v>
      </c>
      <c r="C26" s="20">
        <v>2.9999996006312604E-2</v>
      </c>
      <c r="D26" s="20">
        <v>5.0000013824302511E-2</v>
      </c>
      <c r="E26" s="20">
        <v>8.0000009830615115E-2</v>
      </c>
      <c r="F26" s="20">
        <v>0.11000000583692772</v>
      </c>
      <c r="G26" s="20">
        <v>0.11999998402525044</v>
      </c>
      <c r="H26" s="20">
        <v>0.15000001075223529</v>
      </c>
      <c r="I26" s="20">
        <v>0.12999999293424538</v>
      </c>
      <c r="J26" s="20">
        <v>8.0000009830615115E-2</v>
      </c>
      <c r="K26" s="20">
        <v>7.0000000921620162E-2</v>
      </c>
      <c r="L26" s="20">
        <v>5.9999992012625222E-2</v>
      </c>
      <c r="M26" s="20">
        <v>5.9999992012625222E-2</v>
      </c>
      <c r="N26" s="20">
        <v>5.9999992012625222E-2</v>
      </c>
    </row>
    <row r="27" spans="1:14" x14ac:dyDescent="0.25">
      <c r="A27" t="s">
        <v>26</v>
      </c>
      <c r="B27" t="s">
        <v>82</v>
      </c>
      <c r="C27" s="20">
        <v>2.9999902566754274E-2</v>
      </c>
      <c r="D27" s="20">
        <v>5.00000008591997E-2</v>
      </c>
      <c r="E27" s="20">
        <v>7.999990342595395E-2</v>
      </c>
      <c r="F27" s="20">
        <v>0.11000004656862358</v>
      </c>
      <c r="G27" s="20">
        <v>0.12000010001084482</v>
      </c>
      <c r="H27" s="20">
        <v>0.1500000025775991</v>
      </c>
      <c r="I27" s="20">
        <v>0.12999990428515368</v>
      </c>
      <c r="J27" s="20">
        <v>7.999990342595395E-2</v>
      </c>
      <c r="K27" s="20">
        <v>7.0000099151645123E-2</v>
      </c>
      <c r="L27" s="20">
        <v>6.0000045709423924E-2</v>
      </c>
      <c r="M27" s="20">
        <v>6.0000045709423924E-2</v>
      </c>
      <c r="N27" s="20">
        <v>6.0000045709423924E-2</v>
      </c>
    </row>
    <row r="28" spans="1:14" x14ac:dyDescent="0.25">
      <c r="A28" t="s">
        <v>26</v>
      </c>
      <c r="B28" t="s">
        <v>83</v>
      </c>
      <c r="C28" s="20">
        <v>3.0000001021742374E-2</v>
      </c>
      <c r="D28" s="20">
        <v>5.000000000000001E-2</v>
      </c>
      <c r="E28" s="20">
        <v>8.0000001021742387E-2</v>
      </c>
      <c r="F28" s="20">
        <v>0.10999999948912882</v>
      </c>
      <c r="G28" s="20">
        <v>0.11999999897825765</v>
      </c>
      <c r="H28" s="20">
        <v>0.15000000000000002</v>
      </c>
      <c r="I28" s="20">
        <v>0.13000000102174239</v>
      </c>
      <c r="J28" s="20">
        <v>8.0000001021742387E-2</v>
      </c>
      <c r="K28" s="20">
        <v>6.9999998978257649E-2</v>
      </c>
      <c r="L28" s="20">
        <v>5.9999999489128805E-2</v>
      </c>
      <c r="M28" s="20">
        <v>5.9999999489128805E-2</v>
      </c>
      <c r="N28" s="20">
        <v>5.9999999489128805E-2</v>
      </c>
    </row>
    <row r="29" spans="1:14" s="18" customFormat="1" x14ac:dyDescent="0.25">
      <c r="A29" s="18" t="s">
        <v>26</v>
      </c>
      <c r="B29" s="18" t="s">
        <v>84</v>
      </c>
      <c r="C29" s="20">
        <v>0</v>
      </c>
      <c r="D29" s="20">
        <v>0</v>
      </c>
      <c r="E29" s="20">
        <v>0</v>
      </c>
      <c r="F29" s="20">
        <v>0.11777777777777779</v>
      </c>
      <c r="G29" s="20">
        <v>0.11777777777777779</v>
      </c>
      <c r="H29" s="20">
        <v>0.1277777777777778</v>
      </c>
      <c r="I29" s="20">
        <v>0.13777777777777778</v>
      </c>
      <c r="J29" s="20">
        <v>0.20555555555555555</v>
      </c>
      <c r="K29" s="20">
        <v>0.10777777777777778</v>
      </c>
      <c r="L29" s="20">
        <v>9.7777777777777783E-2</v>
      </c>
      <c r="M29" s="20">
        <v>8.7777777777777788E-2</v>
      </c>
      <c r="N29" s="20">
        <v>0</v>
      </c>
    </row>
    <row r="30" spans="1:14" x14ac:dyDescent="0.25">
      <c r="A30" t="s">
        <v>26</v>
      </c>
      <c r="B30" t="s">
        <v>85</v>
      </c>
      <c r="C30" s="20">
        <v>2.9999722075568912E-2</v>
      </c>
      <c r="D30" s="20">
        <v>4.9999989551713094E-2</v>
      </c>
      <c r="E30" s="20">
        <v>7.9999711627282033E-2</v>
      </c>
      <c r="F30" s="20">
        <v>0.10999943370285092</v>
      </c>
      <c r="G30" s="20">
        <v>0.12000029882100489</v>
      </c>
      <c r="H30" s="20">
        <v>0.15000286805474944</v>
      </c>
      <c r="I30" s="20">
        <v>0.12999972729971232</v>
      </c>
      <c r="J30" s="20">
        <v>7.9999711627282033E-2</v>
      </c>
      <c r="K30" s="20">
        <v>7.0000283148574538E-2</v>
      </c>
      <c r="L30" s="20">
        <v>5.9999418030420623E-2</v>
      </c>
      <c r="M30" s="20">
        <v>5.9999418030420623E-2</v>
      </c>
      <c r="N30" s="20">
        <v>5.9999418030420623E-2</v>
      </c>
    </row>
    <row r="31" spans="1:14" x14ac:dyDescent="0.25">
      <c r="A31" t="s">
        <v>26</v>
      </c>
      <c r="B31" t="s">
        <v>86</v>
      </c>
      <c r="C31" s="20">
        <v>2.9999998590576664E-2</v>
      </c>
      <c r="D31" s="20">
        <v>4.9999997650961095E-2</v>
      </c>
      <c r="E31" s="20">
        <v>7.9999996241537766E-2</v>
      </c>
      <c r="F31" s="20">
        <v>0.10999999483211442</v>
      </c>
      <c r="G31" s="20">
        <v>0.11999999436230664</v>
      </c>
      <c r="H31" s="20">
        <v>0.15000001644327229</v>
      </c>
      <c r="I31" s="20">
        <v>0.13000001738288786</v>
      </c>
      <c r="J31" s="20">
        <v>7.9999996241537766E-2</v>
      </c>
      <c r="K31" s="20">
        <v>6.9999996711345547E-2</v>
      </c>
      <c r="L31" s="20">
        <v>5.9999997181153321E-2</v>
      </c>
      <c r="M31" s="20">
        <v>5.9999997181153321E-2</v>
      </c>
      <c r="N31" s="20">
        <v>5.9999997181153321E-2</v>
      </c>
    </row>
    <row r="32" spans="1:14" x14ac:dyDescent="0.25">
      <c r="A32" t="s">
        <v>26</v>
      </c>
      <c r="B32" t="s">
        <v>87</v>
      </c>
      <c r="C32" s="20">
        <v>2.9999999999999995E-2</v>
      </c>
      <c r="D32" s="20">
        <v>0.05</v>
      </c>
      <c r="E32" s="20">
        <v>7.9999999999999974E-2</v>
      </c>
      <c r="F32" s="20">
        <v>0.11</v>
      </c>
      <c r="G32" s="20">
        <v>0.11999999999999998</v>
      </c>
      <c r="H32" s="20">
        <v>0.15000000000000002</v>
      </c>
      <c r="I32" s="20">
        <v>0.13000000000000003</v>
      </c>
      <c r="J32" s="20">
        <v>7.9999999999999974E-2</v>
      </c>
      <c r="K32" s="20">
        <v>6.9999999999999979E-2</v>
      </c>
      <c r="L32" s="20">
        <v>5.9999999999999991E-2</v>
      </c>
      <c r="M32" s="20">
        <v>5.9999999999999991E-2</v>
      </c>
      <c r="N32" s="20">
        <v>5.9999999999999991E-2</v>
      </c>
    </row>
    <row r="33" spans="1:14" x14ac:dyDescent="0.25">
      <c r="A33" t="s">
        <v>26</v>
      </c>
      <c r="B33" t="s">
        <v>88</v>
      </c>
      <c r="C33" s="20">
        <v>3.0000491686887086E-2</v>
      </c>
      <c r="D33" s="20">
        <v>5.0000848902854125E-2</v>
      </c>
      <c r="E33" s="20">
        <v>7.9999663381329258E-2</v>
      </c>
      <c r="F33" s="20">
        <v>0.11000015506821637</v>
      </c>
      <c r="G33" s="20">
        <v>0.12000031896384536</v>
      </c>
      <c r="H33" s="20">
        <v>0.15000084007544146</v>
      </c>
      <c r="I33" s="20">
        <v>0.13000051228418336</v>
      </c>
      <c r="J33" s="20">
        <v>7.9999663381329258E-2</v>
      </c>
      <c r="K33" s="20">
        <v>6.9999499485700237E-2</v>
      </c>
      <c r="L33" s="20">
        <v>5.9999335590071194E-2</v>
      </c>
      <c r="M33" s="20">
        <v>5.9999335590071194E-2</v>
      </c>
      <c r="N33" s="20">
        <v>5.9999335590071194E-2</v>
      </c>
    </row>
    <row r="34" spans="1:14" x14ac:dyDescent="0.25">
      <c r="A34" t="s">
        <v>26</v>
      </c>
      <c r="B34" t="s">
        <v>35</v>
      </c>
      <c r="C34" s="20">
        <v>3.0000214331167372E-2</v>
      </c>
      <c r="D34" s="20">
        <v>5.0000214539965386E-2</v>
      </c>
      <c r="E34" s="20">
        <v>8.000000083519207E-2</v>
      </c>
      <c r="F34" s="20">
        <v>0.11000021516635945</v>
      </c>
      <c r="G34" s="20">
        <v>0.1199995627769464</v>
      </c>
      <c r="H34" s="20">
        <v>0.14999978754801482</v>
      </c>
      <c r="I34" s="20">
        <v>0.12999978733921674</v>
      </c>
      <c r="J34" s="20">
        <v>8.000000083519207E-2</v>
      </c>
      <c r="K34" s="20">
        <v>7.000021474876339E-2</v>
      </c>
      <c r="L34" s="20">
        <v>6.0000000626394059E-2</v>
      </c>
      <c r="M34" s="20">
        <v>6.0000000626394059E-2</v>
      </c>
      <c r="N34" s="20">
        <v>6.0000000626394059E-2</v>
      </c>
    </row>
    <row r="35" spans="1:14" x14ac:dyDescent="0.25">
      <c r="A35" t="s">
        <v>26</v>
      </c>
      <c r="B35" t="s">
        <v>89</v>
      </c>
      <c r="C35" s="20">
        <v>3.00003394733857E-2</v>
      </c>
      <c r="D35" s="20">
        <v>4.9999995400089599E-2</v>
      </c>
      <c r="E35" s="20">
        <v>8.0000334873475312E-2</v>
      </c>
      <c r="F35" s="20">
        <v>0.110000674346861</v>
      </c>
      <c r="G35" s="20">
        <v>0.11999966512652468</v>
      </c>
      <c r="H35" s="20">
        <v>0.14999831183289222</v>
      </c>
      <c r="I35" s="20">
        <v>0.1299986375065468</v>
      </c>
      <c r="J35" s="20">
        <v>8.0000334873475312E-2</v>
      </c>
      <c r="K35" s="20">
        <v>6.9999669726435038E-2</v>
      </c>
      <c r="L35" s="20">
        <v>6.0000678946771406E-2</v>
      </c>
      <c r="M35" s="20">
        <v>6.0000678946771406E-2</v>
      </c>
      <c r="N35" s="20">
        <v>6.0000678946771406E-2</v>
      </c>
    </row>
    <row r="36" spans="1:14" x14ac:dyDescent="0.25">
      <c r="A36" t="s">
        <v>26</v>
      </c>
      <c r="B36" t="s">
        <v>36</v>
      </c>
      <c r="C36" s="20">
        <v>6.9999999999999993E-2</v>
      </c>
      <c r="D36" s="20">
        <v>0.12</v>
      </c>
      <c r="E36" s="20">
        <v>0.16</v>
      </c>
      <c r="F36" s="20">
        <v>0.17</v>
      </c>
      <c r="G36" s="20">
        <v>0.12</v>
      </c>
      <c r="H36" s="20">
        <v>0.12</v>
      </c>
      <c r="I36" s="20">
        <v>0.10000000000000002</v>
      </c>
      <c r="J36" s="20">
        <v>0.08</v>
      </c>
      <c r="K36" s="20">
        <v>5.000000000000001E-2</v>
      </c>
      <c r="L36" s="20">
        <v>1.0000000000000002E-2</v>
      </c>
      <c r="M36" s="20">
        <v>0</v>
      </c>
      <c r="N36" s="20">
        <v>0</v>
      </c>
    </row>
    <row r="37" spans="1:14" x14ac:dyDescent="0.25">
      <c r="A37" t="s">
        <v>26</v>
      </c>
      <c r="B37" t="s">
        <v>90</v>
      </c>
      <c r="C37" s="20">
        <v>3.0000001249255705E-2</v>
      </c>
      <c r="D37" s="20">
        <v>5.0000002082092848E-2</v>
      </c>
      <c r="E37" s="20">
        <v>8.0000003331348518E-2</v>
      </c>
      <c r="F37" s="20">
        <v>0.11000000458060424</v>
      </c>
      <c r="G37" s="20">
        <v>0.1200000049970228</v>
      </c>
      <c r="H37" s="20">
        <v>0.14999998542535012</v>
      </c>
      <c r="I37" s="20">
        <v>0.12999998459251302</v>
      </c>
      <c r="J37" s="20">
        <v>8.0000003331348518E-2</v>
      </c>
      <c r="K37" s="20">
        <v>7.0000002914929957E-2</v>
      </c>
      <c r="L37" s="20">
        <v>6.0000002498511409E-2</v>
      </c>
      <c r="M37" s="20">
        <v>6.0000002498511409E-2</v>
      </c>
      <c r="N37" s="20">
        <v>6.0000002498511409E-2</v>
      </c>
    </row>
    <row r="38" spans="1:14" x14ac:dyDescent="0.25">
      <c r="A38" t="s">
        <v>26</v>
      </c>
      <c r="B38" t="s">
        <v>91</v>
      </c>
      <c r="C38" s="20">
        <v>2.9999948576309859E-2</v>
      </c>
      <c r="D38" s="20">
        <v>4.9999998594981152E-2</v>
      </c>
      <c r="E38" s="20">
        <v>7.9999947171291011E-2</v>
      </c>
      <c r="F38" s="20">
        <v>0.11000002922439223</v>
      </c>
      <c r="G38" s="20">
        <v>0.12000005423372788</v>
      </c>
      <c r="H38" s="20">
        <v>0.15000000281003764</v>
      </c>
      <c r="I38" s="20">
        <v>0.12999994576627216</v>
      </c>
      <c r="J38" s="20">
        <v>7.9999947171291011E-2</v>
      </c>
      <c r="K38" s="20">
        <v>7.0000055638746728E-2</v>
      </c>
      <c r="L38" s="20">
        <v>6.0000023604316791E-2</v>
      </c>
      <c r="M38" s="20">
        <v>6.0000023604316791E-2</v>
      </c>
      <c r="N38" s="20">
        <v>6.0000023604316791E-2</v>
      </c>
    </row>
    <row r="39" spans="1:14" s="18" customFormat="1" x14ac:dyDescent="0.25">
      <c r="A39" s="18" t="s">
        <v>26</v>
      </c>
      <c r="B39" s="18" t="s">
        <v>92</v>
      </c>
      <c r="C39" s="20">
        <v>0.33333333333333337</v>
      </c>
      <c r="D39" s="20">
        <v>0.33333333333333337</v>
      </c>
      <c r="E39" s="20">
        <v>0.33333333333333337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</row>
    <row r="40" spans="1:14" s="18" customFormat="1" x14ac:dyDescent="0.25">
      <c r="A40" s="18" t="s">
        <v>26</v>
      </c>
      <c r="B40" s="18" t="s">
        <v>37</v>
      </c>
      <c r="C40" s="20">
        <v>0.1</v>
      </c>
      <c r="D40" s="20">
        <v>0.12000000000000002</v>
      </c>
      <c r="E40" s="20">
        <v>0.21099773930803536</v>
      </c>
      <c r="F40" s="20">
        <v>0.1</v>
      </c>
      <c r="G40" s="20">
        <v>0.1</v>
      </c>
      <c r="H40" s="20">
        <v>4.9002260691964422E-2</v>
      </c>
      <c r="I40" s="20">
        <v>0.12</v>
      </c>
      <c r="J40" s="20">
        <v>0.10999999999999999</v>
      </c>
      <c r="K40" s="20">
        <v>0.09</v>
      </c>
      <c r="L40" s="20">
        <v>0</v>
      </c>
      <c r="M40" s="20">
        <v>0</v>
      </c>
      <c r="N40" s="20">
        <v>0</v>
      </c>
    </row>
    <row r="41" spans="1:14" s="18" customFormat="1" x14ac:dyDescent="0.25">
      <c r="A41" s="18" t="s">
        <v>26</v>
      </c>
      <c r="B41" s="18" t="s">
        <v>93</v>
      </c>
      <c r="C41" s="20">
        <v>0</v>
      </c>
      <c r="D41" s="20">
        <v>0</v>
      </c>
      <c r="E41" s="20">
        <v>0</v>
      </c>
      <c r="F41" s="20">
        <v>9.4856313299943054E-2</v>
      </c>
      <c r="G41" s="20">
        <v>9.4856313299943054E-2</v>
      </c>
      <c r="H41" s="20">
        <v>9.3395581061025662E-2</v>
      </c>
      <c r="I41" s="20">
        <v>0.1836207067334471</v>
      </c>
      <c r="J41" s="20">
        <v>0.16215997449452985</v>
      </c>
      <c r="K41" s="20">
        <v>0.10777777777777778</v>
      </c>
      <c r="L41" s="20">
        <v>0.17555555555555558</v>
      </c>
      <c r="M41" s="20">
        <v>8.7777777777777788E-2</v>
      </c>
      <c r="N41" s="20">
        <v>0</v>
      </c>
    </row>
    <row r="42" spans="1:14" s="18" customFormat="1" x14ac:dyDescent="0.25">
      <c r="A42" s="18" t="s">
        <v>26</v>
      </c>
      <c r="B42" s="18" t="s">
        <v>94</v>
      </c>
      <c r="C42" s="20">
        <v>0.33</v>
      </c>
      <c r="D42" s="20">
        <v>0.33</v>
      </c>
      <c r="E42" s="20">
        <v>0.34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</row>
    <row r="43" spans="1:14" x14ac:dyDescent="0.25">
      <c r="A43" t="s">
        <v>26</v>
      </c>
      <c r="B43" t="s">
        <v>95</v>
      </c>
      <c r="C43" s="20">
        <v>3.0000175425482667E-2</v>
      </c>
      <c r="D43" s="20">
        <v>5.0000185199923053E-2</v>
      </c>
      <c r="E43" s="20">
        <v>8.0000000514444253E-2</v>
      </c>
      <c r="F43" s="20">
        <v>0.11000017593992692</v>
      </c>
      <c r="G43" s="20">
        <v>0.11999963423015193</v>
      </c>
      <c r="H43" s="20">
        <v>0.14999982251674041</v>
      </c>
      <c r="I43" s="20">
        <v>0.12999981274230002</v>
      </c>
      <c r="J43" s="20">
        <v>8.0000000514444253E-2</v>
      </c>
      <c r="K43" s="20">
        <v>7.0000182113257675E-2</v>
      </c>
      <c r="L43" s="20">
        <v>6.0000003601109624E-2</v>
      </c>
      <c r="M43" s="20">
        <v>6.0000003601109624E-2</v>
      </c>
      <c r="N43" s="20">
        <v>6.0000003601109624E-2</v>
      </c>
    </row>
    <row r="44" spans="1:14" x14ac:dyDescent="0.25">
      <c r="A44" t="s">
        <v>26</v>
      </c>
      <c r="B44" t="s">
        <v>112</v>
      </c>
      <c r="C44" s="20">
        <v>4.3573623779472589E-2</v>
      </c>
      <c r="D44" s="20">
        <v>5.4467028013043789E-2</v>
      </c>
      <c r="E44" s="20">
        <v>6.5359597133722649E-2</v>
      </c>
      <c r="F44" s="20">
        <v>6.8896252830434893E-2</v>
      </c>
      <c r="G44" s="20">
        <v>8.858111649761248E-2</v>
      </c>
      <c r="H44" s="20">
        <v>0.10826597398001343</v>
      </c>
      <c r="I44" s="20">
        <v>0.11810840272121394</v>
      </c>
      <c r="J44" s="20">
        <v>9.8423545238812971E-2</v>
      </c>
      <c r="K44" s="20">
        <v>9.8423545238812971E-2</v>
      </c>
      <c r="L44" s="20">
        <v>7.8738681571635383E-2</v>
      </c>
      <c r="M44" s="20">
        <v>8.858111649761248E-2</v>
      </c>
      <c r="N44" s="20">
        <v>8.858111649761248E-2</v>
      </c>
    </row>
    <row r="45" spans="1:14" x14ac:dyDescent="0.25">
      <c r="A45" t="s">
        <v>26</v>
      </c>
      <c r="B45" t="s">
        <v>113</v>
      </c>
      <c r="C45" s="20">
        <v>4.3573288433632978E-2</v>
      </c>
      <c r="D45" s="20">
        <v>5.4466816735141414E-2</v>
      </c>
      <c r="E45" s="20">
        <v>6.5359934375914724E-2</v>
      </c>
      <c r="F45" s="20">
        <v>6.8896666516225002E-2</v>
      </c>
      <c r="G45" s="20">
        <v>8.8581377153863244E-2</v>
      </c>
      <c r="H45" s="20">
        <v>0.10826571675055453</v>
      </c>
      <c r="I45" s="20">
        <v>0.11810788654890018</v>
      </c>
      <c r="J45" s="20">
        <v>9.8423175911261943E-2</v>
      </c>
      <c r="K45" s="20">
        <v>9.8423546952208896E-2</v>
      </c>
      <c r="L45" s="20">
        <v>7.873883631457064E-2</v>
      </c>
      <c r="M45" s="20">
        <v>8.8581377153863244E-2</v>
      </c>
      <c r="N45" s="20">
        <v>8.8581377153863244E-2</v>
      </c>
    </row>
    <row r="46" spans="1:14" x14ac:dyDescent="0.25">
      <c r="A46" t="s">
        <v>26</v>
      </c>
      <c r="B46" t="s">
        <v>114</v>
      </c>
      <c r="C46" s="20">
        <v>3.9999999999999987E-2</v>
      </c>
      <c r="D46" s="20">
        <v>4.9999999999999989E-2</v>
      </c>
      <c r="E46" s="20">
        <v>0.06</v>
      </c>
      <c r="F46" s="20">
        <v>7.0000000000000007E-2</v>
      </c>
      <c r="G46" s="20">
        <v>8.9999999999999983E-2</v>
      </c>
      <c r="H46" s="20">
        <v>0.10999999999999996</v>
      </c>
      <c r="I46" s="20">
        <v>0.11999999999999997</v>
      </c>
      <c r="J46" s="20">
        <v>9.9999999999999978E-2</v>
      </c>
      <c r="K46" s="20">
        <v>9.9999999999999978E-2</v>
      </c>
      <c r="L46" s="20">
        <v>7.9999999999999974E-2</v>
      </c>
      <c r="M46" s="20">
        <v>8.9999999999999983E-2</v>
      </c>
      <c r="N46" s="20">
        <v>8.9999999999999983E-2</v>
      </c>
    </row>
    <row r="47" spans="1:14" x14ac:dyDescent="0.25">
      <c r="A47" t="s">
        <v>26</v>
      </c>
      <c r="B47" t="s">
        <v>96</v>
      </c>
      <c r="C47" s="20">
        <v>3.0000000000000002E-2</v>
      </c>
      <c r="D47" s="20">
        <v>0.05</v>
      </c>
      <c r="E47" s="20">
        <v>0.08</v>
      </c>
      <c r="F47" s="20">
        <v>0.11000000000000001</v>
      </c>
      <c r="G47" s="20">
        <v>0.12000000000000005</v>
      </c>
      <c r="H47" s="20">
        <v>0.15000000000000005</v>
      </c>
      <c r="I47" s="20">
        <v>0.12999999999999998</v>
      </c>
      <c r="J47" s="20">
        <v>0.08</v>
      </c>
      <c r="K47" s="20">
        <v>6.9999999999999993E-2</v>
      </c>
      <c r="L47" s="20">
        <v>6.0000000000000005E-2</v>
      </c>
      <c r="M47" s="20">
        <v>6.0000000000000005E-2</v>
      </c>
      <c r="N47" s="20">
        <v>6.0000000000000005E-2</v>
      </c>
    </row>
    <row r="48" spans="1:14" x14ac:dyDescent="0.25">
      <c r="A48" t="s">
        <v>26</v>
      </c>
      <c r="B48" t="s">
        <v>97</v>
      </c>
      <c r="C48" s="20">
        <v>0.03</v>
      </c>
      <c r="D48" s="20">
        <v>4.9999999999999989E-2</v>
      </c>
      <c r="E48" s="20">
        <v>7.9999999999999988E-2</v>
      </c>
      <c r="F48" s="20">
        <v>0.11000000000000001</v>
      </c>
      <c r="G48" s="20">
        <v>0.12000000000000001</v>
      </c>
      <c r="H48" s="20">
        <v>0.14999999999999997</v>
      </c>
      <c r="I48" s="20">
        <v>0.13</v>
      </c>
      <c r="J48" s="20">
        <v>7.9999999999999988E-2</v>
      </c>
      <c r="K48" s="20">
        <v>6.9999999999999993E-2</v>
      </c>
      <c r="L48" s="20">
        <v>6.0000000000000005E-2</v>
      </c>
      <c r="M48" s="20">
        <v>6.0000000000000005E-2</v>
      </c>
      <c r="N48" s="20">
        <v>6.0000000000000005E-2</v>
      </c>
    </row>
    <row r="49" spans="1:14" x14ac:dyDescent="0.25">
      <c r="A49" t="s">
        <v>26</v>
      </c>
      <c r="B49" t="s">
        <v>98</v>
      </c>
      <c r="C49" s="20">
        <v>3.0000000000000002E-2</v>
      </c>
      <c r="D49" s="20">
        <v>3.0000000000000002E-2</v>
      </c>
      <c r="E49" s="20">
        <v>0.02</v>
      </c>
      <c r="F49" s="20">
        <v>0.15</v>
      </c>
      <c r="G49" s="20">
        <v>0.15</v>
      </c>
      <c r="H49" s="20">
        <v>0.16</v>
      </c>
      <c r="I49" s="20">
        <v>0.13</v>
      </c>
      <c r="J49" s="20">
        <v>8.0000000000000016E-2</v>
      </c>
      <c r="K49" s="20">
        <v>7.0000000000000007E-2</v>
      </c>
      <c r="L49" s="20">
        <v>6.0000000000000005E-2</v>
      </c>
      <c r="M49" s="20">
        <v>6.0000000000000005E-2</v>
      </c>
      <c r="N49" s="20">
        <v>6.0000000000000005E-2</v>
      </c>
    </row>
    <row r="50" spans="1:14" x14ac:dyDescent="0.25">
      <c r="A50" t="s">
        <v>26</v>
      </c>
      <c r="B50" t="s">
        <v>99</v>
      </c>
      <c r="C50" s="20">
        <v>3.0000690792774627E-2</v>
      </c>
      <c r="D50" s="20">
        <v>5.000001021882803E-2</v>
      </c>
      <c r="E50" s="20">
        <v>8.0000649917462516E-2</v>
      </c>
      <c r="F50" s="20">
        <v>0.11000134071023715</v>
      </c>
      <c r="G50" s="20">
        <v>0.11999933986370943</v>
      </c>
      <c r="H50" s="20">
        <v>0.14999665844323512</v>
      </c>
      <c r="I50" s="20">
        <v>0.12999733901718172</v>
      </c>
      <c r="J50" s="20">
        <v>8.0000649917462516E-2</v>
      </c>
      <c r="K50" s="20">
        <v>6.9999329644881383E-2</v>
      </c>
      <c r="L50" s="20">
        <v>6.0001330491409127E-2</v>
      </c>
      <c r="M50" s="20">
        <v>6.0001330491409127E-2</v>
      </c>
      <c r="N50" s="20">
        <v>6.0001330491409127E-2</v>
      </c>
    </row>
    <row r="51" spans="1:14" x14ac:dyDescent="0.25">
      <c r="A51" t="s">
        <v>26</v>
      </c>
      <c r="B51" t="s">
        <v>100</v>
      </c>
      <c r="C51" s="20">
        <v>3.0000002956295676E-2</v>
      </c>
      <c r="D51" s="20">
        <v>4.9999997888360209E-2</v>
      </c>
      <c r="E51" s="20">
        <v>8.0000000844655902E-2</v>
      </c>
      <c r="F51" s="20">
        <v>0.11000000380095158</v>
      </c>
      <c r="G51" s="20">
        <v>0.11999999070878499</v>
      </c>
      <c r="H51" s="20">
        <v>0.14999999366508063</v>
      </c>
      <c r="I51" s="20">
        <v>0.12999999873301615</v>
      </c>
      <c r="J51" s="20">
        <v>8.0000000844655902E-2</v>
      </c>
      <c r="K51" s="20">
        <v>6.9999992820424753E-2</v>
      </c>
      <c r="L51" s="20">
        <v>6.0000005912591386E-2</v>
      </c>
      <c r="M51" s="20">
        <v>6.0000005912591386E-2</v>
      </c>
      <c r="N51" s="20">
        <v>6.0000005912591386E-2</v>
      </c>
    </row>
    <row r="52" spans="1:14" x14ac:dyDescent="0.25">
      <c r="A52" t="s">
        <v>26</v>
      </c>
      <c r="B52" t="s">
        <v>101</v>
      </c>
      <c r="C52" s="20">
        <v>2.9999999999999985E-2</v>
      </c>
      <c r="D52" s="20">
        <v>4.9999999999999989E-2</v>
      </c>
      <c r="E52" s="20">
        <v>0.08</v>
      </c>
      <c r="F52" s="20">
        <v>0.10999999999999999</v>
      </c>
      <c r="G52" s="20">
        <v>0.11999999999999997</v>
      </c>
      <c r="H52" s="20">
        <v>0.15</v>
      </c>
      <c r="I52" s="20">
        <v>0.12999999999999998</v>
      </c>
      <c r="J52" s="20">
        <v>0.08</v>
      </c>
      <c r="K52" s="20">
        <v>7.0000000000000007E-2</v>
      </c>
      <c r="L52" s="20">
        <v>5.9999999999999991E-2</v>
      </c>
      <c r="M52" s="20">
        <v>5.9999999999999991E-2</v>
      </c>
      <c r="N52" s="20">
        <v>5.9999999999999991E-2</v>
      </c>
    </row>
    <row r="53" spans="1:14" x14ac:dyDescent="0.25">
      <c r="A53" t="s">
        <v>26</v>
      </c>
      <c r="B53" t="s">
        <v>102</v>
      </c>
      <c r="C53" s="20">
        <v>3.2645655997246344E-2</v>
      </c>
      <c r="D53" s="20">
        <v>5.4409429785604216E-2</v>
      </c>
      <c r="E53" s="20">
        <v>8.7055085782850539E-2</v>
      </c>
      <c r="F53" s="20">
        <v>0.10815223984099269</v>
      </c>
      <c r="G53" s="20">
        <v>0.1179842624144033</v>
      </c>
      <c r="H53" s="20">
        <v>0.14748032590137305</v>
      </c>
      <c r="I53" s="20">
        <v>0.12781628075455168</v>
      </c>
      <c r="J53" s="20">
        <v>7.8656172120760731E-2</v>
      </c>
      <c r="K53" s="20">
        <v>6.882415378061231E-2</v>
      </c>
      <c r="L53" s="20">
        <v>5.899213120720169E-2</v>
      </c>
      <c r="M53" s="20">
        <v>5.899213120720169E-2</v>
      </c>
      <c r="N53" s="20">
        <v>5.899213120720169E-2</v>
      </c>
    </row>
    <row r="54" spans="1:14" x14ac:dyDescent="0.25">
      <c r="A54" t="s">
        <v>26</v>
      </c>
      <c r="B54" t="s">
        <v>103</v>
      </c>
      <c r="C54" s="20">
        <v>3.2645657859557115E-2</v>
      </c>
      <c r="D54" s="20">
        <v>5.4409429765928531E-2</v>
      </c>
      <c r="E54" s="20">
        <v>8.7055087625485639E-2</v>
      </c>
      <c r="F54" s="20">
        <v>0.10815223895522993</v>
      </c>
      <c r="G54" s="20">
        <v>0.11798426067843266</v>
      </c>
      <c r="H54" s="20">
        <v>0.14748032584804086</v>
      </c>
      <c r="I54" s="20">
        <v>0.12781628240163539</v>
      </c>
      <c r="J54" s="20">
        <v>7.8656173785621772E-2</v>
      </c>
      <c r="K54" s="20">
        <v>6.8824152062419069E-2</v>
      </c>
      <c r="L54" s="20">
        <v>5.8992130339216332E-2</v>
      </c>
      <c r="M54" s="20">
        <v>5.8992130339216332E-2</v>
      </c>
      <c r="N54" s="20">
        <v>5.8992130339216332E-2</v>
      </c>
    </row>
    <row r="55" spans="1:14" x14ac:dyDescent="0.25">
      <c r="A55" t="s">
        <v>26</v>
      </c>
      <c r="B55" t="s">
        <v>104</v>
      </c>
      <c r="C55" s="20">
        <v>0</v>
      </c>
      <c r="D55" s="20">
        <v>0</v>
      </c>
      <c r="E55" s="20">
        <v>0</v>
      </c>
      <c r="F55" s="20">
        <v>0.13000000000000003</v>
      </c>
      <c r="G55" s="20">
        <v>0.16000000000000003</v>
      </c>
      <c r="H55" s="20">
        <v>0.19000000000000003</v>
      </c>
      <c r="I55" s="20">
        <v>0.14000000000000004</v>
      </c>
      <c r="J55" s="20">
        <v>0.09</v>
      </c>
      <c r="K55" s="20">
        <v>8.0000000000000029E-2</v>
      </c>
      <c r="L55" s="20">
        <v>7.0000000000000021E-2</v>
      </c>
      <c r="M55" s="20">
        <v>7.0000000000000021E-2</v>
      </c>
      <c r="N55" s="20">
        <v>7.0000000000000021E-2</v>
      </c>
    </row>
    <row r="56" spans="1:14" x14ac:dyDescent="0.25">
      <c r="A56" t="s">
        <v>26</v>
      </c>
      <c r="B56" t="s">
        <v>105</v>
      </c>
      <c r="C56" s="20">
        <v>3.0000003526584978E-2</v>
      </c>
      <c r="D56" s="20">
        <v>4.9999997481010722E-2</v>
      </c>
      <c r="E56" s="20">
        <v>8.0000001007595689E-2</v>
      </c>
      <c r="F56" s="20">
        <v>0.11000000453418067</v>
      </c>
      <c r="G56" s="20">
        <v>0.11999998891644714</v>
      </c>
      <c r="H56" s="20">
        <v>0.14999999244303214</v>
      </c>
      <c r="I56" s="20">
        <v>0.12999999848860641</v>
      </c>
      <c r="J56" s="20">
        <v>8.0000001007595689E-2</v>
      </c>
      <c r="K56" s="20">
        <v>6.9999991435436448E-2</v>
      </c>
      <c r="L56" s="20">
        <v>6.0000007053169969E-2</v>
      </c>
      <c r="M56" s="20">
        <v>6.0000007053169969E-2</v>
      </c>
      <c r="N56" s="20">
        <v>6.0000007053169969E-2</v>
      </c>
    </row>
    <row r="57" spans="1:14" x14ac:dyDescent="0.25">
      <c r="A57" t="s">
        <v>26</v>
      </c>
      <c r="B57" t="s">
        <v>106</v>
      </c>
      <c r="C57" s="20">
        <v>3.2645632883572612E-2</v>
      </c>
      <c r="D57" s="20">
        <v>5.4409431796929718E-2</v>
      </c>
      <c r="E57" s="20">
        <v>8.7055064680502323E-2</v>
      </c>
      <c r="F57" s="20">
        <v>0.10815219565758848</v>
      </c>
      <c r="G57" s="20">
        <v>0.11798428157800889</v>
      </c>
      <c r="H57" s="20">
        <v>0.14748053933927013</v>
      </c>
      <c r="I57" s="20">
        <v>0.12781625991942891</v>
      </c>
      <c r="J57" s="20">
        <v>7.8656153054328035E-2</v>
      </c>
      <c r="K57" s="20">
        <v>6.8824174712908012E-2</v>
      </c>
      <c r="L57" s="20">
        <v>5.8992088792487581E-2</v>
      </c>
      <c r="M57" s="20">
        <v>5.8992088792487581E-2</v>
      </c>
      <c r="N57" s="20">
        <v>5.8992088792487581E-2</v>
      </c>
    </row>
    <row r="58" spans="1:14" x14ac:dyDescent="0.25">
      <c r="A58" t="s">
        <v>26</v>
      </c>
      <c r="B58" t="s">
        <v>107</v>
      </c>
      <c r="C58" s="20">
        <v>3.2645722170953462E-2</v>
      </c>
      <c r="D58" s="20">
        <v>5.4409495900799972E-2</v>
      </c>
      <c r="E58" s="20">
        <v>8.705508579698841E-2</v>
      </c>
      <c r="F58" s="20">
        <v>0.10815229540989453</v>
      </c>
      <c r="G58" s="20">
        <v>0.11798413868716152</v>
      </c>
      <c r="H58" s="20">
        <v>0.14748026608466425</v>
      </c>
      <c r="I58" s="20">
        <v>0.12781622099070927</v>
      </c>
      <c r="J58" s="20">
        <v>7.8656172133534569E-2</v>
      </c>
      <c r="K58" s="20">
        <v>6.8824209343127232E-2</v>
      </c>
      <c r="L58" s="20">
        <v>5.8992131160722321E-2</v>
      </c>
      <c r="M58" s="20">
        <v>5.8992131160722321E-2</v>
      </c>
      <c r="N58" s="20">
        <v>5.8992131160722321E-2</v>
      </c>
    </row>
    <row r="59" spans="1:14" x14ac:dyDescent="0.25">
      <c r="A59" t="s">
        <v>26</v>
      </c>
      <c r="B59" t="s">
        <v>115</v>
      </c>
      <c r="C59" s="20">
        <v>3.0000353655233302E-2</v>
      </c>
      <c r="D59" s="20">
        <v>3.9999294909591365E-2</v>
      </c>
      <c r="E59" s="20">
        <v>8.0000343664972468E-2</v>
      </c>
      <c r="F59" s="20">
        <v>0.10000000222005793</v>
      </c>
      <c r="G59" s="20">
        <v>0.10000000222005793</v>
      </c>
      <c r="H59" s="20">
        <v>0.10000000222005793</v>
      </c>
      <c r="I59" s="20">
        <v>0.11000069732020576</v>
      </c>
      <c r="J59" s="20">
        <v>0.10000000222005793</v>
      </c>
      <c r="K59" s="20">
        <v>8.9999307119910124E-2</v>
      </c>
      <c r="L59" s="20">
        <v>8.0000343664972468E-2</v>
      </c>
      <c r="M59" s="20">
        <v>8.0000343664972468E-2</v>
      </c>
      <c r="N59" s="20">
        <v>8.9999307119910124E-2</v>
      </c>
    </row>
    <row r="60" spans="1:14" x14ac:dyDescent="0.25">
      <c r="A60" t="s">
        <v>26</v>
      </c>
      <c r="B60" t="s">
        <v>116</v>
      </c>
      <c r="C60" s="20">
        <v>2.9999637635044884E-2</v>
      </c>
      <c r="D60" s="20">
        <v>3.9999811555066898E-2</v>
      </c>
      <c r="E60" s="20">
        <v>7.9999635740491279E-2</v>
      </c>
      <c r="F60" s="20">
        <v>9.9999996210892741E-2</v>
      </c>
      <c r="G60" s="20">
        <v>9.9999996210892741E-2</v>
      </c>
      <c r="H60" s="20">
        <v>9.9999996210892741E-2</v>
      </c>
      <c r="I60" s="20">
        <v>0.11000201416310186</v>
      </c>
      <c r="J60" s="20">
        <v>9.9999996210892741E-2</v>
      </c>
      <c r="K60" s="20">
        <v>8.9999822290870723E-2</v>
      </c>
      <c r="L60" s="20">
        <v>7.9999635740491279E-2</v>
      </c>
      <c r="M60" s="20">
        <v>7.9999635740491279E-2</v>
      </c>
      <c r="N60" s="20">
        <v>8.9999822290870723E-2</v>
      </c>
    </row>
    <row r="61" spans="1:14" x14ac:dyDescent="0.25">
      <c r="A61" t="s">
        <v>26</v>
      </c>
      <c r="B61" t="s">
        <v>117</v>
      </c>
      <c r="C61" s="20">
        <v>2.9999922564295192E-2</v>
      </c>
      <c r="D61" s="20">
        <v>3.9999895977028577E-2</v>
      </c>
      <c r="E61" s="20">
        <v>8.0000052476704692E-2</v>
      </c>
      <c r="F61" s="20">
        <v>9.9999999302171461E-2</v>
      </c>
      <c r="G61" s="20">
        <v>9.9999999302171461E-2</v>
      </c>
      <c r="H61" s="20">
        <v>9.9999999302171461E-2</v>
      </c>
      <c r="I61" s="20">
        <v>0.10999997504099988</v>
      </c>
      <c r="J61" s="20">
        <v>9.9999999302171461E-2</v>
      </c>
      <c r="K61" s="20">
        <v>9.0000025889438076E-2</v>
      </c>
      <c r="L61" s="20">
        <v>8.0000052476704692E-2</v>
      </c>
      <c r="M61" s="20">
        <v>8.0000052476704692E-2</v>
      </c>
      <c r="N61" s="20">
        <v>9.0000025889438076E-2</v>
      </c>
    </row>
    <row r="62" spans="1:14" x14ac:dyDescent="0.25">
      <c r="A62" t="s">
        <v>26</v>
      </c>
      <c r="B62" t="s">
        <v>118</v>
      </c>
      <c r="C62" s="20">
        <v>3.0000003084106611E-2</v>
      </c>
      <c r="D62" s="20">
        <v>4.0000001088508208E-2</v>
      </c>
      <c r="E62" s="20">
        <v>8.000000217701643E-2</v>
      </c>
      <c r="F62" s="20">
        <v>9.9999998185819658E-2</v>
      </c>
      <c r="G62" s="20">
        <v>9.9999998185819658E-2</v>
      </c>
      <c r="H62" s="20">
        <v>9.9999998185819658E-2</v>
      </c>
      <c r="I62" s="20">
        <v>0.1099999961902212</v>
      </c>
      <c r="J62" s="20">
        <v>9.9999998185819658E-2</v>
      </c>
      <c r="K62" s="20">
        <v>9.0000000181418002E-2</v>
      </c>
      <c r="L62" s="20">
        <v>8.000000217701643E-2</v>
      </c>
      <c r="M62" s="20">
        <v>8.000000217701643E-2</v>
      </c>
      <c r="N62" s="20">
        <v>9.0000000181418002E-2</v>
      </c>
    </row>
    <row r="63" spans="1:14" x14ac:dyDescent="0.25">
      <c r="A63" t="s">
        <v>26</v>
      </c>
      <c r="B63" t="s">
        <v>38</v>
      </c>
      <c r="C63" s="20">
        <v>4.1299827518169761E-2</v>
      </c>
      <c r="D63" s="20">
        <v>5.1299829488683057E-2</v>
      </c>
      <c r="E63" s="20">
        <v>6.1299833624595554E-2</v>
      </c>
      <c r="F63" s="20">
        <v>6.8700176834282659E-2</v>
      </c>
      <c r="G63" s="20">
        <v>8.8700165617514704E-2</v>
      </c>
      <c r="H63" s="20">
        <v>0.10870017388933972</v>
      </c>
      <c r="I63" s="20">
        <v>0.12000000848836494</v>
      </c>
      <c r="J63" s="20">
        <v>0.10000000021653992</v>
      </c>
      <c r="K63" s="20">
        <v>0.10000000021653992</v>
      </c>
      <c r="L63" s="20">
        <v>7.9999991944714924E-2</v>
      </c>
      <c r="M63" s="20">
        <v>8.999999608062742E-2</v>
      </c>
      <c r="N63" s="20">
        <v>8.999999608062742E-2</v>
      </c>
    </row>
    <row r="64" spans="1:14" x14ac:dyDescent="0.25">
      <c r="A64" t="s">
        <v>26</v>
      </c>
      <c r="B64" t="s">
        <v>17</v>
      </c>
      <c r="C64" s="20">
        <v>4.2719616698070638E-2</v>
      </c>
      <c r="D64" s="20">
        <v>6.2761119484950598E-2</v>
      </c>
      <c r="E64" s="20">
        <v>7.2780454230376435E-2</v>
      </c>
      <c r="F64" s="20">
        <v>7.8524186925181677E-2</v>
      </c>
      <c r="G64" s="20">
        <v>7.8524186925181677E-2</v>
      </c>
      <c r="H64" s="20">
        <v>7.8524186925181677E-2</v>
      </c>
      <c r="I64" s="20">
        <v>8.8175772352330706E-2</v>
      </c>
      <c r="J64" s="20">
        <v>9.017964596799477E-2</v>
      </c>
      <c r="K64" s="20">
        <v>0.10019898071342061</v>
      </c>
      <c r="L64" s="20">
        <v>9.7194586937938657E-2</v>
      </c>
      <c r="M64" s="20">
        <v>0.10019898071342061</v>
      </c>
      <c r="N64" s="20">
        <v>0.11021828212595203</v>
      </c>
    </row>
    <row r="65" spans="1:14" x14ac:dyDescent="0.25">
      <c r="A65" t="s">
        <v>26</v>
      </c>
      <c r="B65" t="s">
        <v>40</v>
      </c>
      <c r="C65" s="20">
        <v>4.2719838396118551E-2</v>
      </c>
      <c r="D65" s="20">
        <v>6.2759038709721049E-2</v>
      </c>
      <c r="E65" s="20">
        <v>7.2780598882202438E-2</v>
      </c>
      <c r="F65" s="20">
        <v>7.8522811545081006E-2</v>
      </c>
      <c r="G65" s="20">
        <v>7.8522811545081006E-2</v>
      </c>
      <c r="H65" s="20">
        <v>7.8522811545081006E-2</v>
      </c>
      <c r="I65" s="20">
        <v>8.8177185417483345E-2</v>
      </c>
      <c r="J65" s="20">
        <v>9.0180321442571557E-2</v>
      </c>
      <c r="K65" s="20">
        <v>0.1001999215993728</v>
      </c>
      <c r="L65" s="20">
        <v>9.7195217561740516E-2</v>
      </c>
      <c r="M65" s="20">
        <v>0.1001999215993728</v>
      </c>
      <c r="N65" s="20">
        <v>0.11021952175617405</v>
      </c>
    </row>
    <row r="66" spans="1:14" x14ac:dyDescent="0.25">
      <c r="A66" t="s">
        <v>26</v>
      </c>
      <c r="B66" t="s">
        <v>19</v>
      </c>
      <c r="C66" s="20">
        <v>4.2719516637960211E-2</v>
      </c>
      <c r="D66" s="20">
        <v>6.2760274536966115E-2</v>
      </c>
      <c r="E66" s="20">
        <v>7.2779915029826586E-2</v>
      </c>
      <c r="F66" s="20">
        <v>7.8523302599071296E-2</v>
      </c>
      <c r="G66" s="20">
        <v>7.8523302599071296E-2</v>
      </c>
      <c r="H66" s="20">
        <v>7.8523302599071296E-2</v>
      </c>
      <c r="I66" s="20">
        <v>8.8175790779122534E-2</v>
      </c>
      <c r="J66" s="20">
        <v>9.0179718262314079E-2</v>
      </c>
      <c r="K66" s="20">
        <v>0.10020083566845953</v>
      </c>
      <c r="L66" s="20">
        <v>9.71942056024169E-2</v>
      </c>
      <c r="M66" s="20">
        <v>0.10020083566845953</v>
      </c>
      <c r="N66" s="20">
        <v>0.11021900001726068</v>
      </c>
    </row>
    <row r="67" spans="1:14" x14ac:dyDescent="0.25">
      <c r="A67" t="s">
        <v>26</v>
      </c>
      <c r="B67" t="s">
        <v>119</v>
      </c>
      <c r="C67" s="20">
        <v>4.2687412322698064E-2</v>
      </c>
      <c r="D67" s="20">
        <v>6.2751388407086633E-2</v>
      </c>
      <c r="E67" s="20">
        <v>7.2743405644686038E-2</v>
      </c>
      <c r="F67" s="20">
        <v>7.8495632305161211E-2</v>
      </c>
      <c r="G67" s="20">
        <v>7.8495632305161211E-2</v>
      </c>
      <c r="H67" s="20">
        <v>7.8495632305161211E-2</v>
      </c>
      <c r="I67" s="20">
        <v>8.8169439736223112E-2</v>
      </c>
      <c r="J67" s="20">
        <v>9.0167903975841263E-2</v>
      </c>
      <c r="K67" s="20">
        <v>0.1002397868325075</v>
      </c>
      <c r="L67" s="20">
        <v>9.7202233653669715E-2</v>
      </c>
      <c r="M67" s="20">
        <v>0.1002397868325075</v>
      </c>
      <c r="N67" s="20">
        <v>0.11031174567929658</v>
      </c>
    </row>
    <row r="68" spans="1:14" x14ac:dyDescent="0.25">
      <c r="A68" t="s">
        <v>26</v>
      </c>
      <c r="B68" t="s">
        <v>20</v>
      </c>
      <c r="C68" s="20">
        <v>4.2719474647480722E-2</v>
      </c>
      <c r="D68" s="20">
        <v>6.2759893393003141E-2</v>
      </c>
      <c r="E68" s="20">
        <v>7.2779682467365589E-2</v>
      </c>
      <c r="F68" s="20">
        <v>7.8522579695448791E-2</v>
      </c>
      <c r="G68" s="20">
        <v>7.8522579695448791E-2</v>
      </c>
      <c r="H68" s="20">
        <v>7.8522579695448791E-2</v>
      </c>
      <c r="I68" s="20">
        <v>8.8176497129381734E-2</v>
      </c>
      <c r="J68" s="20">
        <v>9.0180622469552413E-2</v>
      </c>
      <c r="K68" s="20">
        <v>0.10020041253401708</v>
      </c>
      <c r="L68" s="20">
        <v>9.71942245237611E-2</v>
      </c>
      <c r="M68" s="20">
        <v>0.10020041253401708</v>
      </c>
      <c r="N68" s="20">
        <v>0.11022104121507484</v>
      </c>
    </row>
    <row r="69" spans="1:14" x14ac:dyDescent="0.25">
      <c r="A69" t="s">
        <v>26</v>
      </c>
      <c r="B69" t="s">
        <v>120</v>
      </c>
      <c r="C69" s="20">
        <v>4.2720925574500579E-2</v>
      </c>
      <c r="D69" s="20">
        <v>6.2754135183012635E-2</v>
      </c>
      <c r="E69" s="20">
        <v>7.2785788629650697E-2</v>
      </c>
      <c r="F69" s="20">
        <v>7.8519072939471066E-2</v>
      </c>
      <c r="G69" s="20">
        <v>7.8519072939471066E-2</v>
      </c>
      <c r="H69" s="20">
        <v>7.8519072939471066E-2</v>
      </c>
      <c r="I69" s="20">
        <v>8.8173181780346166E-2</v>
      </c>
      <c r="J69" s="20">
        <v>9.0179520484929374E-2</v>
      </c>
      <c r="K69" s="20">
        <v>0.1001961052510464</v>
      </c>
      <c r="L69" s="20">
        <v>9.7194151572571136E-2</v>
      </c>
      <c r="M69" s="20">
        <v>0.1001961052510464</v>
      </c>
      <c r="N69" s="20">
        <v>0.11024286745448345</v>
      </c>
    </row>
    <row r="70" spans="1:14" x14ac:dyDescent="0.25">
      <c r="A70" t="s">
        <v>26</v>
      </c>
      <c r="B70" t="s">
        <v>21</v>
      </c>
      <c r="C70" s="20">
        <v>4.2719495052150266E-2</v>
      </c>
      <c r="D70" s="20">
        <v>6.2759504300412564E-2</v>
      </c>
      <c r="E70" s="20">
        <v>7.2779752338317003E-2</v>
      </c>
      <c r="F70" s="20">
        <v>7.8522728774501713E-2</v>
      </c>
      <c r="G70" s="20">
        <v>7.8522728774501713E-2</v>
      </c>
      <c r="H70" s="20">
        <v>7.8522728774501713E-2</v>
      </c>
      <c r="I70" s="20">
        <v>8.8176429196305223E-2</v>
      </c>
      <c r="J70" s="20">
        <v>9.0180283234542039E-2</v>
      </c>
      <c r="K70" s="20">
        <v>0.10020053187125037</v>
      </c>
      <c r="L70" s="20">
        <v>9.7194505903112141E-2</v>
      </c>
      <c r="M70" s="20">
        <v>0.10020053187125037</v>
      </c>
      <c r="N70" s="20">
        <v>0.11022077990915481</v>
      </c>
    </row>
    <row r="71" spans="1:14" x14ac:dyDescent="0.25">
      <c r="A71" t="s">
        <v>26</v>
      </c>
      <c r="B71" t="s">
        <v>121</v>
      </c>
      <c r="C71" s="20">
        <v>4.2719239158686674E-2</v>
      </c>
      <c r="D71" s="20">
        <v>6.2759119861413318E-2</v>
      </c>
      <c r="E71" s="20">
        <v>7.278616547855446E-2</v>
      </c>
      <c r="F71" s="20">
        <v>7.8517062625839074E-2</v>
      </c>
      <c r="G71" s="20">
        <v>7.8517062625839074E-2</v>
      </c>
      <c r="H71" s="20">
        <v>7.8517062625839074E-2</v>
      </c>
      <c r="I71" s="20">
        <v>8.8178322760160216E-2</v>
      </c>
      <c r="J71" s="20">
        <v>9.0186568428047689E-2</v>
      </c>
      <c r="K71" s="20">
        <v>0.10019940351363318</v>
      </c>
      <c r="L71" s="20">
        <v>9.7194140277579791E-2</v>
      </c>
      <c r="M71" s="20">
        <v>0.10019940351363318</v>
      </c>
      <c r="N71" s="20">
        <v>0.11022644913077433</v>
      </c>
    </row>
    <row r="72" spans="1:14" x14ac:dyDescent="0.25">
      <c r="A72" t="s">
        <v>26</v>
      </c>
      <c r="B72" t="s">
        <v>41</v>
      </c>
      <c r="C72" s="20">
        <v>4.1379546116098495E-2</v>
      </c>
      <c r="D72" s="20">
        <v>6.1419903943202479E-2</v>
      </c>
      <c r="E72" s="20">
        <v>7.14404717461187E-2</v>
      </c>
      <c r="F72" s="20">
        <v>7.9862268735008554E-2</v>
      </c>
      <c r="G72" s="20">
        <v>7.9862268735008554E-2</v>
      </c>
      <c r="H72" s="20">
        <v>7.9862268735008554E-2</v>
      </c>
      <c r="I72" s="20">
        <v>8.8176663327032959E-2</v>
      </c>
      <c r="J72" s="20">
        <v>9.0180110220134696E-2</v>
      </c>
      <c r="K72" s="20">
        <v>0.10020067802305092</v>
      </c>
      <c r="L72" s="20">
        <v>9.7194674349046425E-2</v>
      </c>
      <c r="M72" s="20">
        <v>0.10020067802305092</v>
      </c>
      <c r="N72" s="20">
        <v>0.11022046804723873</v>
      </c>
    </row>
    <row r="73" spans="1:14" x14ac:dyDescent="0.25">
      <c r="A73" t="s">
        <v>26</v>
      </c>
      <c r="B73" t="s">
        <v>22</v>
      </c>
      <c r="C73" s="20">
        <v>4.1379995171739695E-2</v>
      </c>
      <c r="D73" s="20">
        <v>6.1420077526053184E-2</v>
      </c>
      <c r="E73" s="20">
        <v>7.1440105178342414E-2</v>
      </c>
      <c r="F73" s="20">
        <v>7.9862489475805917E-2</v>
      </c>
      <c r="G73" s="20">
        <v>7.9862489475805917E-2</v>
      </c>
      <c r="H73" s="20">
        <v>7.9862489475805917E-2</v>
      </c>
      <c r="I73" s="20">
        <v>8.8176348976478885E-2</v>
      </c>
      <c r="J73" s="20">
        <v>9.0180357069543207E-2</v>
      </c>
      <c r="K73" s="20">
        <v>0.10020039753486482</v>
      </c>
      <c r="L73" s="20">
        <v>9.7194386107103486E-2</v>
      </c>
      <c r="M73" s="20">
        <v>0.10020039753486482</v>
      </c>
      <c r="N73" s="20">
        <v>0.11022046647359174</v>
      </c>
    </row>
    <row r="74" spans="1:14" x14ac:dyDescent="0.25">
      <c r="A74" t="s">
        <v>26</v>
      </c>
      <c r="B74" t="s">
        <v>24</v>
      </c>
      <c r="C74" s="20">
        <v>0.41348286365719117</v>
      </c>
      <c r="D74" s="20">
        <v>3.2365941433293584E-2</v>
      </c>
      <c r="E74" s="20">
        <v>3.8530720051636727E-2</v>
      </c>
      <c r="F74" s="20">
        <v>4.8828633031089329E-2</v>
      </c>
      <c r="G74" s="20">
        <v>4.146097576249165E-2</v>
      </c>
      <c r="H74" s="20">
        <v>4.7625744166519275E-2</v>
      </c>
      <c r="I74" s="20">
        <v>4.9243000513105678E-2</v>
      </c>
      <c r="J74" s="20">
        <v>4.3078232109078012E-2</v>
      </c>
      <c r="K74" s="20">
        <v>4.9243000513105678E-2</v>
      </c>
      <c r="L74" s="20">
        <v>6.5782643239998273E-2</v>
      </c>
      <c r="M74" s="20">
        <v>6.5857820602060302E-2</v>
      </c>
      <c r="N74" s="20">
        <v>0.10450042492043039</v>
      </c>
    </row>
    <row r="75" spans="1:14" x14ac:dyDescent="0.25">
      <c r="A75" t="s">
        <v>26</v>
      </c>
      <c r="B75" t="s">
        <v>28</v>
      </c>
      <c r="C75" s="20">
        <v>2.8141400548611133E-2</v>
      </c>
      <c r="D75" s="20">
        <v>3.4719953699855935E-2</v>
      </c>
      <c r="E75" s="20">
        <v>4.1344510719291246E-2</v>
      </c>
      <c r="F75" s="20">
        <v>8.6625841140546778E-2</v>
      </c>
      <c r="G75" s="20">
        <v>7.8713175811776795E-2</v>
      </c>
      <c r="H75" s="20">
        <v>8.5337732831212126E-2</v>
      </c>
      <c r="I75" s="20">
        <v>8.7072913038463026E-2</v>
      </c>
      <c r="J75" s="20">
        <v>8.0448356019027695E-2</v>
      </c>
      <c r="K75" s="20">
        <v>8.7072913038463026E-2</v>
      </c>
      <c r="L75" s="20">
        <v>0.12200664620606672</v>
      </c>
      <c r="M75" s="20">
        <v>0.12200664620606672</v>
      </c>
      <c r="N75" s="20">
        <v>0.14650991074061881</v>
      </c>
    </row>
    <row r="76" spans="1:14" x14ac:dyDescent="0.25">
      <c r="A76" t="s">
        <v>26</v>
      </c>
      <c r="B76" t="s">
        <v>29</v>
      </c>
      <c r="C76" s="20">
        <v>2.0000000000000004E-2</v>
      </c>
      <c r="D76" s="20">
        <v>2.0000000000000004E-2</v>
      </c>
      <c r="E76" s="20">
        <v>2.0000000000000004E-2</v>
      </c>
      <c r="F76" s="20">
        <v>0.05</v>
      </c>
      <c r="G76" s="20">
        <v>0.05</v>
      </c>
      <c r="H76" s="20">
        <v>0.05</v>
      </c>
      <c r="I76" s="20">
        <v>0.11999999999999998</v>
      </c>
      <c r="J76" s="20">
        <v>0.11999999999999998</v>
      </c>
      <c r="K76" s="20">
        <v>0.11999999999999998</v>
      </c>
      <c r="L76" s="20">
        <v>0.13999999999999999</v>
      </c>
      <c r="M76" s="20">
        <v>0.14999999999999997</v>
      </c>
      <c r="N76" s="20">
        <v>0.13999999999999999</v>
      </c>
    </row>
    <row r="77" spans="1:14" x14ac:dyDescent="0.25">
      <c r="A77" t="s">
        <v>26</v>
      </c>
      <c r="B77" t="s">
        <v>42</v>
      </c>
      <c r="C77" s="20">
        <v>4.2797724320001625E-2</v>
      </c>
      <c r="D77" s="20">
        <v>5.2840752210965777E-2</v>
      </c>
      <c r="E77" s="20">
        <v>6.2883785101928852E-2</v>
      </c>
      <c r="F77" s="20">
        <v>7.9689784957621412E-2</v>
      </c>
      <c r="G77" s="20">
        <v>6.764092248788256E-2</v>
      </c>
      <c r="H77" s="20">
        <v>7.7683955378845662E-2</v>
      </c>
      <c r="I77" s="20">
        <v>8.0323433132079056E-2</v>
      </c>
      <c r="J77" s="20">
        <v>7.0280400241115953E-2</v>
      </c>
      <c r="K77" s="20">
        <v>8.0323433132079056E-2</v>
      </c>
      <c r="L77" s="20">
        <v>0.10742642744045025</v>
      </c>
      <c r="M77" s="20">
        <v>0.10742642744045025</v>
      </c>
      <c r="N77" s="20">
        <v>0.17068295415657961</v>
      </c>
    </row>
    <row r="78" spans="1:14" x14ac:dyDescent="0.25">
      <c r="A78" t="s">
        <v>26</v>
      </c>
      <c r="B78" t="s">
        <v>43</v>
      </c>
      <c r="C78" s="20">
        <v>4.2797724320001611E-2</v>
      </c>
      <c r="D78" s="20">
        <v>5.2840752210965757E-2</v>
      </c>
      <c r="E78" s="20">
        <v>6.2883785101928852E-2</v>
      </c>
      <c r="F78" s="20">
        <v>7.9689784957621426E-2</v>
      </c>
      <c r="G78" s="20">
        <v>6.7640922487882532E-2</v>
      </c>
      <c r="H78" s="20">
        <v>7.7683955378845634E-2</v>
      </c>
      <c r="I78" s="20">
        <v>8.0323433132079028E-2</v>
      </c>
      <c r="J78" s="20">
        <v>7.0280400241115926E-2</v>
      </c>
      <c r="K78" s="20">
        <v>8.0323433132079028E-2</v>
      </c>
      <c r="L78" s="20">
        <v>0.10742642744045022</v>
      </c>
      <c r="M78" s="20">
        <v>0.10742642744045022</v>
      </c>
      <c r="N78" s="20">
        <v>0.17068295415657961</v>
      </c>
    </row>
    <row r="79" spans="1:14" x14ac:dyDescent="0.25">
      <c r="A79" t="s">
        <v>26</v>
      </c>
      <c r="B79" t="s">
        <v>44</v>
      </c>
      <c r="C79" s="20">
        <v>4.2794743375799943E-2</v>
      </c>
      <c r="D79" s="20">
        <v>5.2836726589981273E-2</v>
      </c>
      <c r="E79" s="20">
        <v>6.2878776473816081E-2</v>
      </c>
      <c r="F79" s="20">
        <v>7.9694744153241362E-2</v>
      </c>
      <c r="G79" s="20">
        <v>6.7641804181530624E-2</v>
      </c>
      <c r="H79" s="20">
        <v>7.7683787395711953E-2</v>
      </c>
      <c r="I79" s="20">
        <v>8.0323265148945361E-2</v>
      </c>
      <c r="J79" s="20">
        <v>7.0281281934764003E-2</v>
      </c>
      <c r="K79" s="20">
        <v>8.0323265148945361E-2</v>
      </c>
      <c r="L79" s="20">
        <v>0.10743287965967542</v>
      </c>
      <c r="M79" s="20">
        <v>0.10743287965967542</v>
      </c>
      <c r="N79" s="20">
        <v>0.17067584627791324</v>
      </c>
    </row>
    <row r="80" spans="1:14" x14ac:dyDescent="0.25">
      <c r="A80" t="s">
        <v>26</v>
      </c>
      <c r="B80" t="s">
        <v>30</v>
      </c>
      <c r="C80" s="20">
        <v>4.2689973783875991E-2</v>
      </c>
      <c r="D80" s="20">
        <v>5.2730038094266241E-2</v>
      </c>
      <c r="E80" s="20">
        <v>6.2770206921257191E-2</v>
      </c>
      <c r="F80" s="20">
        <v>7.9800125599422123E-2</v>
      </c>
      <c r="G80" s="20">
        <v>6.7751966255281543E-2</v>
      </c>
      <c r="H80" s="20">
        <v>7.7792030565671785E-2</v>
      </c>
      <c r="I80" s="20">
        <v>8.0321275682165155E-2</v>
      </c>
      <c r="J80" s="20">
        <v>7.0281211371774899E-2</v>
      </c>
      <c r="K80" s="20">
        <v>8.0321275682165155E-2</v>
      </c>
      <c r="L80" s="20">
        <v>0.10742971953265051</v>
      </c>
      <c r="M80" s="20">
        <v>0.10742971953265051</v>
      </c>
      <c r="N80" s="20">
        <v>0.17068245697881895</v>
      </c>
    </row>
    <row r="81" spans="1:14" x14ac:dyDescent="0.25">
      <c r="A81" t="s">
        <v>26</v>
      </c>
      <c r="B81" t="s">
        <v>45</v>
      </c>
      <c r="C81" s="20">
        <v>4.2800221411937012E-2</v>
      </c>
      <c r="D81" s="20">
        <v>5.2840257329064319E-2</v>
      </c>
      <c r="E81" s="20">
        <v>6.2880293246191626E-2</v>
      </c>
      <c r="F81" s="20">
        <v>7.9689848178925632E-2</v>
      </c>
      <c r="G81" s="20">
        <v>6.7641673651949355E-2</v>
      </c>
      <c r="H81" s="20">
        <v>7.7681709569076648E-2</v>
      </c>
      <c r="I81" s="20">
        <v>8.0321187322310042E-2</v>
      </c>
      <c r="J81" s="20">
        <v>7.0281151405182749E-2</v>
      </c>
      <c r="K81" s="20">
        <v>8.0321187322310042E-2</v>
      </c>
      <c r="L81" s="20">
        <v>0.10742987286036354</v>
      </c>
      <c r="M81" s="20">
        <v>0.10742987286036354</v>
      </c>
      <c r="N81" s="20">
        <v>0.17068272484232541</v>
      </c>
    </row>
    <row r="82" spans="1:14" x14ac:dyDescent="0.25">
      <c r="A82" t="s">
        <v>26</v>
      </c>
      <c r="B82" t="s">
        <v>46</v>
      </c>
      <c r="C82" s="20">
        <v>4.2778345462363872E-2</v>
      </c>
      <c r="D82" s="20">
        <v>5.2778361451277171E-2</v>
      </c>
      <c r="E82" s="20">
        <v>6.2917281124375835E-2</v>
      </c>
      <c r="F82" s="20">
        <v>7.9721613066392291E-2</v>
      </c>
      <c r="G82" s="20">
        <v>6.7638291641468312E-2</v>
      </c>
      <c r="H82" s="20">
        <v>7.7638307630381598E-2</v>
      </c>
      <c r="I82" s="20">
        <v>8.0277785383615005E-2</v>
      </c>
      <c r="J82" s="20">
        <v>7.0277769394701733E-2</v>
      </c>
      <c r="K82" s="20">
        <v>8.0277785383615005E-2</v>
      </c>
      <c r="L82" s="20">
        <v>0.10736110580923186</v>
      </c>
      <c r="M82" s="20">
        <v>0.10736110580923186</v>
      </c>
      <c r="N82" s="20">
        <v>0.17097224784334542</v>
      </c>
    </row>
    <row r="83" spans="1:14" x14ac:dyDescent="0.25">
      <c r="A83" t="s">
        <v>26</v>
      </c>
      <c r="B83" t="s">
        <v>47</v>
      </c>
      <c r="C83" s="20">
        <v>4.2791518713736924E-2</v>
      </c>
      <c r="D83" s="20">
        <v>5.2812254753658278E-2</v>
      </c>
      <c r="E83" s="20">
        <v>6.2902087594397749E-2</v>
      </c>
      <c r="F83" s="20">
        <v>7.9668711377609877E-2</v>
      </c>
      <c r="G83" s="20">
        <v>6.7643868127852308E-2</v>
      </c>
      <c r="H83" s="20">
        <v>7.7664604167773654E-2</v>
      </c>
      <c r="I83" s="20">
        <v>8.0304081921007062E-2</v>
      </c>
      <c r="J83" s="20">
        <v>7.0283345881085729E-2</v>
      </c>
      <c r="K83" s="20">
        <v>8.0304081921007062E-2</v>
      </c>
      <c r="L83" s="20">
        <v>0.10746372442955891</v>
      </c>
      <c r="M83" s="20">
        <v>0.10746372442955891</v>
      </c>
      <c r="N83" s="20">
        <v>0.17069799668275362</v>
      </c>
    </row>
    <row r="84" spans="1:14" x14ac:dyDescent="0.25">
      <c r="A84" t="s">
        <v>26</v>
      </c>
      <c r="B84" t="s">
        <v>48</v>
      </c>
      <c r="C84" s="20">
        <v>4.2801462241084554E-2</v>
      </c>
      <c r="D84" s="20">
        <v>5.2838748988288067E-2</v>
      </c>
      <c r="E84" s="20">
        <v>6.2879235735251574E-2</v>
      </c>
      <c r="F84" s="20">
        <v>7.9690016072054573E-2</v>
      </c>
      <c r="G84" s="20">
        <v>6.7640779475747342E-2</v>
      </c>
      <c r="H84" s="20">
        <v>7.7681278722709871E-2</v>
      </c>
      <c r="I84" s="20">
        <v>8.0320756475943292E-2</v>
      </c>
      <c r="J84" s="20">
        <v>7.0280257228980722E-2</v>
      </c>
      <c r="K84" s="20">
        <v>8.0320756475943292E-2</v>
      </c>
      <c r="L84" s="20">
        <v>0.10743074194269439</v>
      </c>
      <c r="M84" s="20">
        <v>0.10743074194269439</v>
      </c>
      <c r="N84" s="20">
        <v>0.17068522469860817</v>
      </c>
    </row>
    <row r="85" spans="1:14" x14ac:dyDescent="0.25">
      <c r="A85" t="s">
        <v>26</v>
      </c>
      <c r="B85" t="s">
        <v>31</v>
      </c>
      <c r="C85" s="20">
        <v>4.2695779406302557E-2</v>
      </c>
      <c r="D85" s="20">
        <v>5.2734258220655188E-2</v>
      </c>
      <c r="E85" s="20">
        <v>6.277445692940406E-2</v>
      </c>
      <c r="F85" s="20">
        <v>7.9795863853540039E-2</v>
      </c>
      <c r="G85" s="20">
        <v>6.7746293748854103E-2</v>
      </c>
      <c r="H85" s="20">
        <v>7.7786495116939428E-2</v>
      </c>
      <c r="I85" s="20">
        <v>8.0320674567398498E-2</v>
      </c>
      <c r="J85" s="20">
        <v>7.0280473199313173E-2</v>
      </c>
      <c r="K85" s="20">
        <v>8.0320674567398498E-2</v>
      </c>
      <c r="L85" s="20">
        <v>0.10742967714029247</v>
      </c>
      <c r="M85" s="20">
        <v>0.10742967714029247</v>
      </c>
      <c r="N85" s="20">
        <v>0.1706856761096095</v>
      </c>
    </row>
    <row r="86" spans="1:14" x14ac:dyDescent="0.25">
      <c r="A86" t="s">
        <v>26</v>
      </c>
      <c r="B86" t="s">
        <v>49</v>
      </c>
      <c r="C86" s="20">
        <v>4.2804039548105348E-2</v>
      </c>
      <c r="D86" s="20">
        <v>5.2837305102346938E-2</v>
      </c>
      <c r="E86" s="20">
        <v>6.2878420551399916E-2</v>
      </c>
      <c r="F86" s="20">
        <v>7.9691569010739982E-2</v>
      </c>
      <c r="G86" s="20">
        <v>6.7640630493316103E-2</v>
      </c>
      <c r="H86" s="20">
        <v>7.7681795941699106E-2</v>
      </c>
      <c r="I86" s="20">
        <v>8.0321273694932485E-2</v>
      </c>
      <c r="J86" s="20">
        <v>7.0280108246549511E-2</v>
      </c>
      <c r="K86" s="20">
        <v>8.0321273694932485E-2</v>
      </c>
      <c r="L86" s="20">
        <v>0.10742996043853013</v>
      </c>
      <c r="M86" s="20">
        <v>0.10742996043853013</v>
      </c>
      <c r="N86" s="20">
        <v>0.17068366283891798</v>
      </c>
    </row>
    <row r="87" spans="1:14" x14ac:dyDescent="0.25">
      <c r="A87" t="s">
        <v>26</v>
      </c>
      <c r="B87" t="s">
        <v>50</v>
      </c>
      <c r="C87" s="20">
        <v>4.2803074847381453E-2</v>
      </c>
      <c r="D87" s="20">
        <v>5.2823540886746186E-2</v>
      </c>
      <c r="E87" s="20">
        <v>6.28848933976216E-2</v>
      </c>
      <c r="F87" s="20">
        <v>7.9691793640402811E-2</v>
      </c>
      <c r="G87" s="20">
        <v>6.7626363924187319E-2</v>
      </c>
      <c r="H87" s="20">
        <v>7.7687716435062726E-2</v>
      </c>
      <c r="I87" s="20">
        <v>8.0327194188296133E-2</v>
      </c>
      <c r="J87" s="20">
        <v>7.0265841677420712E-2</v>
      </c>
      <c r="K87" s="20">
        <v>8.0327194188296133E-2</v>
      </c>
      <c r="L87" s="20">
        <v>0.10744376619931403</v>
      </c>
      <c r="M87" s="20">
        <v>0.10744376619931403</v>
      </c>
      <c r="N87" s="20">
        <v>0.17067485441595703</v>
      </c>
    </row>
    <row r="88" spans="1:14" x14ac:dyDescent="0.25">
      <c r="A88" t="s">
        <v>26</v>
      </c>
      <c r="B88" t="s">
        <v>51</v>
      </c>
      <c r="C88" s="20">
        <v>4.2803074847381446E-2</v>
      </c>
      <c r="D88" s="20">
        <v>5.2823540886746186E-2</v>
      </c>
      <c r="E88" s="20">
        <v>6.28848933976216E-2</v>
      </c>
      <c r="F88" s="20">
        <v>7.9691793640402825E-2</v>
      </c>
      <c r="G88" s="20">
        <v>6.7626363924187319E-2</v>
      </c>
      <c r="H88" s="20">
        <v>7.768771643506274E-2</v>
      </c>
      <c r="I88" s="20">
        <v>8.0327194188296119E-2</v>
      </c>
      <c r="J88" s="20">
        <v>7.0265841677420685E-2</v>
      </c>
      <c r="K88" s="20">
        <v>8.0327194188296119E-2</v>
      </c>
      <c r="L88" s="20">
        <v>0.10744376619931399</v>
      </c>
      <c r="M88" s="20">
        <v>0.10744376619931399</v>
      </c>
      <c r="N88" s="20">
        <v>0.17067485441595695</v>
      </c>
    </row>
    <row r="89" spans="1:14" x14ac:dyDescent="0.25">
      <c r="A89" t="s">
        <v>26</v>
      </c>
      <c r="B89" t="s">
        <v>122</v>
      </c>
      <c r="C89" s="20">
        <v>4.2797724320001632E-2</v>
      </c>
      <c r="D89" s="20">
        <v>5.2840752210965763E-2</v>
      </c>
      <c r="E89" s="20">
        <v>6.2883785101928852E-2</v>
      </c>
      <c r="F89" s="20">
        <v>7.968978495762144E-2</v>
      </c>
      <c r="G89" s="20">
        <v>6.7640922487882546E-2</v>
      </c>
      <c r="H89" s="20">
        <v>7.7683955378845648E-2</v>
      </c>
      <c r="I89" s="20">
        <v>8.0323433132079056E-2</v>
      </c>
      <c r="J89" s="20">
        <v>7.028040024111594E-2</v>
      </c>
      <c r="K89" s="20">
        <v>8.0323433132079056E-2</v>
      </c>
      <c r="L89" s="20">
        <v>0.10742642744045024</v>
      </c>
      <c r="M89" s="20">
        <v>0.10742642744045024</v>
      </c>
      <c r="N89" s="20">
        <v>0.17068295415657964</v>
      </c>
    </row>
    <row r="90" spans="1:14" x14ac:dyDescent="0.25">
      <c r="A90" t="s">
        <v>26</v>
      </c>
      <c r="B90" t="s">
        <v>52</v>
      </c>
      <c r="C90" s="20">
        <v>4.2837497555213593E-2</v>
      </c>
      <c r="D90" s="20">
        <v>5.2837497555213608E-2</v>
      </c>
      <c r="E90" s="20">
        <v>6.2837497555213576E-2</v>
      </c>
      <c r="F90" s="20">
        <v>7.9736759870528987E-2</v>
      </c>
      <c r="G90" s="20">
        <v>6.765755194973691E-2</v>
      </c>
      <c r="H90" s="20">
        <v>7.7657551949736892E-2</v>
      </c>
      <c r="I90" s="20">
        <v>8.0297029702970285E-2</v>
      </c>
      <c r="J90" s="20">
        <v>7.0297029702970304E-2</v>
      </c>
      <c r="K90" s="20">
        <v>8.0297029702970285E-2</v>
      </c>
      <c r="L90" s="20">
        <v>0.10742574257425741</v>
      </c>
      <c r="M90" s="20">
        <v>0.10742574257425741</v>
      </c>
      <c r="N90" s="20">
        <v>0.17069306930693071</v>
      </c>
    </row>
    <row r="91" spans="1:14" x14ac:dyDescent="0.25">
      <c r="A91" t="s">
        <v>26</v>
      </c>
      <c r="B91" t="s">
        <v>32</v>
      </c>
      <c r="C91" s="20">
        <v>4.1389235553275283E-2</v>
      </c>
      <c r="D91" s="20">
        <v>5.1429424845954384E-2</v>
      </c>
      <c r="E91" s="20">
        <v>6.1469536093041684E-2</v>
      </c>
      <c r="F91" s="20">
        <v>8.1100651328656126E-2</v>
      </c>
      <c r="G91" s="20">
        <v>6.9052487443421129E-2</v>
      </c>
      <c r="H91" s="20">
        <v>7.9092676736100251E-2</v>
      </c>
      <c r="I91" s="20">
        <v>8.0321301185306379E-2</v>
      </c>
      <c r="J91" s="20">
        <v>7.0281111892627243E-2</v>
      </c>
      <c r="K91" s="20">
        <v>8.0321301185306379E-2</v>
      </c>
      <c r="L91" s="20">
        <v>0.10742968192008072</v>
      </c>
      <c r="M91" s="20">
        <v>0.10742968192008072</v>
      </c>
      <c r="N91" s="20">
        <v>0.17068290989614973</v>
      </c>
    </row>
    <row r="92" spans="1:14" x14ac:dyDescent="0.25">
      <c r="A92" t="s">
        <v>26</v>
      </c>
      <c r="B92" t="s">
        <v>54</v>
      </c>
      <c r="C92" s="20">
        <v>3.9997510965091285E-2</v>
      </c>
      <c r="D92" s="20">
        <v>6.0002491534943754E-2</v>
      </c>
      <c r="E92" s="20">
        <v>6.0002491534943754E-2</v>
      </c>
      <c r="F92" s="20">
        <v>6.0002491534943754E-2</v>
      </c>
      <c r="G92" s="20">
        <v>7.0001856776041274E-2</v>
      </c>
      <c r="H92" s="20">
        <v>7.0001856776041274E-2</v>
      </c>
      <c r="I92" s="20">
        <v>8.000124701748941E-2</v>
      </c>
      <c r="J92" s="20">
        <v>8.000124701748941E-2</v>
      </c>
      <c r="K92" s="20">
        <v>0.10000000250003505</v>
      </c>
      <c r="L92" s="20">
        <v>0.11999875798258071</v>
      </c>
      <c r="M92" s="20">
        <v>0.13999128837781949</v>
      </c>
      <c r="N92" s="20">
        <v>0.11999875798258071</v>
      </c>
    </row>
    <row r="93" spans="1:14" x14ac:dyDescent="0.25">
      <c r="A93" t="s">
        <v>26</v>
      </c>
      <c r="B93" t="s">
        <v>55</v>
      </c>
      <c r="C93" s="20">
        <v>4.0000001200026739E-2</v>
      </c>
      <c r="D93" s="20">
        <v>5.9999996799928713E-2</v>
      </c>
      <c r="E93" s="20">
        <v>5.9999996799928713E-2</v>
      </c>
      <c r="F93" s="20">
        <v>5.9999996799928713E-2</v>
      </c>
      <c r="G93" s="20">
        <v>6.9999999599991092E-2</v>
      </c>
      <c r="H93" s="20">
        <v>6.9999999599991092E-2</v>
      </c>
      <c r="I93" s="20">
        <v>8.0000002400053463E-2</v>
      </c>
      <c r="J93" s="20">
        <v>8.0000002400053463E-2</v>
      </c>
      <c r="K93" s="20">
        <v>9.9999997999955445E-2</v>
      </c>
      <c r="L93" s="20">
        <v>0.1200000036000802</v>
      </c>
      <c r="M93" s="20">
        <v>0.13999999919998218</v>
      </c>
      <c r="N93" s="20">
        <v>0.1200000036000802</v>
      </c>
    </row>
    <row r="94" spans="1:14" x14ac:dyDescent="0.25">
      <c r="A94" t="s">
        <v>26</v>
      </c>
      <c r="B94" t="s">
        <v>123</v>
      </c>
      <c r="C94" s="20">
        <v>4.0000000000000008E-2</v>
      </c>
      <c r="D94" s="20">
        <v>0.05</v>
      </c>
      <c r="E94" s="20">
        <v>5.9999999999999991E-2</v>
      </c>
      <c r="F94" s="20">
        <v>0.05</v>
      </c>
      <c r="G94" s="20">
        <v>5.9999999999999991E-2</v>
      </c>
      <c r="H94" s="20">
        <v>0.08</v>
      </c>
      <c r="I94" s="20">
        <v>7.0000000000000007E-2</v>
      </c>
      <c r="J94" s="20">
        <v>0.1</v>
      </c>
      <c r="K94" s="20">
        <v>0.14000000000000001</v>
      </c>
      <c r="L94" s="20">
        <v>0.14000000000000001</v>
      </c>
      <c r="M94" s="20">
        <v>0.12</v>
      </c>
      <c r="N94" s="20">
        <v>9.0000000000000011E-2</v>
      </c>
    </row>
    <row r="95" spans="1:14" x14ac:dyDescent="0.25">
      <c r="A95" t="s">
        <v>26</v>
      </c>
      <c r="B95" t="s">
        <v>125</v>
      </c>
      <c r="C95" s="20">
        <v>3.9999999999999994E-2</v>
      </c>
      <c r="D95" s="20">
        <v>4.9999999999999996E-2</v>
      </c>
      <c r="E95" s="20">
        <v>6.0000000000000005E-2</v>
      </c>
      <c r="F95" s="20">
        <v>4.9999999999999996E-2</v>
      </c>
      <c r="G95" s="20">
        <v>6.0000000000000005E-2</v>
      </c>
      <c r="H95" s="20">
        <v>0.08</v>
      </c>
      <c r="I95" s="20">
        <v>7.0000000000000021E-2</v>
      </c>
      <c r="J95" s="20">
        <v>9.9999999999999992E-2</v>
      </c>
      <c r="K95" s="20">
        <v>0.14000000000000001</v>
      </c>
      <c r="L95" s="20">
        <v>0.14000000000000001</v>
      </c>
      <c r="M95" s="20">
        <v>0.12000000000000001</v>
      </c>
      <c r="N95" s="20">
        <v>0.09</v>
      </c>
    </row>
    <row r="96" spans="1:14" x14ac:dyDescent="0.25">
      <c r="A96" t="s">
        <v>26</v>
      </c>
      <c r="B96" t="s">
        <v>126</v>
      </c>
      <c r="C96" s="20">
        <v>3.9999999999999994E-2</v>
      </c>
      <c r="D96" s="20">
        <v>5.000000000000001E-2</v>
      </c>
      <c r="E96" s="20">
        <v>5.9999999999999991E-2</v>
      </c>
      <c r="F96" s="20">
        <v>5.000000000000001E-2</v>
      </c>
      <c r="G96" s="20">
        <v>5.9999999999999991E-2</v>
      </c>
      <c r="H96" s="20">
        <v>7.9999999999999988E-2</v>
      </c>
      <c r="I96" s="20">
        <v>7.0000000000000007E-2</v>
      </c>
      <c r="J96" s="20">
        <v>9.9999999999999978E-2</v>
      </c>
      <c r="K96" s="20">
        <v>0.14000000000000001</v>
      </c>
      <c r="L96" s="20">
        <v>0.14000000000000001</v>
      </c>
      <c r="M96" s="20">
        <v>0.11999999999999998</v>
      </c>
      <c r="N96" s="20">
        <v>8.9999999999999969E-2</v>
      </c>
    </row>
    <row r="97" spans="1:14" x14ac:dyDescent="0.25">
      <c r="A97" t="s">
        <v>26</v>
      </c>
      <c r="B97" t="s">
        <v>127</v>
      </c>
      <c r="C97" s="20">
        <v>0.04</v>
      </c>
      <c r="D97" s="20">
        <v>4.9999999999999996E-2</v>
      </c>
      <c r="E97" s="20">
        <v>5.9999999999999984E-2</v>
      </c>
      <c r="F97" s="20">
        <v>4.9999999999999996E-2</v>
      </c>
      <c r="G97" s="20">
        <v>5.9999999999999984E-2</v>
      </c>
      <c r="H97" s="20">
        <v>0.08</v>
      </c>
      <c r="I97" s="20">
        <v>6.9999999999999993E-2</v>
      </c>
      <c r="J97" s="20">
        <v>9.9999999999999978E-2</v>
      </c>
      <c r="K97" s="20">
        <v>0.13999999999999999</v>
      </c>
      <c r="L97" s="20">
        <v>0.13999999999999999</v>
      </c>
      <c r="M97" s="20">
        <v>0.11999999999999995</v>
      </c>
      <c r="N97" s="20">
        <v>9.0000000000000024E-2</v>
      </c>
    </row>
    <row r="98" spans="1:14" x14ac:dyDescent="0.25">
      <c r="A98" t="s">
        <v>26</v>
      </c>
      <c r="B98" t="s">
        <v>124</v>
      </c>
      <c r="C98" s="20">
        <v>3.9999999999999994E-2</v>
      </c>
      <c r="D98" s="20">
        <v>4.9999999999999996E-2</v>
      </c>
      <c r="E98" s="20">
        <v>0.06</v>
      </c>
      <c r="F98" s="20">
        <v>4.9999999999999996E-2</v>
      </c>
      <c r="G98" s="20">
        <v>0.06</v>
      </c>
      <c r="H98" s="20">
        <v>0.08</v>
      </c>
      <c r="I98" s="20">
        <v>6.9999999999999993E-2</v>
      </c>
      <c r="J98" s="20">
        <v>0.1</v>
      </c>
      <c r="K98" s="20">
        <v>0.14000000000000001</v>
      </c>
      <c r="L98" s="20">
        <v>0.14000000000000001</v>
      </c>
      <c r="M98" s="20">
        <v>0.12</v>
      </c>
      <c r="N98" s="20">
        <v>0.09</v>
      </c>
    </row>
    <row r="99" spans="1:14" x14ac:dyDescent="0.25">
      <c r="A99" t="s">
        <v>26</v>
      </c>
      <c r="B99" t="s">
        <v>56</v>
      </c>
      <c r="C99" s="20">
        <v>0.04</v>
      </c>
      <c r="D99" s="20">
        <v>5.0000000000000024E-2</v>
      </c>
      <c r="E99" s="20">
        <v>6.0000000000000005E-2</v>
      </c>
      <c r="F99" s="20">
        <v>5.0000000000000024E-2</v>
      </c>
      <c r="G99" s="20">
        <v>6.0000000000000005E-2</v>
      </c>
      <c r="H99" s="20">
        <v>8.0000000000000016E-2</v>
      </c>
      <c r="I99" s="20">
        <v>7.0000000000000007E-2</v>
      </c>
      <c r="J99" s="20">
        <v>0.10000000000000003</v>
      </c>
      <c r="K99" s="20">
        <v>0.14000000000000004</v>
      </c>
      <c r="L99" s="20">
        <v>0.14000000000000004</v>
      </c>
      <c r="M99" s="20">
        <v>0.12000000000000001</v>
      </c>
      <c r="N99" s="20">
        <v>9.0000000000000024E-2</v>
      </c>
    </row>
    <row r="100" spans="1:14" x14ac:dyDescent="0.25">
      <c r="A100" t="s">
        <v>26</v>
      </c>
      <c r="B100" t="s">
        <v>128</v>
      </c>
      <c r="C100" s="20">
        <v>0.04</v>
      </c>
      <c r="D100" s="20">
        <v>4.9999999999999996E-2</v>
      </c>
      <c r="E100" s="20">
        <v>5.9999999999999991E-2</v>
      </c>
      <c r="F100" s="20">
        <v>4.9999999999999996E-2</v>
      </c>
      <c r="G100" s="20">
        <v>5.9999999999999991E-2</v>
      </c>
      <c r="H100" s="20">
        <v>8.0000000000000016E-2</v>
      </c>
      <c r="I100" s="20">
        <v>6.9999999999999993E-2</v>
      </c>
      <c r="J100" s="20">
        <v>9.9999999999999978E-2</v>
      </c>
      <c r="K100" s="20">
        <v>0.13999999999999999</v>
      </c>
      <c r="L100" s="20">
        <v>0.13999999999999999</v>
      </c>
      <c r="M100" s="20">
        <v>0.11999999999999994</v>
      </c>
      <c r="N100" s="20">
        <v>0.09</v>
      </c>
    </row>
    <row r="101" spans="1:14" x14ac:dyDescent="0.25">
      <c r="A101" t="s">
        <v>26</v>
      </c>
      <c r="B101" t="s">
        <v>129</v>
      </c>
      <c r="C101" s="20">
        <v>4.0000000000000008E-2</v>
      </c>
      <c r="D101" s="20">
        <v>0.05</v>
      </c>
      <c r="E101" s="20">
        <v>0.06</v>
      </c>
      <c r="F101" s="20">
        <v>0.05</v>
      </c>
      <c r="G101" s="20">
        <v>0.06</v>
      </c>
      <c r="H101" s="20">
        <v>0.08</v>
      </c>
      <c r="I101" s="20">
        <v>7.0000000000000007E-2</v>
      </c>
      <c r="J101" s="20">
        <v>9.9999999999999964E-2</v>
      </c>
      <c r="K101" s="20">
        <v>0.14000000000000001</v>
      </c>
      <c r="L101" s="20">
        <v>0.14000000000000001</v>
      </c>
      <c r="M101" s="20">
        <v>0.12</v>
      </c>
      <c r="N101" s="20">
        <v>0.09</v>
      </c>
    </row>
    <row r="102" spans="1:14" x14ac:dyDescent="0.25">
      <c r="A102" t="s">
        <v>26</v>
      </c>
      <c r="B102" t="s">
        <v>130</v>
      </c>
      <c r="C102" s="20">
        <v>3.9999999999999994E-2</v>
      </c>
      <c r="D102" s="20">
        <v>4.9999999999999989E-2</v>
      </c>
      <c r="E102" s="20">
        <v>5.9999999999999977E-2</v>
      </c>
      <c r="F102" s="20">
        <v>4.9999999999999989E-2</v>
      </c>
      <c r="G102" s="20">
        <v>5.9999999999999977E-2</v>
      </c>
      <c r="H102" s="20">
        <v>7.9999999999999974E-2</v>
      </c>
      <c r="I102" s="20">
        <v>6.9999999999999979E-2</v>
      </c>
      <c r="J102" s="20">
        <v>0.10000000000000002</v>
      </c>
      <c r="K102" s="20">
        <v>0.14000000000000001</v>
      </c>
      <c r="L102" s="20">
        <v>0.14000000000000001</v>
      </c>
      <c r="M102" s="20">
        <v>0.11999999999999995</v>
      </c>
      <c r="N102" s="20">
        <v>0.09</v>
      </c>
    </row>
    <row r="103" spans="1:14" x14ac:dyDescent="0.25">
      <c r="A103" t="s">
        <v>26</v>
      </c>
      <c r="B103" t="s">
        <v>60</v>
      </c>
      <c r="C103" s="20">
        <v>0</v>
      </c>
      <c r="D103" s="20">
        <v>0</v>
      </c>
      <c r="E103" s="20">
        <v>8.0000000000000016E-2</v>
      </c>
      <c r="F103" s="20">
        <v>0.1</v>
      </c>
      <c r="G103" s="20">
        <v>0.1</v>
      </c>
      <c r="H103" s="20">
        <v>0.1</v>
      </c>
      <c r="I103" s="20">
        <v>0.11000000000000004</v>
      </c>
      <c r="J103" s="20">
        <v>0.11000000000000004</v>
      </c>
      <c r="K103" s="20">
        <v>0.1</v>
      </c>
      <c r="L103" s="20">
        <v>0.1</v>
      </c>
      <c r="M103" s="20">
        <v>0.1</v>
      </c>
      <c r="N103" s="20">
        <v>0.1</v>
      </c>
    </row>
    <row r="104" spans="1:14" x14ac:dyDescent="0.25">
      <c r="A104" t="s">
        <v>26</v>
      </c>
      <c r="B104" t="s">
        <v>62</v>
      </c>
      <c r="C104" s="20">
        <v>0</v>
      </c>
      <c r="D104" s="20">
        <v>0</v>
      </c>
      <c r="E104" s="20">
        <v>0.04</v>
      </c>
      <c r="F104" s="20">
        <v>0.09</v>
      </c>
      <c r="G104" s="20">
        <v>0.12</v>
      </c>
      <c r="H104" s="20">
        <v>0.22</v>
      </c>
      <c r="I104" s="20">
        <v>0.25</v>
      </c>
      <c r="J104" s="20">
        <v>0.2</v>
      </c>
      <c r="K104" s="20">
        <v>0.02</v>
      </c>
      <c r="L104" s="20">
        <v>0.02</v>
      </c>
      <c r="M104" s="20">
        <v>0.02</v>
      </c>
      <c r="N104" s="20">
        <v>0.02</v>
      </c>
    </row>
    <row r="105" spans="1:14" x14ac:dyDescent="0.25">
      <c r="A105" t="s">
        <v>26</v>
      </c>
      <c r="B105" t="s">
        <v>58</v>
      </c>
      <c r="C105" s="20">
        <v>0</v>
      </c>
      <c r="D105" s="20">
        <v>7.0000000000000007E-2</v>
      </c>
      <c r="E105" s="20">
        <v>0.1</v>
      </c>
      <c r="F105" s="20">
        <v>3.0000000000000002E-2</v>
      </c>
      <c r="G105" s="20">
        <v>0.05</v>
      </c>
      <c r="H105" s="20">
        <v>0.17000000000000004</v>
      </c>
      <c r="I105" s="20">
        <v>0.23000000000000007</v>
      </c>
      <c r="J105" s="20">
        <v>0.15000000000000002</v>
      </c>
      <c r="K105" s="20">
        <v>0.08</v>
      </c>
      <c r="L105" s="20">
        <v>5.9999999999999991E-2</v>
      </c>
      <c r="M105" s="20">
        <v>5.9999999999999991E-2</v>
      </c>
      <c r="N105" s="20">
        <v>0</v>
      </c>
    </row>
    <row r="106" spans="1:14" x14ac:dyDescent="0.25">
      <c r="A106" t="s">
        <v>26</v>
      </c>
      <c r="B106" t="s">
        <v>131</v>
      </c>
      <c r="C106" s="20">
        <v>0</v>
      </c>
      <c r="D106" s="20">
        <v>0</v>
      </c>
      <c r="E106" s="20">
        <v>4.0000000000000008E-2</v>
      </c>
      <c r="F106" s="20">
        <v>0.08</v>
      </c>
      <c r="G106" s="20">
        <v>0.14000000000000004</v>
      </c>
      <c r="H106" s="20">
        <v>0.20000000000000007</v>
      </c>
      <c r="I106" s="20">
        <v>0.21000000000000002</v>
      </c>
      <c r="J106" s="20">
        <v>0.22000000000000003</v>
      </c>
      <c r="K106" s="20">
        <v>8.9999999999999983E-2</v>
      </c>
      <c r="L106" s="20">
        <v>1.0000000000000002E-2</v>
      </c>
      <c r="M106" s="20">
        <v>1.0000000000000002E-2</v>
      </c>
      <c r="N106" s="20">
        <v>0</v>
      </c>
    </row>
    <row r="107" spans="1:14" x14ac:dyDescent="0.25">
      <c r="A107" t="s">
        <v>26</v>
      </c>
      <c r="B107" t="s">
        <v>61</v>
      </c>
      <c r="C107" s="20">
        <v>0</v>
      </c>
      <c r="D107" s="20">
        <v>0</v>
      </c>
      <c r="E107" s="20">
        <v>0.04</v>
      </c>
      <c r="F107" s="20">
        <v>0.09</v>
      </c>
      <c r="G107" s="20">
        <v>0.12000000000000001</v>
      </c>
      <c r="H107" s="20">
        <v>0.22000000000000003</v>
      </c>
      <c r="I107" s="20">
        <v>0.25000000000000006</v>
      </c>
      <c r="J107" s="20">
        <v>0.20000000000000004</v>
      </c>
      <c r="K107" s="20">
        <v>2.0000000000000004E-2</v>
      </c>
      <c r="L107" s="20">
        <v>2.0000000000000004E-2</v>
      </c>
      <c r="M107" s="20">
        <v>2.0000000000000004E-2</v>
      </c>
      <c r="N107" s="20">
        <v>2.0000000000000004E-2</v>
      </c>
    </row>
    <row r="108" spans="1:14" x14ac:dyDescent="0.25">
      <c r="A108" t="s">
        <v>26</v>
      </c>
      <c r="B108" t="s">
        <v>132</v>
      </c>
      <c r="C108" s="20">
        <v>3.999991920004204E-2</v>
      </c>
      <c r="D108" s="20">
        <v>4.9999994000003128E-2</v>
      </c>
      <c r="E108" s="20">
        <v>6.0000068799964244E-2</v>
      </c>
      <c r="F108" s="20">
        <v>6.9999963600018922E-2</v>
      </c>
      <c r="G108" s="20">
        <v>8.9999933200034757E-2</v>
      </c>
      <c r="H108" s="20">
        <v>0.11000006279996737</v>
      </c>
      <c r="I108" s="20">
        <v>0.12000013759992843</v>
      </c>
      <c r="J108" s="20">
        <v>0.10000000799999584</v>
      </c>
      <c r="K108" s="20">
        <v>0.10000000799999584</v>
      </c>
      <c r="L108" s="20">
        <v>8.0000038399980045E-2</v>
      </c>
      <c r="M108" s="20">
        <v>8.9999933200034757E-2</v>
      </c>
      <c r="N108" s="20">
        <v>8.9999933200034757E-2</v>
      </c>
    </row>
    <row r="109" spans="1:14" x14ac:dyDescent="0.25">
      <c r="A109" t="s">
        <v>142</v>
      </c>
      <c r="B109" s="21" t="s">
        <v>24</v>
      </c>
      <c r="C109" s="20">
        <v>0.41348286365719117</v>
      </c>
      <c r="D109" s="20">
        <v>3.2365941433293584E-2</v>
      </c>
      <c r="E109" s="20">
        <v>3.8530720051636727E-2</v>
      </c>
      <c r="F109" s="20">
        <v>4.8828633031089329E-2</v>
      </c>
      <c r="G109" s="20">
        <v>4.146097576249165E-2</v>
      </c>
      <c r="H109" s="20">
        <v>4.7625744166519275E-2</v>
      </c>
      <c r="I109" s="20">
        <v>4.9243000513105678E-2</v>
      </c>
      <c r="J109" s="20">
        <v>4.3078232109078012E-2</v>
      </c>
      <c r="K109" s="20">
        <v>4.9243000513105678E-2</v>
      </c>
      <c r="L109" s="20">
        <v>6.5782643239998273E-2</v>
      </c>
      <c r="M109" s="20">
        <v>6.5857820602060302E-2</v>
      </c>
      <c r="N109" s="20">
        <v>0.10450042492043039</v>
      </c>
    </row>
    <row r="110" spans="1:14" x14ac:dyDescent="0.25">
      <c r="A110" t="s">
        <v>142</v>
      </c>
      <c r="B110" s="21" t="s">
        <v>28</v>
      </c>
      <c r="C110" s="20">
        <v>2.8141400548611133E-2</v>
      </c>
      <c r="D110" s="20">
        <v>3.4719953699855935E-2</v>
      </c>
      <c r="E110" s="20">
        <v>4.1344510719291246E-2</v>
      </c>
      <c r="F110" s="20">
        <v>8.6625841140546778E-2</v>
      </c>
      <c r="G110" s="20">
        <v>7.8713175811776795E-2</v>
      </c>
      <c r="H110" s="20">
        <v>8.5337732831212126E-2</v>
      </c>
      <c r="I110" s="20">
        <v>8.7072913038463026E-2</v>
      </c>
      <c r="J110" s="20">
        <v>8.0448356019027695E-2</v>
      </c>
      <c r="K110" s="20">
        <v>8.7072913038463026E-2</v>
      </c>
      <c r="L110" s="20">
        <v>0.12200664620606672</v>
      </c>
      <c r="M110" s="20">
        <v>0.12200664620606672</v>
      </c>
      <c r="N110" s="20">
        <v>0.14650991074061881</v>
      </c>
    </row>
    <row r="111" spans="1:14" x14ac:dyDescent="0.25">
      <c r="A111" t="s">
        <v>142</v>
      </c>
      <c r="B111" s="21" t="s">
        <v>29</v>
      </c>
      <c r="C111" s="20">
        <v>2.0000000000000004E-2</v>
      </c>
      <c r="D111" s="20">
        <v>2.0000000000000004E-2</v>
      </c>
      <c r="E111" s="20">
        <v>2.0000000000000004E-2</v>
      </c>
      <c r="F111" s="20">
        <v>0.05</v>
      </c>
      <c r="G111" s="20">
        <v>0.05</v>
      </c>
      <c r="H111" s="20">
        <v>0.05</v>
      </c>
      <c r="I111" s="20">
        <v>0.11999999999999998</v>
      </c>
      <c r="J111" s="20">
        <v>0.11999999999999998</v>
      </c>
      <c r="K111" s="20">
        <v>0.11999999999999998</v>
      </c>
      <c r="L111" s="20">
        <v>0.13999999999999999</v>
      </c>
      <c r="M111" s="20">
        <v>0.14999999999999997</v>
      </c>
      <c r="N111" s="20">
        <v>0.13999999999999999</v>
      </c>
    </row>
    <row r="112" spans="1:14" x14ac:dyDescent="0.25">
      <c r="A112" t="s">
        <v>142</v>
      </c>
      <c r="B112" s="21" t="s">
        <v>30</v>
      </c>
      <c r="C112" s="20">
        <v>4.2689973783875991E-2</v>
      </c>
      <c r="D112" s="20">
        <v>5.2730038094266241E-2</v>
      </c>
      <c r="E112" s="20">
        <v>6.2770206921257191E-2</v>
      </c>
      <c r="F112" s="20">
        <v>7.9800125599422123E-2</v>
      </c>
      <c r="G112" s="20">
        <v>6.7751966255281543E-2</v>
      </c>
      <c r="H112" s="20">
        <v>7.7792030565671785E-2</v>
      </c>
      <c r="I112" s="20">
        <v>8.0321275682165155E-2</v>
      </c>
      <c r="J112" s="20">
        <v>7.0281211371774899E-2</v>
      </c>
      <c r="K112" s="20">
        <v>8.0321275682165155E-2</v>
      </c>
      <c r="L112" s="20">
        <v>0.10742971953265051</v>
      </c>
      <c r="M112" s="20">
        <v>0.10742971953265051</v>
      </c>
      <c r="N112" s="20">
        <v>0.17068245697881895</v>
      </c>
    </row>
    <row r="113" spans="1:14" x14ac:dyDescent="0.25">
      <c r="A113" t="s">
        <v>142</v>
      </c>
      <c r="B113" s="21" t="s">
        <v>31</v>
      </c>
      <c r="C113" s="20">
        <v>4.2800221411937012E-2</v>
      </c>
      <c r="D113" s="20">
        <v>5.2840257329064319E-2</v>
      </c>
      <c r="E113" s="20">
        <v>6.2880293246191626E-2</v>
      </c>
      <c r="F113" s="20">
        <v>7.9689848178925632E-2</v>
      </c>
      <c r="G113" s="20">
        <v>6.7641673651949355E-2</v>
      </c>
      <c r="H113" s="20">
        <v>7.7681709569076648E-2</v>
      </c>
      <c r="I113" s="20">
        <v>8.0321187322310042E-2</v>
      </c>
      <c r="J113" s="20">
        <v>7.0281151405182749E-2</v>
      </c>
      <c r="K113" s="20">
        <v>8.0321187322310042E-2</v>
      </c>
      <c r="L113" s="20">
        <v>0.10742987286036354</v>
      </c>
      <c r="M113" s="20">
        <v>0.10742987286036354</v>
      </c>
      <c r="N113" s="20">
        <v>0.17068272484232541</v>
      </c>
    </row>
    <row r="114" spans="1:14" x14ac:dyDescent="0.25">
      <c r="A114" t="s">
        <v>142</v>
      </c>
      <c r="B114" s="21" t="s">
        <v>32</v>
      </c>
      <c r="C114" s="20">
        <v>4.1389235553275283E-2</v>
      </c>
      <c r="D114" s="20">
        <v>5.1429424845954384E-2</v>
      </c>
      <c r="E114" s="20">
        <v>6.1469536093041684E-2</v>
      </c>
      <c r="F114" s="20">
        <v>8.1100651328656126E-2</v>
      </c>
      <c r="G114" s="20">
        <v>6.9052487443421129E-2</v>
      </c>
      <c r="H114" s="20">
        <v>7.9092676736100251E-2</v>
      </c>
      <c r="I114" s="20">
        <v>8.0321301185306379E-2</v>
      </c>
      <c r="J114" s="20">
        <v>7.0281111892627243E-2</v>
      </c>
      <c r="K114" s="20">
        <v>8.0321301185306379E-2</v>
      </c>
      <c r="L114" s="20">
        <v>0.10742968192008072</v>
      </c>
      <c r="M114" s="20">
        <v>0.10742968192008072</v>
      </c>
      <c r="N114" s="20">
        <v>0.17068290989614973</v>
      </c>
    </row>
  </sheetData>
  <conditionalFormatting sqref="C2:N10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9:N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Загрузка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Иванов Данила Владимирович</cp:lastModifiedBy>
  <dcterms:created xsi:type="dcterms:W3CDTF">2026-04-02T14:48:16Z</dcterms:created>
  <dcterms:modified xsi:type="dcterms:W3CDTF">2026-04-13T08:47:45Z</dcterms:modified>
</cp:coreProperties>
</file>