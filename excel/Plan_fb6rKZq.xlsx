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ivanov\Desktop\Projects\План 2026\LOADER DWH\"/>
    </mc:Choice>
  </mc:AlternateContent>
  <xr:revisionPtr revIDLastSave="0" documentId="13_ncr:1_{2BD1A392-FD2D-49DC-8A51-70580A57B3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Загрузка" sheetId="1" r:id="rId1"/>
    <sheet name="Data" sheetId="2" r:id="rId2"/>
  </sheets>
  <definedNames>
    <definedName name="_xlnm._FilterDatabase" localSheetId="1" hidden="1">Data!$A$1:$E$366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66" i="2" l="1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<sst xmlns="http://schemas.openxmlformats.org/spreadsheetml/2006/main" count="1176" uniqueCount="372">
  <si>
    <t>Исполнение плана продаж по подразделениям</t>
  </si>
  <si>
    <t>Параметры:</t>
  </si>
  <si>
    <t>Период: 01.01.2026 - 31.12.2026</t>
  </si>
  <si>
    <t>Допустимые отклонения количества: 5 %</t>
  </si>
  <si>
    <t>Допустимые отклонения суммы: 5 %</t>
  </si>
  <si>
    <t xml:space="preserve">Валюта сценария: </t>
  </si>
  <si>
    <t>Отбор:</t>
  </si>
  <si>
    <t>Подразделение</t>
  </si>
  <si>
    <t>Номенклатура</t>
  </si>
  <si>
    <t>Январь 2026 г.</t>
  </si>
  <si>
    <t>Февраль 2026 г.</t>
  </si>
  <si>
    <t>Март 2026 г.</t>
  </si>
  <si>
    <t>Апрель 2026 г.</t>
  </si>
  <si>
    <t>Май 2026 г.</t>
  </si>
  <si>
    <t>Июнь 2026 г.</t>
  </si>
  <si>
    <t>Июль 2026 г.</t>
  </si>
  <si>
    <t>Август 2026 г.</t>
  </si>
  <si>
    <t>Сентябрь 2026 г.</t>
  </si>
  <si>
    <t>Октябрь 2026 г.</t>
  </si>
  <si>
    <t>Ноябрь 2026 г.</t>
  </si>
  <si>
    <t>Декабрь 2026 г.</t>
  </si>
  <si>
    <t>Итого</t>
  </si>
  <si>
    <t>План</t>
  </si>
  <si>
    <t>Количество</t>
  </si>
  <si>
    <t>Сумма</t>
  </si>
  <si>
    <t>Сумма DDP</t>
  </si>
  <si>
    <t>Брендинг</t>
  </si>
  <si>
    <t>PG_ACC_BRANDING</t>
  </si>
  <si>
    <t>PG_Packaged_NoName</t>
  </si>
  <si>
    <t>PG_VRF Daichi+Noname</t>
  </si>
  <si>
    <t>Буфер дилерский канал</t>
  </si>
  <si>
    <t>PG_ACC_PROF</t>
  </si>
  <si>
    <t>PG_ACC_RAC</t>
  </si>
  <si>
    <t>PG_ACC_VRF</t>
  </si>
  <si>
    <t>PG_AirLab Spl (inv-1) (Gen 1) [Haier]</t>
  </si>
  <si>
    <t>PG_AirLab Spl (o/f-0) (Gen 1) [Haier]</t>
  </si>
  <si>
    <t>PG_Axioma Spl (inv-1) (Серия F) [Haier]</t>
  </si>
  <si>
    <t>PG_Axioma Spl (inv-1) (Серия H) [TCL]</t>
  </si>
  <si>
    <t>PG_Axioma Spl (o/f-0) (Серия F) [Haier]</t>
  </si>
  <si>
    <t>PG_Axioma Spl (o/f-0) (Серия H) [TCL]</t>
  </si>
  <si>
    <t>PG_Chillers Daikin</t>
  </si>
  <si>
    <t>PG_Chillers Kentatsu</t>
  </si>
  <si>
    <t>PG_Chillers MIDEA</t>
  </si>
  <si>
    <t>PG_Chillers_modular_MIDEA</t>
  </si>
  <si>
    <t>PG_CoolUP (inv-1)</t>
  </si>
  <si>
    <t>PG_CoolUP (o/f-0)</t>
  </si>
  <si>
    <t>PG_Daichi DFT 2026</t>
  </si>
  <si>
    <t>PG_Daichi LCAC</t>
  </si>
  <si>
    <t>PG_Daichi LCAC on-off</t>
  </si>
  <si>
    <t>PG_Daichi Spl (inv-1) (Alpine) [MRAC]</t>
  </si>
  <si>
    <t>PG_Daichi Spl (inv-1) (EVO) [GREE]</t>
  </si>
  <si>
    <t>PG_Daichi Spl (inv-1) (ICI-I) [GREE]</t>
  </si>
  <si>
    <t>PG_Daichi Spl (inv-1) (Miracle) [TCL]</t>
  </si>
  <si>
    <t>PG_Daichi Spl (inv-1) (O2) [GREE] PreOrd</t>
  </si>
  <si>
    <t>PG_Daichi Spl (inv-1) (SIB) [GREE]</t>
  </si>
  <si>
    <t>PG_Daichi Spl (inv-1) (Unique) [Haier]</t>
  </si>
  <si>
    <t>PG_Daichi Spl (o/f-0) (Alpine) [MRAC]</t>
  </si>
  <si>
    <t>PG_Daichi Spl (o/f-0) (Everest) [TCL]</t>
  </si>
  <si>
    <t>PG_Daichi Spl (o/f-0) (ICE) [GREE]</t>
  </si>
  <si>
    <t>PG_Daichi Spl (o/f-0) (Miracle) [TCL]</t>
  </si>
  <si>
    <t>PG_Daikin Spl</t>
  </si>
  <si>
    <t>PG_Ecoletta (inv-1)</t>
  </si>
  <si>
    <t>PG_Ecoletta (o/f-0)</t>
  </si>
  <si>
    <t>PG_Fancoils Daikin</t>
  </si>
  <si>
    <t>PG_Fancoils KENTATSU</t>
  </si>
  <si>
    <t>PG_Fancoils MIDEA</t>
  </si>
  <si>
    <t>PG_HEAT_ACC</t>
  </si>
  <si>
    <t>PG_HEAT_EWHB</t>
  </si>
  <si>
    <t>PG_HEAT_FSBnc/SFB</t>
  </si>
  <si>
    <t>PG_HEAT_GWH</t>
  </si>
  <si>
    <t>PG_HEAT_Spare Parts</t>
  </si>
  <si>
    <t>PG_HEAT_WHBc/FSBc</t>
  </si>
  <si>
    <t>PG_HEAT_WHBnc CN</t>
  </si>
  <si>
    <t>PG_HEAT_WHBnc CN+</t>
  </si>
  <si>
    <t>PG_HEAT_WHBnc TR</t>
  </si>
  <si>
    <t>PG_Hydraulic Modules</t>
  </si>
  <si>
    <t>PG_Kent LCAC (inv-1)</t>
  </si>
  <si>
    <t>PG_Kent LCAC (o/f-0)</t>
  </si>
  <si>
    <t>PG_Kent LCAC KSUR 280-560</t>
  </si>
  <si>
    <t>PG_Kent Spl (inv-1) (Atama) [TCL]</t>
  </si>
  <si>
    <t>PG_Kent Spl (inv-1) (Haruki) [TCL]</t>
  </si>
  <si>
    <t>PG_Kent Spl (inv-1) (Kanami) [MRAC]</t>
  </si>
  <si>
    <t>PG_Kent Spl (inv-1) (Kumo) [MRAC]</t>
  </si>
  <si>
    <t>PG_Kent Spl (inv-1) (Omori) [MRAC]</t>
  </si>
  <si>
    <t>PG_Kent Spl (inv-1) (OTARI) [GREE]</t>
  </si>
  <si>
    <t>PG_Kent Spl (inv-1) (Sempai) [MRAC]</t>
  </si>
  <si>
    <t>PG_Kent Spl (inv-1) (Tamashi) [GREE]</t>
  </si>
  <si>
    <t>PG_Kent Spl (inv-1) (Tiba) [MRAC]</t>
  </si>
  <si>
    <t>PG_Kent Spl (inv-1) (Tokachi) [GREE]</t>
  </si>
  <si>
    <t>PG_Kent Spl (inv-1) (Yuki) [MRAC]</t>
  </si>
  <si>
    <t>PG_Kent Spl (o/f-0) (Atama) [TCL]</t>
  </si>
  <si>
    <t>PG_Kent Spl (o/f-0) (Haruki) [TCL]</t>
  </si>
  <si>
    <t>PG_Kent Spl (o/f-0) (Ichi) [MRAC]</t>
  </si>
  <si>
    <t>PG_Kent Spl (o/f-0) (Kanami) [MRAC]</t>
  </si>
  <si>
    <t>PG_Kent Spl (o/f-0) (Kumo) [MRAC]</t>
  </si>
  <si>
    <t>PG_Kent Spl (o/f-0) (Naomi) [MRAC]</t>
  </si>
  <si>
    <t>PG_Kent Spl (o/f-0) (Tiba) [GREE]</t>
  </si>
  <si>
    <t>PG_LCAC Daikin</t>
  </si>
  <si>
    <t>PG_Midea LCAC (inv-1)</t>
  </si>
  <si>
    <t>PG_Midea LCAC (o/f-0)</t>
  </si>
  <si>
    <t>PG_Midea LCAC 96-192</t>
  </si>
  <si>
    <t>PG_Midea Spl (inv-1) (Brezzeless E) [MRAC]</t>
  </si>
  <si>
    <t>PG_Midea Spl (inv-1) (Brezzeless) [MRAC]</t>
  </si>
  <si>
    <t>PG_Midea Spl (inv-1) (Easy) [MRAC]</t>
  </si>
  <si>
    <t>PG_Midea Spl (inv-1) (Gaia) [MRAC]</t>
  </si>
  <si>
    <t>PG_Midea Spl (inv-1) (Heat Force) [MRAC]</t>
  </si>
  <si>
    <t>PG_Midea Spl (inv-1) (Persona) [MRAC]</t>
  </si>
  <si>
    <t>PG_Midea Spl (inv-1) (Pramount) [MRAC]</t>
  </si>
  <si>
    <t>PG_Midea Spl (inv-1) (Primary) [MRAC] PreOrd</t>
  </si>
  <si>
    <t>PG_Midea Spl (inv-1) (Unlimited) [MRAC]</t>
  </si>
  <si>
    <t>PG_Midea Spl (o/f-0) (Easy) [MRAC]</t>
  </si>
  <si>
    <t>PG_Midea Spl (o/f-0) (Persona) [MRAC]</t>
  </si>
  <si>
    <t>PG_Midea Spl (o/f-0) (Pramount) [MRAC]</t>
  </si>
  <si>
    <t>PG_Midea Spl (o/f-0) (Primary) [MRAC] PreOrd</t>
  </si>
  <si>
    <t>PG_Midea Spl (o/f-0) (Unlimited) [MRAC]</t>
  </si>
  <si>
    <t>PG_Mobile AC Midea (inv-1)</t>
  </si>
  <si>
    <t>PG_Mobile AC Midea (o/f-0)</t>
  </si>
  <si>
    <t>PG_Multi Axioma</t>
  </si>
  <si>
    <t>PG_Multi Daichi</t>
  </si>
  <si>
    <t>PG_Multi Daikin</t>
  </si>
  <si>
    <t>PG_Multi Kentatsu</t>
  </si>
  <si>
    <t>PG_Multi Midea</t>
  </si>
  <si>
    <t>PG_Packaged Daikin</t>
  </si>
  <si>
    <t>PG_Packaged KENTATSU</t>
  </si>
  <si>
    <t>PG_Packaged MIDEA</t>
  </si>
  <si>
    <t>PG_PREC_EnviCool</t>
  </si>
  <si>
    <t>PG_Refrigerating systems</t>
  </si>
  <si>
    <t>PG_SPARE PARTS</t>
  </si>
  <si>
    <t>PG_Split Cloud DAICHI</t>
  </si>
  <si>
    <t>PG_VRF Daikin</t>
  </si>
  <si>
    <t>PG_VRF_Bosch</t>
  </si>
  <si>
    <t>PG_VRF_Daikin (лежак)</t>
  </si>
  <si>
    <t>PG_VRF_Kentatsu</t>
  </si>
  <si>
    <t>PG_VRF_Kentatsu (лежак)</t>
  </si>
  <si>
    <t>PG_VRF_Midea</t>
  </si>
  <si>
    <t>PG_VRF_Midea (лежак)</t>
  </si>
  <si>
    <t>PG_Window AC Axioma</t>
  </si>
  <si>
    <t>PG_Канальная вентиляция</t>
  </si>
  <si>
    <t>PG_Компактные вентиляционные установки</t>
  </si>
  <si>
    <t>PG_Центральные кондиционеры</t>
  </si>
  <si>
    <t>Буфер совместное</t>
  </si>
  <si>
    <t>ДПП</t>
  </si>
  <si>
    <t>PG_Chillers Branded</t>
  </si>
  <si>
    <t>СНГ</t>
  </si>
  <si>
    <t>Торговые сети</t>
  </si>
  <si>
    <t>PG_6.БП_Вент. Колонные</t>
  </si>
  <si>
    <t>PG_6.БП_Вент. Напольные</t>
  </si>
  <si>
    <t>PG_Bosch Spl</t>
  </si>
  <si>
    <t>Электронная коммерция</t>
  </si>
  <si>
    <t>PG_AirWave Spl (inv-1) (Серия N) [CHIGO]</t>
  </si>
  <si>
    <t>PG_AirWave Spl (inv-1) (Серия М) [Haier]</t>
  </si>
  <si>
    <t>PG_AirWave Spl (o/f-0) (Серия N) [CHIGO]</t>
  </si>
  <si>
    <t>PG_AirWave Spl (o/f-0) (Серия М) [Haier]</t>
  </si>
  <si>
    <t>PG_AKAI Spl (inv-1) (RIKKA) [Haier]</t>
  </si>
  <si>
    <t>PG_AKAI Spl (o/f-0) (RIKKA) [Haier]</t>
  </si>
  <si>
    <t>PG_Daichi Spl (inv-1) (AIR-I) [TCL]</t>
  </si>
  <si>
    <t>PG_Daichi Spl (o/f-0) (AIR) [TCL]</t>
  </si>
  <si>
    <t>PG_Mobile AC AirWave</t>
  </si>
  <si>
    <t>PG_Multi AirWave</t>
  </si>
  <si>
    <t>День</t>
  </si>
  <si>
    <t>Рабочий день</t>
  </si>
  <si>
    <t>День недели</t>
  </si>
  <si>
    <t>Месяц</t>
  </si>
  <si>
    <t>PG_Chillers_modular_KENTATSU</t>
  </si>
  <si>
    <t>PG_PREC_Kentatsu</t>
  </si>
  <si>
    <t>PG_PROF_Лежак</t>
  </si>
  <si>
    <t>Вентиляция</t>
  </si>
  <si>
    <t>PG_Split_Mauritius</t>
  </si>
  <si>
    <t>PG_Cloud_Controls_RAC</t>
  </si>
  <si>
    <t>Д-Маврикий</t>
  </si>
  <si>
    <t>Д-Узбекистан</t>
  </si>
  <si>
    <t>PG_Cloud_Controls_D-BT</t>
  </si>
  <si>
    <t>PG_Cloud_Controls_DCM</t>
  </si>
  <si>
    <t>PG_Cloud_Controls_LCAC</t>
  </si>
  <si>
    <t>PG_Cloud_Controls_Wall-Mount</t>
  </si>
  <si>
    <t>PG_Cloud_AirCleaner</t>
  </si>
  <si>
    <t>PG_Cloud_Convectors</t>
  </si>
  <si>
    <t>PG_Cloud_Humid</t>
  </si>
  <si>
    <t>Д-Болгария</t>
  </si>
  <si>
    <t>PG_LCAC_Bulgaria</t>
  </si>
  <si>
    <t>PG_Split_Bulgaria (KSGHI)</t>
  </si>
  <si>
    <t>PG_Split_Bulgaria (KSGKU)</t>
  </si>
  <si>
    <t>Д-Франция</t>
  </si>
  <si>
    <t>PG_Split_France</t>
  </si>
  <si>
    <t xml:space="preserve"> И
Статус В списке "Утвержден"</t>
  </si>
  <si>
    <t>Наценка</t>
  </si>
  <si>
    <t>Сценарий: План 2026 (утвержденный)</t>
  </si>
  <si>
    <t>AOR-715-TMC</t>
  </si>
  <si>
    <t>MSAG4-09HRN8-O</t>
  </si>
  <si>
    <t>KPH-2010-MAKW</t>
  </si>
  <si>
    <t>Европа</t>
  </si>
  <si>
    <t>2023-BP-070-OUT</t>
  </si>
  <si>
    <t>2023-BP-095-OUT</t>
  </si>
  <si>
    <t>2023-BP-076-OUT</t>
  </si>
  <si>
    <t>2023-BP-075-OUT</t>
  </si>
  <si>
    <t>PRAW-24TENA3/O</t>
  </si>
  <si>
    <t>AOR-1125-HMC</t>
  </si>
  <si>
    <t>PRAW-18TENA3/O</t>
  </si>
  <si>
    <t>MCK55W</t>
  </si>
  <si>
    <t>MSAG4-12HRN8-O</t>
  </si>
  <si>
    <t>FHP-2004-TCST</t>
  </si>
  <si>
    <t>AOR-715-TEC</t>
  </si>
  <si>
    <t>AOR-920-HMC</t>
  </si>
  <si>
    <t>AOR-715-HMC</t>
  </si>
  <si>
    <t>MSAG4-07HRN8-O</t>
  </si>
  <si>
    <t>HUP-R3135-TA</t>
  </si>
  <si>
    <t>KPH-1510-MAKW</t>
  </si>
  <si>
    <t>ORP-911-HMC</t>
  </si>
  <si>
    <t>MPPDA-09CRN7-Q</t>
  </si>
  <si>
    <t>PRAW-07TEDA3/O</t>
  </si>
  <si>
    <t>ORP-1111-HMC</t>
  </si>
  <si>
    <t>ARC24-WNTE3/O</t>
  </si>
  <si>
    <t>ORP-716-HMC</t>
  </si>
  <si>
    <t>CLL2000 35</t>
  </si>
  <si>
    <t>PHP-2008-MXR</t>
  </si>
  <si>
    <t>PRAW-12TEDA3/O</t>
  </si>
  <si>
    <t>PRAW-18TEDA3/O</t>
  </si>
  <si>
    <t>ACH-R151</t>
  </si>
  <si>
    <t>PRAW-24TEDA3/O</t>
  </si>
  <si>
    <t>MSFR-07N8C2-O</t>
  </si>
  <si>
    <t>KPH-2000-MAKG</t>
  </si>
  <si>
    <t>IRP-805-QTM</t>
  </si>
  <si>
    <t>APH-1500-MWB</t>
  </si>
  <si>
    <t>PRAW-09TEDA3/O</t>
  </si>
  <si>
    <t>FHP-2003-DCWM</t>
  </si>
  <si>
    <t>ORP-1125-YMC</t>
  </si>
  <si>
    <t>MSAG4-12N8C2-O</t>
  </si>
  <si>
    <t>CLL2000 26</t>
  </si>
  <si>
    <t>MSFR-12N8C2-O</t>
  </si>
  <si>
    <t>MSFR-07HRN8-O</t>
  </si>
  <si>
    <t>PRAW-07TEDA4/O</t>
  </si>
  <si>
    <t>CLL2000 53</t>
  </si>
  <si>
    <t>MSFR-09HRN8-O</t>
  </si>
  <si>
    <t>MSAG4-24HRN8-O</t>
  </si>
  <si>
    <t>MSAG4-18N8D0-O</t>
  </si>
  <si>
    <t>SFP-4508JO</t>
  </si>
  <si>
    <t>AHR-R2310</t>
  </si>
  <si>
    <t>MSFR-09N8C2-O</t>
  </si>
  <si>
    <t>ARC07-WDTE3/O</t>
  </si>
  <si>
    <t>PRAW-12TENA3/O</t>
  </si>
  <si>
    <t>MSFR-12HRN8-O</t>
  </si>
  <si>
    <t>ORP-920-YMC</t>
  </si>
  <si>
    <t>MSFR-24HRN8-O</t>
  </si>
  <si>
    <t>SFP-4017MOR</t>
  </si>
  <si>
    <t>HUP-R3155-TA</t>
  </si>
  <si>
    <t>CFP-7401MM</t>
  </si>
  <si>
    <t>ARC12-WDTE3/O</t>
  </si>
  <si>
    <t>PRAW-09TENA3/O</t>
  </si>
  <si>
    <t>PRAW-09TEDA4/O</t>
  </si>
  <si>
    <t>PRAW-12TEDA4/O</t>
  </si>
  <si>
    <t>MPPDB-12HRN1-Q</t>
  </si>
  <si>
    <t>ASJC07-NM1A</t>
  </si>
  <si>
    <t>ASJC09-NM1A</t>
  </si>
  <si>
    <t>MDDF-50DEN7</t>
  </si>
  <si>
    <t>HUP-R1060-TA</t>
  </si>
  <si>
    <t>DHP-16OL</t>
  </si>
  <si>
    <t>PRAW-07TENA3/O</t>
  </si>
  <si>
    <t>ORP-715-YMC</t>
  </si>
  <si>
    <t>FHP-2012-FWT</t>
  </si>
  <si>
    <t>HUP-G1132</t>
  </si>
  <si>
    <t>MSFR-18HRN8-O</t>
  </si>
  <si>
    <t>ARC18-WDTE3/O</t>
  </si>
  <si>
    <t>MPPHA-09CRN7-Q</t>
  </si>
  <si>
    <t>HUP-W3040-A</t>
  </si>
  <si>
    <t>KPH-1500-MAKG</t>
  </si>
  <si>
    <t>ARC09-WDTE3/O</t>
  </si>
  <si>
    <t>FFP-5031DD</t>
  </si>
  <si>
    <t>AHR-G3030</t>
  </si>
  <si>
    <t>ARC24-WDTE3/O</t>
  </si>
  <si>
    <t>ARC09-WNTE3/O</t>
  </si>
  <si>
    <t>MSFR-18N8D0-O</t>
  </si>
  <si>
    <t>HUP-R1022</t>
  </si>
  <si>
    <t>CFP-8001MM</t>
  </si>
  <si>
    <t>MPPHA-07CRN7-Q</t>
  </si>
  <si>
    <t>ASJC05-NM1A</t>
  </si>
  <si>
    <t>ARC07-WNTE3/O</t>
  </si>
  <si>
    <t>PHP-2000-MXB</t>
  </si>
  <si>
    <t>AKSF-4075SOL</t>
  </si>
  <si>
    <t>MSFA1-09N8D6-O</t>
  </si>
  <si>
    <t>DHP-50OL</t>
  </si>
  <si>
    <t>HUP-W3080-TA</t>
  </si>
  <si>
    <t>PHP-1508-MXR</t>
  </si>
  <si>
    <t>CFP-8001MR</t>
  </si>
  <si>
    <t>ARC12-WNTE3/O</t>
  </si>
  <si>
    <t>SFP-4012MX</t>
  </si>
  <si>
    <t>DHP-20OL</t>
  </si>
  <si>
    <t>HUP-G3150-A</t>
  </si>
  <si>
    <t>DHP-40OL</t>
  </si>
  <si>
    <t>PT DUO</t>
  </si>
  <si>
    <t>PHP-1008-MXR</t>
  </si>
  <si>
    <t>MDDN1-10DEN7</t>
  </si>
  <si>
    <t>MDDF-20DEN7</t>
  </si>
  <si>
    <t>ARC12-PCNPE1</t>
  </si>
  <si>
    <t>MDDF-30DEN7</t>
  </si>
  <si>
    <t>SFP-4025DP</t>
  </si>
  <si>
    <t>DHP-10OL</t>
  </si>
  <si>
    <t>PHP-1500-MXB</t>
  </si>
  <si>
    <t>FFP-3530DD</t>
  </si>
  <si>
    <t>HUP-E3056-LA</t>
  </si>
  <si>
    <t>PRMC-12JANA1</t>
  </si>
  <si>
    <t>IRP-905-QTM</t>
  </si>
  <si>
    <t>MPPDB-12CRN7-Q</t>
  </si>
  <si>
    <t>AHR-G3020</t>
  </si>
  <si>
    <t>PRMC-07JGNA1</t>
  </si>
  <si>
    <t>SFP-4010MX</t>
  </si>
  <si>
    <t>DHP-30OL</t>
  </si>
  <si>
    <t>MSFR-24N8D0-O</t>
  </si>
  <si>
    <t>FHP-1502-FCT</t>
  </si>
  <si>
    <t>HUP-G1035-TAL</t>
  </si>
  <si>
    <t>HUP-H3150</t>
  </si>
  <si>
    <t>HUP-G3056-A</t>
  </si>
  <si>
    <t>IRP-2000-QSN</t>
  </si>
  <si>
    <t>CFP-8041SR</t>
  </si>
  <si>
    <t>AFH-2000-TCT</t>
  </si>
  <si>
    <t>PHP-1000-MXB</t>
  </si>
  <si>
    <t>PRMC-09JBNE1</t>
  </si>
  <si>
    <t>FFP-3031DD</t>
  </si>
  <si>
    <t>AFH-2002-TCST-R</t>
  </si>
  <si>
    <t>TFP-1503JC</t>
  </si>
  <si>
    <t>APH-2000-EWM</t>
  </si>
  <si>
    <t>FFP-4511MD</t>
  </si>
  <si>
    <t>HUP-TF886</t>
  </si>
  <si>
    <t>ACA-L1000-HCPWF</t>
  </si>
  <si>
    <t>FHP-2000-TWT</t>
  </si>
  <si>
    <t>SFP-3005TX</t>
  </si>
  <si>
    <t>IRP-550-QTM</t>
  </si>
  <si>
    <t>FHP-2001-TCWM</t>
  </si>
  <si>
    <t>&lt;Прочие подразделения&gt;</t>
  </si>
  <si>
    <t>AKCF-9243ST</t>
  </si>
  <si>
    <t>AKSF-4511MOR</t>
  </si>
  <si>
    <t>APH-1500-EWM</t>
  </si>
  <si>
    <t>ARC07-PCNPE1</t>
  </si>
  <si>
    <t>ARC09-PCNPE1</t>
  </si>
  <si>
    <t>ASJC12-NM1A</t>
  </si>
  <si>
    <t>CFP-8002MM</t>
  </si>
  <si>
    <t>IRP-2400-QTM</t>
  </si>
  <si>
    <t>IRP-350-QTM</t>
  </si>
  <si>
    <t>MOFR2-07FRN8G1</t>
  </si>
  <si>
    <t>MOFR2-09FRN8G1</t>
  </si>
  <si>
    <t>MOFR2-12FRN8G1</t>
  </si>
  <si>
    <t>MSAG4-18HRN8-O</t>
  </si>
  <si>
    <t>MSAG4-24N8D0-O</t>
  </si>
  <si>
    <t>MSFA1-12N8D6-O</t>
  </si>
  <si>
    <t>RXF20E</t>
  </si>
  <si>
    <t>RXF25E</t>
  </si>
  <si>
    <t>RXF35E</t>
  </si>
  <si>
    <t>SFP-4008JXA</t>
  </si>
  <si>
    <t>TFP-4002MD</t>
  </si>
  <si>
    <t>Д-Бишкек</t>
  </si>
  <si>
    <t>ARC18-WNTE3/O</t>
  </si>
  <si>
    <t>DAC-BR200-WN</t>
  </si>
  <si>
    <t>DHU-OS8031-WU</t>
  </si>
  <si>
    <t>DHU-OS8032-WU</t>
  </si>
  <si>
    <t>DPC-155</t>
  </si>
  <si>
    <t>DPC-205</t>
  </si>
  <si>
    <t>HAC-07F1WO</t>
  </si>
  <si>
    <t>HAC-09F1WO</t>
  </si>
  <si>
    <t>MPPA-07CHN7G1</t>
  </si>
  <si>
    <t>MPPA-09CHN7G1</t>
  </si>
  <si>
    <t>MPPXA-12CHN7G1</t>
  </si>
  <si>
    <t>MSAG4-07N8C2-O</t>
  </si>
  <si>
    <t>MSAG4-09N8C2-O</t>
  </si>
  <si>
    <t>SFP-4021JXA</t>
  </si>
  <si>
    <t>PG_AirWave Spl (inv-1) (X) [TCL]</t>
  </si>
  <si>
    <t>PG_AirWave Spl (o/f-0) (X) [TCL]</t>
  </si>
  <si>
    <t>PG_AKAI Spl (inv-1) (TENKI) [TCL]</t>
  </si>
  <si>
    <t>PG_AKAI Spl (o/f-0) (TENKI) [TCL]</t>
  </si>
  <si>
    <t>PG_Kent Spl (inv-1) GREEN</t>
  </si>
  <si>
    <t>PG_Kent Spl (o/f-0) GREEN</t>
  </si>
  <si>
    <t>PG_Midea Spl (inv-1) GREEN</t>
  </si>
  <si>
    <t>PG_Midea Spl (o/f-0) GREEN</t>
  </si>
  <si>
    <t>SFP-4072SXT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</si>
</sst>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;[Red]\-#,##0.000"/>
    <numFmt numFmtId="165" formatCode="#,##0.0"/>
    <numFmt numFmtId="166" formatCode="0.000;[Red]\-0.000"/>
    <numFmt numFmtId="167" formatCode="0.0"/>
  </numFmts>
  <fonts count="4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5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/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1"/>
    <xf numFmtId="164" fontId="3" fillId="2" borderId="2" xfId="1" applyNumberFormat="1" applyFont="1" applyFill="1" applyBorder="1" applyAlignment="1">
      <alignment horizontal="right" vertical="top"/>
    </xf>
    <xf numFmtId="4" fontId="3" fillId="2" borderId="2" xfId="1" applyNumberFormat="1" applyFont="1" applyFill="1" applyBorder="1" applyAlignment="1">
      <alignment horizontal="right" vertical="top"/>
    </xf>
    <xf numFmtId="165" fontId="3" fillId="2" borderId="2" xfId="1" applyNumberFormat="1" applyFont="1" applyFill="1" applyBorder="1" applyAlignment="1">
      <alignment horizontal="right" vertical="top"/>
    </xf>
    <xf numFmtId="2" fontId="3" fillId="2" borderId="2" xfId="1" applyNumberFormat="1" applyFont="1" applyFill="1" applyBorder="1" applyAlignment="1">
      <alignment horizontal="right" vertical="top"/>
    </xf>
    <xf numFmtId="0" fontId="2" fillId="0" borderId="0" xfId="1" applyNumberFormat="1" applyFont="1" applyAlignment="1">
      <alignment vertical="top"/>
    </xf>
    <xf numFmtId="0" fontId="3" fillId="0" borderId="0" xfId="1" applyNumberFormat="1" applyFont="1" applyAlignment="1">
      <alignment vertical="top"/>
    </xf>
    <xf numFmtId="0" fontId="3" fillId="2" borderId="2" xfId="1" applyNumberFormat="1" applyFont="1" applyFill="1" applyBorder="1" applyAlignment="1">
      <alignment vertical="top" wrapText="1"/>
    </xf>
    <xf numFmtId="0" fontId="1" fillId="0" borderId="2" xfId="1" applyNumberFormat="1" applyFont="1" applyBorder="1" applyAlignment="1">
      <alignment vertical="top" wrapText="1"/>
    </xf>
    <xf numFmtId="166" fontId="1" fillId="0" borderId="2" xfId="1" applyNumberFormat="1" applyFont="1" applyBorder="1" applyAlignment="1">
      <alignment horizontal="right" vertical="top"/>
    </xf>
    <xf numFmtId="165" fontId="1" fillId="0" borderId="2" xfId="1" applyNumberFormat="1" applyFont="1" applyBorder="1" applyAlignment="1">
      <alignment horizontal="right" vertical="top"/>
    </xf>
    <xf numFmtId="2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vertical="top"/>
    </xf>
    <xf numFmtId="3" fontId="1" fillId="0" borderId="2" xfId="1" applyNumberFormat="1" applyFont="1" applyBorder="1" applyAlignment="1">
      <alignment horizontal="right" vertical="top"/>
    </xf>
    <xf numFmtId="4" fontId="1" fillId="0" borderId="2" xfId="1" applyNumberFormat="1" applyFont="1" applyBorder="1" applyAlignment="1">
      <alignment horizontal="right" vertical="top"/>
    </xf>
    <xf numFmtId="167" fontId="1" fillId="0" borderId="2" xfId="1" applyNumberFormat="1" applyFont="1" applyBorder="1" applyAlignment="1">
      <alignment horizontal="right" vertical="top"/>
    </xf>
    <xf numFmtId="164" fontId="1" fillId="0" borderId="2" xfId="1" applyNumberFormat="1" applyFont="1" applyBorder="1" applyAlignment="1">
      <alignment horizontal="right" vertical="top"/>
    </xf>
    <xf numFmtId="1" fontId="1" fillId="0" borderId="2" xfId="1" applyNumberFormat="1" applyFont="1" applyBorder="1" applyAlignment="1">
      <alignment horizontal="right" vertical="top"/>
    </xf>
    <xf numFmtId="0" fontId="1" fillId="0" borderId="2" xfId="1" applyNumberFormat="1" applyFont="1" applyBorder="1" applyAlignment="1">
      <alignment horizontal="right" vertical="top"/>
    </xf>
    <xf numFmtId="0" fontId="3" fillId="0" borderId="0" xfId="1" applyNumberFormat="1" applyFont="1" applyAlignment="1">
      <alignment vertical="top" wrapText="1"/>
    </xf>
    <xf numFmtId="0" fontId="3" fillId="2" borderId="1" xfId="1" applyNumberFormat="1" applyFont="1" applyFill="1" applyBorder="1" applyAlignment="1">
      <alignment vertical="top" wrapText="1"/>
    </xf>
    <xf numFmtId="0" fontId="3" fillId="2" borderId="2" xfId="1" applyNumberFormat="1" applyFont="1" applyFill="1" applyBorder="1" applyAlignment="1">
      <alignment vertical="top"/>
    </xf>
    <xf numFmtId="0" fontId="3" fillId="2" borderId="3" xfId="1" applyNumberFormat="1" applyFont="1" applyFill="1" applyBorder="1" applyAlignment="1">
      <alignment vertical="top" wrapText="1"/>
    </xf>
    <xf numFmtId="0" fontId="3" fillId="2" borderId="4" xfId="1" applyNumberFormat="1" applyFont="1" applyFill="1" applyBorder="1" applyAlignment="1">
      <alignment vertical="top" wrapText="1"/>
    </xf>
  </cellXfs>
  <cellStyles count="2">
    <cellStyle name="Обычный" xfId="0" builtinId="0"/>
    <cellStyle name="Обычный_Загрузка" xfId="1" xr:uid="{FADEBA8C-ED06-4461-9235-D70544AF1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57"/>
  <sheetViews>
    <sheetView tabSelected="1" workbookViewId="0">
      <selection activeCell="H3" sqref="H3"/>
    </sheetView>
  </sheetViews>
  <sheetFormatPr defaultRowHeight="15" x14ac:dyDescent="0.25"/>
  <cols>
    <col min="1" max="1" width="85.42578125" bestFit="1" customWidth="1"/>
    <col min="2" max="2" width="46" bestFit="1" customWidth="1"/>
    <col min="3" max="3" width="13.85546875" bestFit="1" customWidth="1"/>
    <col min="4" max="5" width="11.7109375" bestFit="1" customWidth="1"/>
    <col min="6" max="6" width="8.140625" bestFit="1" customWidth="1"/>
    <col min="7" max="7" width="15.140625" bestFit="1" customWidth="1"/>
    <col min="8" max="8" width="12.7109375" bestFit="1" customWidth="1"/>
    <col min="9" max="9" width="11.7109375" bestFit="1" customWidth="1"/>
    <col min="10" max="10" width="8.140625" bestFit="1" customWidth="1"/>
    <col min="11" max="11" width="11.7109375" bestFit="1" customWidth="1"/>
    <col min="12" max="13" width="12.7109375" bestFit="1" customWidth="1"/>
    <col min="14" max="14" width="8.140625" bestFit="1" customWidth="1"/>
    <col min="15" max="15" width="13.85546875" bestFit="1" customWidth="1"/>
    <col min="16" max="17" width="12.7109375" bestFit="1" customWidth="1"/>
    <col min="18" max="18" width="8.140625" bestFit="1" customWidth="1"/>
    <col min="19" max="19" width="11.140625" bestFit="1" customWidth="1"/>
    <col min="20" max="21" width="12.7109375" bestFit="1" customWidth="1"/>
    <col min="22" max="22" width="8.140625" bestFit="1" customWidth="1"/>
    <col min="23" max="23" width="12.140625" bestFit="1" customWidth="1"/>
    <col min="24" max="25" width="12.7109375" bestFit="1" customWidth="1"/>
    <col min="26" max="26" width="8.140625" bestFit="1" customWidth="1"/>
    <col min="27" max="27" width="12.140625" bestFit="1" customWidth="1"/>
    <col min="28" max="29" width="12.7109375" bestFit="1" customWidth="1"/>
    <col min="30" max="30" width="8.140625" bestFit="1" customWidth="1"/>
    <col min="31" max="31" width="13.28515625" bestFit="1" customWidth="1"/>
    <col min="32" max="33" width="12.7109375" bestFit="1" customWidth="1"/>
    <col min="34" max="34" width="8.140625" bestFit="1" customWidth="1"/>
    <col min="35" max="35" width="15.5703125" bestFit="1" customWidth="1"/>
    <col min="36" max="37" width="12.7109375" bestFit="1" customWidth="1"/>
    <col min="38" max="38" width="8.140625" bestFit="1" customWidth="1"/>
    <col min="39" max="39" width="14.5703125" bestFit="1" customWidth="1"/>
    <col min="40" max="40" width="12.7109375" bestFit="1" customWidth="1"/>
    <col min="41" max="41" width="11.7109375" bestFit="1" customWidth="1"/>
    <col min="42" max="42" width="8.140625" bestFit="1" customWidth="1"/>
    <col min="43" max="43" width="13.85546875" bestFit="1" customWidth="1"/>
    <col min="44" max="45" width="12.7109375" bestFit="1" customWidth="1"/>
    <col min="46" max="46" width="8.140625" bestFit="1" customWidth="1"/>
    <col min="47" max="47" width="14.7109375" bestFit="1" customWidth="1"/>
    <col min="48" max="48" width="12.7109375" bestFit="1" customWidth="1"/>
    <col min="49" max="49" width="11.7109375" bestFit="1" customWidth="1"/>
    <col min="50" max="50" width="8.140625" bestFit="1" customWidth="1"/>
    <col min="51" max="51" width="11.140625" bestFit="1" customWidth="1"/>
    <col min="52" max="53" width="13.85546875" bestFit="1" customWidth="1"/>
    <col min="54" max="54" width="8.140625" bestFit="1" customWidth="1"/>
  </cols>
  <sheetData>
    <row r="1" spans="1:54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ht="23.25" x14ac:dyDescent="0.25">
      <c r="A2" s="7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8" t="s">
        <v>1</v>
      </c>
      <c r="B4" s="8" t="s">
        <v>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x14ac:dyDescent="0.25">
      <c r="A5" s="2"/>
      <c r="B5" s="8" t="s">
        <v>186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 x14ac:dyDescent="0.25">
      <c r="A6" s="2"/>
      <c r="B6" s="8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 x14ac:dyDescent="0.25">
      <c r="A7" s="2"/>
      <c r="B7" s="8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 x14ac:dyDescent="0.25">
      <c r="A8" s="2"/>
      <c r="B8" s="8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 ht="15" customHeight="1" x14ac:dyDescent="0.25">
      <c r="A11" s="8" t="s">
        <v>6</v>
      </c>
      <c r="B11" s="21" t="s">
        <v>184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 ht="15" customHeight="1" x14ac:dyDescent="0.25">
      <c r="A13" s="22" t="s">
        <v>7</v>
      </c>
      <c r="B13" s="22" t="s">
        <v>8</v>
      </c>
      <c r="C13" s="9" t="s">
        <v>9</v>
      </c>
      <c r="D13" s="9"/>
      <c r="E13" s="9"/>
      <c r="F13" s="9"/>
      <c r="G13" s="9" t="s">
        <v>10</v>
      </c>
      <c r="H13" s="9"/>
      <c r="I13" s="9"/>
      <c r="J13" s="9"/>
      <c r="K13" s="9" t="s">
        <v>11</v>
      </c>
      <c r="L13" s="9"/>
      <c r="M13" s="9"/>
      <c r="N13" s="9"/>
      <c r="O13" s="9" t="s">
        <v>12</v>
      </c>
      <c r="P13" s="9"/>
      <c r="Q13" s="9"/>
      <c r="R13" s="9"/>
      <c r="S13" s="9" t="s">
        <v>13</v>
      </c>
      <c r="T13" s="9"/>
      <c r="U13" s="9"/>
      <c r="V13" s="9"/>
      <c r="W13" s="9" t="s">
        <v>14</v>
      </c>
      <c r="X13" s="9"/>
      <c r="Y13" s="9"/>
      <c r="Z13" s="9"/>
      <c r="AA13" s="9" t="s">
        <v>15</v>
      </c>
      <c r="AB13" s="9"/>
      <c r="AC13" s="9"/>
      <c r="AD13" s="9"/>
      <c r="AE13" s="9" t="s">
        <v>16</v>
      </c>
      <c r="AF13" s="9"/>
      <c r="AG13" s="9"/>
      <c r="AH13" s="9"/>
      <c r="AI13" s="9" t="s">
        <v>17</v>
      </c>
      <c r="AJ13" s="9"/>
      <c r="AK13" s="9"/>
      <c r="AL13" s="9"/>
      <c r="AM13" s="9" t="s">
        <v>18</v>
      </c>
      <c r="AN13" s="9"/>
      <c r="AO13" s="9"/>
      <c r="AP13" s="9"/>
      <c r="AQ13" s="9" t="s">
        <v>19</v>
      </c>
      <c r="AR13" s="9"/>
      <c r="AS13" s="9"/>
      <c r="AT13" s="9"/>
      <c r="AU13" s="9" t="s">
        <v>20</v>
      </c>
      <c r="AV13" s="9"/>
      <c r="AW13" s="9"/>
      <c r="AX13" s="9"/>
      <c r="AY13" s="23" t="s">
        <v>21</v>
      </c>
      <c r="AZ13" s="23"/>
      <c r="BA13" s="23"/>
      <c r="BB13" s="23"/>
    </row>
    <row r="14" spans="1:54" x14ac:dyDescent="0.25">
      <c r="A14" s="24"/>
      <c r="B14" s="24"/>
      <c r="C14" s="9" t="s">
        <v>22</v>
      </c>
      <c r="D14" s="9"/>
      <c r="E14" s="9"/>
      <c r="F14" s="9"/>
      <c r="G14" s="9" t="s">
        <v>22</v>
      </c>
      <c r="H14" s="9"/>
      <c r="I14" s="9"/>
      <c r="J14" s="9"/>
      <c r="K14" s="9" t="s">
        <v>22</v>
      </c>
      <c r="L14" s="9"/>
      <c r="M14" s="9"/>
      <c r="N14" s="9"/>
      <c r="O14" s="9" t="s">
        <v>22</v>
      </c>
      <c r="P14" s="9"/>
      <c r="Q14" s="9"/>
      <c r="R14" s="9"/>
      <c r="S14" s="9" t="s">
        <v>22</v>
      </c>
      <c r="T14" s="9"/>
      <c r="U14" s="9"/>
      <c r="V14" s="9"/>
      <c r="W14" s="9" t="s">
        <v>22</v>
      </c>
      <c r="X14" s="9"/>
      <c r="Y14" s="9"/>
      <c r="Z14" s="9"/>
      <c r="AA14" s="9" t="s">
        <v>22</v>
      </c>
      <c r="AB14" s="9"/>
      <c r="AC14" s="9"/>
      <c r="AD14" s="9"/>
      <c r="AE14" s="9" t="s">
        <v>22</v>
      </c>
      <c r="AF14" s="9"/>
      <c r="AG14" s="9"/>
      <c r="AH14" s="9"/>
      <c r="AI14" s="9" t="s">
        <v>22</v>
      </c>
      <c r="AJ14" s="9"/>
      <c r="AK14" s="9"/>
      <c r="AL14" s="9"/>
      <c r="AM14" s="9" t="s">
        <v>22</v>
      </c>
      <c r="AN14" s="9"/>
      <c r="AO14" s="9"/>
      <c r="AP14" s="9"/>
      <c r="AQ14" s="9" t="s">
        <v>22</v>
      </c>
      <c r="AR14" s="9"/>
      <c r="AS14" s="9"/>
      <c r="AT14" s="9"/>
      <c r="AU14" s="9" t="s">
        <v>22</v>
      </c>
      <c r="AV14" s="9"/>
      <c r="AW14" s="9"/>
      <c r="AX14" s="9"/>
      <c r="AY14" s="9" t="s">
        <v>22</v>
      </c>
      <c r="AZ14" s="9"/>
      <c r="BA14" s="9"/>
      <c r="BB14" s="9"/>
    </row>
    <row r="15" spans="1:54" x14ac:dyDescent="0.25">
      <c r="A15" s="25"/>
      <c r="B15" s="25"/>
      <c r="C15" s="9" t="s">
        <v>23</v>
      </c>
      <c r="D15" s="9" t="s">
        <v>24</v>
      </c>
      <c r="E15" s="9" t="s">
        <v>25</v>
      </c>
      <c r="F15" s="9" t="s">
        <v>185</v>
      </c>
      <c r="G15" s="9" t="s">
        <v>23</v>
      </c>
      <c r="H15" s="9" t="s">
        <v>24</v>
      </c>
      <c r="I15" s="9" t="s">
        <v>25</v>
      </c>
      <c r="J15" s="9" t="s">
        <v>185</v>
      </c>
      <c r="K15" s="9" t="s">
        <v>23</v>
      </c>
      <c r="L15" s="9" t="s">
        <v>24</v>
      </c>
      <c r="M15" s="9" t="s">
        <v>25</v>
      </c>
      <c r="N15" s="9" t="s">
        <v>185</v>
      </c>
      <c r="O15" s="9" t="s">
        <v>23</v>
      </c>
      <c r="P15" s="9" t="s">
        <v>24</v>
      </c>
      <c r="Q15" s="9" t="s">
        <v>25</v>
      </c>
      <c r="R15" s="9" t="s">
        <v>185</v>
      </c>
      <c r="S15" s="9" t="s">
        <v>23</v>
      </c>
      <c r="T15" s="9" t="s">
        <v>24</v>
      </c>
      <c r="U15" s="9" t="s">
        <v>25</v>
      </c>
      <c r="V15" s="9" t="s">
        <v>185</v>
      </c>
      <c r="W15" s="9" t="s">
        <v>23</v>
      </c>
      <c r="X15" s="9" t="s">
        <v>24</v>
      </c>
      <c r="Y15" s="9" t="s">
        <v>25</v>
      </c>
      <c r="Z15" s="9" t="s">
        <v>185</v>
      </c>
      <c r="AA15" s="9" t="s">
        <v>23</v>
      </c>
      <c r="AB15" s="9" t="s">
        <v>24</v>
      </c>
      <c r="AC15" s="9" t="s">
        <v>25</v>
      </c>
      <c r="AD15" s="9" t="s">
        <v>185</v>
      </c>
      <c r="AE15" s="9" t="s">
        <v>23</v>
      </c>
      <c r="AF15" s="9" t="s">
        <v>24</v>
      </c>
      <c r="AG15" s="9" t="s">
        <v>25</v>
      </c>
      <c r="AH15" s="9" t="s">
        <v>185</v>
      </c>
      <c r="AI15" s="9" t="s">
        <v>23</v>
      </c>
      <c r="AJ15" s="9" t="s">
        <v>24</v>
      </c>
      <c r="AK15" s="9" t="s">
        <v>25</v>
      </c>
      <c r="AL15" s="9" t="s">
        <v>185</v>
      </c>
      <c r="AM15" s="9" t="s">
        <v>23</v>
      </c>
      <c r="AN15" s="9" t="s">
        <v>24</v>
      </c>
      <c r="AO15" s="9" t="s">
        <v>25</v>
      </c>
      <c r="AP15" s="9" t="s">
        <v>185</v>
      </c>
      <c r="AQ15" s="9" t="s">
        <v>23</v>
      </c>
      <c r="AR15" s="9" t="s">
        <v>24</v>
      </c>
      <c r="AS15" s="9" t="s">
        <v>25</v>
      </c>
      <c r="AT15" s="9" t="s">
        <v>185</v>
      </c>
      <c r="AU15" s="9" t="s">
        <v>23</v>
      </c>
      <c r="AV15" s="9" t="s">
        <v>24</v>
      </c>
      <c r="AW15" s="9" t="s">
        <v>25</v>
      </c>
      <c r="AX15" s="9" t="s">
        <v>185</v>
      </c>
      <c r="AY15" s="9" t="s">
        <v>23</v>
      </c>
      <c r="AZ15" s="9" t="s">
        <v>24</v>
      </c>
      <c r="BA15" s="9" t="s">
        <v>25</v>
      </c>
      <c r="BB15" s="9" t="s">
        <v>185</v>
      </c>
    </row>
    <row r="16" spans="1:54" x14ac:dyDescent="0.25">
      <c r="A16" s="23" t="s">
        <v>21</v>
      </c>
      <c r="B16" s="23"/>
      <c r="C16" s="3">
        <v>24679.348999999998</v>
      </c>
      <c r="D16" s="4">
        <v>10328641.27</v>
      </c>
      <c r="E16" s="4">
        <v>6549605.8399999999</v>
      </c>
      <c r="F16" s="6">
        <v>1.58</v>
      </c>
      <c r="G16" s="3">
        <v>34368.521999999997</v>
      </c>
      <c r="H16" s="4">
        <v>13753666.050000001</v>
      </c>
      <c r="I16" s="4">
        <v>8622648.0700000003</v>
      </c>
      <c r="J16" s="6">
        <v>1.6</v>
      </c>
      <c r="K16" s="3">
        <v>62219.171999999999</v>
      </c>
      <c r="L16" s="4">
        <v>20996072.280000001</v>
      </c>
      <c r="M16" s="4">
        <v>13328086.41</v>
      </c>
      <c r="N16" s="6">
        <v>1.58</v>
      </c>
      <c r="O16" s="3">
        <v>96813.729000000007</v>
      </c>
      <c r="P16" s="4">
        <v>29635843.16</v>
      </c>
      <c r="Q16" s="4">
        <v>18804773.210000001</v>
      </c>
      <c r="R16" s="6">
        <v>1.58</v>
      </c>
      <c r="S16" s="3">
        <v>110686.961</v>
      </c>
      <c r="T16" s="4">
        <v>32398232.739999998</v>
      </c>
      <c r="U16" s="4">
        <v>20550674.25</v>
      </c>
      <c r="V16" s="6">
        <v>1.58</v>
      </c>
      <c r="W16" s="3">
        <v>132107.073</v>
      </c>
      <c r="X16" s="4">
        <v>38373268.369999997</v>
      </c>
      <c r="Y16" s="5">
        <v>24521809.600000001</v>
      </c>
      <c r="Z16" s="6">
        <v>1.56</v>
      </c>
      <c r="AA16" s="3">
        <v>108085.758</v>
      </c>
      <c r="AB16" s="4">
        <v>37367500.240000002</v>
      </c>
      <c r="AC16" s="4">
        <v>23735447.309999999</v>
      </c>
      <c r="AD16" s="6">
        <v>1.57</v>
      </c>
      <c r="AE16" s="3">
        <v>77371.341</v>
      </c>
      <c r="AF16" s="4">
        <v>27766908.940000001</v>
      </c>
      <c r="AG16" s="5">
        <v>17566347.5</v>
      </c>
      <c r="AH16" s="6">
        <v>1.58</v>
      </c>
      <c r="AI16" s="3">
        <v>79708.823999999993</v>
      </c>
      <c r="AJ16" s="4">
        <v>26298103.879999999</v>
      </c>
      <c r="AK16" s="4">
        <v>16628730.140000001</v>
      </c>
      <c r="AL16" s="6">
        <v>1.58</v>
      </c>
      <c r="AM16" s="3">
        <v>73699.683999999994</v>
      </c>
      <c r="AN16" s="5">
        <v>24613817.699999999</v>
      </c>
      <c r="AO16" s="4">
        <v>15591372.470000001</v>
      </c>
      <c r="AP16" s="6">
        <v>1.58</v>
      </c>
      <c r="AQ16" s="3">
        <v>59896.608999999997</v>
      </c>
      <c r="AR16" s="4">
        <v>24297916.219999999</v>
      </c>
      <c r="AS16" s="4">
        <v>15293231.07</v>
      </c>
      <c r="AT16" s="6">
        <v>1.59</v>
      </c>
      <c r="AU16" s="3">
        <v>58699.427000000003</v>
      </c>
      <c r="AV16" s="4">
        <v>25530847.219999999</v>
      </c>
      <c r="AW16" s="4">
        <v>15961205.039999999</v>
      </c>
      <c r="AX16" s="6">
        <v>1.6</v>
      </c>
      <c r="AY16" s="3">
        <v>918336.44900000002</v>
      </c>
      <c r="AZ16" s="4">
        <v>311360818.06999999</v>
      </c>
      <c r="BA16" s="4">
        <v>197153930.91</v>
      </c>
      <c r="BB16" s="6">
        <v>1.58</v>
      </c>
    </row>
    <row r="17" spans="1:54" x14ac:dyDescent="0.25">
      <c r="A17" s="10" t="s">
        <v>144</v>
      </c>
      <c r="B17" s="10" t="s">
        <v>187</v>
      </c>
      <c r="C17" s="11">
        <v>40</v>
      </c>
      <c r="D17" s="12">
        <v>1567.2</v>
      </c>
      <c r="E17" s="12">
        <v>1109.5999999999999</v>
      </c>
      <c r="F17" s="13">
        <v>1.41</v>
      </c>
      <c r="G17" s="11">
        <v>40</v>
      </c>
      <c r="H17" s="12">
        <v>1567.2</v>
      </c>
      <c r="I17" s="12">
        <v>1109.5999999999999</v>
      </c>
      <c r="J17" s="13">
        <v>1.41</v>
      </c>
      <c r="K17" s="11">
        <v>40</v>
      </c>
      <c r="L17" s="12">
        <v>1567.2</v>
      </c>
      <c r="M17" s="12">
        <v>1109.5999999999999</v>
      </c>
      <c r="N17" s="13">
        <v>1.41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1">
        <v>80</v>
      </c>
      <c r="AF17" s="12">
        <v>3134.4</v>
      </c>
      <c r="AG17" s="12">
        <v>2219.1999999999998</v>
      </c>
      <c r="AH17" s="13">
        <v>1.41</v>
      </c>
      <c r="AI17" s="11">
        <v>240</v>
      </c>
      <c r="AJ17" s="12">
        <v>9403.2000000000007</v>
      </c>
      <c r="AK17" s="12">
        <v>6657.6</v>
      </c>
      <c r="AL17" s="13">
        <v>1.41</v>
      </c>
      <c r="AM17" s="11">
        <v>240</v>
      </c>
      <c r="AN17" s="12">
        <v>9403.2000000000007</v>
      </c>
      <c r="AO17" s="12">
        <v>6657.6</v>
      </c>
      <c r="AP17" s="13">
        <v>1.41</v>
      </c>
      <c r="AQ17" s="11">
        <v>80</v>
      </c>
      <c r="AR17" s="12">
        <v>3134.4</v>
      </c>
      <c r="AS17" s="12">
        <v>2219.1999999999998</v>
      </c>
      <c r="AT17" s="13">
        <v>1.41</v>
      </c>
      <c r="AU17" s="11">
        <v>40</v>
      </c>
      <c r="AV17" s="12">
        <v>1567.2</v>
      </c>
      <c r="AW17" s="12">
        <v>1109.5999999999999</v>
      </c>
      <c r="AX17" s="13">
        <v>1.41</v>
      </c>
      <c r="AY17" s="11">
        <v>800</v>
      </c>
      <c r="AZ17" s="15">
        <v>31344</v>
      </c>
      <c r="BA17" s="15">
        <v>22192</v>
      </c>
      <c r="BB17" s="13">
        <v>1.41</v>
      </c>
    </row>
    <row r="18" spans="1:54" x14ac:dyDescent="0.25">
      <c r="A18" s="10" t="s">
        <v>144</v>
      </c>
      <c r="B18" s="10" t="s">
        <v>188</v>
      </c>
      <c r="C18" s="11">
        <v>0.45</v>
      </c>
      <c r="D18" s="13">
        <v>125.06</v>
      </c>
      <c r="E18" s="13">
        <v>75.92</v>
      </c>
      <c r="F18" s="13">
        <v>1.65</v>
      </c>
      <c r="G18" s="11">
        <v>0.9</v>
      </c>
      <c r="H18" s="13">
        <v>250.13</v>
      </c>
      <c r="I18" s="13">
        <v>151.83000000000001</v>
      </c>
      <c r="J18" s="13">
        <v>1.65</v>
      </c>
      <c r="K18" s="11">
        <v>6.75</v>
      </c>
      <c r="L18" s="16">
        <v>1875.96</v>
      </c>
      <c r="M18" s="16">
        <v>1138.73</v>
      </c>
      <c r="N18" s="13">
        <v>1.65</v>
      </c>
      <c r="O18" s="11">
        <v>8.1</v>
      </c>
      <c r="P18" s="16">
        <v>2251.15</v>
      </c>
      <c r="Q18" s="16">
        <v>1366.47</v>
      </c>
      <c r="R18" s="13">
        <v>1.65</v>
      </c>
      <c r="S18" s="11">
        <v>5.4</v>
      </c>
      <c r="T18" s="16">
        <v>1500.77</v>
      </c>
      <c r="U18" s="13">
        <v>910.98</v>
      </c>
      <c r="V18" s="13">
        <v>1.65</v>
      </c>
      <c r="W18" s="11">
        <v>3.6</v>
      </c>
      <c r="X18" s="16">
        <v>1000.51</v>
      </c>
      <c r="Y18" s="13">
        <v>607.32000000000005</v>
      </c>
      <c r="Z18" s="13">
        <v>1.65</v>
      </c>
      <c r="AA18" s="11">
        <v>3</v>
      </c>
      <c r="AB18" s="13">
        <v>833.76</v>
      </c>
      <c r="AC18" s="17">
        <v>506.1</v>
      </c>
      <c r="AD18" s="13">
        <v>1.65</v>
      </c>
      <c r="AE18" s="11">
        <v>0.3</v>
      </c>
      <c r="AF18" s="13">
        <v>83.38</v>
      </c>
      <c r="AG18" s="13">
        <v>50.61</v>
      </c>
      <c r="AH18" s="13">
        <v>1.65</v>
      </c>
      <c r="AI18" s="11">
        <v>0.3</v>
      </c>
      <c r="AJ18" s="13">
        <v>83.38</v>
      </c>
      <c r="AK18" s="13">
        <v>50.61</v>
      </c>
      <c r="AL18" s="13">
        <v>1.65</v>
      </c>
      <c r="AM18" s="11">
        <v>0.3</v>
      </c>
      <c r="AN18" s="13">
        <v>83.38</v>
      </c>
      <c r="AO18" s="13">
        <v>50.61</v>
      </c>
      <c r="AP18" s="13">
        <v>1.65</v>
      </c>
      <c r="AQ18" s="11">
        <v>0.45</v>
      </c>
      <c r="AR18" s="13">
        <v>125.06</v>
      </c>
      <c r="AS18" s="13">
        <v>75.92</v>
      </c>
      <c r="AT18" s="13">
        <v>1.65</v>
      </c>
      <c r="AU18" s="11">
        <v>0.45</v>
      </c>
      <c r="AV18" s="13">
        <v>125.06</v>
      </c>
      <c r="AW18" s="13">
        <v>75.92</v>
      </c>
      <c r="AX18" s="13">
        <v>1.65</v>
      </c>
      <c r="AY18" s="11">
        <v>30</v>
      </c>
      <c r="AZ18" s="12">
        <v>8337.6</v>
      </c>
      <c r="BA18" s="16">
        <v>5061.0200000000004</v>
      </c>
      <c r="BB18" s="13">
        <v>1.65</v>
      </c>
    </row>
    <row r="19" spans="1:54" x14ac:dyDescent="0.25">
      <c r="A19" s="10" t="s">
        <v>144</v>
      </c>
      <c r="B19" s="10" t="s">
        <v>189</v>
      </c>
      <c r="C19" s="11">
        <v>25</v>
      </c>
      <c r="D19" s="16">
        <v>2386.25</v>
      </c>
      <c r="E19" s="16">
        <v>1622.25</v>
      </c>
      <c r="F19" s="13">
        <v>1.47</v>
      </c>
      <c r="G19" s="11">
        <v>25</v>
      </c>
      <c r="H19" s="16">
        <v>2386.25</v>
      </c>
      <c r="I19" s="16">
        <v>1622.25</v>
      </c>
      <c r="J19" s="13">
        <v>1.47</v>
      </c>
      <c r="K19" s="11">
        <v>25</v>
      </c>
      <c r="L19" s="16">
        <v>2386.25</v>
      </c>
      <c r="M19" s="16">
        <v>1622.25</v>
      </c>
      <c r="N19" s="13">
        <v>1.47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1">
        <v>50</v>
      </c>
      <c r="AF19" s="12">
        <v>4772.5</v>
      </c>
      <c r="AG19" s="12">
        <v>3244.5</v>
      </c>
      <c r="AH19" s="13">
        <v>1.47</v>
      </c>
      <c r="AI19" s="11">
        <v>150</v>
      </c>
      <c r="AJ19" s="12">
        <v>14317.5</v>
      </c>
      <c r="AK19" s="12">
        <v>9733.5</v>
      </c>
      <c r="AL19" s="13">
        <v>1.47</v>
      </c>
      <c r="AM19" s="11">
        <v>150</v>
      </c>
      <c r="AN19" s="12">
        <v>14317.5</v>
      </c>
      <c r="AO19" s="12">
        <v>9733.5</v>
      </c>
      <c r="AP19" s="13">
        <v>1.47</v>
      </c>
      <c r="AQ19" s="11">
        <v>50</v>
      </c>
      <c r="AR19" s="12">
        <v>4772.5</v>
      </c>
      <c r="AS19" s="12">
        <v>3244.5</v>
      </c>
      <c r="AT19" s="13">
        <v>1.47</v>
      </c>
      <c r="AU19" s="11">
        <v>25</v>
      </c>
      <c r="AV19" s="16">
        <v>2386.25</v>
      </c>
      <c r="AW19" s="16">
        <v>1622.25</v>
      </c>
      <c r="AX19" s="13">
        <v>1.47</v>
      </c>
      <c r="AY19" s="11">
        <v>500</v>
      </c>
      <c r="AZ19" s="15">
        <v>47725</v>
      </c>
      <c r="BA19" s="15">
        <v>32445</v>
      </c>
      <c r="BB19" s="13">
        <v>1.47</v>
      </c>
    </row>
    <row r="20" spans="1:54" x14ac:dyDescent="0.25">
      <c r="A20" s="10" t="s">
        <v>190</v>
      </c>
      <c r="B20" s="10" t="s">
        <v>191</v>
      </c>
      <c r="C20" s="11">
        <v>515</v>
      </c>
      <c r="D20" s="16">
        <v>95723.05</v>
      </c>
      <c r="E20" s="16">
        <v>82889.25</v>
      </c>
      <c r="F20" s="13">
        <v>1.1499999999999999</v>
      </c>
      <c r="G20" s="11">
        <v>450</v>
      </c>
      <c r="H20" s="12">
        <v>83641.5</v>
      </c>
      <c r="I20" s="12">
        <v>72427.5</v>
      </c>
      <c r="J20" s="13">
        <v>1.1499999999999999</v>
      </c>
      <c r="K20" s="11">
        <v>11</v>
      </c>
      <c r="L20" s="16">
        <v>2044.57</v>
      </c>
      <c r="M20" s="16">
        <v>1770.45</v>
      </c>
      <c r="N20" s="13">
        <v>1.1499999999999999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1">
        <v>976</v>
      </c>
      <c r="AZ20" s="16">
        <v>181409.12</v>
      </c>
      <c r="BA20" s="12">
        <v>157087.20000000001</v>
      </c>
      <c r="BB20" s="13">
        <v>1.1499999999999999</v>
      </c>
    </row>
    <row r="21" spans="1:54" x14ac:dyDescent="0.25">
      <c r="A21" s="10" t="s">
        <v>190</v>
      </c>
      <c r="B21" s="10" t="s">
        <v>192</v>
      </c>
      <c r="C21" s="11">
        <v>950</v>
      </c>
      <c r="D21" s="15">
        <v>194104</v>
      </c>
      <c r="E21" s="15">
        <v>169423</v>
      </c>
      <c r="F21" s="13">
        <v>1.1499999999999999</v>
      </c>
      <c r="G21" s="18">
        <v>1080</v>
      </c>
      <c r="H21" s="12">
        <v>220665.60000000001</v>
      </c>
      <c r="I21" s="12">
        <v>192607.2</v>
      </c>
      <c r="J21" s="13">
        <v>1.1499999999999999</v>
      </c>
      <c r="K21" s="11">
        <v>595</v>
      </c>
      <c r="L21" s="12">
        <v>121570.4</v>
      </c>
      <c r="M21" s="12">
        <v>106112.3</v>
      </c>
      <c r="N21" s="13">
        <v>1.1499999999999999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8">
        <v>2625</v>
      </c>
      <c r="AZ21" s="15">
        <v>536340</v>
      </c>
      <c r="BA21" s="12">
        <v>468142.5</v>
      </c>
      <c r="BB21" s="13">
        <v>1.1499999999999999</v>
      </c>
    </row>
    <row r="22" spans="1:54" x14ac:dyDescent="0.25">
      <c r="A22" s="10" t="s">
        <v>190</v>
      </c>
      <c r="B22" s="10" t="s">
        <v>193</v>
      </c>
      <c r="C22" s="11">
        <v>10</v>
      </c>
      <c r="D22" s="12">
        <v>4497.1000000000004</v>
      </c>
      <c r="E22" s="12">
        <v>3970.9</v>
      </c>
      <c r="F22" s="13">
        <v>1.1299999999999999</v>
      </c>
      <c r="G22" s="11">
        <v>34</v>
      </c>
      <c r="H22" s="16">
        <v>15290.14</v>
      </c>
      <c r="I22" s="16">
        <v>13501.06</v>
      </c>
      <c r="J22" s="13">
        <v>1.1299999999999999</v>
      </c>
      <c r="K22" s="11">
        <v>56</v>
      </c>
      <c r="L22" s="16">
        <v>25183.759999999998</v>
      </c>
      <c r="M22" s="16">
        <v>22237.040000000001</v>
      </c>
      <c r="N22" s="13">
        <v>1.1299999999999999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1">
        <v>100</v>
      </c>
      <c r="AZ22" s="15">
        <v>44971</v>
      </c>
      <c r="BA22" s="15">
        <v>39709</v>
      </c>
      <c r="BB22" s="13">
        <v>1.1299999999999999</v>
      </c>
    </row>
    <row r="23" spans="1:54" x14ac:dyDescent="0.25">
      <c r="A23" s="10" t="s">
        <v>190</v>
      </c>
      <c r="B23" s="10" t="s">
        <v>194</v>
      </c>
      <c r="C23" s="11">
        <v>305</v>
      </c>
      <c r="D23" s="16">
        <v>105246.35</v>
      </c>
      <c r="E23" s="16">
        <v>92601.05</v>
      </c>
      <c r="F23" s="13">
        <v>1.1399999999999999</v>
      </c>
      <c r="G23" s="11">
        <v>220</v>
      </c>
      <c r="H23" s="12">
        <v>75915.399999999994</v>
      </c>
      <c r="I23" s="12">
        <v>66794.2</v>
      </c>
      <c r="J23" s="13">
        <v>1.1399999999999999</v>
      </c>
      <c r="K23" s="11">
        <v>385</v>
      </c>
      <c r="L23" s="16">
        <v>132851.95000000001</v>
      </c>
      <c r="M23" s="16">
        <v>116889.85</v>
      </c>
      <c r="N23" s="13">
        <v>1.1399999999999999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1">
        <v>910</v>
      </c>
      <c r="AZ23" s="12">
        <v>314013.7</v>
      </c>
      <c r="BA23" s="12">
        <v>276285.09999999998</v>
      </c>
      <c r="BB23" s="13">
        <v>1.1399999999999999</v>
      </c>
    </row>
    <row r="24" spans="1:54" x14ac:dyDescent="0.25">
      <c r="A24" s="10" t="s">
        <v>144</v>
      </c>
      <c r="B24" s="10" t="s">
        <v>195</v>
      </c>
      <c r="C24" s="11">
        <v>0.3</v>
      </c>
      <c r="D24" s="13">
        <v>150.58000000000001</v>
      </c>
      <c r="E24" s="13">
        <v>111.27</v>
      </c>
      <c r="F24" s="13">
        <v>1.35</v>
      </c>
      <c r="G24" s="11">
        <v>0.6</v>
      </c>
      <c r="H24" s="13">
        <v>301.14999999999998</v>
      </c>
      <c r="I24" s="13">
        <v>222.55</v>
      </c>
      <c r="J24" s="13">
        <v>1.35</v>
      </c>
      <c r="K24" s="11">
        <v>4.5</v>
      </c>
      <c r="L24" s="16">
        <v>2258.64</v>
      </c>
      <c r="M24" s="12">
        <v>1669.1</v>
      </c>
      <c r="N24" s="13">
        <v>1.35</v>
      </c>
      <c r="O24" s="11">
        <v>5.4</v>
      </c>
      <c r="P24" s="16">
        <v>2710.37</v>
      </c>
      <c r="Q24" s="16">
        <v>2002.91</v>
      </c>
      <c r="R24" s="13">
        <v>1.35</v>
      </c>
      <c r="S24" s="11">
        <v>3.6</v>
      </c>
      <c r="T24" s="16">
        <v>1806.91</v>
      </c>
      <c r="U24" s="16">
        <v>1335.28</v>
      </c>
      <c r="V24" s="13">
        <v>1.35</v>
      </c>
      <c r="W24" s="11">
        <v>2.4</v>
      </c>
      <c r="X24" s="16">
        <v>1204.6099999999999</v>
      </c>
      <c r="Y24" s="13">
        <v>890.18</v>
      </c>
      <c r="Z24" s="13">
        <v>1.35</v>
      </c>
      <c r="AA24" s="11">
        <v>2</v>
      </c>
      <c r="AB24" s="16">
        <v>1003.84</v>
      </c>
      <c r="AC24" s="13">
        <v>741.82</v>
      </c>
      <c r="AD24" s="13">
        <v>1.35</v>
      </c>
      <c r="AE24" s="11">
        <v>0.2</v>
      </c>
      <c r="AF24" s="13">
        <v>100.38</v>
      </c>
      <c r="AG24" s="13">
        <v>74.180000000000007</v>
      </c>
      <c r="AH24" s="13">
        <v>1.35</v>
      </c>
      <c r="AI24" s="11">
        <v>0.2</v>
      </c>
      <c r="AJ24" s="13">
        <v>100.38</v>
      </c>
      <c r="AK24" s="13">
        <v>74.180000000000007</v>
      </c>
      <c r="AL24" s="13">
        <v>1.35</v>
      </c>
      <c r="AM24" s="11">
        <v>0.2</v>
      </c>
      <c r="AN24" s="13">
        <v>100.38</v>
      </c>
      <c r="AO24" s="13">
        <v>74.180000000000007</v>
      </c>
      <c r="AP24" s="13">
        <v>1.35</v>
      </c>
      <c r="AQ24" s="11">
        <v>0.3</v>
      </c>
      <c r="AR24" s="13">
        <v>150.58000000000001</v>
      </c>
      <c r="AS24" s="13">
        <v>111.27</v>
      </c>
      <c r="AT24" s="13">
        <v>1.35</v>
      </c>
      <c r="AU24" s="11">
        <v>0.3</v>
      </c>
      <c r="AV24" s="13">
        <v>150.58000000000001</v>
      </c>
      <c r="AW24" s="13">
        <v>111.27</v>
      </c>
      <c r="AX24" s="13">
        <v>1.35</v>
      </c>
      <c r="AY24" s="11">
        <v>20</v>
      </c>
      <c r="AZ24" s="12">
        <v>10038.4</v>
      </c>
      <c r="BA24" s="16">
        <v>7418.19</v>
      </c>
      <c r="BB24" s="13">
        <v>1.35</v>
      </c>
    </row>
    <row r="25" spans="1:54" x14ac:dyDescent="0.25">
      <c r="A25" s="10" t="s">
        <v>144</v>
      </c>
      <c r="B25" s="10" t="s">
        <v>196</v>
      </c>
      <c r="C25" s="11">
        <v>40</v>
      </c>
      <c r="D25" s="12">
        <v>1663.6</v>
      </c>
      <c r="E25" s="15">
        <v>1178</v>
      </c>
      <c r="F25" s="13">
        <v>1.41</v>
      </c>
      <c r="G25" s="11">
        <v>40</v>
      </c>
      <c r="H25" s="12">
        <v>1663.6</v>
      </c>
      <c r="I25" s="15">
        <v>1178</v>
      </c>
      <c r="J25" s="13">
        <v>1.41</v>
      </c>
      <c r="K25" s="11">
        <v>40</v>
      </c>
      <c r="L25" s="12">
        <v>1663.6</v>
      </c>
      <c r="M25" s="15">
        <v>1178</v>
      </c>
      <c r="N25" s="13">
        <v>1.41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1">
        <v>80</v>
      </c>
      <c r="AF25" s="12">
        <v>3327.2</v>
      </c>
      <c r="AG25" s="15">
        <v>2356</v>
      </c>
      <c r="AH25" s="13">
        <v>1.41</v>
      </c>
      <c r="AI25" s="11">
        <v>240</v>
      </c>
      <c r="AJ25" s="12">
        <v>9981.6</v>
      </c>
      <c r="AK25" s="15">
        <v>7068</v>
      </c>
      <c r="AL25" s="13">
        <v>1.41</v>
      </c>
      <c r="AM25" s="11">
        <v>240</v>
      </c>
      <c r="AN25" s="12">
        <v>9981.6</v>
      </c>
      <c r="AO25" s="15">
        <v>7068</v>
      </c>
      <c r="AP25" s="13">
        <v>1.41</v>
      </c>
      <c r="AQ25" s="11">
        <v>80</v>
      </c>
      <c r="AR25" s="12">
        <v>3327.2</v>
      </c>
      <c r="AS25" s="15">
        <v>2356</v>
      </c>
      <c r="AT25" s="13">
        <v>1.41</v>
      </c>
      <c r="AU25" s="11">
        <v>40</v>
      </c>
      <c r="AV25" s="12">
        <v>1663.6</v>
      </c>
      <c r="AW25" s="15">
        <v>1178</v>
      </c>
      <c r="AX25" s="13">
        <v>1.41</v>
      </c>
      <c r="AY25" s="11">
        <v>800</v>
      </c>
      <c r="AZ25" s="15">
        <v>33272</v>
      </c>
      <c r="BA25" s="15">
        <v>23560</v>
      </c>
      <c r="BB25" s="13">
        <v>1.41</v>
      </c>
    </row>
    <row r="26" spans="1:54" x14ac:dyDescent="0.25">
      <c r="A26" s="10" t="s">
        <v>144</v>
      </c>
      <c r="B26" s="10" t="s">
        <v>197</v>
      </c>
      <c r="C26" s="11">
        <v>0.45</v>
      </c>
      <c r="D26" s="13">
        <v>184.52</v>
      </c>
      <c r="E26" s="13">
        <v>136.36000000000001</v>
      </c>
      <c r="F26" s="13">
        <v>1.35</v>
      </c>
      <c r="G26" s="11">
        <v>0.9</v>
      </c>
      <c r="H26" s="13">
        <v>369.05</v>
      </c>
      <c r="I26" s="13">
        <v>272.72000000000003</v>
      </c>
      <c r="J26" s="13">
        <v>1.35</v>
      </c>
      <c r="K26" s="11">
        <v>6.75</v>
      </c>
      <c r="L26" s="16">
        <v>2767.84</v>
      </c>
      <c r="M26" s="16">
        <v>2045.39</v>
      </c>
      <c r="N26" s="13">
        <v>1.35</v>
      </c>
      <c r="O26" s="11">
        <v>8.1</v>
      </c>
      <c r="P26" s="16">
        <v>3321.41</v>
      </c>
      <c r="Q26" s="16">
        <v>2454.46</v>
      </c>
      <c r="R26" s="13">
        <v>1.35</v>
      </c>
      <c r="S26" s="11">
        <v>5.4</v>
      </c>
      <c r="T26" s="16">
        <v>2214.27</v>
      </c>
      <c r="U26" s="16">
        <v>1636.31</v>
      </c>
      <c r="V26" s="13">
        <v>1.35</v>
      </c>
      <c r="W26" s="11">
        <v>3.6</v>
      </c>
      <c r="X26" s="16">
        <v>1476.18</v>
      </c>
      <c r="Y26" s="16">
        <v>1090.8699999999999</v>
      </c>
      <c r="Z26" s="13">
        <v>1.35</v>
      </c>
      <c r="AA26" s="11">
        <v>3</v>
      </c>
      <c r="AB26" s="16">
        <v>1230.1500000000001</v>
      </c>
      <c r="AC26" s="13">
        <v>909.06</v>
      </c>
      <c r="AD26" s="13">
        <v>1.35</v>
      </c>
      <c r="AE26" s="11">
        <v>0.3</v>
      </c>
      <c r="AF26" s="13">
        <v>123.02</v>
      </c>
      <c r="AG26" s="13">
        <v>90.91</v>
      </c>
      <c r="AH26" s="13">
        <v>1.35</v>
      </c>
      <c r="AI26" s="11">
        <v>0.3</v>
      </c>
      <c r="AJ26" s="13">
        <v>123.02</v>
      </c>
      <c r="AK26" s="13">
        <v>90.91</v>
      </c>
      <c r="AL26" s="13">
        <v>1.35</v>
      </c>
      <c r="AM26" s="11">
        <v>0.3</v>
      </c>
      <c r="AN26" s="13">
        <v>123.02</v>
      </c>
      <c r="AO26" s="13">
        <v>90.91</v>
      </c>
      <c r="AP26" s="13">
        <v>1.35</v>
      </c>
      <c r="AQ26" s="11">
        <v>0.45</v>
      </c>
      <c r="AR26" s="13">
        <v>184.52</v>
      </c>
      <c r="AS26" s="13">
        <v>136.36000000000001</v>
      </c>
      <c r="AT26" s="13">
        <v>1.35</v>
      </c>
      <c r="AU26" s="11">
        <v>0.45</v>
      </c>
      <c r="AV26" s="13">
        <v>184.52</v>
      </c>
      <c r="AW26" s="13">
        <v>136.36000000000001</v>
      </c>
      <c r="AX26" s="13">
        <v>1.35</v>
      </c>
      <c r="AY26" s="11">
        <v>30</v>
      </c>
      <c r="AZ26" s="16">
        <v>12301.52</v>
      </c>
      <c r="BA26" s="16">
        <v>9090.6200000000008</v>
      </c>
      <c r="BB26" s="13">
        <v>1.35</v>
      </c>
    </row>
    <row r="27" spans="1:54" x14ac:dyDescent="0.25">
      <c r="A27" s="10" t="s">
        <v>144</v>
      </c>
      <c r="B27" s="10" t="s">
        <v>198</v>
      </c>
      <c r="C27" s="14"/>
      <c r="D27" s="14"/>
      <c r="E27" s="14"/>
      <c r="F27" s="14"/>
      <c r="G27" s="11">
        <v>1</v>
      </c>
      <c r="H27" s="13">
        <v>849.44</v>
      </c>
      <c r="I27" s="13">
        <v>601.55999999999995</v>
      </c>
      <c r="J27" s="13">
        <v>1.41</v>
      </c>
      <c r="K27" s="11">
        <v>1</v>
      </c>
      <c r="L27" s="13">
        <v>849.44</v>
      </c>
      <c r="M27" s="13">
        <v>601.55999999999995</v>
      </c>
      <c r="N27" s="13">
        <v>1.41</v>
      </c>
      <c r="O27" s="11">
        <v>1</v>
      </c>
      <c r="P27" s="13">
        <v>849.44</v>
      </c>
      <c r="Q27" s="13">
        <v>601.55999999999995</v>
      </c>
      <c r="R27" s="13">
        <v>1.41</v>
      </c>
      <c r="S27" s="11">
        <v>1</v>
      </c>
      <c r="T27" s="13">
        <v>849.44</v>
      </c>
      <c r="U27" s="13">
        <v>601.55999999999995</v>
      </c>
      <c r="V27" s="13">
        <v>1.41</v>
      </c>
      <c r="W27" s="11">
        <v>1</v>
      </c>
      <c r="X27" s="13">
        <v>849.44</v>
      </c>
      <c r="Y27" s="13">
        <v>601.55999999999995</v>
      </c>
      <c r="Z27" s="13">
        <v>1.41</v>
      </c>
      <c r="AA27" s="11">
        <v>1</v>
      </c>
      <c r="AB27" s="13">
        <v>849.44</v>
      </c>
      <c r="AC27" s="13">
        <v>601.55999999999995</v>
      </c>
      <c r="AD27" s="13">
        <v>1.41</v>
      </c>
      <c r="AE27" s="11">
        <v>1</v>
      </c>
      <c r="AF27" s="13">
        <v>849.44</v>
      </c>
      <c r="AG27" s="13">
        <v>601.55999999999995</v>
      </c>
      <c r="AH27" s="13">
        <v>1.41</v>
      </c>
      <c r="AI27" s="11">
        <v>1</v>
      </c>
      <c r="AJ27" s="13">
        <v>849.44</v>
      </c>
      <c r="AK27" s="13">
        <v>601.55999999999995</v>
      </c>
      <c r="AL27" s="13">
        <v>1.41</v>
      </c>
      <c r="AM27" s="11">
        <v>1</v>
      </c>
      <c r="AN27" s="13">
        <v>849.44</v>
      </c>
      <c r="AO27" s="13">
        <v>601.55999999999995</v>
      </c>
      <c r="AP27" s="13">
        <v>1.41</v>
      </c>
      <c r="AQ27" s="11">
        <v>1</v>
      </c>
      <c r="AR27" s="13">
        <v>849.44</v>
      </c>
      <c r="AS27" s="13">
        <v>601.55999999999995</v>
      </c>
      <c r="AT27" s="13">
        <v>1.41</v>
      </c>
      <c r="AU27" s="14"/>
      <c r="AV27" s="14"/>
      <c r="AW27" s="14"/>
      <c r="AX27" s="14"/>
      <c r="AY27" s="11">
        <v>10</v>
      </c>
      <c r="AZ27" s="12">
        <v>8494.4</v>
      </c>
      <c r="BA27" s="12">
        <v>6015.6</v>
      </c>
      <c r="BB27" s="13">
        <v>1.41</v>
      </c>
    </row>
    <row r="28" spans="1:54" x14ac:dyDescent="0.25">
      <c r="A28" s="10" t="s">
        <v>144</v>
      </c>
      <c r="B28" s="10" t="s">
        <v>199</v>
      </c>
      <c r="C28" s="11">
        <v>0.3</v>
      </c>
      <c r="D28" s="13">
        <v>102.48</v>
      </c>
      <c r="E28" s="13">
        <v>62.21</v>
      </c>
      <c r="F28" s="13">
        <v>1.65</v>
      </c>
      <c r="G28" s="11">
        <v>0.6</v>
      </c>
      <c r="H28" s="13">
        <v>204.95</v>
      </c>
      <c r="I28" s="13">
        <v>124.41</v>
      </c>
      <c r="J28" s="13">
        <v>1.65</v>
      </c>
      <c r="K28" s="11">
        <v>4.5</v>
      </c>
      <c r="L28" s="16">
        <v>1537.16</v>
      </c>
      <c r="M28" s="13">
        <v>933.08</v>
      </c>
      <c r="N28" s="13">
        <v>1.65</v>
      </c>
      <c r="O28" s="11">
        <v>5.4</v>
      </c>
      <c r="P28" s="16">
        <v>1844.59</v>
      </c>
      <c r="Q28" s="16">
        <v>1119.69</v>
      </c>
      <c r="R28" s="13">
        <v>1.65</v>
      </c>
      <c r="S28" s="11">
        <v>3.6</v>
      </c>
      <c r="T28" s="16">
        <v>1229.72</v>
      </c>
      <c r="U28" s="13">
        <v>746.46</v>
      </c>
      <c r="V28" s="13">
        <v>1.65</v>
      </c>
      <c r="W28" s="11">
        <v>2.4</v>
      </c>
      <c r="X28" s="13">
        <v>819.82</v>
      </c>
      <c r="Y28" s="13">
        <v>497.64</v>
      </c>
      <c r="Z28" s="13">
        <v>1.65</v>
      </c>
      <c r="AA28" s="11">
        <v>2</v>
      </c>
      <c r="AB28" s="13">
        <v>683.18</v>
      </c>
      <c r="AC28" s="17">
        <v>414.7</v>
      </c>
      <c r="AD28" s="13">
        <v>1.65</v>
      </c>
      <c r="AE28" s="11">
        <v>0.2</v>
      </c>
      <c r="AF28" s="13">
        <v>68.319999999999993</v>
      </c>
      <c r="AG28" s="13">
        <v>41.47</v>
      </c>
      <c r="AH28" s="13">
        <v>1.65</v>
      </c>
      <c r="AI28" s="11">
        <v>0.2</v>
      </c>
      <c r="AJ28" s="13">
        <v>68.319999999999993</v>
      </c>
      <c r="AK28" s="13">
        <v>41.47</v>
      </c>
      <c r="AL28" s="13">
        <v>1.65</v>
      </c>
      <c r="AM28" s="11">
        <v>0.2</v>
      </c>
      <c r="AN28" s="13">
        <v>68.319999999999993</v>
      </c>
      <c r="AO28" s="13">
        <v>41.47</v>
      </c>
      <c r="AP28" s="13">
        <v>1.65</v>
      </c>
      <c r="AQ28" s="11">
        <v>0.3</v>
      </c>
      <c r="AR28" s="13">
        <v>102.48</v>
      </c>
      <c r="AS28" s="13">
        <v>62.21</v>
      </c>
      <c r="AT28" s="13">
        <v>1.65</v>
      </c>
      <c r="AU28" s="11">
        <v>0.3</v>
      </c>
      <c r="AV28" s="13">
        <v>102.48</v>
      </c>
      <c r="AW28" s="13">
        <v>62.21</v>
      </c>
      <c r="AX28" s="13">
        <v>1.65</v>
      </c>
      <c r="AY28" s="11">
        <v>20</v>
      </c>
      <c r="AZ28" s="16">
        <v>6831.82</v>
      </c>
      <c r="BA28" s="16">
        <v>4147.0200000000004</v>
      </c>
      <c r="BB28" s="13">
        <v>1.65</v>
      </c>
    </row>
    <row r="29" spans="1:54" x14ac:dyDescent="0.25">
      <c r="A29" s="10" t="s">
        <v>144</v>
      </c>
      <c r="B29" s="10" t="s">
        <v>329</v>
      </c>
      <c r="C29" s="14"/>
      <c r="D29" s="14"/>
      <c r="E29" s="14"/>
      <c r="F29" s="14"/>
      <c r="G29" s="14"/>
      <c r="H29" s="14"/>
      <c r="I29" s="14"/>
      <c r="J29" s="14"/>
      <c r="K29" s="11">
        <v>145</v>
      </c>
      <c r="L29" s="16">
        <v>5128.6499999999996</v>
      </c>
      <c r="M29" s="16">
        <v>3632.25</v>
      </c>
      <c r="N29" s="13">
        <v>1.41</v>
      </c>
      <c r="O29" s="11">
        <v>507.5</v>
      </c>
      <c r="P29" s="16">
        <v>17950.28</v>
      </c>
      <c r="Q29" s="16">
        <v>12712.88</v>
      </c>
      <c r="R29" s="13">
        <v>1.41</v>
      </c>
      <c r="S29" s="11">
        <v>507.5</v>
      </c>
      <c r="T29" s="16">
        <v>17950.28</v>
      </c>
      <c r="U29" s="16">
        <v>12712.88</v>
      </c>
      <c r="V29" s="13">
        <v>1.41</v>
      </c>
      <c r="W29" s="11">
        <v>290</v>
      </c>
      <c r="X29" s="12">
        <v>10257.299999999999</v>
      </c>
      <c r="Y29" s="12">
        <v>7264.5</v>
      </c>
      <c r="Z29" s="13">
        <v>1.41</v>
      </c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8">
        <v>1450</v>
      </c>
      <c r="AZ29" s="16">
        <v>51286.51</v>
      </c>
      <c r="BA29" s="16">
        <v>36322.51</v>
      </c>
      <c r="BB29" s="13">
        <v>1.41</v>
      </c>
    </row>
    <row r="30" spans="1:54" x14ac:dyDescent="0.25">
      <c r="A30" s="10" t="s">
        <v>144</v>
      </c>
      <c r="B30" s="10" t="s">
        <v>200</v>
      </c>
      <c r="C30" s="11">
        <v>75</v>
      </c>
      <c r="D30" s="15">
        <v>2034</v>
      </c>
      <c r="E30" s="15">
        <v>1440</v>
      </c>
      <c r="F30" s="13">
        <v>1.41</v>
      </c>
      <c r="G30" s="11">
        <v>75</v>
      </c>
      <c r="H30" s="15">
        <v>2034</v>
      </c>
      <c r="I30" s="15">
        <v>1440</v>
      </c>
      <c r="J30" s="13">
        <v>1.41</v>
      </c>
      <c r="K30" s="11">
        <v>75</v>
      </c>
      <c r="L30" s="15">
        <v>2034</v>
      </c>
      <c r="M30" s="15">
        <v>1440</v>
      </c>
      <c r="N30" s="13">
        <v>1.41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1">
        <v>150</v>
      </c>
      <c r="AF30" s="15">
        <v>4068</v>
      </c>
      <c r="AG30" s="15">
        <v>2880</v>
      </c>
      <c r="AH30" s="13">
        <v>1.41</v>
      </c>
      <c r="AI30" s="11">
        <v>450</v>
      </c>
      <c r="AJ30" s="15">
        <v>12204</v>
      </c>
      <c r="AK30" s="15">
        <v>8640</v>
      </c>
      <c r="AL30" s="13">
        <v>1.41</v>
      </c>
      <c r="AM30" s="11">
        <v>450</v>
      </c>
      <c r="AN30" s="15">
        <v>12204</v>
      </c>
      <c r="AO30" s="15">
        <v>8640</v>
      </c>
      <c r="AP30" s="13">
        <v>1.41</v>
      </c>
      <c r="AQ30" s="11">
        <v>150</v>
      </c>
      <c r="AR30" s="15">
        <v>4068</v>
      </c>
      <c r="AS30" s="15">
        <v>2880</v>
      </c>
      <c r="AT30" s="13">
        <v>1.41</v>
      </c>
      <c r="AU30" s="11">
        <v>75</v>
      </c>
      <c r="AV30" s="15">
        <v>2034</v>
      </c>
      <c r="AW30" s="15">
        <v>1440</v>
      </c>
      <c r="AX30" s="13">
        <v>1.41</v>
      </c>
      <c r="AY30" s="18">
        <v>1500</v>
      </c>
      <c r="AZ30" s="15">
        <v>40680</v>
      </c>
      <c r="BA30" s="15">
        <v>28800</v>
      </c>
      <c r="BB30" s="13">
        <v>1.41</v>
      </c>
    </row>
    <row r="31" spans="1:54" x14ac:dyDescent="0.25">
      <c r="A31" s="10" t="s">
        <v>144</v>
      </c>
      <c r="B31" s="10" t="s">
        <v>201</v>
      </c>
      <c r="C31" s="11">
        <v>50</v>
      </c>
      <c r="D31" s="12">
        <v>2816.5</v>
      </c>
      <c r="E31" s="12">
        <v>1994.5</v>
      </c>
      <c r="F31" s="13">
        <v>1.41</v>
      </c>
      <c r="G31" s="11">
        <v>50</v>
      </c>
      <c r="H31" s="12">
        <v>2816.5</v>
      </c>
      <c r="I31" s="12">
        <v>1994.5</v>
      </c>
      <c r="J31" s="13">
        <v>1.41</v>
      </c>
      <c r="K31" s="11">
        <v>50</v>
      </c>
      <c r="L31" s="12">
        <v>2816.5</v>
      </c>
      <c r="M31" s="12">
        <v>1994.5</v>
      </c>
      <c r="N31" s="13">
        <v>1.41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1">
        <v>100</v>
      </c>
      <c r="AF31" s="15">
        <v>5633</v>
      </c>
      <c r="AG31" s="15">
        <v>3989</v>
      </c>
      <c r="AH31" s="13">
        <v>1.41</v>
      </c>
      <c r="AI31" s="11">
        <v>300</v>
      </c>
      <c r="AJ31" s="15">
        <v>16899</v>
      </c>
      <c r="AK31" s="15">
        <v>11967</v>
      </c>
      <c r="AL31" s="13">
        <v>1.41</v>
      </c>
      <c r="AM31" s="11">
        <v>300</v>
      </c>
      <c r="AN31" s="15">
        <v>16899</v>
      </c>
      <c r="AO31" s="15">
        <v>11967</v>
      </c>
      <c r="AP31" s="13">
        <v>1.41</v>
      </c>
      <c r="AQ31" s="11">
        <v>100</v>
      </c>
      <c r="AR31" s="15">
        <v>5633</v>
      </c>
      <c r="AS31" s="15">
        <v>3989</v>
      </c>
      <c r="AT31" s="13">
        <v>1.41</v>
      </c>
      <c r="AU31" s="11">
        <v>50</v>
      </c>
      <c r="AV31" s="12">
        <v>2816.5</v>
      </c>
      <c r="AW31" s="12">
        <v>1994.5</v>
      </c>
      <c r="AX31" s="13">
        <v>1.41</v>
      </c>
      <c r="AY31" s="18">
        <v>1000</v>
      </c>
      <c r="AZ31" s="15">
        <v>56330</v>
      </c>
      <c r="BA31" s="15">
        <v>39890</v>
      </c>
      <c r="BB31" s="13">
        <v>1.41</v>
      </c>
    </row>
    <row r="32" spans="1:54" x14ac:dyDescent="0.25">
      <c r="A32" s="10" t="s">
        <v>144</v>
      </c>
      <c r="B32" s="10" t="s">
        <v>202</v>
      </c>
      <c r="C32" s="11">
        <v>75</v>
      </c>
      <c r="D32" s="15">
        <v>2721</v>
      </c>
      <c r="E32" s="16">
        <v>1926.75</v>
      </c>
      <c r="F32" s="13">
        <v>1.41</v>
      </c>
      <c r="G32" s="11">
        <v>75</v>
      </c>
      <c r="H32" s="15">
        <v>2721</v>
      </c>
      <c r="I32" s="16">
        <v>1926.75</v>
      </c>
      <c r="J32" s="13">
        <v>1.41</v>
      </c>
      <c r="K32" s="11">
        <v>75</v>
      </c>
      <c r="L32" s="15">
        <v>2721</v>
      </c>
      <c r="M32" s="16">
        <v>1926.75</v>
      </c>
      <c r="N32" s="13">
        <v>1.41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1">
        <v>150</v>
      </c>
      <c r="AF32" s="15">
        <v>5442</v>
      </c>
      <c r="AG32" s="12">
        <v>3853.5</v>
      </c>
      <c r="AH32" s="13">
        <v>1.41</v>
      </c>
      <c r="AI32" s="11">
        <v>450</v>
      </c>
      <c r="AJ32" s="15">
        <v>16326</v>
      </c>
      <c r="AK32" s="12">
        <v>11560.5</v>
      </c>
      <c r="AL32" s="13">
        <v>1.41</v>
      </c>
      <c r="AM32" s="11">
        <v>450</v>
      </c>
      <c r="AN32" s="15">
        <v>16326</v>
      </c>
      <c r="AO32" s="12">
        <v>11560.5</v>
      </c>
      <c r="AP32" s="13">
        <v>1.41</v>
      </c>
      <c r="AQ32" s="11">
        <v>150</v>
      </c>
      <c r="AR32" s="15">
        <v>5442</v>
      </c>
      <c r="AS32" s="12">
        <v>3853.5</v>
      </c>
      <c r="AT32" s="13">
        <v>1.41</v>
      </c>
      <c r="AU32" s="11">
        <v>75</v>
      </c>
      <c r="AV32" s="15">
        <v>2721</v>
      </c>
      <c r="AW32" s="16">
        <v>1926.75</v>
      </c>
      <c r="AX32" s="13">
        <v>1.41</v>
      </c>
      <c r="AY32" s="18">
        <v>1500</v>
      </c>
      <c r="AZ32" s="15">
        <v>54420</v>
      </c>
      <c r="BA32" s="15">
        <v>38535</v>
      </c>
      <c r="BB32" s="13">
        <v>1.41</v>
      </c>
    </row>
    <row r="33" spans="1:54" x14ac:dyDescent="0.25">
      <c r="A33" s="10" t="s">
        <v>144</v>
      </c>
      <c r="B33" s="10" t="s">
        <v>203</v>
      </c>
      <c r="C33" s="11">
        <v>60</v>
      </c>
      <c r="D33" s="12">
        <v>1921.8</v>
      </c>
      <c r="E33" s="12">
        <v>1360.8</v>
      </c>
      <c r="F33" s="13">
        <v>1.41</v>
      </c>
      <c r="G33" s="11">
        <v>60</v>
      </c>
      <c r="H33" s="12">
        <v>1921.8</v>
      </c>
      <c r="I33" s="12">
        <v>1360.8</v>
      </c>
      <c r="J33" s="13">
        <v>1.41</v>
      </c>
      <c r="K33" s="11">
        <v>60</v>
      </c>
      <c r="L33" s="12">
        <v>1921.8</v>
      </c>
      <c r="M33" s="12">
        <v>1360.8</v>
      </c>
      <c r="N33" s="13">
        <v>1.41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1">
        <v>120</v>
      </c>
      <c r="AF33" s="12">
        <v>3843.6</v>
      </c>
      <c r="AG33" s="12">
        <v>2721.6</v>
      </c>
      <c r="AH33" s="13">
        <v>1.41</v>
      </c>
      <c r="AI33" s="11">
        <v>360</v>
      </c>
      <c r="AJ33" s="12">
        <v>11530.8</v>
      </c>
      <c r="AK33" s="12">
        <v>8164.8</v>
      </c>
      <c r="AL33" s="13">
        <v>1.41</v>
      </c>
      <c r="AM33" s="11">
        <v>360</v>
      </c>
      <c r="AN33" s="12">
        <v>11530.8</v>
      </c>
      <c r="AO33" s="12">
        <v>8164.8</v>
      </c>
      <c r="AP33" s="13">
        <v>1.41</v>
      </c>
      <c r="AQ33" s="11">
        <v>120</v>
      </c>
      <c r="AR33" s="12">
        <v>3843.6</v>
      </c>
      <c r="AS33" s="12">
        <v>2721.6</v>
      </c>
      <c r="AT33" s="13">
        <v>1.41</v>
      </c>
      <c r="AU33" s="11">
        <v>60</v>
      </c>
      <c r="AV33" s="12">
        <v>1921.8</v>
      </c>
      <c r="AW33" s="12">
        <v>1360.8</v>
      </c>
      <c r="AX33" s="13">
        <v>1.41</v>
      </c>
      <c r="AY33" s="18">
        <v>1200</v>
      </c>
      <c r="AZ33" s="15">
        <v>38436</v>
      </c>
      <c r="BA33" s="15">
        <v>27216</v>
      </c>
      <c r="BB33" s="13">
        <v>1.41</v>
      </c>
    </row>
    <row r="34" spans="1:54" x14ac:dyDescent="0.25">
      <c r="A34" s="10" t="s">
        <v>144</v>
      </c>
      <c r="B34" s="10" t="s">
        <v>208</v>
      </c>
      <c r="C34" s="14"/>
      <c r="D34" s="14"/>
      <c r="E34" s="14"/>
      <c r="F34" s="14"/>
      <c r="G34" s="14"/>
      <c r="H34" s="14"/>
      <c r="I34" s="14"/>
      <c r="J34" s="14"/>
      <c r="K34" s="11">
        <v>10</v>
      </c>
      <c r="L34" s="12">
        <v>3606.2</v>
      </c>
      <c r="M34" s="12">
        <v>2357.4</v>
      </c>
      <c r="N34" s="13">
        <v>1.53</v>
      </c>
      <c r="O34" s="11">
        <v>10</v>
      </c>
      <c r="P34" s="12">
        <v>3606.2</v>
      </c>
      <c r="Q34" s="12">
        <v>2357.4</v>
      </c>
      <c r="R34" s="13">
        <v>1.53</v>
      </c>
      <c r="S34" s="11">
        <v>15</v>
      </c>
      <c r="T34" s="12">
        <v>5409.3</v>
      </c>
      <c r="U34" s="12">
        <v>3536.1</v>
      </c>
      <c r="V34" s="13">
        <v>1.53</v>
      </c>
      <c r="W34" s="11">
        <v>12.5</v>
      </c>
      <c r="X34" s="16">
        <v>4507.75</v>
      </c>
      <c r="Y34" s="16">
        <v>2946.75</v>
      </c>
      <c r="Z34" s="13">
        <v>1.53</v>
      </c>
      <c r="AA34" s="11">
        <v>2.5</v>
      </c>
      <c r="AB34" s="13">
        <v>901.55</v>
      </c>
      <c r="AC34" s="13">
        <v>589.35</v>
      </c>
      <c r="AD34" s="13">
        <v>1.53</v>
      </c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1">
        <v>50</v>
      </c>
      <c r="AZ34" s="15">
        <v>18031</v>
      </c>
      <c r="BA34" s="15">
        <v>11787</v>
      </c>
      <c r="BB34" s="13">
        <v>1.53</v>
      </c>
    </row>
    <row r="35" spans="1:54" x14ac:dyDescent="0.25">
      <c r="A35" s="10" t="s">
        <v>144</v>
      </c>
      <c r="B35" s="10" t="s">
        <v>204</v>
      </c>
      <c r="C35" s="11">
        <v>0.3</v>
      </c>
      <c r="D35" s="13">
        <v>75.89</v>
      </c>
      <c r="E35" s="13">
        <v>46.07</v>
      </c>
      <c r="F35" s="13">
        <v>1.65</v>
      </c>
      <c r="G35" s="11">
        <v>0.6</v>
      </c>
      <c r="H35" s="13">
        <v>151.78</v>
      </c>
      <c r="I35" s="13">
        <v>92.14</v>
      </c>
      <c r="J35" s="13">
        <v>1.65</v>
      </c>
      <c r="K35" s="11">
        <v>4.5</v>
      </c>
      <c r="L35" s="16">
        <v>1138.3699999999999</v>
      </c>
      <c r="M35" s="13">
        <v>691.02</v>
      </c>
      <c r="N35" s="13">
        <v>1.65</v>
      </c>
      <c r="O35" s="11">
        <v>5.4</v>
      </c>
      <c r="P35" s="16">
        <v>1366.04</v>
      </c>
      <c r="Q35" s="13">
        <v>829.22</v>
      </c>
      <c r="R35" s="13">
        <v>1.65</v>
      </c>
      <c r="S35" s="11">
        <v>3.6</v>
      </c>
      <c r="T35" s="13">
        <v>910.69</v>
      </c>
      <c r="U35" s="13">
        <v>552.82000000000005</v>
      </c>
      <c r="V35" s="13">
        <v>1.65</v>
      </c>
      <c r="W35" s="11">
        <v>2.4</v>
      </c>
      <c r="X35" s="13">
        <v>607.13</v>
      </c>
      <c r="Y35" s="13">
        <v>368.54</v>
      </c>
      <c r="Z35" s="13">
        <v>1.65</v>
      </c>
      <c r="AA35" s="11">
        <v>2</v>
      </c>
      <c r="AB35" s="13">
        <v>505.94</v>
      </c>
      <c r="AC35" s="13">
        <v>307.12</v>
      </c>
      <c r="AD35" s="13">
        <v>1.65</v>
      </c>
      <c r="AE35" s="11">
        <v>0.2</v>
      </c>
      <c r="AF35" s="13">
        <v>50.59</v>
      </c>
      <c r="AG35" s="13">
        <v>30.71</v>
      </c>
      <c r="AH35" s="13">
        <v>1.65</v>
      </c>
      <c r="AI35" s="11">
        <v>0.2</v>
      </c>
      <c r="AJ35" s="13">
        <v>50.59</v>
      </c>
      <c r="AK35" s="13">
        <v>30.71</v>
      </c>
      <c r="AL35" s="13">
        <v>1.65</v>
      </c>
      <c r="AM35" s="11">
        <v>0.2</v>
      </c>
      <c r="AN35" s="13">
        <v>50.59</v>
      </c>
      <c r="AO35" s="13">
        <v>30.71</v>
      </c>
      <c r="AP35" s="13">
        <v>1.65</v>
      </c>
      <c r="AQ35" s="11">
        <v>0.3</v>
      </c>
      <c r="AR35" s="13">
        <v>75.89</v>
      </c>
      <c r="AS35" s="13">
        <v>46.07</v>
      </c>
      <c r="AT35" s="13">
        <v>1.65</v>
      </c>
      <c r="AU35" s="11">
        <v>0.3</v>
      </c>
      <c r="AV35" s="13">
        <v>75.89</v>
      </c>
      <c r="AW35" s="13">
        <v>46.07</v>
      </c>
      <c r="AX35" s="13">
        <v>1.65</v>
      </c>
      <c r="AY35" s="11">
        <v>20</v>
      </c>
      <c r="AZ35" s="16">
        <v>5059.3900000000003</v>
      </c>
      <c r="BA35" s="12">
        <v>3071.2</v>
      </c>
      <c r="BB35" s="13">
        <v>1.65</v>
      </c>
    </row>
    <row r="36" spans="1:54" x14ac:dyDescent="0.25">
      <c r="A36" s="10" t="s">
        <v>144</v>
      </c>
      <c r="B36" s="10" t="s">
        <v>205</v>
      </c>
      <c r="C36" s="11">
        <v>25</v>
      </c>
      <c r="D36" s="13">
        <v>595.25</v>
      </c>
      <c r="E36" s="17">
        <v>421.5</v>
      </c>
      <c r="F36" s="13">
        <v>1.41</v>
      </c>
      <c r="G36" s="11">
        <v>25</v>
      </c>
      <c r="H36" s="13">
        <v>595.25</v>
      </c>
      <c r="I36" s="17">
        <v>421.5</v>
      </c>
      <c r="J36" s="13">
        <v>1.41</v>
      </c>
      <c r="K36" s="11">
        <v>25</v>
      </c>
      <c r="L36" s="13">
        <v>595.25</v>
      </c>
      <c r="M36" s="17">
        <v>421.5</v>
      </c>
      <c r="N36" s="13">
        <v>1.41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1">
        <v>75</v>
      </c>
      <c r="AF36" s="16">
        <v>1785.75</v>
      </c>
      <c r="AG36" s="12">
        <v>1264.5</v>
      </c>
      <c r="AH36" s="13">
        <v>1.41</v>
      </c>
      <c r="AI36" s="11">
        <v>75</v>
      </c>
      <c r="AJ36" s="16">
        <v>1785.75</v>
      </c>
      <c r="AK36" s="12">
        <v>1264.5</v>
      </c>
      <c r="AL36" s="13">
        <v>1.41</v>
      </c>
      <c r="AM36" s="11">
        <v>100</v>
      </c>
      <c r="AN36" s="15">
        <v>2381</v>
      </c>
      <c r="AO36" s="15">
        <v>1686</v>
      </c>
      <c r="AP36" s="13">
        <v>1.41</v>
      </c>
      <c r="AQ36" s="11">
        <v>75</v>
      </c>
      <c r="AR36" s="16">
        <v>1785.75</v>
      </c>
      <c r="AS36" s="12">
        <v>1264.5</v>
      </c>
      <c r="AT36" s="13">
        <v>1.41</v>
      </c>
      <c r="AU36" s="11">
        <v>100</v>
      </c>
      <c r="AV36" s="15">
        <v>2381</v>
      </c>
      <c r="AW36" s="15">
        <v>1686</v>
      </c>
      <c r="AX36" s="13">
        <v>1.41</v>
      </c>
      <c r="AY36" s="11">
        <v>500</v>
      </c>
      <c r="AZ36" s="15">
        <v>11905</v>
      </c>
      <c r="BA36" s="15">
        <v>8430</v>
      </c>
      <c r="BB36" s="13">
        <v>1.41</v>
      </c>
    </row>
    <row r="37" spans="1:54" x14ac:dyDescent="0.25">
      <c r="A37" s="10" t="s">
        <v>144</v>
      </c>
      <c r="B37" s="10" t="s">
        <v>206</v>
      </c>
      <c r="C37" s="11">
        <v>40</v>
      </c>
      <c r="D37" s="12">
        <v>3393.2</v>
      </c>
      <c r="E37" s="12">
        <v>2306.8000000000002</v>
      </c>
      <c r="F37" s="13">
        <v>1.47</v>
      </c>
      <c r="G37" s="11">
        <v>40</v>
      </c>
      <c r="H37" s="12">
        <v>3393.2</v>
      </c>
      <c r="I37" s="12">
        <v>2306.8000000000002</v>
      </c>
      <c r="J37" s="13">
        <v>1.47</v>
      </c>
      <c r="K37" s="11">
        <v>40</v>
      </c>
      <c r="L37" s="12">
        <v>3393.2</v>
      </c>
      <c r="M37" s="12">
        <v>2306.8000000000002</v>
      </c>
      <c r="N37" s="13">
        <v>1.47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1">
        <v>80</v>
      </c>
      <c r="AF37" s="12">
        <v>6786.4</v>
      </c>
      <c r="AG37" s="12">
        <v>4613.6000000000004</v>
      </c>
      <c r="AH37" s="13">
        <v>1.47</v>
      </c>
      <c r="AI37" s="11">
        <v>240</v>
      </c>
      <c r="AJ37" s="12">
        <v>20359.2</v>
      </c>
      <c r="AK37" s="12">
        <v>13840.8</v>
      </c>
      <c r="AL37" s="13">
        <v>1.47</v>
      </c>
      <c r="AM37" s="11">
        <v>240</v>
      </c>
      <c r="AN37" s="12">
        <v>20359.2</v>
      </c>
      <c r="AO37" s="12">
        <v>13840.8</v>
      </c>
      <c r="AP37" s="13">
        <v>1.47</v>
      </c>
      <c r="AQ37" s="11">
        <v>80</v>
      </c>
      <c r="AR37" s="12">
        <v>6786.4</v>
      </c>
      <c r="AS37" s="12">
        <v>4613.6000000000004</v>
      </c>
      <c r="AT37" s="13">
        <v>1.47</v>
      </c>
      <c r="AU37" s="11">
        <v>40</v>
      </c>
      <c r="AV37" s="12">
        <v>3393.2</v>
      </c>
      <c r="AW37" s="12">
        <v>2306.8000000000002</v>
      </c>
      <c r="AX37" s="13">
        <v>1.47</v>
      </c>
      <c r="AY37" s="11">
        <v>800</v>
      </c>
      <c r="AZ37" s="15">
        <v>67864</v>
      </c>
      <c r="BA37" s="15">
        <v>46136</v>
      </c>
      <c r="BB37" s="13">
        <v>1.47</v>
      </c>
    </row>
    <row r="38" spans="1:54" x14ac:dyDescent="0.25">
      <c r="A38" s="10" t="s">
        <v>144</v>
      </c>
      <c r="B38" s="10" t="s">
        <v>207</v>
      </c>
      <c r="C38" s="11">
        <v>50</v>
      </c>
      <c r="D38" s="12">
        <v>1818.5</v>
      </c>
      <c r="E38" s="15">
        <v>1288</v>
      </c>
      <c r="F38" s="13">
        <v>1.41</v>
      </c>
      <c r="G38" s="11">
        <v>50</v>
      </c>
      <c r="H38" s="12">
        <v>1818.5</v>
      </c>
      <c r="I38" s="15">
        <v>1288</v>
      </c>
      <c r="J38" s="13">
        <v>1.41</v>
      </c>
      <c r="K38" s="11">
        <v>50</v>
      </c>
      <c r="L38" s="12">
        <v>1818.5</v>
      </c>
      <c r="M38" s="15">
        <v>1288</v>
      </c>
      <c r="N38" s="13">
        <v>1.41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1">
        <v>100</v>
      </c>
      <c r="AF38" s="15">
        <v>3637</v>
      </c>
      <c r="AG38" s="15">
        <v>2576</v>
      </c>
      <c r="AH38" s="13">
        <v>1.41</v>
      </c>
      <c r="AI38" s="11">
        <v>300</v>
      </c>
      <c r="AJ38" s="15">
        <v>10911</v>
      </c>
      <c r="AK38" s="15">
        <v>7728</v>
      </c>
      <c r="AL38" s="13">
        <v>1.41</v>
      </c>
      <c r="AM38" s="11">
        <v>300</v>
      </c>
      <c r="AN38" s="15">
        <v>10911</v>
      </c>
      <c r="AO38" s="15">
        <v>7728</v>
      </c>
      <c r="AP38" s="13">
        <v>1.41</v>
      </c>
      <c r="AQ38" s="11">
        <v>100</v>
      </c>
      <c r="AR38" s="15">
        <v>3637</v>
      </c>
      <c r="AS38" s="15">
        <v>2576</v>
      </c>
      <c r="AT38" s="13">
        <v>1.41</v>
      </c>
      <c r="AU38" s="11">
        <v>50</v>
      </c>
      <c r="AV38" s="12">
        <v>1818.5</v>
      </c>
      <c r="AW38" s="15">
        <v>1288</v>
      </c>
      <c r="AX38" s="13">
        <v>1.41</v>
      </c>
      <c r="AY38" s="18">
        <v>1000</v>
      </c>
      <c r="AZ38" s="15">
        <v>36370</v>
      </c>
      <c r="BA38" s="15">
        <v>25760</v>
      </c>
      <c r="BB38" s="13">
        <v>1.41</v>
      </c>
    </row>
    <row r="39" spans="1:54" x14ac:dyDescent="0.25">
      <c r="A39" s="10" t="s">
        <v>144</v>
      </c>
      <c r="B39" s="10" t="s">
        <v>209</v>
      </c>
      <c r="C39" s="11">
        <v>2.25</v>
      </c>
      <c r="D39" s="13">
        <v>512.53</v>
      </c>
      <c r="E39" s="13">
        <v>378.74</v>
      </c>
      <c r="F39" s="13">
        <v>1.35</v>
      </c>
      <c r="G39" s="11">
        <v>4.5</v>
      </c>
      <c r="H39" s="16">
        <v>1025.06</v>
      </c>
      <c r="I39" s="13">
        <v>757.49</v>
      </c>
      <c r="J39" s="13">
        <v>1.35</v>
      </c>
      <c r="K39" s="11">
        <v>33.75</v>
      </c>
      <c r="L39" s="16">
        <v>7687.91</v>
      </c>
      <c r="M39" s="16">
        <v>5681.14</v>
      </c>
      <c r="N39" s="13">
        <v>1.35</v>
      </c>
      <c r="O39" s="11">
        <v>40.5</v>
      </c>
      <c r="P39" s="12">
        <v>9225.5</v>
      </c>
      <c r="Q39" s="16">
        <v>6817.37</v>
      </c>
      <c r="R39" s="13">
        <v>1.35</v>
      </c>
      <c r="S39" s="11">
        <v>27</v>
      </c>
      <c r="T39" s="16">
        <v>6150.33</v>
      </c>
      <c r="U39" s="16">
        <v>4544.91</v>
      </c>
      <c r="V39" s="13">
        <v>1.35</v>
      </c>
      <c r="W39" s="11">
        <v>18</v>
      </c>
      <c r="X39" s="16">
        <v>4100.22</v>
      </c>
      <c r="Y39" s="16">
        <v>3029.94</v>
      </c>
      <c r="Z39" s="13">
        <v>1.35</v>
      </c>
      <c r="AA39" s="11">
        <v>15</v>
      </c>
      <c r="AB39" s="16">
        <v>3416.85</v>
      </c>
      <c r="AC39" s="16">
        <v>2524.9499999999998</v>
      </c>
      <c r="AD39" s="13">
        <v>1.35</v>
      </c>
      <c r="AE39" s="11">
        <v>1.5</v>
      </c>
      <c r="AF39" s="13">
        <v>341.69</v>
      </c>
      <c r="AG39" s="17">
        <v>252.5</v>
      </c>
      <c r="AH39" s="13">
        <v>1.35</v>
      </c>
      <c r="AI39" s="11">
        <v>1.5</v>
      </c>
      <c r="AJ39" s="13">
        <v>341.69</v>
      </c>
      <c r="AK39" s="17">
        <v>252.5</v>
      </c>
      <c r="AL39" s="13">
        <v>1.35</v>
      </c>
      <c r="AM39" s="11">
        <v>1.5</v>
      </c>
      <c r="AN39" s="13">
        <v>341.69</v>
      </c>
      <c r="AO39" s="17">
        <v>252.5</v>
      </c>
      <c r="AP39" s="13">
        <v>1.35</v>
      </c>
      <c r="AQ39" s="11">
        <v>2.25</v>
      </c>
      <c r="AR39" s="13">
        <v>512.53</v>
      </c>
      <c r="AS39" s="13">
        <v>378.74</v>
      </c>
      <c r="AT39" s="13">
        <v>1.35</v>
      </c>
      <c r="AU39" s="11">
        <v>2.25</v>
      </c>
      <c r="AV39" s="13">
        <v>512.53</v>
      </c>
      <c r="AW39" s="13">
        <v>378.74</v>
      </c>
      <c r="AX39" s="13">
        <v>1.35</v>
      </c>
      <c r="AY39" s="11">
        <v>150</v>
      </c>
      <c r="AZ39" s="16">
        <v>34168.53</v>
      </c>
      <c r="BA39" s="16">
        <v>25249.52</v>
      </c>
      <c r="BB39" s="13">
        <v>1.35</v>
      </c>
    </row>
    <row r="40" spans="1:54" x14ac:dyDescent="0.25">
      <c r="A40" s="10" t="s">
        <v>144</v>
      </c>
      <c r="B40" s="10" t="s">
        <v>210</v>
      </c>
      <c r="C40" s="11">
        <v>40</v>
      </c>
      <c r="D40" s="12">
        <v>1664.4</v>
      </c>
      <c r="E40" s="12">
        <v>1178.8</v>
      </c>
      <c r="F40" s="13">
        <v>1.41</v>
      </c>
      <c r="G40" s="11">
        <v>40</v>
      </c>
      <c r="H40" s="12">
        <v>1664.4</v>
      </c>
      <c r="I40" s="12">
        <v>1178.8</v>
      </c>
      <c r="J40" s="13">
        <v>1.41</v>
      </c>
      <c r="K40" s="11">
        <v>40</v>
      </c>
      <c r="L40" s="12">
        <v>1664.4</v>
      </c>
      <c r="M40" s="12">
        <v>1178.8</v>
      </c>
      <c r="N40" s="13">
        <v>1.41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1">
        <v>80</v>
      </c>
      <c r="AF40" s="12">
        <v>3328.8</v>
      </c>
      <c r="AG40" s="12">
        <v>2357.6</v>
      </c>
      <c r="AH40" s="13">
        <v>1.41</v>
      </c>
      <c r="AI40" s="11">
        <v>240</v>
      </c>
      <c r="AJ40" s="12">
        <v>9986.4</v>
      </c>
      <c r="AK40" s="12">
        <v>7072.8</v>
      </c>
      <c r="AL40" s="13">
        <v>1.41</v>
      </c>
      <c r="AM40" s="11">
        <v>240</v>
      </c>
      <c r="AN40" s="12">
        <v>9986.4</v>
      </c>
      <c r="AO40" s="12">
        <v>7072.8</v>
      </c>
      <c r="AP40" s="13">
        <v>1.41</v>
      </c>
      <c r="AQ40" s="11">
        <v>80</v>
      </c>
      <c r="AR40" s="12">
        <v>3328.8</v>
      </c>
      <c r="AS40" s="12">
        <v>2357.6</v>
      </c>
      <c r="AT40" s="13">
        <v>1.41</v>
      </c>
      <c r="AU40" s="11">
        <v>40</v>
      </c>
      <c r="AV40" s="12">
        <v>1664.4</v>
      </c>
      <c r="AW40" s="12">
        <v>1178.8</v>
      </c>
      <c r="AX40" s="13">
        <v>1.41</v>
      </c>
      <c r="AY40" s="11">
        <v>800</v>
      </c>
      <c r="AZ40" s="15">
        <v>33288</v>
      </c>
      <c r="BA40" s="15">
        <v>23576</v>
      </c>
      <c r="BB40" s="13">
        <v>1.41</v>
      </c>
    </row>
    <row r="41" spans="1:54" x14ac:dyDescent="0.25">
      <c r="A41" s="10" t="s">
        <v>144</v>
      </c>
      <c r="B41" s="10" t="s">
        <v>211</v>
      </c>
      <c r="C41" s="11">
        <v>0.45</v>
      </c>
      <c r="D41" s="13">
        <v>230.19</v>
      </c>
      <c r="E41" s="13">
        <v>170.11</v>
      </c>
      <c r="F41" s="13">
        <v>1.35</v>
      </c>
      <c r="G41" s="11">
        <v>0.9</v>
      </c>
      <c r="H41" s="13">
        <v>460.39</v>
      </c>
      <c r="I41" s="13">
        <v>340.22</v>
      </c>
      <c r="J41" s="13">
        <v>1.35</v>
      </c>
      <c r="K41" s="11">
        <v>6.75</v>
      </c>
      <c r="L41" s="12">
        <v>3452.9</v>
      </c>
      <c r="M41" s="16">
        <v>2551.64</v>
      </c>
      <c r="N41" s="13">
        <v>1.35</v>
      </c>
      <c r="O41" s="11">
        <v>8.1</v>
      </c>
      <c r="P41" s="16">
        <v>4143.47</v>
      </c>
      <c r="Q41" s="16">
        <v>3061.96</v>
      </c>
      <c r="R41" s="13">
        <v>1.35</v>
      </c>
      <c r="S41" s="11">
        <v>5.4</v>
      </c>
      <c r="T41" s="16">
        <v>2762.32</v>
      </c>
      <c r="U41" s="16">
        <v>2041.31</v>
      </c>
      <c r="V41" s="13">
        <v>1.35</v>
      </c>
      <c r="W41" s="11">
        <v>3.6</v>
      </c>
      <c r="X41" s="16">
        <v>1841.54</v>
      </c>
      <c r="Y41" s="16">
        <v>1360.87</v>
      </c>
      <c r="Z41" s="13">
        <v>1.35</v>
      </c>
      <c r="AA41" s="11">
        <v>3</v>
      </c>
      <c r="AB41" s="16">
        <v>1534.62</v>
      </c>
      <c r="AC41" s="16">
        <v>1134.06</v>
      </c>
      <c r="AD41" s="13">
        <v>1.35</v>
      </c>
      <c r="AE41" s="11">
        <v>0.3</v>
      </c>
      <c r="AF41" s="13">
        <v>153.46</v>
      </c>
      <c r="AG41" s="13">
        <v>113.41</v>
      </c>
      <c r="AH41" s="13">
        <v>1.35</v>
      </c>
      <c r="AI41" s="11">
        <v>0.3</v>
      </c>
      <c r="AJ41" s="13">
        <v>153.46</v>
      </c>
      <c r="AK41" s="13">
        <v>113.41</v>
      </c>
      <c r="AL41" s="13">
        <v>1.35</v>
      </c>
      <c r="AM41" s="11">
        <v>0.3</v>
      </c>
      <c r="AN41" s="13">
        <v>153.46</v>
      </c>
      <c r="AO41" s="13">
        <v>113.41</v>
      </c>
      <c r="AP41" s="13">
        <v>1.35</v>
      </c>
      <c r="AQ41" s="11">
        <v>0.45</v>
      </c>
      <c r="AR41" s="13">
        <v>230.19</v>
      </c>
      <c r="AS41" s="13">
        <v>170.11</v>
      </c>
      <c r="AT41" s="13">
        <v>1.35</v>
      </c>
      <c r="AU41" s="11">
        <v>0.45</v>
      </c>
      <c r="AV41" s="13">
        <v>230.19</v>
      </c>
      <c r="AW41" s="13">
        <v>170.11</v>
      </c>
      <c r="AX41" s="13">
        <v>1.35</v>
      </c>
      <c r="AY41" s="11">
        <v>30</v>
      </c>
      <c r="AZ41" s="16">
        <v>15346.19</v>
      </c>
      <c r="BA41" s="16">
        <v>11340.62</v>
      </c>
      <c r="BB41" s="13">
        <v>1.35</v>
      </c>
    </row>
    <row r="42" spans="1:54" x14ac:dyDescent="0.25">
      <c r="A42" s="10" t="s">
        <v>144</v>
      </c>
      <c r="B42" s="10" t="s">
        <v>212</v>
      </c>
      <c r="C42" s="11">
        <v>60</v>
      </c>
      <c r="D42" s="12">
        <v>1986.6</v>
      </c>
      <c r="E42" s="15">
        <v>1407</v>
      </c>
      <c r="F42" s="13">
        <v>1.41</v>
      </c>
      <c r="G42" s="11">
        <v>60</v>
      </c>
      <c r="H42" s="12">
        <v>1986.6</v>
      </c>
      <c r="I42" s="15">
        <v>1407</v>
      </c>
      <c r="J42" s="13">
        <v>1.41</v>
      </c>
      <c r="K42" s="11">
        <v>60</v>
      </c>
      <c r="L42" s="12">
        <v>1986.6</v>
      </c>
      <c r="M42" s="15">
        <v>1407</v>
      </c>
      <c r="N42" s="13">
        <v>1.41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1">
        <v>120</v>
      </c>
      <c r="AF42" s="12">
        <v>3973.2</v>
      </c>
      <c r="AG42" s="15">
        <v>2814</v>
      </c>
      <c r="AH42" s="13">
        <v>1.41</v>
      </c>
      <c r="AI42" s="11">
        <v>360</v>
      </c>
      <c r="AJ42" s="12">
        <v>11919.6</v>
      </c>
      <c r="AK42" s="15">
        <v>8442</v>
      </c>
      <c r="AL42" s="13">
        <v>1.41</v>
      </c>
      <c r="AM42" s="11">
        <v>360</v>
      </c>
      <c r="AN42" s="12">
        <v>11919.6</v>
      </c>
      <c r="AO42" s="15">
        <v>8442</v>
      </c>
      <c r="AP42" s="13">
        <v>1.41</v>
      </c>
      <c r="AQ42" s="11">
        <v>120</v>
      </c>
      <c r="AR42" s="12">
        <v>3973.2</v>
      </c>
      <c r="AS42" s="15">
        <v>2814</v>
      </c>
      <c r="AT42" s="13">
        <v>1.41</v>
      </c>
      <c r="AU42" s="11">
        <v>60</v>
      </c>
      <c r="AV42" s="12">
        <v>1986.6</v>
      </c>
      <c r="AW42" s="15">
        <v>1407</v>
      </c>
      <c r="AX42" s="13">
        <v>1.41</v>
      </c>
      <c r="AY42" s="18">
        <v>1200</v>
      </c>
      <c r="AZ42" s="15">
        <v>39732</v>
      </c>
      <c r="BA42" s="15">
        <v>28140</v>
      </c>
      <c r="BB42" s="13">
        <v>1.41</v>
      </c>
    </row>
    <row r="43" spans="1:54" x14ac:dyDescent="0.25">
      <c r="A43" s="10" t="s">
        <v>144</v>
      </c>
      <c r="B43" s="10" t="s">
        <v>213</v>
      </c>
      <c r="C43" s="11">
        <v>2.25</v>
      </c>
      <c r="D43" s="13">
        <v>991.08</v>
      </c>
      <c r="E43" s="13">
        <v>701.87</v>
      </c>
      <c r="F43" s="13">
        <v>1.41</v>
      </c>
      <c r="G43" s="11">
        <v>4.5</v>
      </c>
      <c r="H43" s="16">
        <v>1982.16</v>
      </c>
      <c r="I43" s="16">
        <v>1403.73</v>
      </c>
      <c r="J43" s="13">
        <v>1.41</v>
      </c>
      <c r="K43" s="11">
        <v>33.75</v>
      </c>
      <c r="L43" s="12">
        <v>14866.2</v>
      </c>
      <c r="M43" s="16">
        <v>10527.98</v>
      </c>
      <c r="N43" s="13">
        <v>1.41</v>
      </c>
      <c r="O43" s="11">
        <v>40.5</v>
      </c>
      <c r="P43" s="16">
        <v>17839.439999999999</v>
      </c>
      <c r="Q43" s="16">
        <v>12633.57</v>
      </c>
      <c r="R43" s="13">
        <v>1.41</v>
      </c>
      <c r="S43" s="11">
        <v>27</v>
      </c>
      <c r="T43" s="16">
        <v>11892.96</v>
      </c>
      <c r="U43" s="16">
        <v>8422.3799999999992</v>
      </c>
      <c r="V43" s="13">
        <v>1.41</v>
      </c>
      <c r="W43" s="11">
        <v>18</v>
      </c>
      <c r="X43" s="16">
        <v>7928.64</v>
      </c>
      <c r="Y43" s="16">
        <v>5614.92</v>
      </c>
      <c r="Z43" s="13">
        <v>1.41</v>
      </c>
      <c r="AA43" s="11">
        <v>15</v>
      </c>
      <c r="AB43" s="12">
        <v>6607.2</v>
      </c>
      <c r="AC43" s="12">
        <v>4679.1000000000004</v>
      </c>
      <c r="AD43" s="13">
        <v>1.41</v>
      </c>
      <c r="AE43" s="11">
        <v>1.5</v>
      </c>
      <c r="AF43" s="13">
        <v>660.72</v>
      </c>
      <c r="AG43" s="13">
        <v>467.91</v>
      </c>
      <c r="AH43" s="13">
        <v>1.41</v>
      </c>
      <c r="AI43" s="11">
        <v>1.5</v>
      </c>
      <c r="AJ43" s="13">
        <v>660.72</v>
      </c>
      <c r="AK43" s="13">
        <v>467.91</v>
      </c>
      <c r="AL43" s="13">
        <v>1.41</v>
      </c>
      <c r="AM43" s="11">
        <v>1.5</v>
      </c>
      <c r="AN43" s="13">
        <v>660.72</v>
      </c>
      <c r="AO43" s="13">
        <v>467.91</v>
      </c>
      <c r="AP43" s="13">
        <v>1.41</v>
      </c>
      <c r="AQ43" s="11">
        <v>2.25</v>
      </c>
      <c r="AR43" s="13">
        <v>991.08</v>
      </c>
      <c r="AS43" s="13">
        <v>701.87</v>
      </c>
      <c r="AT43" s="13">
        <v>1.41</v>
      </c>
      <c r="AU43" s="11">
        <v>2.25</v>
      </c>
      <c r="AV43" s="13">
        <v>991.08</v>
      </c>
      <c r="AW43" s="13">
        <v>701.87</v>
      </c>
      <c r="AX43" s="13">
        <v>1.41</v>
      </c>
      <c r="AY43" s="11">
        <v>150</v>
      </c>
      <c r="AZ43" s="15">
        <v>66072</v>
      </c>
      <c r="BA43" s="16">
        <v>46791.02</v>
      </c>
      <c r="BB43" s="13">
        <v>1.41</v>
      </c>
    </row>
    <row r="44" spans="1:54" x14ac:dyDescent="0.25">
      <c r="A44" s="10" t="s">
        <v>144</v>
      </c>
      <c r="B44" s="10" t="s">
        <v>214</v>
      </c>
      <c r="C44" s="11">
        <v>35</v>
      </c>
      <c r="D44" s="15">
        <v>1169</v>
      </c>
      <c r="E44" s="13">
        <v>827.75</v>
      </c>
      <c r="F44" s="13">
        <v>1.41</v>
      </c>
      <c r="G44" s="11">
        <v>35</v>
      </c>
      <c r="H44" s="15">
        <v>1169</v>
      </c>
      <c r="I44" s="13">
        <v>827.75</v>
      </c>
      <c r="J44" s="13">
        <v>1.41</v>
      </c>
      <c r="K44" s="11">
        <v>35</v>
      </c>
      <c r="L44" s="15">
        <v>1169</v>
      </c>
      <c r="M44" s="13">
        <v>827.75</v>
      </c>
      <c r="N44" s="13">
        <v>1.41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1">
        <v>70</v>
      </c>
      <c r="AF44" s="15">
        <v>2338</v>
      </c>
      <c r="AG44" s="12">
        <v>1655.5</v>
      </c>
      <c r="AH44" s="13">
        <v>1.41</v>
      </c>
      <c r="AI44" s="11">
        <v>210</v>
      </c>
      <c r="AJ44" s="15">
        <v>7014</v>
      </c>
      <c r="AK44" s="12">
        <v>4966.5</v>
      </c>
      <c r="AL44" s="13">
        <v>1.41</v>
      </c>
      <c r="AM44" s="11">
        <v>210</v>
      </c>
      <c r="AN44" s="15">
        <v>7014</v>
      </c>
      <c r="AO44" s="12">
        <v>4966.5</v>
      </c>
      <c r="AP44" s="13">
        <v>1.41</v>
      </c>
      <c r="AQ44" s="11">
        <v>70</v>
      </c>
      <c r="AR44" s="15">
        <v>2338</v>
      </c>
      <c r="AS44" s="12">
        <v>1655.5</v>
      </c>
      <c r="AT44" s="13">
        <v>1.41</v>
      </c>
      <c r="AU44" s="11">
        <v>35</v>
      </c>
      <c r="AV44" s="15">
        <v>1169</v>
      </c>
      <c r="AW44" s="13">
        <v>827.75</v>
      </c>
      <c r="AX44" s="13">
        <v>1.41</v>
      </c>
      <c r="AY44" s="11">
        <v>700</v>
      </c>
      <c r="AZ44" s="15">
        <v>23380</v>
      </c>
      <c r="BA44" s="15">
        <v>16555</v>
      </c>
      <c r="BB44" s="13">
        <v>1.41</v>
      </c>
    </row>
    <row r="45" spans="1:54" x14ac:dyDescent="0.25">
      <c r="A45" s="10" t="s">
        <v>144</v>
      </c>
      <c r="B45" s="10" t="s">
        <v>215</v>
      </c>
      <c r="C45" s="11">
        <v>3</v>
      </c>
      <c r="D45" s="13">
        <v>822.69</v>
      </c>
      <c r="E45" s="13">
        <v>607.95000000000005</v>
      </c>
      <c r="F45" s="13">
        <v>1.35</v>
      </c>
      <c r="G45" s="11">
        <v>6</v>
      </c>
      <c r="H45" s="16">
        <v>1645.38</v>
      </c>
      <c r="I45" s="12">
        <v>1215.9000000000001</v>
      </c>
      <c r="J45" s="13">
        <v>1.35</v>
      </c>
      <c r="K45" s="11">
        <v>45</v>
      </c>
      <c r="L45" s="16">
        <v>12340.35</v>
      </c>
      <c r="M45" s="16">
        <v>9119.25</v>
      </c>
      <c r="N45" s="13">
        <v>1.35</v>
      </c>
      <c r="O45" s="11">
        <v>54</v>
      </c>
      <c r="P45" s="16">
        <v>14808.42</v>
      </c>
      <c r="Q45" s="12">
        <v>10943.1</v>
      </c>
      <c r="R45" s="13">
        <v>1.35</v>
      </c>
      <c r="S45" s="11">
        <v>36</v>
      </c>
      <c r="T45" s="16">
        <v>9872.2800000000007</v>
      </c>
      <c r="U45" s="12">
        <v>7295.4</v>
      </c>
      <c r="V45" s="13">
        <v>1.35</v>
      </c>
      <c r="W45" s="11">
        <v>24</v>
      </c>
      <c r="X45" s="16">
        <v>6581.52</v>
      </c>
      <c r="Y45" s="12">
        <v>4863.6000000000004</v>
      </c>
      <c r="Z45" s="13">
        <v>1.35</v>
      </c>
      <c r="AA45" s="11">
        <v>20</v>
      </c>
      <c r="AB45" s="12">
        <v>5484.6</v>
      </c>
      <c r="AC45" s="15">
        <v>4053</v>
      </c>
      <c r="AD45" s="13">
        <v>1.35</v>
      </c>
      <c r="AE45" s="11">
        <v>2</v>
      </c>
      <c r="AF45" s="13">
        <v>548.46</v>
      </c>
      <c r="AG45" s="17">
        <v>405.3</v>
      </c>
      <c r="AH45" s="13">
        <v>1.35</v>
      </c>
      <c r="AI45" s="11">
        <v>2</v>
      </c>
      <c r="AJ45" s="13">
        <v>548.46</v>
      </c>
      <c r="AK45" s="17">
        <v>405.3</v>
      </c>
      <c r="AL45" s="13">
        <v>1.35</v>
      </c>
      <c r="AM45" s="11">
        <v>2</v>
      </c>
      <c r="AN45" s="13">
        <v>548.46</v>
      </c>
      <c r="AO45" s="17">
        <v>405.3</v>
      </c>
      <c r="AP45" s="13">
        <v>1.35</v>
      </c>
      <c r="AQ45" s="11">
        <v>3</v>
      </c>
      <c r="AR45" s="13">
        <v>822.69</v>
      </c>
      <c r="AS45" s="13">
        <v>607.95000000000005</v>
      </c>
      <c r="AT45" s="13">
        <v>1.35</v>
      </c>
      <c r="AU45" s="11">
        <v>3</v>
      </c>
      <c r="AV45" s="13">
        <v>822.69</v>
      </c>
      <c r="AW45" s="13">
        <v>607.95000000000005</v>
      </c>
      <c r="AX45" s="13">
        <v>1.35</v>
      </c>
      <c r="AY45" s="11">
        <v>200</v>
      </c>
      <c r="AZ45" s="15">
        <v>54846</v>
      </c>
      <c r="BA45" s="15">
        <v>40530</v>
      </c>
      <c r="BB45" s="13">
        <v>1.35</v>
      </c>
    </row>
    <row r="46" spans="1:54" x14ac:dyDescent="0.25">
      <c r="A46" s="10" t="s">
        <v>144</v>
      </c>
      <c r="B46" s="10" t="s">
        <v>216</v>
      </c>
      <c r="C46" s="11">
        <v>0.75</v>
      </c>
      <c r="D46" s="13">
        <v>350.67</v>
      </c>
      <c r="E46" s="13">
        <v>259.14</v>
      </c>
      <c r="F46" s="13">
        <v>1.35</v>
      </c>
      <c r="G46" s="11">
        <v>1.5</v>
      </c>
      <c r="H46" s="13">
        <v>701.34</v>
      </c>
      <c r="I46" s="13">
        <v>518.28</v>
      </c>
      <c r="J46" s="13">
        <v>1.35</v>
      </c>
      <c r="K46" s="11">
        <v>11.25</v>
      </c>
      <c r="L46" s="16">
        <v>5260.05</v>
      </c>
      <c r="M46" s="12">
        <v>3887.1</v>
      </c>
      <c r="N46" s="13">
        <v>1.35</v>
      </c>
      <c r="O46" s="11">
        <v>13.5</v>
      </c>
      <c r="P46" s="16">
        <v>6312.06</v>
      </c>
      <c r="Q46" s="16">
        <v>4664.5200000000004</v>
      </c>
      <c r="R46" s="13">
        <v>1.35</v>
      </c>
      <c r="S46" s="11">
        <v>9</v>
      </c>
      <c r="T46" s="16">
        <v>4208.04</v>
      </c>
      <c r="U46" s="16">
        <v>3109.68</v>
      </c>
      <c r="V46" s="13">
        <v>1.35</v>
      </c>
      <c r="W46" s="11">
        <v>6</v>
      </c>
      <c r="X46" s="16">
        <v>2805.36</v>
      </c>
      <c r="Y46" s="16">
        <v>2073.12</v>
      </c>
      <c r="Z46" s="13">
        <v>1.35</v>
      </c>
      <c r="AA46" s="11">
        <v>5</v>
      </c>
      <c r="AB46" s="12">
        <v>2337.8000000000002</v>
      </c>
      <c r="AC46" s="12">
        <v>1727.6</v>
      </c>
      <c r="AD46" s="13">
        <v>1.35</v>
      </c>
      <c r="AE46" s="11">
        <v>0.5</v>
      </c>
      <c r="AF46" s="13">
        <v>233.78</v>
      </c>
      <c r="AG46" s="13">
        <v>172.76</v>
      </c>
      <c r="AH46" s="13">
        <v>1.35</v>
      </c>
      <c r="AI46" s="11">
        <v>0.5</v>
      </c>
      <c r="AJ46" s="13">
        <v>233.78</v>
      </c>
      <c r="AK46" s="13">
        <v>172.76</v>
      </c>
      <c r="AL46" s="13">
        <v>1.35</v>
      </c>
      <c r="AM46" s="11">
        <v>0.5</v>
      </c>
      <c r="AN46" s="13">
        <v>233.78</v>
      </c>
      <c r="AO46" s="13">
        <v>172.76</v>
      </c>
      <c r="AP46" s="13">
        <v>1.35</v>
      </c>
      <c r="AQ46" s="11">
        <v>0.75</v>
      </c>
      <c r="AR46" s="13">
        <v>350.67</v>
      </c>
      <c r="AS46" s="13">
        <v>259.14</v>
      </c>
      <c r="AT46" s="13">
        <v>1.35</v>
      </c>
      <c r="AU46" s="11">
        <v>0.75</v>
      </c>
      <c r="AV46" s="13">
        <v>350.67</v>
      </c>
      <c r="AW46" s="13">
        <v>259.14</v>
      </c>
      <c r="AX46" s="13">
        <v>1.35</v>
      </c>
      <c r="AY46" s="11">
        <v>50</v>
      </c>
      <c r="AZ46" s="15">
        <v>23378</v>
      </c>
      <c r="BA46" s="15">
        <v>17276</v>
      </c>
      <c r="BB46" s="13">
        <v>1.35</v>
      </c>
    </row>
    <row r="47" spans="1:54" x14ac:dyDescent="0.25">
      <c r="A47" s="10" t="s">
        <v>144</v>
      </c>
      <c r="B47" s="10" t="s">
        <v>217</v>
      </c>
      <c r="C47" s="11">
        <v>125</v>
      </c>
      <c r="D47" s="15">
        <v>5805</v>
      </c>
      <c r="E47" s="16">
        <v>4111.25</v>
      </c>
      <c r="F47" s="13">
        <v>1.41</v>
      </c>
      <c r="G47" s="11">
        <v>125</v>
      </c>
      <c r="H47" s="15">
        <v>5805</v>
      </c>
      <c r="I47" s="16">
        <v>4111.25</v>
      </c>
      <c r="J47" s="13">
        <v>1.41</v>
      </c>
      <c r="K47" s="11">
        <v>125</v>
      </c>
      <c r="L47" s="15">
        <v>5805</v>
      </c>
      <c r="M47" s="16">
        <v>4111.25</v>
      </c>
      <c r="N47" s="13">
        <v>1.41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1">
        <v>250</v>
      </c>
      <c r="AF47" s="15">
        <v>11610</v>
      </c>
      <c r="AG47" s="12">
        <v>8222.5</v>
      </c>
      <c r="AH47" s="13">
        <v>1.41</v>
      </c>
      <c r="AI47" s="11">
        <v>750</v>
      </c>
      <c r="AJ47" s="15">
        <v>34830</v>
      </c>
      <c r="AK47" s="12">
        <v>24667.5</v>
      </c>
      <c r="AL47" s="13">
        <v>1.41</v>
      </c>
      <c r="AM47" s="11">
        <v>750</v>
      </c>
      <c r="AN47" s="15">
        <v>34830</v>
      </c>
      <c r="AO47" s="12">
        <v>24667.5</v>
      </c>
      <c r="AP47" s="13">
        <v>1.41</v>
      </c>
      <c r="AQ47" s="11">
        <v>250</v>
      </c>
      <c r="AR47" s="15">
        <v>11610</v>
      </c>
      <c r="AS47" s="12">
        <v>8222.5</v>
      </c>
      <c r="AT47" s="13">
        <v>1.41</v>
      </c>
      <c r="AU47" s="11">
        <v>125</v>
      </c>
      <c r="AV47" s="15">
        <v>5805</v>
      </c>
      <c r="AW47" s="16">
        <v>4111.25</v>
      </c>
      <c r="AX47" s="13">
        <v>1.41</v>
      </c>
      <c r="AY47" s="18">
        <v>2500</v>
      </c>
      <c r="AZ47" s="15">
        <v>116100</v>
      </c>
      <c r="BA47" s="15">
        <v>82225</v>
      </c>
      <c r="BB47" s="13">
        <v>1.41</v>
      </c>
    </row>
    <row r="48" spans="1:54" x14ac:dyDescent="0.25">
      <c r="A48" s="10" t="s">
        <v>144</v>
      </c>
      <c r="B48" s="10" t="s">
        <v>218</v>
      </c>
      <c r="C48" s="11">
        <v>0.45</v>
      </c>
      <c r="D48" s="13">
        <v>267.01</v>
      </c>
      <c r="E48" s="13">
        <v>197.32</v>
      </c>
      <c r="F48" s="13">
        <v>1.35</v>
      </c>
      <c r="G48" s="11">
        <v>0.9</v>
      </c>
      <c r="H48" s="13">
        <v>534.02</v>
      </c>
      <c r="I48" s="13">
        <v>394.63</v>
      </c>
      <c r="J48" s="13">
        <v>1.35</v>
      </c>
      <c r="K48" s="11">
        <v>6.75</v>
      </c>
      <c r="L48" s="16">
        <v>4005.18</v>
      </c>
      <c r="M48" s="16">
        <v>2959.74</v>
      </c>
      <c r="N48" s="13">
        <v>1.35</v>
      </c>
      <c r="O48" s="11">
        <v>8.1</v>
      </c>
      <c r="P48" s="16">
        <v>4806.22</v>
      </c>
      <c r="Q48" s="16">
        <v>3551.69</v>
      </c>
      <c r="R48" s="13">
        <v>1.35</v>
      </c>
      <c r="S48" s="11">
        <v>5.4</v>
      </c>
      <c r="T48" s="16">
        <v>3204.14</v>
      </c>
      <c r="U48" s="16">
        <v>2367.79</v>
      </c>
      <c r="V48" s="13">
        <v>1.35</v>
      </c>
      <c r="W48" s="11">
        <v>3.6</v>
      </c>
      <c r="X48" s="12">
        <v>2136.1</v>
      </c>
      <c r="Y48" s="16">
        <v>1578.53</v>
      </c>
      <c r="Z48" s="13">
        <v>1.35</v>
      </c>
      <c r="AA48" s="11">
        <v>3</v>
      </c>
      <c r="AB48" s="16">
        <v>1780.08</v>
      </c>
      <c r="AC48" s="16">
        <v>1315.44</v>
      </c>
      <c r="AD48" s="13">
        <v>1.35</v>
      </c>
      <c r="AE48" s="11">
        <v>0.3</v>
      </c>
      <c r="AF48" s="13">
        <v>178.01</v>
      </c>
      <c r="AG48" s="13">
        <v>131.54</v>
      </c>
      <c r="AH48" s="13">
        <v>1.35</v>
      </c>
      <c r="AI48" s="11">
        <v>0.3</v>
      </c>
      <c r="AJ48" s="13">
        <v>178.01</v>
      </c>
      <c r="AK48" s="13">
        <v>131.54</v>
      </c>
      <c r="AL48" s="13">
        <v>1.35</v>
      </c>
      <c r="AM48" s="11">
        <v>0.3</v>
      </c>
      <c r="AN48" s="13">
        <v>178.01</v>
      </c>
      <c r="AO48" s="13">
        <v>131.54</v>
      </c>
      <c r="AP48" s="13">
        <v>1.35</v>
      </c>
      <c r="AQ48" s="11">
        <v>0.45</v>
      </c>
      <c r="AR48" s="13">
        <v>267.01</v>
      </c>
      <c r="AS48" s="13">
        <v>197.32</v>
      </c>
      <c r="AT48" s="13">
        <v>1.35</v>
      </c>
      <c r="AU48" s="11">
        <v>0.45</v>
      </c>
      <c r="AV48" s="13">
        <v>267.01</v>
      </c>
      <c r="AW48" s="13">
        <v>197.32</v>
      </c>
      <c r="AX48" s="13">
        <v>1.35</v>
      </c>
      <c r="AY48" s="11">
        <v>30</v>
      </c>
      <c r="AZ48" s="12">
        <v>17800.8</v>
      </c>
      <c r="BA48" s="12">
        <v>13154.4</v>
      </c>
      <c r="BB48" s="13">
        <v>1.35</v>
      </c>
    </row>
    <row r="49" spans="1:54" x14ac:dyDescent="0.25">
      <c r="A49" s="10" t="s">
        <v>144</v>
      </c>
      <c r="B49" s="10" t="s">
        <v>219</v>
      </c>
      <c r="C49" s="11">
        <v>9</v>
      </c>
      <c r="D49" s="16">
        <v>2516.31</v>
      </c>
      <c r="E49" s="16">
        <v>1644.93</v>
      </c>
      <c r="F49" s="13">
        <v>1.53</v>
      </c>
      <c r="G49" s="11">
        <v>18</v>
      </c>
      <c r="H49" s="16">
        <v>5032.62</v>
      </c>
      <c r="I49" s="16">
        <v>3289.86</v>
      </c>
      <c r="J49" s="13">
        <v>1.53</v>
      </c>
      <c r="K49" s="11">
        <v>135</v>
      </c>
      <c r="L49" s="16">
        <v>37744.65</v>
      </c>
      <c r="M49" s="16">
        <v>24673.95</v>
      </c>
      <c r="N49" s="13">
        <v>1.53</v>
      </c>
      <c r="O49" s="11">
        <v>162</v>
      </c>
      <c r="P49" s="16">
        <v>45293.58</v>
      </c>
      <c r="Q49" s="16">
        <v>29608.74</v>
      </c>
      <c r="R49" s="13">
        <v>1.53</v>
      </c>
      <c r="S49" s="11">
        <v>108</v>
      </c>
      <c r="T49" s="16">
        <v>30195.72</v>
      </c>
      <c r="U49" s="16">
        <v>19739.16</v>
      </c>
      <c r="V49" s="13">
        <v>1.53</v>
      </c>
      <c r="W49" s="11">
        <v>72</v>
      </c>
      <c r="X49" s="16">
        <v>20130.48</v>
      </c>
      <c r="Y49" s="16">
        <v>13159.44</v>
      </c>
      <c r="Z49" s="13">
        <v>1.53</v>
      </c>
      <c r="AA49" s="11">
        <v>60</v>
      </c>
      <c r="AB49" s="12">
        <v>16775.400000000001</v>
      </c>
      <c r="AC49" s="12">
        <v>10966.2</v>
      </c>
      <c r="AD49" s="13">
        <v>1.53</v>
      </c>
      <c r="AE49" s="11">
        <v>6</v>
      </c>
      <c r="AF49" s="16">
        <v>1677.54</v>
      </c>
      <c r="AG49" s="16">
        <v>1096.6199999999999</v>
      </c>
      <c r="AH49" s="13">
        <v>1.53</v>
      </c>
      <c r="AI49" s="11">
        <v>6</v>
      </c>
      <c r="AJ49" s="16">
        <v>1677.54</v>
      </c>
      <c r="AK49" s="16">
        <v>1096.6199999999999</v>
      </c>
      <c r="AL49" s="13">
        <v>1.53</v>
      </c>
      <c r="AM49" s="11">
        <v>6</v>
      </c>
      <c r="AN49" s="16">
        <v>1677.54</v>
      </c>
      <c r="AO49" s="16">
        <v>1096.6199999999999</v>
      </c>
      <c r="AP49" s="13">
        <v>1.53</v>
      </c>
      <c r="AQ49" s="11">
        <v>9</v>
      </c>
      <c r="AR49" s="16">
        <v>2516.31</v>
      </c>
      <c r="AS49" s="16">
        <v>1644.93</v>
      </c>
      <c r="AT49" s="13">
        <v>1.53</v>
      </c>
      <c r="AU49" s="11">
        <v>9</v>
      </c>
      <c r="AV49" s="16">
        <v>2516.31</v>
      </c>
      <c r="AW49" s="16">
        <v>1644.93</v>
      </c>
      <c r="AX49" s="13">
        <v>1.53</v>
      </c>
      <c r="AY49" s="11">
        <v>600</v>
      </c>
      <c r="AZ49" s="15">
        <v>167754</v>
      </c>
      <c r="BA49" s="15">
        <v>109662</v>
      </c>
      <c r="BB49" s="13">
        <v>1.53</v>
      </c>
    </row>
    <row r="50" spans="1:54" x14ac:dyDescent="0.25">
      <c r="A50" s="10" t="s">
        <v>144</v>
      </c>
      <c r="B50" s="10" t="s">
        <v>220</v>
      </c>
      <c r="C50" s="11">
        <v>25</v>
      </c>
      <c r="D50" s="12">
        <v>2640.5</v>
      </c>
      <c r="E50" s="16">
        <v>1795.25</v>
      </c>
      <c r="F50" s="13">
        <v>1.47</v>
      </c>
      <c r="G50" s="11">
        <v>25</v>
      </c>
      <c r="H50" s="12">
        <v>2640.5</v>
      </c>
      <c r="I50" s="16">
        <v>1795.25</v>
      </c>
      <c r="J50" s="13">
        <v>1.47</v>
      </c>
      <c r="K50" s="11">
        <v>25</v>
      </c>
      <c r="L50" s="12">
        <v>2640.5</v>
      </c>
      <c r="M50" s="16">
        <v>1795.25</v>
      </c>
      <c r="N50" s="13">
        <v>1.47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1">
        <v>50</v>
      </c>
      <c r="AF50" s="15">
        <v>5281</v>
      </c>
      <c r="AG50" s="12">
        <v>3590.5</v>
      </c>
      <c r="AH50" s="13">
        <v>1.47</v>
      </c>
      <c r="AI50" s="11">
        <v>150</v>
      </c>
      <c r="AJ50" s="15">
        <v>15843</v>
      </c>
      <c r="AK50" s="12">
        <v>10771.5</v>
      </c>
      <c r="AL50" s="13">
        <v>1.47</v>
      </c>
      <c r="AM50" s="11">
        <v>150</v>
      </c>
      <c r="AN50" s="15">
        <v>15843</v>
      </c>
      <c r="AO50" s="12">
        <v>10771.5</v>
      </c>
      <c r="AP50" s="13">
        <v>1.47</v>
      </c>
      <c r="AQ50" s="11">
        <v>50</v>
      </c>
      <c r="AR50" s="15">
        <v>5281</v>
      </c>
      <c r="AS50" s="12">
        <v>3590.5</v>
      </c>
      <c r="AT50" s="13">
        <v>1.47</v>
      </c>
      <c r="AU50" s="11">
        <v>25</v>
      </c>
      <c r="AV50" s="12">
        <v>2640.5</v>
      </c>
      <c r="AW50" s="16">
        <v>1795.25</v>
      </c>
      <c r="AX50" s="13">
        <v>1.47</v>
      </c>
      <c r="AY50" s="11">
        <v>500</v>
      </c>
      <c r="AZ50" s="15">
        <v>52810</v>
      </c>
      <c r="BA50" s="15">
        <v>35905</v>
      </c>
      <c r="BB50" s="13">
        <v>1.47</v>
      </c>
    </row>
    <row r="51" spans="1:54" x14ac:dyDescent="0.25">
      <c r="A51" s="10" t="s">
        <v>144</v>
      </c>
      <c r="B51" s="10" t="s">
        <v>221</v>
      </c>
      <c r="C51" s="11">
        <v>100</v>
      </c>
      <c r="D51" s="15">
        <v>1411</v>
      </c>
      <c r="E51" s="19">
        <v>999</v>
      </c>
      <c r="F51" s="13">
        <v>1.41</v>
      </c>
      <c r="G51" s="11">
        <v>100</v>
      </c>
      <c r="H51" s="15">
        <v>1411</v>
      </c>
      <c r="I51" s="19">
        <v>999</v>
      </c>
      <c r="J51" s="13">
        <v>1.41</v>
      </c>
      <c r="K51" s="11">
        <v>100</v>
      </c>
      <c r="L51" s="15">
        <v>1411</v>
      </c>
      <c r="M51" s="19">
        <v>999</v>
      </c>
      <c r="N51" s="13">
        <v>1.41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1">
        <v>200</v>
      </c>
      <c r="AF51" s="15">
        <v>2822</v>
      </c>
      <c r="AG51" s="15">
        <v>1998</v>
      </c>
      <c r="AH51" s="13">
        <v>1.41</v>
      </c>
      <c r="AI51" s="11">
        <v>600</v>
      </c>
      <c r="AJ51" s="15">
        <v>8466</v>
      </c>
      <c r="AK51" s="15">
        <v>5994</v>
      </c>
      <c r="AL51" s="13">
        <v>1.41</v>
      </c>
      <c r="AM51" s="11">
        <v>600</v>
      </c>
      <c r="AN51" s="15">
        <v>8466</v>
      </c>
      <c r="AO51" s="15">
        <v>5994</v>
      </c>
      <c r="AP51" s="13">
        <v>1.41</v>
      </c>
      <c r="AQ51" s="11">
        <v>200</v>
      </c>
      <c r="AR51" s="15">
        <v>2822</v>
      </c>
      <c r="AS51" s="15">
        <v>1998</v>
      </c>
      <c r="AT51" s="13">
        <v>1.41</v>
      </c>
      <c r="AU51" s="11">
        <v>100</v>
      </c>
      <c r="AV51" s="15">
        <v>1411</v>
      </c>
      <c r="AW51" s="19">
        <v>999</v>
      </c>
      <c r="AX51" s="13">
        <v>1.41</v>
      </c>
      <c r="AY51" s="18">
        <v>2000</v>
      </c>
      <c r="AZ51" s="15">
        <v>28220</v>
      </c>
      <c r="BA51" s="15">
        <v>19980</v>
      </c>
      <c r="BB51" s="13">
        <v>1.41</v>
      </c>
    </row>
    <row r="52" spans="1:54" x14ac:dyDescent="0.25">
      <c r="A52" s="10" t="s">
        <v>144</v>
      </c>
      <c r="B52" s="10" t="s">
        <v>222</v>
      </c>
      <c r="C52" s="11">
        <v>40</v>
      </c>
      <c r="D52" s="12">
        <v>2216.8000000000002</v>
      </c>
      <c r="E52" s="15">
        <v>1570</v>
      </c>
      <c r="F52" s="13">
        <v>1.41</v>
      </c>
      <c r="G52" s="11">
        <v>40</v>
      </c>
      <c r="H52" s="12">
        <v>2216.8000000000002</v>
      </c>
      <c r="I52" s="15">
        <v>1570</v>
      </c>
      <c r="J52" s="13">
        <v>1.41</v>
      </c>
      <c r="K52" s="11">
        <v>40</v>
      </c>
      <c r="L52" s="12">
        <v>2216.8000000000002</v>
      </c>
      <c r="M52" s="15">
        <v>1570</v>
      </c>
      <c r="N52" s="13">
        <v>1.41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1">
        <v>80</v>
      </c>
      <c r="AF52" s="12">
        <v>4433.6000000000004</v>
      </c>
      <c r="AG52" s="15">
        <v>3140</v>
      </c>
      <c r="AH52" s="13">
        <v>1.41</v>
      </c>
      <c r="AI52" s="11">
        <v>240</v>
      </c>
      <c r="AJ52" s="12">
        <v>13300.8</v>
      </c>
      <c r="AK52" s="15">
        <v>9420</v>
      </c>
      <c r="AL52" s="13">
        <v>1.41</v>
      </c>
      <c r="AM52" s="11">
        <v>240</v>
      </c>
      <c r="AN52" s="12">
        <v>13300.8</v>
      </c>
      <c r="AO52" s="15">
        <v>9420</v>
      </c>
      <c r="AP52" s="13">
        <v>1.41</v>
      </c>
      <c r="AQ52" s="11">
        <v>80</v>
      </c>
      <c r="AR52" s="12">
        <v>4433.6000000000004</v>
      </c>
      <c r="AS52" s="15">
        <v>3140</v>
      </c>
      <c r="AT52" s="13">
        <v>1.41</v>
      </c>
      <c r="AU52" s="11">
        <v>40</v>
      </c>
      <c r="AV52" s="12">
        <v>2216.8000000000002</v>
      </c>
      <c r="AW52" s="15">
        <v>1570</v>
      </c>
      <c r="AX52" s="13">
        <v>1.41</v>
      </c>
      <c r="AY52" s="11">
        <v>800</v>
      </c>
      <c r="AZ52" s="15">
        <v>44336</v>
      </c>
      <c r="BA52" s="15">
        <v>31400</v>
      </c>
      <c r="BB52" s="13">
        <v>1.41</v>
      </c>
    </row>
    <row r="53" spans="1:54" x14ac:dyDescent="0.25">
      <c r="A53" s="10" t="s">
        <v>144</v>
      </c>
      <c r="B53" s="10" t="s">
        <v>223</v>
      </c>
      <c r="C53" s="11">
        <v>6</v>
      </c>
      <c r="D53" s="16">
        <v>1459.68</v>
      </c>
      <c r="E53" s="16">
        <v>1078.68</v>
      </c>
      <c r="F53" s="13">
        <v>1.35</v>
      </c>
      <c r="G53" s="11">
        <v>12</v>
      </c>
      <c r="H53" s="16">
        <v>2919.36</v>
      </c>
      <c r="I53" s="16">
        <v>2157.36</v>
      </c>
      <c r="J53" s="13">
        <v>1.35</v>
      </c>
      <c r="K53" s="11">
        <v>90</v>
      </c>
      <c r="L53" s="12">
        <v>21895.200000000001</v>
      </c>
      <c r="M53" s="12">
        <v>16180.2</v>
      </c>
      <c r="N53" s="13">
        <v>1.35</v>
      </c>
      <c r="O53" s="11">
        <v>108</v>
      </c>
      <c r="P53" s="16">
        <v>26274.240000000002</v>
      </c>
      <c r="Q53" s="16">
        <v>19416.240000000002</v>
      </c>
      <c r="R53" s="13">
        <v>1.35</v>
      </c>
      <c r="S53" s="11">
        <v>72</v>
      </c>
      <c r="T53" s="16">
        <v>17516.16</v>
      </c>
      <c r="U53" s="16">
        <v>12944.16</v>
      </c>
      <c r="V53" s="13">
        <v>1.35</v>
      </c>
      <c r="W53" s="11">
        <v>48</v>
      </c>
      <c r="X53" s="16">
        <v>11677.44</v>
      </c>
      <c r="Y53" s="16">
        <v>8629.44</v>
      </c>
      <c r="Z53" s="13">
        <v>1.35</v>
      </c>
      <c r="AA53" s="11">
        <v>40</v>
      </c>
      <c r="AB53" s="12">
        <v>9731.2000000000007</v>
      </c>
      <c r="AC53" s="12">
        <v>7191.2</v>
      </c>
      <c r="AD53" s="13">
        <v>1.35</v>
      </c>
      <c r="AE53" s="11">
        <v>4</v>
      </c>
      <c r="AF53" s="13">
        <v>973.12</v>
      </c>
      <c r="AG53" s="13">
        <v>719.12</v>
      </c>
      <c r="AH53" s="13">
        <v>1.35</v>
      </c>
      <c r="AI53" s="11">
        <v>4</v>
      </c>
      <c r="AJ53" s="13">
        <v>973.12</v>
      </c>
      <c r="AK53" s="13">
        <v>719.12</v>
      </c>
      <c r="AL53" s="13">
        <v>1.35</v>
      </c>
      <c r="AM53" s="11">
        <v>4</v>
      </c>
      <c r="AN53" s="13">
        <v>973.12</v>
      </c>
      <c r="AO53" s="13">
        <v>719.12</v>
      </c>
      <c r="AP53" s="13">
        <v>1.35</v>
      </c>
      <c r="AQ53" s="11">
        <v>6</v>
      </c>
      <c r="AR53" s="16">
        <v>1459.68</v>
      </c>
      <c r="AS53" s="16">
        <v>1078.68</v>
      </c>
      <c r="AT53" s="13">
        <v>1.35</v>
      </c>
      <c r="AU53" s="11">
        <v>6</v>
      </c>
      <c r="AV53" s="16">
        <v>1459.68</v>
      </c>
      <c r="AW53" s="16">
        <v>1078.68</v>
      </c>
      <c r="AX53" s="13">
        <v>1.35</v>
      </c>
      <c r="AY53" s="11">
        <v>400</v>
      </c>
      <c r="AZ53" s="15">
        <v>97312</v>
      </c>
      <c r="BA53" s="15">
        <v>71912</v>
      </c>
      <c r="BB53" s="13">
        <v>1.35</v>
      </c>
    </row>
    <row r="54" spans="1:54" x14ac:dyDescent="0.25">
      <c r="A54" s="10" t="s">
        <v>144</v>
      </c>
      <c r="B54" s="10" t="s">
        <v>226</v>
      </c>
      <c r="C54" s="11">
        <v>2.25</v>
      </c>
      <c r="D54" s="13">
        <v>895.01</v>
      </c>
      <c r="E54" s="13">
        <v>585.07000000000005</v>
      </c>
      <c r="F54" s="13">
        <v>1.53</v>
      </c>
      <c r="G54" s="11">
        <v>4.5</v>
      </c>
      <c r="H54" s="16">
        <v>1790.01</v>
      </c>
      <c r="I54" s="16">
        <v>1170.1400000000001</v>
      </c>
      <c r="J54" s="13">
        <v>1.53</v>
      </c>
      <c r="K54" s="11">
        <v>33.75</v>
      </c>
      <c r="L54" s="16">
        <v>13425.08</v>
      </c>
      <c r="M54" s="16">
        <v>8776.01</v>
      </c>
      <c r="N54" s="13">
        <v>1.53</v>
      </c>
      <c r="O54" s="11">
        <v>40.5</v>
      </c>
      <c r="P54" s="16">
        <v>16110.09</v>
      </c>
      <c r="Q54" s="16">
        <v>10531.22</v>
      </c>
      <c r="R54" s="13">
        <v>1.53</v>
      </c>
      <c r="S54" s="11">
        <v>27</v>
      </c>
      <c r="T54" s="16">
        <v>10740.06</v>
      </c>
      <c r="U54" s="16">
        <v>7020.81</v>
      </c>
      <c r="V54" s="13">
        <v>1.53</v>
      </c>
      <c r="W54" s="11">
        <v>18</v>
      </c>
      <c r="X54" s="16">
        <v>7160.04</v>
      </c>
      <c r="Y54" s="16">
        <v>4680.54</v>
      </c>
      <c r="Z54" s="13">
        <v>1.53</v>
      </c>
      <c r="AA54" s="11">
        <v>15</v>
      </c>
      <c r="AB54" s="12">
        <v>5966.7</v>
      </c>
      <c r="AC54" s="16">
        <v>3900.45</v>
      </c>
      <c r="AD54" s="13">
        <v>1.53</v>
      </c>
      <c r="AE54" s="11">
        <v>1.5</v>
      </c>
      <c r="AF54" s="13">
        <v>596.66999999999996</v>
      </c>
      <c r="AG54" s="13">
        <v>390.05</v>
      </c>
      <c r="AH54" s="13">
        <v>1.53</v>
      </c>
      <c r="AI54" s="11">
        <v>1.5</v>
      </c>
      <c r="AJ54" s="13">
        <v>596.66999999999996</v>
      </c>
      <c r="AK54" s="13">
        <v>390.05</v>
      </c>
      <c r="AL54" s="13">
        <v>1.53</v>
      </c>
      <c r="AM54" s="11">
        <v>1.5</v>
      </c>
      <c r="AN54" s="13">
        <v>596.66999999999996</v>
      </c>
      <c r="AO54" s="13">
        <v>390.05</v>
      </c>
      <c r="AP54" s="13">
        <v>1.53</v>
      </c>
      <c r="AQ54" s="11">
        <v>2.25</v>
      </c>
      <c r="AR54" s="13">
        <v>895.01</v>
      </c>
      <c r="AS54" s="13">
        <v>585.07000000000005</v>
      </c>
      <c r="AT54" s="13">
        <v>1.53</v>
      </c>
      <c r="AU54" s="11">
        <v>2.25</v>
      </c>
      <c r="AV54" s="13">
        <v>895.01</v>
      </c>
      <c r="AW54" s="13">
        <v>585.07000000000005</v>
      </c>
      <c r="AX54" s="13">
        <v>1.53</v>
      </c>
      <c r="AY54" s="11">
        <v>150</v>
      </c>
      <c r="AZ54" s="16">
        <v>59667.02</v>
      </c>
      <c r="BA54" s="16">
        <v>39004.53</v>
      </c>
      <c r="BB54" s="13">
        <v>1.53</v>
      </c>
    </row>
    <row r="55" spans="1:54" x14ac:dyDescent="0.25">
      <c r="A55" s="10" t="s">
        <v>144</v>
      </c>
      <c r="B55" s="10" t="s">
        <v>224</v>
      </c>
      <c r="C55" s="11">
        <v>150</v>
      </c>
      <c r="D55" s="15">
        <v>4431</v>
      </c>
      <c r="E55" s="15">
        <v>3138</v>
      </c>
      <c r="F55" s="13">
        <v>1.41</v>
      </c>
      <c r="G55" s="11">
        <v>150</v>
      </c>
      <c r="H55" s="15">
        <v>4431</v>
      </c>
      <c r="I55" s="15">
        <v>3138</v>
      </c>
      <c r="J55" s="13">
        <v>1.41</v>
      </c>
      <c r="K55" s="11">
        <v>150</v>
      </c>
      <c r="L55" s="15">
        <v>4431</v>
      </c>
      <c r="M55" s="15">
        <v>3138</v>
      </c>
      <c r="N55" s="13">
        <v>1.41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1">
        <v>300</v>
      </c>
      <c r="AF55" s="15">
        <v>8862</v>
      </c>
      <c r="AG55" s="15">
        <v>6276</v>
      </c>
      <c r="AH55" s="13">
        <v>1.41</v>
      </c>
      <c r="AI55" s="11">
        <v>900</v>
      </c>
      <c r="AJ55" s="15">
        <v>26586</v>
      </c>
      <c r="AK55" s="15">
        <v>18828</v>
      </c>
      <c r="AL55" s="13">
        <v>1.41</v>
      </c>
      <c r="AM55" s="11">
        <v>900</v>
      </c>
      <c r="AN55" s="15">
        <v>26586</v>
      </c>
      <c r="AO55" s="15">
        <v>18828</v>
      </c>
      <c r="AP55" s="13">
        <v>1.41</v>
      </c>
      <c r="AQ55" s="11">
        <v>300</v>
      </c>
      <c r="AR55" s="15">
        <v>8862</v>
      </c>
      <c r="AS55" s="15">
        <v>6276</v>
      </c>
      <c r="AT55" s="13">
        <v>1.41</v>
      </c>
      <c r="AU55" s="11">
        <v>150</v>
      </c>
      <c r="AV55" s="15">
        <v>4431</v>
      </c>
      <c r="AW55" s="15">
        <v>3138</v>
      </c>
      <c r="AX55" s="13">
        <v>1.41</v>
      </c>
      <c r="AY55" s="18">
        <v>3000</v>
      </c>
      <c r="AZ55" s="15">
        <v>88620</v>
      </c>
      <c r="BA55" s="15">
        <v>62760</v>
      </c>
      <c r="BB55" s="13">
        <v>1.41</v>
      </c>
    </row>
    <row r="56" spans="1:54" x14ac:dyDescent="0.25">
      <c r="A56" s="10" t="s">
        <v>144</v>
      </c>
      <c r="B56" s="10" t="s">
        <v>225</v>
      </c>
      <c r="C56" s="11">
        <v>50</v>
      </c>
      <c r="D56" s="12">
        <v>2020.5</v>
      </c>
      <c r="E56" s="15">
        <v>1431</v>
      </c>
      <c r="F56" s="13">
        <v>1.41</v>
      </c>
      <c r="G56" s="11">
        <v>50</v>
      </c>
      <c r="H56" s="12">
        <v>2020.5</v>
      </c>
      <c r="I56" s="15">
        <v>1431</v>
      </c>
      <c r="J56" s="13">
        <v>1.41</v>
      </c>
      <c r="K56" s="11">
        <v>50</v>
      </c>
      <c r="L56" s="12">
        <v>2020.5</v>
      </c>
      <c r="M56" s="15">
        <v>1431</v>
      </c>
      <c r="N56" s="13">
        <v>1.41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1">
        <v>100</v>
      </c>
      <c r="AF56" s="15">
        <v>4041</v>
      </c>
      <c r="AG56" s="15">
        <v>2862</v>
      </c>
      <c r="AH56" s="13">
        <v>1.41</v>
      </c>
      <c r="AI56" s="11">
        <v>300</v>
      </c>
      <c r="AJ56" s="15">
        <v>12123</v>
      </c>
      <c r="AK56" s="15">
        <v>8586</v>
      </c>
      <c r="AL56" s="13">
        <v>1.41</v>
      </c>
      <c r="AM56" s="11">
        <v>300</v>
      </c>
      <c r="AN56" s="15">
        <v>12123</v>
      </c>
      <c r="AO56" s="15">
        <v>8586</v>
      </c>
      <c r="AP56" s="13">
        <v>1.41</v>
      </c>
      <c r="AQ56" s="11">
        <v>100</v>
      </c>
      <c r="AR56" s="15">
        <v>4041</v>
      </c>
      <c r="AS56" s="15">
        <v>2862</v>
      </c>
      <c r="AT56" s="13">
        <v>1.41</v>
      </c>
      <c r="AU56" s="11">
        <v>50</v>
      </c>
      <c r="AV56" s="12">
        <v>2020.5</v>
      </c>
      <c r="AW56" s="15">
        <v>1431</v>
      </c>
      <c r="AX56" s="13">
        <v>1.41</v>
      </c>
      <c r="AY56" s="18">
        <v>1000</v>
      </c>
      <c r="AZ56" s="15">
        <v>40410</v>
      </c>
      <c r="BA56" s="15">
        <v>28620</v>
      </c>
      <c r="BB56" s="13">
        <v>1.41</v>
      </c>
    </row>
    <row r="57" spans="1:54" x14ac:dyDescent="0.25">
      <c r="A57" s="10" t="s">
        <v>144</v>
      </c>
      <c r="B57" s="10" t="s">
        <v>230</v>
      </c>
      <c r="C57" s="14"/>
      <c r="D57" s="14"/>
      <c r="E57" s="14"/>
      <c r="F57" s="14"/>
      <c r="G57" s="14"/>
      <c r="H57" s="14"/>
      <c r="I57" s="14"/>
      <c r="J57" s="14"/>
      <c r="K57" s="11">
        <v>375</v>
      </c>
      <c r="L57" s="12">
        <v>90112.5</v>
      </c>
      <c r="M57" s="16">
        <v>66588.75</v>
      </c>
      <c r="N57" s="13">
        <v>1.35</v>
      </c>
      <c r="O57" s="11">
        <v>405</v>
      </c>
      <c r="P57" s="12">
        <v>97321.5</v>
      </c>
      <c r="Q57" s="16">
        <v>71915.850000000006</v>
      </c>
      <c r="R57" s="13">
        <v>1.35</v>
      </c>
      <c r="S57" s="11">
        <v>300</v>
      </c>
      <c r="T57" s="15">
        <v>72090</v>
      </c>
      <c r="U57" s="15">
        <v>53271</v>
      </c>
      <c r="V57" s="13">
        <v>1.35</v>
      </c>
      <c r="W57" s="11">
        <v>180</v>
      </c>
      <c r="X57" s="15">
        <v>43254</v>
      </c>
      <c r="Y57" s="12">
        <v>31962.6</v>
      </c>
      <c r="Z57" s="13">
        <v>1.35</v>
      </c>
      <c r="AA57" s="11">
        <v>150</v>
      </c>
      <c r="AB57" s="15">
        <v>36045</v>
      </c>
      <c r="AC57" s="12">
        <v>26635.5</v>
      </c>
      <c r="AD57" s="13">
        <v>1.35</v>
      </c>
      <c r="AE57" s="11">
        <v>15</v>
      </c>
      <c r="AF57" s="12">
        <v>3604.5</v>
      </c>
      <c r="AG57" s="16">
        <v>2663.55</v>
      </c>
      <c r="AH57" s="13">
        <v>1.35</v>
      </c>
      <c r="AI57" s="11">
        <v>15</v>
      </c>
      <c r="AJ57" s="12">
        <v>3604.5</v>
      </c>
      <c r="AK57" s="16">
        <v>2663.55</v>
      </c>
      <c r="AL57" s="13">
        <v>1.35</v>
      </c>
      <c r="AM57" s="11">
        <v>15</v>
      </c>
      <c r="AN57" s="12">
        <v>3604.5</v>
      </c>
      <c r="AO57" s="16">
        <v>2663.55</v>
      </c>
      <c r="AP57" s="13">
        <v>1.35</v>
      </c>
      <c r="AQ57" s="11">
        <v>22.5</v>
      </c>
      <c r="AR57" s="16">
        <v>5406.75</v>
      </c>
      <c r="AS57" s="16">
        <v>3995.33</v>
      </c>
      <c r="AT57" s="13">
        <v>1.35</v>
      </c>
      <c r="AU57" s="11">
        <v>22.5</v>
      </c>
      <c r="AV57" s="16">
        <v>5406.75</v>
      </c>
      <c r="AW57" s="16">
        <v>3995.33</v>
      </c>
      <c r="AX57" s="13">
        <v>1.35</v>
      </c>
      <c r="AY57" s="18">
        <v>1500</v>
      </c>
      <c r="AZ57" s="15">
        <v>360450</v>
      </c>
      <c r="BA57" s="16">
        <v>266355.01</v>
      </c>
      <c r="BB57" s="13">
        <v>1.35</v>
      </c>
    </row>
    <row r="58" spans="1:54" x14ac:dyDescent="0.25">
      <c r="A58" s="10" t="s">
        <v>144</v>
      </c>
      <c r="B58" s="10" t="s">
        <v>227</v>
      </c>
      <c r="C58" s="11">
        <v>4.5</v>
      </c>
      <c r="D58" s="16">
        <v>1703.75</v>
      </c>
      <c r="E58" s="16">
        <v>1206.5899999999999</v>
      </c>
      <c r="F58" s="13">
        <v>1.41</v>
      </c>
      <c r="G58" s="11">
        <v>9</v>
      </c>
      <c r="H58" s="16">
        <v>3407.49</v>
      </c>
      <c r="I58" s="16">
        <v>2413.17</v>
      </c>
      <c r="J58" s="13">
        <v>1.41</v>
      </c>
      <c r="K58" s="11">
        <v>67.5</v>
      </c>
      <c r="L58" s="16">
        <v>25556.18</v>
      </c>
      <c r="M58" s="16">
        <v>18098.78</v>
      </c>
      <c r="N58" s="13">
        <v>1.41</v>
      </c>
      <c r="O58" s="11">
        <v>81</v>
      </c>
      <c r="P58" s="16">
        <v>30667.41</v>
      </c>
      <c r="Q58" s="16">
        <v>21718.53</v>
      </c>
      <c r="R58" s="13">
        <v>1.41</v>
      </c>
      <c r="S58" s="11">
        <v>54</v>
      </c>
      <c r="T58" s="16">
        <v>20444.939999999999</v>
      </c>
      <c r="U58" s="16">
        <v>14479.02</v>
      </c>
      <c r="V58" s="13">
        <v>1.41</v>
      </c>
      <c r="W58" s="11">
        <v>36</v>
      </c>
      <c r="X58" s="16">
        <v>13629.96</v>
      </c>
      <c r="Y58" s="16">
        <v>9652.68</v>
      </c>
      <c r="Z58" s="13">
        <v>1.41</v>
      </c>
      <c r="AA58" s="11">
        <v>30</v>
      </c>
      <c r="AB58" s="12">
        <v>11358.3</v>
      </c>
      <c r="AC58" s="12">
        <v>8043.9</v>
      </c>
      <c r="AD58" s="13">
        <v>1.41</v>
      </c>
      <c r="AE58" s="11">
        <v>3</v>
      </c>
      <c r="AF58" s="16">
        <v>1135.83</v>
      </c>
      <c r="AG58" s="13">
        <v>804.39</v>
      </c>
      <c r="AH58" s="13">
        <v>1.41</v>
      </c>
      <c r="AI58" s="11">
        <v>3</v>
      </c>
      <c r="AJ58" s="16">
        <v>1135.83</v>
      </c>
      <c r="AK58" s="13">
        <v>804.39</v>
      </c>
      <c r="AL58" s="13">
        <v>1.41</v>
      </c>
      <c r="AM58" s="11">
        <v>3</v>
      </c>
      <c r="AN58" s="16">
        <v>1135.83</v>
      </c>
      <c r="AO58" s="13">
        <v>804.39</v>
      </c>
      <c r="AP58" s="13">
        <v>1.41</v>
      </c>
      <c r="AQ58" s="11">
        <v>4.5</v>
      </c>
      <c r="AR58" s="16">
        <v>1703.75</v>
      </c>
      <c r="AS58" s="16">
        <v>1206.5899999999999</v>
      </c>
      <c r="AT58" s="13">
        <v>1.41</v>
      </c>
      <c r="AU58" s="11">
        <v>4.5</v>
      </c>
      <c r="AV58" s="16">
        <v>1703.75</v>
      </c>
      <c r="AW58" s="16">
        <v>1206.5899999999999</v>
      </c>
      <c r="AX58" s="13">
        <v>1.41</v>
      </c>
      <c r="AY58" s="11">
        <v>300</v>
      </c>
      <c r="AZ58" s="16">
        <v>113583.02</v>
      </c>
      <c r="BA58" s="16">
        <v>80439.02</v>
      </c>
      <c r="BB58" s="13">
        <v>1.41</v>
      </c>
    </row>
    <row r="59" spans="1:54" x14ac:dyDescent="0.25">
      <c r="A59" s="10" t="s">
        <v>144</v>
      </c>
      <c r="B59" s="10" t="s">
        <v>229</v>
      </c>
      <c r="C59" s="11">
        <v>24</v>
      </c>
      <c r="D59" s="16">
        <v>4817.28</v>
      </c>
      <c r="E59" s="16">
        <v>3275.04</v>
      </c>
      <c r="F59" s="13">
        <v>1.47</v>
      </c>
      <c r="G59" s="11">
        <v>42</v>
      </c>
      <c r="H59" s="16">
        <v>8430.24</v>
      </c>
      <c r="I59" s="16">
        <v>5731.32</v>
      </c>
      <c r="J59" s="13">
        <v>1.47</v>
      </c>
      <c r="K59" s="11">
        <v>270</v>
      </c>
      <c r="L59" s="12">
        <v>54194.400000000001</v>
      </c>
      <c r="M59" s="12">
        <v>36844.199999999997</v>
      </c>
      <c r="N59" s="13">
        <v>1.47</v>
      </c>
      <c r="O59" s="11">
        <v>324</v>
      </c>
      <c r="P59" s="16">
        <v>65033.279999999999</v>
      </c>
      <c r="Q59" s="16">
        <v>44213.04</v>
      </c>
      <c r="R59" s="13">
        <v>1.47</v>
      </c>
      <c r="S59" s="11">
        <v>216</v>
      </c>
      <c r="T59" s="16">
        <v>43355.519999999997</v>
      </c>
      <c r="U59" s="16">
        <v>29475.360000000001</v>
      </c>
      <c r="V59" s="13">
        <v>1.47</v>
      </c>
      <c r="W59" s="11">
        <v>144</v>
      </c>
      <c r="X59" s="16">
        <v>28903.68</v>
      </c>
      <c r="Y59" s="16">
        <v>19650.240000000002</v>
      </c>
      <c r="Z59" s="13">
        <v>1.47</v>
      </c>
      <c r="AA59" s="11">
        <v>120</v>
      </c>
      <c r="AB59" s="12">
        <v>24086.400000000001</v>
      </c>
      <c r="AC59" s="12">
        <v>16375.2</v>
      </c>
      <c r="AD59" s="13">
        <v>1.47</v>
      </c>
      <c r="AE59" s="11">
        <v>12</v>
      </c>
      <c r="AF59" s="16">
        <v>2408.64</v>
      </c>
      <c r="AG59" s="16">
        <v>1637.52</v>
      </c>
      <c r="AH59" s="13">
        <v>1.47</v>
      </c>
      <c r="AI59" s="11">
        <v>12</v>
      </c>
      <c r="AJ59" s="16">
        <v>2408.64</v>
      </c>
      <c r="AK59" s="16">
        <v>1637.52</v>
      </c>
      <c r="AL59" s="13">
        <v>1.47</v>
      </c>
      <c r="AM59" s="11">
        <v>12</v>
      </c>
      <c r="AN59" s="16">
        <v>2408.64</v>
      </c>
      <c r="AO59" s="16">
        <v>1637.52</v>
      </c>
      <c r="AP59" s="13">
        <v>1.47</v>
      </c>
      <c r="AQ59" s="11">
        <v>12</v>
      </c>
      <c r="AR59" s="16">
        <v>2408.64</v>
      </c>
      <c r="AS59" s="16">
        <v>1637.52</v>
      </c>
      <c r="AT59" s="13">
        <v>1.47</v>
      </c>
      <c r="AU59" s="11">
        <v>12</v>
      </c>
      <c r="AV59" s="16">
        <v>2408.64</v>
      </c>
      <c r="AW59" s="16">
        <v>1637.52</v>
      </c>
      <c r="AX59" s="13">
        <v>1.47</v>
      </c>
      <c r="AY59" s="18">
        <v>1200</v>
      </c>
      <c r="AZ59" s="15">
        <v>240864</v>
      </c>
      <c r="BA59" s="15">
        <v>163752</v>
      </c>
      <c r="BB59" s="13">
        <v>1.47</v>
      </c>
    </row>
    <row r="60" spans="1:54" x14ac:dyDescent="0.25">
      <c r="A60" s="10" t="s">
        <v>144</v>
      </c>
      <c r="B60" s="10" t="s">
        <v>228</v>
      </c>
      <c r="C60" s="11">
        <v>27</v>
      </c>
      <c r="D60" s="12">
        <v>8982.9</v>
      </c>
      <c r="E60" s="16">
        <v>5872.23</v>
      </c>
      <c r="F60" s="13">
        <v>1.53</v>
      </c>
      <c r="G60" s="11">
        <v>54</v>
      </c>
      <c r="H60" s="12">
        <v>17965.8</v>
      </c>
      <c r="I60" s="16">
        <v>11744.46</v>
      </c>
      <c r="J60" s="13">
        <v>1.53</v>
      </c>
      <c r="K60" s="11">
        <v>405</v>
      </c>
      <c r="L60" s="12">
        <v>134743.5</v>
      </c>
      <c r="M60" s="16">
        <v>88083.45</v>
      </c>
      <c r="N60" s="13">
        <v>1.53</v>
      </c>
      <c r="O60" s="11">
        <v>486</v>
      </c>
      <c r="P60" s="12">
        <v>161692.20000000001</v>
      </c>
      <c r="Q60" s="16">
        <v>105700.14</v>
      </c>
      <c r="R60" s="13">
        <v>1.53</v>
      </c>
      <c r="S60" s="11">
        <v>324</v>
      </c>
      <c r="T60" s="12">
        <v>107794.8</v>
      </c>
      <c r="U60" s="16">
        <v>70466.759999999995</v>
      </c>
      <c r="V60" s="13">
        <v>1.53</v>
      </c>
      <c r="W60" s="11">
        <v>216</v>
      </c>
      <c r="X60" s="12">
        <v>71863.199999999997</v>
      </c>
      <c r="Y60" s="16">
        <v>46977.84</v>
      </c>
      <c r="Z60" s="13">
        <v>1.53</v>
      </c>
      <c r="AA60" s="11">
        <v>180</v>
      </c>
      <c r="AB60" s="15">
        <v>59886</v>
      </c>
      <c r="AC60" s="12">
        <v>39148.199999999997</v>
      </c>
      <c r="AD60" s="13">
        <v>1.53</v>
      </c>
      <c r="AE60" s="11">
        <v>18</v>
      </c>
      <c r="AF60" s="12">
        <v>5988.6</v>
      </c>
      <c r="AG60" s="16">
        <v>3914.82</v>
      </c>
      <c r="AH60" s="13">
        <v>1.53</v>
      </c>
      <c r="AI60" s="11">
        <v>18</v>
      </c>
      <c r="AJ60" s="12">
        <v>5988.6</v>
      </c>
      <c r="AK60" s="16">
        <v>3914.82</v>
      </c>
      <c r="AL60" s="13">
        <v>1.53</v>
      </c>
      <c r="AM60" s="11">
        <v>18</v>
      </c>
      <c r="AN60" s="12">
        <v>5988.6</v>
      </c>
      <c r="AO60" s="16">
        <v>3914.82</v>
      </c>
      <c r="AP60" s="13">
        <v>1.53</v>
      </c>
      <c r="AQ60" s="11">
        <v>27</v>
      </c>
      <c r="AR60" s="12">
        <v>8982.9</v>
      </c>
      <c r="AS60" s="16">
        <v>5872.23</v>
      </c>
      <c r="AT60" s="13">
        <v>1.53</v>
      </c>
      <c r="AU60" s="11">
        <v>27</v>
      </c>
      <c r="AV60" s="12">
        <v>8982.9</v>
      </c>
      <c r="AW60" s="16">
        <v>5872.23</v>
      </c>
      <c r="AX60" s="13">
        <v>1.53</v>
      </c>
      <c r="AY60" s="18">
        <v>1800</v>
      </c>
      <c r="AZ60" s="15">
        <v>598860</v>
      </c>
      <c r="BA60" s="15">
        <v>391482</v>
      </c>
      <c r="BB60" s="13">
        <v>1.53</v>
      </c>
    </row>
    <row r="61" spans="1:54" x14ac:dyDescent="0.25">
      <c r="A61" s="10" t="s">
        <v>144</v>
      </c>
      <c r="B61" s="10" t="s">
        <v>231</v>
      </c>
      <c r="C61" s="11">
        <v>0.75</v>
      </c>
      <c r="D61" s="13">
        <v>508.58</v>
      </c>
      <c r="E61" s="13">
        <v>360.17</v>
      </c>
      <c r="F61" s="13">
        <v>1.41</v>
      </c>
      <c r="G61" s="11">
        <v>1.5</v>
      </c>
      <c r="H61" s="16">
        <v>1017.17</v>
      </c>
      <c r="I61" s="13">
        <v>720.35</v>
      </c>
      <c r="J61" s="13">
        <v>1.41</v>
      </c>
      <c r="K61" s="11">
        <v>11.25</v>
      </c>
      <c r="L61" s="16">
        <v>7628.74</v>
      </c>
      <c r="M61" s="16">
        <v>5402.59</v>
      </c>
      <c r="N61" s="13">
        <v>1.41</v>
      </c>
      <c r="O61" s="11">
        <v>13.5</v>
      </c>
      <c r="P61" s="16">
        <v>9154.49</v>
      </c>
      <c r="Q61" s="16">
        <v>6483.11</v>
      </c>
      <c r="R61" s="13">
        <v>1.41</v>
      </c>
      <c r="S61" s="11">
        <v>9</v>
      </c>
      <c r="T61" s="16">
        <v>6102.99</v>
      </c>
      <c r="U61" s="16">
        <v>4322.07</v>
      </c>
      <c r="V61" s="13">
        <v>1.41</v>
      </c>
      <c r="W61" s="11">
        <v>6</v>
      </c>
      <c r="X61" s="16">
        <v>4068.66</v>
      </c>
      <c r="Y61" s="16">
        <v>2881.38</v>
      </c>
      <c r="Z61" s="13">
        <v>1.41</v>
      </c>
      <c r="AA61" s="11">
        <v>5</v>
      </c>
      <c r="AB61" s="16">
        <v>3390.55</v>
      </c>
      <c r="AC61" s="16">
        <v>2401.15</v>
      </c>
      <c r="AD61" s="13">
        <v>1.41</v>
      </c>
      <c r="AE61" s="11">
        <v>0.5</v>
      </c>
      <c r="AF61" s="13">
        <v>339.06</v>
      </c>
      <c r="AG61" s="13">
        <v>240.12</v>
      </c>
      <c r="AH61" s="13">
        <v>1.41</v>
      </c>
      <c r="AI61" s="11">
        <v>0.5</v>
      </c>
      <c r="AJ61" s="13">
        <v>339.06</v>
      </c>
      <c r="AK61" s="13">
        <v>240.12</v>
      </c>
      <c r="AL61" s="13">
        <v>1.41</v>
      </c>
      <c r="AM61" s="11">
        <v>0.5</v>
      </c>
      <c r="AN61" s="13">
        <v>339.06</v>
      </c>
      <c r="AO61" s="13">
        <v>240.12</v>
      </c>
      <c r="AP61" s="13">
        <v>1.41</v>
      </c>
      <c r="AQ61" s="11">
        <v>0.75</v>
      </c>
      <c r="AR61" s="13">
        <v>508.58</v>
      </c>
      <c r="AS61" s="13">
        <v>360.17</v>
      </c>
      <c r="AT61" s="13">
        <v>1.41</v>
      </c>
      <c r="AU61" s="11">
        <v>0.75</v>
      </c>
      <c r="AV61" s="13">
        <v>508.58</v>
      </c>
      <c r="AW61" s="13">
        <v>360.17</v>
      </c>
      <c r="AX61" s="13">
        <v>1.41</v>
      </c>
      <c r="AY61" s="11">
        <v>50</v>
      </c>
      <c r="AZ61" s="16">
        <v>33905.519999999997</v>
      </c>
      <c r="BA61" s="16">
        <v>24011.52</v>
      </c>
      <c r="BB61" s="13">
        <v>1.41</v>
      </c>
    </row>
    <row r="62" spans="1:54" x14ac:dyDescent="0.25">
      <c r="A62" s="10" t="s">
        <v>144</v>
      </c>
      <c r="B62" s="10" t="s">
        <v>232</v>
      </c>
      <c r="C62" s="11">
        <v>40</v>
      </c>
      <c r="D62" s="12">
        <v>8798.4</v>
      </c>
      <c r="E62" s="12">
        <v>5981.6</v>
      </c>
      <c r="F62" s="13">
        <v>1.47</v>
      </c>
      <c r="G62" s="11">
        <v>70</v>
      </c>
      <c r="H62" s="12">
        <v>15397.2</v>
      </c>
      <c r="I62" s="12">
        <v>10467.799999999999</v>
      </c>
      <c r="J62" s="13">
        <v>1.47</v>
      </c>
      <c r="K62" s="11">
        <v>450</v>
      </c>
      <c r="L62" s="15">
        <v>98982</v>
      </c>
      <c r="M62" s="15">
        <v>67293</v>
      </c>
      <c r="N62" s="13">
        <v>1.47</v>
      </c>
      <c r="O62" s="11">
        <v>540</v>
      </c>
      <c r="P62" s="12">
        <v>118778.4</v>
      </c>
      <c r="Q62" s="12">
        <v>80751.600000000006</v>
      </c>
      <c r="R62" s="13">
        <v>1.47</v>
      </c>
      <c r="S62" s="11">
        <v>360</v>
      </c>
      <c r="T62" s="12">
        <v>79185.600000000006</v>
      </c>
      <c r="U62" s="12">
        <v>53834.400000000001</v>
      </c>
      <c r="V62" s="13">
        <v>1.47</v>
      </c>
      <c r="W62" s="11">
        <v>240</v>
      </c>
      <c r="X62" s="12">
        <v>52790.400000000001</v>
      </c>
      <c r="Y62" s="12">
        <v>35889.599999999999</v>
      </c>
      <c r="Z62" s="13">
        <v>1.47</v>
      </c>
      <c r="AA62" s="11">
        <v>200</v>
      </c>
      <c r="AB62" s="15">
        <v>43992</v>
      </c>
      <c r="AC62" s="15">
        <v>29908</v>
      </c>
      <c r="AD62" s="13">
        <v>1.47</v>
      </c>
      <c r="AE62" s="11">
        <v>20</v>
      </c>
      <c r="AF62" s="12">
        <v>4399.2</v>
      </c>
      <c r="AG62" s="12">
        <v>2990.8</v>
      </c>
      <c r="AH62" s="13">
        <v>1.47</v>
      </c>
      <c r="AI62" s="11">
        <v>20</v>
      </c>
      <c r="AJ62" s="12">
        <v>4399.2</v>
      </c>
      <c r="AK62" s="12">
        <v>2990.8</v>
      </c>
      <c r="AL62" s="13">
        <v>1.47</v>
      </c>
      <c r="AM62" s="11">
        <v>20</v>
      </c>
      <c r="AN62" s="12">
        <v>4399.2</v>
      </c>
      <c r="AO62" s="12">
        <v>2990.8</v>
      </c>
      <c r="AP62" s="13">
        <v>1.47</v>
      </c>
      <c r="AQ62" s="11">
        <v>20</v>
      </c>
      <c r="AR62" s="12">
        <v>4399.2</v>
      </c>
      <c r="AS62" s="12">
        <v>2990.8</v>
      </c>
      <c r="AT62" s="13">
        <v>1.47</v>
      </c>
      <c r="AU62" s="11">
        <v>20</v>
      </c>
      <c r="AV62" s="12">
        <v>4399.2</v>
      </c>
      <c r="AW62" s="12">
        <v>2990.8</v>
      </c>
      <c r="AX62" s="13">
        <v>1.47</v>
      </c>
      <c r="AY62" s="18">
        <v>2000</v>
      </c>
      <c r="AZ62" s="15">
        <v>439920</v>
      </c>
      <c r="BA62" s="15">
        <v>299080</v>
      </c>
      <c r="BB62" s="13">
        <v>1.47</v>
      </c>
    </row>
    <row r="63" spans="1:54" x14ac:dyDescent="0.25">
      <c r="A63" s="10" t="s">
        <v>144</v>
      </c>
      <c r="B63" s="10" t="s">
        <v>233</v>
      </c>
      <c r="C63" s="11">
        <v>7.4999999999999997E-2</v>
      </c>
      <c r="D63" s="13">
        <v>51.23</v>
      </c>
      <c r="E63" s="17">
        <v>31.1</v>
      </c>
      <c r="F63" s="13">
        <v>1.65</v>
      </c>
      <c r="G63" s="11">
        <v>0.15</v>
      </c>
      <c r="H63" s="13">
        <v>102.45</v>
      </c>
      <c r="I63" s="13">
        <v>62.19</v>
      </c>
      <c r="J63" s="13">
        <v>1.65</v>
      </c>
      <c r="K63" s="11">
        <v>1.125</v>
      </c>
      <c r="L63" s="13">
        <v>768.41</v>
      </c>
      <c r="M63" s="13">
        <v>466.44</v>
      </c>
      <c r="N63" s="13">
        <v>1.65</v>
      </c>
      <c r="O63" s="11">
        <v>1.35</v>
      </c>
      <c r="P63" s="13">
        <v>922.09</v>
      </c>
      <c r="Q63" s="13">
        <v>559.72</v>
      </c>
      <c r="R63" s="13">
        <v>1.65</v>
      </c>
      <c r="S63" s="11">
        <v>0.9</v>
      </c>
      <c r="T63" s="13">
        <v>614.73</v>
      </c>
      <c r="U63" s="13">
        <v>373.15</v>
      </c>
      <c r="V63" s="13">
        <v>1.65</v>
      </c>
      <c r="W63" s="11">
        <v>0.6</v>
      </c>
      <c r="X63" s="13">
        <v>409.82</v>
      </c>
      <c r="Y63" s="13">
        <v>248.77</v>
      </c>
      <c r="Z63" s="13">
        <v>1.65</v>
      </c>
      <c r="AA63" s="11">
        <v>0.5</v>
      </c>
      <c r="AB63" s="13">
        <v>341.52</v>
      </c>
      <c r="AC63" s="13">
        <v>207.31</v>
      </c>
      <c r="AD63" s="13">
        <v>1.65</v>
      </c>
      <c r="AE63" s="11">
        <v>0.05</v>
      </c>
      <c r="AF63" s="13">
        <v>34.15</v>
      </c>
      <c r="AG63" s="13">
        <v>20.73</v>
      </c>
      <c r="AH63" s="13">
        <v>1.65</v>
      </c>
      <c r="AI63" s="11">
        <v>0.05</v>
      </c>
      <c r="AJ63" s="13">
        <v>34.15</v>
      </c>
      <c r="AK63" s="13">
        <v>20.73</v>
      </c>
      <c r="AL63" s="13">
        <v>1.65</v>
      </c>
      <c r="AM63" s="11">
        <v>0.05</v>
      </c>
      <c r="AN63" s="13">
        <v>34.15</v>
      </c>
      <c r="AO63" s="13">
        <v>20.73</v>
      </c>
      <c r="AP63" s="13">
        <v>1.65</v>
      </c>
      <c r="AQ63" s="11">
        <v>7.4999999999999997E-2</v>
      </c>
      <c r="AR63" s="13">
        <v>51.23</v>
      </c>
      <c r="AS63" s="17">
        <v>31.1</v>
      </c>
      <c r="AT63" s="13">
        <v>1.65</v>
      </c>
      <c r="AU63" s="11">
        <v>7.4999999999999997E-2</v>
      </c>
      <c r="AV63" s="13">
        <v>51.23</v>
      </c>
      <c r="AW63" s="17">
        <v>31.1</v>
      </c>
      <c r="AX63" s="13">
        <v>1.65</v>
      </c>
      <c r="AY63" s="11">
        <v>5</v>
      </c>
      <c r="AZ63" s="16">
        <v>3415.16</v>
      </c>
      <c r="BA63" s="16">
        <v>2073.0700000000002</v>
      </c>
      <c r="BB63" s="13">
        <v>1.65</v>
      </c>
    </row>
    <row r="64" spans="1:54" x14ac:dyDescent="0.25">
      <c r="A64" s="10" t="s">
        <v>144</v>
      </c>
      <c r="B64" s="10" t="s">
        <v>234</v>
      </c>
      <c r="C64" s="11">
        <v>0.45</v>
      </c>
      <c r="D64" s="13">
        <v>285.52999999999997</v>
      </c>
      <c r="E64" s="13">
        <v>186.66</v>
      </c>
      <c r="F64" s="13">
        <v>1.53</v>
      </c>
      <c r="G64" s="11">
        <v>0.9</v>
      </c>
      <c r="H64" s="13">
        <v>571.07000000000005</v>
      </c>
      <c r="I64" s="13">
        <v>373.31</v>
      </c>
      <c r="J64" s="13">
        <v>1.53</v>
      </c>
      <c r="K64" s="11">
        <v>6.75</v>
      </c>
      <c r="L64" s="16">
        <v>4283.01</v>
      </c>
      <c r="M64" s="16">
        <v>2799.83</v>
      </c>
      <c r="N64" s="13">
        <v>1.53</v>
      </c>
      <c r="O64" s="11">
        <v>8.1</v>
      </c>
      <c r="P64" s="16">
        <v>5139.6099999999997</v>
      </c>
      <c r="Q64" s="12">
        <v>3359.8</v>
      </c>
      <c r="R64" s="13">
        <v>1.53</v>
      </c>
      <c r="S64" s="11">
        <v>5.4</v>
      </c>
      <c r="T64" s="16">
        <v>3426.41</v>
      </c>
      <c r="U64" s="16">
        <v>2239.87</v>
      </c>
      <c r="V64" s="13">
        <v>1.53</v>
      </c>
      <c r="W64" s="11">
        <v>3.6</v>
      </c>
      <c r="X64" s="16">
        <v>2284.27</v>
      </c>
      <c r="Y64" s="16">
        <v>1493.24</v>
      </c>
      <c r="Z64" s="13">
        <v>1.53</v>
      </c>
      <c r="AA64" s="11">
        <v>3</v>
      </c>
      <c r="AB64" s="16">
        <v>1903.56</v>
      </c>
      <c r="AC64" s="16">
        <v>1244.3699999999999</v>
      </c>
      <c r="AD64" s="13">
        <v>1.53</v>
      </c>
      <c r="AE64" s="11">
        <v>0.3</v>
      </c>
      <c r="AF64" s="13">
        <v>190.36</v>
      </c>
      <c r="AG64" s="13">
        <v>124.44</v>
      </c>
      <c r="AH64" s="13">
        <v>1.53</v>
      </c>
      <c r="AI64" s="11">
        <v>0.3</v>
      </c>
      <c r="AJ64" s="13">
        <v>190.36</v>
      </c>
      <c r="AK64" s="13">
        <v>124.44</v>
      </c>
      <c r="AL64" s="13">
        <v>1.53</v>
      </c>
      <c r="AM64" s="11">
        <v>0.3</v>
      </c>
      <c r="AN64" s="13">
        <v>190.36</v>
      </c>
      <c r="AO64" s="13">
        <v>124.44</v>
      </c>
      <c r="AP64" s="13">
        <v>1.53</v>
      </c>
      <c r="AQ64" s="11">
        <v>0.45</v>
      </c>
      <c r="AR64" s="13">
        <v>285.52999999999997</v>
      </c>
      <c r="AS64" s="13">
        <v>186.66</v>
      </c>
      <c r="AT64" s="13">
        <v>1.53</v>
      </c>
      <c r="AU64" s="11">
        <v>0.45</v>
      </c>
      <c r="AV64" s="13">
        <v>285.52999999999997</v>
      </c>
      <c r="AW64" s="13">
        <v>186.66</v>
      </c>
      <c r="AX64" s="13">
        <v>1.53</v>
      </c>
      <c r="AY64" s="11">
        <v>30</v>
      </c>
      <c r="AZ64" s="12">
        <v>19035.599999999999</v>
      </c>
      <c r="BA64" s="16">
        <v>12443.72</v>
      </c>
      <c r="BB64" s="13">
        <v>1.53</v>
      </c>
    </row>
    <row r="65" spans="1:54" x14ac:dyDescent="0.25">
      <c r="A65" s="10" t="s">
        <v>144</v>
      </c>
      <c r="B65" s="10" t="s">
        <v>235</v>
      </c>
      <c r="C65" s="14"/>
      <c r="D65" s="14"/>
      <c r="E65" s="14"/>
      <c r="F65" s="14"/>
      <c r="G65" s="14"/>
      <c r="H65" s="14"/>
      <c r="I65" s="14"/>
      <c r="J65" s="14"/>
      <c r="K65" s="11">
        <v>50</v>
      </c>
      <c r="L65" s="15">
        <v>1295</v>
      </c>
      <c r="M65" s="19">
        <v>917</v>
      </c>
      <c r="N65" s="13">
        <v>1.41</v>
      </c>
      <c r="O65" s="11">
        <v>175</v>
      </c>
      <c r="P65" s="12">
        <v>4532.5</v>
      </c>
      <c r="Q65" s="12">
        <v>3209.5</v>
      </c>
      <c r="R65" s="13">
        <v>1.41</v>
      </c>
      <c r="S65" s="11">
        <v>175</v>
      </c>
      <c r="T65" s="12">
        <v>4532.5</v>
      </c>
      <c r="U65" s="12">
        <v>3209.5</v>
      </c>
      <c r="V65" s="13">
        <v>1.41</v>
      </c>
      <c r="W65" s="11">
        <v>100</v>
      </c>
      <c r="X65" s="15">
        <v>2590</v>
      </c>
      <c r="Y65" s="15">
        <v>1834</v>
      </c>
      <c r="Z65" s="13">
        <v>1.41</v>
      </c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1">
        <v>500</v>
      </c>
      <c r="AZ65" s="15">
        <v>12950</v>
      </c>
      <c r="BA65" s="15">
        <v>9170</v>
      </c>
      <c r="BB65" s="13">
        <v>1.41</v>
      </c>
    </row>
    <row r="66" spans="1:54" x14ac:dyDescent="0.25">
      <c r="A66" s="10" t="s">
        <v>144</v>
      </c>
      <c r="B66" s="10" t="s">
        <v>237</v>
      </c>
      <c r="C66" s="11">
        <v>27</v>
      </c>
      <c r="D66" s="16">
        <v>7874.82</v>
      </c>
      <c r="E66" s="16">
        <v>5147.82</v>
      </c>
      <c r="F66" s="13">
        <v>1.53</v>
      </c>
      <c r="G66" s="11">
        <v>54</v>
      </c>
      <c r="H66" s="16">
        <v>15749.64</v>
      </c>
      <c r="I66" s="16">
        <v>10295.64</v>
      </c>
      <c r="J66" s="13">
        <v>1.53</v>
      </c>
      <c r="K66" s="11">
        <v>405</v>
      </c>
      <c r="L66" s="12">
        <v>118122.3</v>
      </c>
      <c r="M66" s="12">
        <v>77217.3</v>
      </c>
      <c r="N66" s="13">
        <v>1.53</v>
      </c>
      <c r="O66" s="11">
        <v>486</v>
      </c>
      <c r="P66" s="16">
        <v>141746.76</v>
      </c>
      <c r="Q66" s="16">
        <v>92660.76</v>
      </c>
      <c r="R66" s="13">
        <v>1.53</v>
      </c>
      <c r="S66" s="11">
        <v>324</v>
      </c>
      <c r="T66" s="16">
        <v>94497.84</v>
      </c>
      <c r="U66" s="16">
        <v>61773.84</v>
      </c>
      <c r="V66" s="13">
        <v>1.53</v>
      </c>
      <c r="W66" s="11">
        <v>216</v>
      </c>
      <c r="X66" s="16">
        <v>62998.559999999998</v>
      </c>
      <c r="Y66" s="16">
        <v>41182.559999999998</v>
      </c>
      <c r="Z66" s="13">
        <v>1.53</v>
      </c>
      <c r="AA66" s="11">
        <v>180</v>
      </c>
      <c r="AB66" s="12">
        <v>52498.8</v>
      </c>
      <c r="AC66" s="12">
        <v>34318.800000000003</v>
      </c>
      <c r="AD66" s="13">
        <v>1.53</v>
      </c>
      <c r="AE66" s="11">
        <v>18</v>
      </c>
      <c r="AF66" s="16">
        <v>5249.88</v>
      </c>
      <c r="AG66" s="16">
        <v>3431.88</v>
      </c>
      <c r="AH66" s="13">
        <v>1.53</v>
      </c>
      <c r="AI66" s="11">
        <v>18</v>
      </c>
      <c r="AJ66" s="16">
        <v>5249.88</v>
      </c>
      <c r="AK66" s="16">
        <v>3431.88</v>
      </c>
      <c r="AL66" s="13">
        <v>1.53</v>
      </c>
      <c r="AM66" s="11">
        <v>18</v>
      </c>
      <c r="AN66" s="16">
        <v>5249.88</v>
      </c>
      <c r="AO66" s="16">
        <v>3431.88</v>
      </c>
      <c r="AP66" s="13">
        <v>1.53</v>
      </c>
      <c r="AQ66" s="11">
        <v>27</v>
      </c>
      <c r="AR66" s="16">
        <v>7874.82</v>
      </c>
      <c r="AS66" s="16">
        <v>5147.82</v>
      </c>
      <c r="AT66" s="13">
        <v>1.53</v>
      </c>
      <c r="AU66" s="11">
        <v>27</v>
      </c>
      <c r="AV66" s="16">
        <v>7874.82</v>
      </c>
      <c r="AW66" s="16">
        <v>5147.82</v>
      </c>
      <c r="AX66" s="13">
        <v>1.53</v>
      </c>
      <c r="AY66" s="18">
        <v>1800</v>
      </c>
      <c r="AZ66" s="15">
        <v>524988</v>
      </c>
      <c r="BA66" s="15">
        <v>343188</v>
      </c>
      <c r="BB66" s="13">
        <v>1.53</v>
      </c>
    </row>
    <row r="67" spans="1:54" x14ac:dyDescent="0.25">
      <c r="A67" s="10" t="s">
        <v>144</v>
      </c>
      <c r="B67" s="10" t="s">
        <v>236</v>
      </c>
      <c r="C67" s="11">
        <v>60</v>
      </c>
      <c r="D67" s="17">
        <v>760.8</v>
      </c>
      <c r="E67" s="17">
        <v>538.79999999999995</v>
      </c>
      <c r="F67" s="13">
        <v>1.41</v>
      </c>
      <c r="G67" s="11">
        <v>60</v>
      </c>
      <c r="H67" s="17">
        <v>760.8</v>
      </c>
      <c r="I67" s="17">
        <v>538.79999999999995</v>
      </c>
      <c r="J67" s="13">
        <v>1.41</v>
      </c>
      <c r="K67" s="11">
        <v>60</v>
      </c>
      <c r="L67" s="17">
        <v>760.8</v>
      </c>
      <c r="M67" s="17">
        <v>538.79999999999995</v>
      </c>
      <c r="N67" s="13">
        <v>1.41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1">
        <v>180</v>
      </c>
      <c r="AF67" s="12">
        <v>2282.4</v>
      </c>
      <c r="AG67" s="12">
        <v>1616.4</v>
      </c>
      <c r="AH67" s="13">
        <v>1.41</v>
      </c>
      <c r="AI67" s="11">
        <v>180</v>
      </c>
      <c r="AJ67" s="12">
        <v>2282.4</v>
      </c>
      <c r="AK67" s="12">
        <v>1616.4</v>
      </c>
      <c r="AL67" s="13">
        <v>1.41</v>
      </c>
      <c r="AM67" s="11">
        <v>240</v>
      </c>
      <c r="AN67" s="12">
        <v>3043.2</v>
      </c>
      <c r="AO67" s="12">
        <v>2155.1999999999998</v>
      </c>
      <c r="AP67" s="13">
        <v>1.41</v>
      </c>
      <c r="AQ67" s="11">
        <v>180</v>
      </c>
      <c r="AR67" s="12">
        <v>2282.4</v>
      </c>
      <c r="AS67" s="12">
        <v>1616.4</v>
      </c>
      <c r="AT67" s="13">
        <v>1.41</v>
      </c>
      <c r="AU67" s="11">
        <v>240</v>
      </c>
      <c r="AV67" s="12">
        <v>3043.2</v>
      </c>
      <c r="AW67" s="12">
        <v>2155.1999999999998</v>
      </c>
      <c r="AX67" s="13">
        <v>1.41</v>
      </c>
      <c r="AY67" s="18">
        <v>1200</v>
      </c>
      <c r="AZ67" s="15">
        <v>15216</v>
      </c>
      <c r="BA67" s="15">
        <v>10776</v>
      </c>
      <c r="BB67" s="13">
        <v>1.41</v>
      </c>
    </row>
    <row r="68" spans="1:54" x14ac:dyDescent="0.25">
      <c r="A68" s="10" t="s">
        <v>144</v>
      </c>
      <c r="B68" s="10" t="s">
        <v>240</v>
      </c>
      <c r="C68" s="11">
        <v>40</v>
      </c>
      <c r="D68" s="12">
        <v>11099.2</v>
      </c>
      <c r="E68" s="15">
        <v>7546</v>
      </c>
      <c r="F68" s="13">
        <v>1.47</v>
      </c>
      <c r="G68" s="11">
        <v>70</v>
      </c>
      <c r="H68" s="12">
        <v>19423.599999999999</v>
      </c>
      <c r="I68" s="12">
        <v>13205.5</v>
      </c>
      <c r="J68" s="13">
        <v>1.47</v>
      </c>
      <c r="K68" s="11">
        <v>450</v>
      </c>
      <c r="L68" s="15">
        <v>124866</v>
      </c>
      <c r="M68" s="12">
        <v>84892.5</v>
      </c>
      <c r="N68" s="13">
        <v>1.47</v>
      </c>
      <c r="O68" s="11">
        <v>540</v>
      </c>
      <c r="P68" s="12">
        <v>149839.20000000001</v>
      </c>
      <c r="Q68" s="15">
        <v>101871</v>
      </c>
      <c r="R68" s="13">
        <v>1.47</v>
      </c>
      <c r="S68" s="11">
        <v>360</v>
      </c>
      <c r="T68" s="12">
        <v>99892.800000000003</v>
      </c>
      <c r="U68" s="15">
        <v>67914</v>
      </c>
      <c r="V68" s="13">
        <v>1.47</v>
      </c>
      <c r="W68" s="11">
        <v>240</v>
      </c>
      <c r="X68" s="12">
        <v>66595.199999999997</v>
      </c>
      <c r="Y68" s="15">
        <v>45276</v>
      </c>
      <c r="Z68" s="13">
        <v>1.47</v>
      </c>
      <c r="AA68" s="11">
        <v>200</v>
      </c>
      <c r="AB68" s="15">
        <v>55496</v>
      </c>
      <c r="AC68" s="15">
        <v>37730</v>
      </c>
      <c r="AD68" s="13">
        <v>1.47</v>
      </c>
      <c r="AE68" s="11">
        <v>20</v>
      </c>
      <c r="AF68" s="12">
        <v>5549.6</v>
      </c>
      <c r="AG68" s="15">
        <v>3773</v>
      </c>
      <c r="AH68" s="13">
        <v>1.47</v>
      </c>
      <c r="AI68" s="11">
        <v>20</v>
      </c>
      <c r="AJ68" s="12">
        <v>5549.6</v>
      </c>
      <c r="AK68" s="15">
        <v>3773</v>
      </c>
      <c r="AL68" s="13">
        <v>1.47</v>
      </c>
      <c r="AM68" s="11">
        <v>20</v>
      </c>
      <c r="AN68" s="12">
        <v>5549.6</v>
      </c>
      <c r="AO68" s="15">
        <v>3773</v>
      </c>
      <c r="AP68" s="13">
        <v>1.47</v>
      </c>
      <c r="AQ68" s="11">
        <v>20</v>
      </c>
      <c r="AR68" s="12">
        <v>5549.6</v>
      </c>
      <c r="AS68" s="15">
        <v>3773</v>
      </c>
      <c r="AT68" s="13">
        <v>1.47</v>
      </c>
      <c r="AU68" s="11">
        <v>20</v>
      </c>
      <c r="AV68" s="12">
        <v>5549.6</v>
      </c>
      <c r="AW68" s="15">
        <v>3773</v>
      </c>
      <c r="AX68" s="13">
        <v>1.47</v>
      </c>
      <c r="AY68" s="18">
        <v>2000</v>
      </c>
      <c r="AZ68" s="15">
        <v>554960</v>
      </c>
      <c r="BA68" s="15">
        <v>377300</v>
      </c>
      <c r="BB68" s="13">
        <v>1.47</v>
      </c>
    </row>
    <row r="69" spans="1:54" x14ac:dyDescent="0.25">
      <c r="A69" s="10" t="s">
        <v>144</v>
      </c>
      <c r="B69" s="10" t="s">
        <v>238</v>
      </c>
      <c r="C69" s="11">
        <v>2.19</v>
      </c>
      <c r="D69" s="17">
        <v>495.2</v>
      </c>
      <c r="E69" s="13">
        <v>365.95</v>
      </c>
      <c r="F69" s="13">
        <v>1.35</v>
      </c>
      <c r="G69" s="11">
        <v>4.38</v>
      </c>
      <c r="H69" s="13">
        <v>990.41</v>
      </c>
      <c r="I69" s="17">
        <v>731.9</v>
      </c>
      <c r="J69" s="13">
        <v>1.35</v>
      </c>
      <c r="K69" s="11">
        <v>32.85</v>
      </c>
      <c r="L69" s="16">
        <v>7428.04</v>
      </c>
      <c r="M69" s="16">
        <v>5489.24</v>
      </c>
      <c r="N69" s="13">
        <v>1.35</v>
      </c>
      <c r="O69" s="11">
        <v>39.42</v>
      </c>
      <c r="P69" s="16">
        <v>8913.65</v>
      </c>
      <c r="Q69" s="16">
        <v>6587.08</v>
      </c>
      <c r="R69" s="13">
        <v>1.35</v>
      </c>
      <c r="S69" s="11">
        <v>26.28</v>
      </c>
      <c r="T69" s="16">
        <v>5942.43</v>
      </c>
      <c r="U69" s="16">
        <v>4391.3900000000003</v>
      </c>
      <c r="V69" s="13">
        <v>1.35</v>
      </c>
      <c r="W69" s="11">
        <v>17.52</v>
      </c>
      <c r="X69" s="16">
        <v>3961.62</v>
      </c>
      <c r="Y69" s="16">
        <v>2927.59</v>
      </c>
      <c r="Z69" s="13">
        <v>1.35</v>
      </c>
      <c r="AA69" s="11">
        <v>14.6</v>
      </c>
      <c r="AB69" s="16">
        <v>3301.35</v>
      </c>
      <c r="AC69" s="16">
        <v>2439.66</v>
      </c>
      <c r="AD69" s="13">
        <v>1.35</v>
      </c>
      <c r="AE69" s="11">
        <v>1.46</v>
      </c>
      <c r="AF69" s="13">
        <v>330.14</v>
      </c>
      <c r="AG69" s="13">
        <v>243.97</v>
      </c>
      <c r="AH69" s="13">
        <v>1.35</v>
      </c>
      <c r="AI69" s="11">
        <v>1.46</v>
      </c>
      <c r="AJ69" s="13">
        <v>330.14</v>
      </c>
      <c r="AK69" s="13">
        <v>243.97</v>
      </c>
      <c r="AL69" s="13">
        <v>1.35</v>
      </c>
      <c r="AM69" s="11">
        <v>1.46</v>
      </c>
      <c r="AN69" s="13">
        <v>330.14</v>
      </c>
      <c r="AO69" s="13">
        <v>243.97</v>
      </c>
      <c r="AP69" s="13">
        <v>1.35</v>
      </c>
      <c r="AQ69" s="11">
        <v>2.19</v>
      </c>
      <c r="AR69" s="17">
        <v>495.2</v>
      </c>
      <c r="AS69" s="13">
        <v>365.95</v>
      </c>
      <c r="AT69" s="13">
        <v>1.35</v>
      </c>
      <c r="AU69" s="11">
        <v>2.19</v>
      </c>
      <c r="AV69" s="17">
        <v>495.2</v>
      </c>
      <c r="AW69" s="13">
        <v>365.95</v>
      </c>
      <c r="AX69" s="13">
        <v>1.35</v>
      </c>
      <c r="AY69" s="11">
        <v>146</v>
      </c>
      <c r="AZ69" s="16">
        <v>33013.519999999997</v>
      </c>
      <c r="BA69" s="16">
        <v>24396.62</v>
      </c>
      <c r="BB69" s="13">
        <v>1.35</v>
      </c>
    </row>
    <row r="70" spans="1:54" x14ac:dyDescent="0.25">
      <c r="A70" s="10" t="s">
        <v>144</v>
      </c>
      <c r="B70" s="10" t="s">
        <v>239</v>
      </c>
      <c r="C70" s="11">
        <v>10.5</v>
      </c>
      <c r="D70" s="16">
        <v>2609.15</v>
      </c>
      <c r="E70" s="16">
        <v>1928.12</v>
      </c>
      <c r="F70" s="13">
        <v>1.35</v>
      </c>
      <c r="G70" s="11">
        <v>21</v>
      </c>
      <c r="H70" s="16">
        <v>5218.29</v>
      </c>
      <c r="I70" s="16">
        <v>3856.23</v>
      </c>
      <c r="J70" s="13">
        <v>1.35</v>
      </c>
      <c r="K70" s="11">
        <v>157.5</v>
      </c>
      <c r="L70" s="16">
        <v>39137.18</v>
      </c>
      <c r="M70" s="16">
        <v>28921.73</v>
      </c>
      <c r="N70" s="13">
        <v>1.35</v>
      </c>
      <c r="O70" s="11">
        <v>189</v>
      </c>
      <c r="P70" s="16">
        <v>46964.61</v>
      </c>
      <c r="Q70" s="16">
        <v>34706.07</v>
      </c>
      <c r="R70" s="13">
        <v>1.35</v>
      </c>
      <c r="S70" s="11">
        <v>126</v>
      </c>
      <c r="T70" s="16">
        <v>31309.74</v>
      </c>
      <c r="U70" s="16">
        <v>23137.38</v>
      </c>
      <c r="V70" s="13">
        <v>1.35</v>
      </c>
      <c r="W70" s="11">
        <v>84</v>
      </c>
      <c r="X70" s="16">
        <v>20873.16</v>
      </c>
      <c r="Y70" s="16">
        <v>15424.92</v>
      </c>
      <c r="Z70" s="13">
        <v>1.35</v>
      </c>
      <c r="AA70" s="11">
        <v>70</v>
      </c>
      <c r="AB70" s="12">
        <v>17394.3</v>
      </c>
      <c r="AC70" s="12">
        <v>12854.1</v>
      </c>
      <c r="AD70" s="13">
        <v>1.35</v>
      </c>
      <c r="AE70" s="11">
        <v>7</v>
      </c>
      <c r="AF70" s="16">
        <v>1739.43</v>
      </c>
      <c r="AG70" s="16">
        <v>1285.4100000000001</v>
      </c>
      <c r="AH70" s="13">
        <v>1.35</v>
      </c>
      <c r="AI70" s="11">
        <v>7</v>
      </c>
      <c r="AJ70" s="16">
        <v>1739.43</v>
      </c>
      <c r="AK70" s="16">
        <v>1285.4100000000001</v>
      </c>
      <c r="AL70" s="13">
        <v>1.35</v>
      </c>
      <c r="AM70" s="11">
        <v>7</v>
      </c>
      <c r="AN70" s="16">
        <v>1739.43</v>
      </c>
      <c r="AO70" s="16">
        <v>1285.4100000000001</v>
      </c>
      <c r="AP70" s="13">
        <v>1.35</v>
      </c>
      <c r="AQ70" s="11">
        <v>10.5</v>
      </c>
      <c r="AR70" s="16">
        <v>2609.15</v>
      </c>
      <c r="AS70" s="16">
        <v>1928.12</v>
      </c>
      <c r="AT70" s="13">
        <v>1.35</v>
      </c>
      <c r="AU70" s="11">
        <v>10.5</v>
      </c>
      <c r="AV70" s="16">
        <v>2609.15</v>
      </c>
      <c r="AW70" s="16">
        <v>1928.12</v>
      </c>
      <c r="AX70" s="13">
        <v>1.35</v>
      </c>
      <c r="AY70" s="11">
        <v>700</v>
      </c>
      <c r="AZ70" s="16">
        <v>173943.02</v>
      </c>
      <c r="BA70" s="16">
        <v>128541.02</v>
      </c>
      <c r="BB70" s="13">
        <v>1.35</v>
      </c>
    </row>
    <row r="71" spans="1:54" x14ac:dyDescent="0.25">
      <c r="A71" s="10" t="s">
        <v>144</v>
      </c>
      <c r="B71" s="10" t="s">
        <v>248</v>
      </c>
      <c r="C71" s="14"/>
      <c r="D71" s="14"/>
      <c r="E71" s="14"/>
      <c r="F71" s="14"/>
      <c r="G71" s="14"/>
      <c r="H71" s="14"/>
      <c r="I71" s="14"/>
      <c r="J71" s="14"/>
      <c r="K71" s="11">
        <v>770</v>
      </c>
      <c r="L71" s="12">
        <v>197181.6</v>
      </c>
      <c r="M71" s="12">
        <v>145714.79999999999</v>
      </c>
      <c r="N71" s="13">
        <v>1.35</v>
      </c>
      <c r="O71" s="11">
        <v>830</v>
      </c>
      <c r="P71" s="12">
        <v>212546.4</v>
      </c>
      <c r="Q71" s="12">
        <v>157069.20000000001</v>
      </c>
      <c r="R71" s="13">
        <v>1.35</v>
      </c>
      <c r="S71" s="11">
        <v>560</v>
      </c>
      <c r="T71" s="12">
        <v>143404.79999999999</v>
      </c>
      <c r="U71" s="12">
        <v>105974.39999999999</v>
      </c>
      <c r="V71" s="13">
        <v>1.35</v>
      </c>
      <c r="W71" s="11">
        <v>400</v>
      </c>
      <c r="X71" s="15">
        <v>102432</v>
      </c>
      <c r="Y71" s="15">
        <v>75696</v>
      </c>
      <c r="Z71" s="13">
        <v>1.35</v>
      </c>
      <c r="AA71" s="11">
        <v>310</v>
      </c>
      <c r="AB71" s="12">
        <v>79384.800000000003</v>
      </c>
      <c r="AC71" s="12">
        <v>58664.4</v>
      </c>
      <c r="AD71" s="13">
        <v>1.35</v>
      </c>
      <c r="AE71" s="11">
        <v>30</v>
      </c>
      <c r="AF71" s="12">
        <v>7682.4</v>
      </c>
      <c r="AG71" s="12">
        <v>5677.2</v>
      </c>
      <c r="AH71" s="13">
        <v>1.35</v>
      </c>
      <c r="AI71" s="11">
        <v>30</v>
      </c>
      <c r="AJ71" s="12">
        <v>7682.4</v>
      </c>
      <c r="AK71" s="12">
        <v>5677.2</v>
      </c>
      <c r="AL71" s="13">
        <v>1.35</v>
      </c>
      <c r="AM71" s="11">
        <v>30</v>
      </c>
      <c r="AN71" s="12">
        <v>7682.4</v>
      </c>
      <c r="AO71" s="12">
        <v>5677.2</v>
      </c>
      <c r="AP71" s="13">
        <v>1.35</v>
      </c>
      <c r="AQ71" s="11">
        <v>45</v>
      </c>
      <c r="AR71" s="12">
        <v>11523.6</v>
      </c>
      <c r="AS71" s="12">
        <v>8515.7999999999993</v>
      </c>
      <c r="AT71" s="13">
        <v>1.35</v>
      </c>
      <c r="AU71" s="11">
        <v>45</v>
      </c>
      <c r="AV71" s="12">
        <v>11523.6</v>
      </c>
      <c r="AW71" s="12">
        <v>8515.7999999999993</v>
      </c>
      <c r="AX71" s="13">
        <v>1.35</v>
      </c>
      <c r="AY71" s="18">
        <v>3050</v>
      </c>
      <c r="AZ71" s="15">
        <v>781044</v>
      </c>
      <c r="BA71" s="15">
        <v>577182</v>
      </c>
      <c r="BB71" s="13">
        <v>1.35</v>
      </c>
    </row>
    <row r="72" spans="1:54" x14ac:dyDescent="0.25">
      <c r="A72" s="10" t="s">
        <v>144</v>
      </c>
      <c r="B72" s="10" t="s">
        <v>241</v>
      </c>
      <c r="C72" s="11">
        <v>75</v>
      </c>
      <c r="D72" s="15">
        <v>2439</v>
      </c>
      <c r="E72" s="16">
        <v>1727.25</v>
      </c>
      <c r="F72" s="13">
        <v>1.41</v>
      </c>
      <c r="G72" s="11">
        <v>75</v>
      </c>
      <c r="H72" s="15">
        <v>2439</v>
      </c>
      <c r="I72" s="16">
        <v>1727.25</v>
      </c>
      <c r="J72" s="13">
        <v>1.41</v>
      </c>
      <c r="K72" s="11">
        <v>75</v>
      </c>
      <c r="L72" s="15">
        <v>2439</v>
      </c>
      <c r="M72" s="16">
        <v>1727.25</v>
      </c>
      <c r="N72" s="13">
        <v>1.41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1">
        <v>150</v>
      </c>
      <c r="AF72" s="15">
        <v>4878</v>
      </c>
      <c r="AG72" s="12">
        <v>3454.5</v>
      </c>
      <c r="AH72" s="13">
        <v>1.41</v>
      </c>
      <c r="AI72" s="11">
        <v>450</v>
      </c>
      <c r="AJ72" s="15">
        <v>14634</v>
      </c>
      <c r="AK72" s="12">
        <v>10363.5</v>
      </c>
      <c r="AL72" s="13">
        <v>1.41</v>
      </c>
      <c r="AM72" s="11">
        <v>450</v>
      </c>
      <c r="AN72" s="15">
        <v>14634</v>
      </c>
      <c r="AO72" s="12">
        <v>10363.5</v>
      </c>
      <c r="AP72" s="13">
        <v>1.41</v>
      </c>
      <c r="AQ72" s="11">
        <v>150</v>
      </c>
      <c r="AR72" s="15">
        <v>4878</v>
      </c>
      <c r="AS72" s="12">
        <v>3454.5</v>
      </c>
      <c r="AT72" s="13">
        <v>1.41</v>
      </c>
      <c r="AU72" s="11">
        <v>75</v>
      </c>
      <c r="AV72" s="15">
        <v>2439</v>
      </c>
      <c r="AW72" s="16">
        <v>1727.25</v>
      </c>
      <c r="AX72" s="13">
        <v>1.41</v>
      </c>
      <c r="AY72" s="18">
        <v>1500</v>
      </c>
      <c r="AZ72" s="15">
        <v>48780</v>
      </c>
      <c r="BA72" s="15">
        <v>34545</v>
      </c>
      <c r="BB72" s="13">
        <v>1.41</v>
      </c>
    </row>
    <row r="73" spans="1:54" x14ac:dyDescent="0.25">
      <c r="A73" s="10" t="s">
        <v>144</v>
      </c>
      <c r="B73" s="10" t="s">
        <v>242</v>
      </c>
      <c r="C73" s="11">
        <v>2.4</v>
      </c>
      <c r="D73" s="16">
        <v>1481.14</v>
      </c>
      <c r="E73" s="16">
        <v>1006.97</v>
      </c>
      <c r="F73" s="13">
        <v>1.47</v>
      </c>
      <c r="G73" s="11">
        <v>4.2</v>
      </c>
      <c r="H73" s="16">
        <v>2591.9899999999998</v>
      </c>
      <c r="I73" s="16">
        <v>1762.19</v>
      </c>
      <c r="J73" s="13">
        <v>1.47</v>
      </c>
      <c r="K73" s="11">
        <v>27</v>
      </c>
      <c r="L73" s="16">
        <v>16662.78</v>
      </c>
      <c r="M73" s="16">
        <v>11328.39</v>
      </c>
      <c r="N73" s="13">
        <v>1.47</v>
      </c>
      <c r="O73" s="11">
        <v>32.4</v>
      </c>
      <c r="P73" s="16">
        <v>19995.34</v>
      </c>
      <c r="Q73" s="16">
        <v>13594.07</v>
      </c>
      <c r="R73" s="13">
        <v>1.47</v>
      </c>
      <c r="S73" s="11">
        <v>21.6</v>
      </c>
      <c r="T73" s="16">
        <v>13330.22</v>
      </c>
      <c r="U73" s="16">
        <v>9062.7099999999991</v>
      </c>
      <c r="V73" s="13">
        <v>1.47</v>
      </c>
      <c r="W73" s="11">
        <v>14.4</v>
      </c>
      <c r="X73" s="16">
        <v>8886.82</v>
      </c>
      <c r="Y73" s="16">
        <v>6041.81</v>
      </c>
      <c r="Z73" s="13">
        <v>1.47</v>
      </c>
      <c r="AA73" s="11">
        <v>12</v>
      </c>
      <c r="AB73" s="16">
        <v>7405.68</v>
      </c>
      <c r="AC73" s="16">
        <v>5034.84</v>
      </c>
      <c r="AD73" s="13">
        <v>1.47</v>
      </c>
      <c r="AE73" s="11">
        <v>1.2</v>
      </c>
      <c r="AF73" s="13">
        <v>740.57</v>
      </c>
      <c r="AG73" s="13">
        <v>503.48</v>
      </c>
      <c r="AH73" s="13">
        <v>1.47</v>
      </c>
      <c r="AI73" s="11">
        <v>1.2</v>
      </c>
      <c r="AJ73" s="13">
        <v>740.57</v>
      </c>
      <c r="AK73" s="13">
        <v>503.48</v>
      </c>
      <c r="AL73" s="13">
        <v>1.47</v>
      </c>
      <c r="AM73" s="11">
        <v>1.2</v>
      </c>
      <c r="AN73" s="13">
        <v>740.57</v>
      </c>
      <c r="AO73" s="13">
        <v>503.48</v>
      </c>
      <c r="AP73" s="13">
        <v>1.47</v>
      </c>
      <c r="AQ73" s="11">
        <v>1.2</v>
      </c>
      <c r="AR73" s="13">
        <v>740.57</v>
      </c>
      <c r="AS73" s="13">
        <v>503.48</v>
      </c>
      <c r="AT73" s="13">
        <v>1.47</v>
      </c>
      <c r="AU73" s="11">
        <v>1.2</v>
      </c>
      <c r="AV73" s="13">
        <v>740.57</v>
      </c>
      <c r="AW73" s="13">
        <v>503.48</v>
      </c>
      <c r="AX73" s="13">
        <v>1.47</v>
      </c>
      <c r="AY73" s="11">
        <v>120</v>
      </c>
      <c r="AZ73" s="16">
        <v>74056.820000000007</v>
      </c>
      <c r="BA73" s="16">
        <v>50348.38</v>
      </c>
      <c r="BB73" s="13">
        <v>1.47</v>
      </c>
    </row>
    <row r="74" spans="1:54" x14ac:dyDescent="0.25">
      <c r="A74" s="10" t="s">
        <v>144</v>
      </c>
      <c r="B74" s="10" t="s">
        <v>249</v>
      </c>
      <c r="C74" s="14"/>
      <c r="D74" s="14"/>
      <c r="E74" s="14"/>
      <c r="F74" s="14"/>
      <c r="G74" s="14"/>
      <c r="H74" s="14"/>
      <c r="I74" s="14"/>
      <c r="J74" s="14"/>
      <c r="K74" s="11">
        <v>500</v>
      </c>
      <c r="L74" s="15">
        <v>143795</v>
      </c>
      <c r="M74" s="15">
        <v>106260</v>
      </c>
      <c r="N74" s="13">
        <v>1.35</v>
      </c>
      <c r="O74" s="11">
        <v>540</v>
      </c>
      <c r="P74" s="12">
        <v>155298.6</v>
      </c>
      <c r="Q74" s="12">
        <v>114760.8</v>
      </c>
      <c r="R74" s="13">
        <v>1.35</v>
      </c>
      <c r="S74" s="11">
        <v>360</v>
      </c>
      <c r="T74" s="12">
        <v>103532.4</v>
      </c>
      <c r="U74" s="12">
        <v>76507.199999999997</v>
      </c>
      <c r="V74" s="13">
        <v>1.35</v>
      </c>
      <c r="W74" s="11">
        <v>230</v>
      </c>
      <c r="X74" s="12">
        <v>66145.7</v>
      </c>
      <c r="Y74" s="12">
        <v>48879.6</v>
      </c>
      <c r="Z74" s="13">
        <v>1.35</v>
      </c>
      <c r="AA74" s="11">
        <v>200</v>
      </c>
      <c r="AB74" s="15">
        <v>57518</v>
      </c>
      <c r="AC74" s="15">
        <v>42504</v>
      </c>
      <c r="AD74" s="13">
        <v>1.35</v>
      </c>
      <c r="AE74" s="11">
        <v>20</v>
      </c>
      <c r="AF74" s="12">
        <v>5751.8</v>
      </c>
      <c r="AG74" s="12">
        <v>4250.3999999999996</v>
      </c>
      <c r="AH74" s="13">
        <v>1.35</v>
      </c>
      <c r="AI74" s="11">
        <v>20</v>
      </c>
      <c r="AJ74" s="12">
        <v>5751.8</v>
      </c>
      <c r="AK74" s="12">
        <v>4250.3999999999996</v>
      </c>
      <c r="AL74" s="13">
        <v>1.35</v>
      </c>
      <c r="AM74" s="11">
        <v>20</v>
      </c>
      <c r="AN74" s="12">
        <v>5751.8</v>
      </c>
      <c r="AO74" s="12">
        <v>4250.3999999999996</v>
      </c>
      <c r="AP74" s="13">
        <v>1.35</v>
      </c>
      <c r="AQ74" s="11">
        <v>30</v>
      </c>
      <c r="AR74" s="12">
        <v>8627.7000000000007</v>
      </c>
      <c r="AS74" s="12">
        <v>6375.6</v>
      </c>
      <c r="AT74" s="13">
        <v>1.35</v>
      </c>
      <c r="AU74" s="11">
        <v>30</v>
      </c>
      <c r="AV74" s="12">
        <v>8627.7000000000007</v>
      </c>
      <c r="AW74" s="12">
        <v>6375.6</v>
      </c>
      <c r="AX74" s="13">
        <v>1.35</v>
      </c>
      <c r="AY74" s="18">
        <v>1950</v>
      </c>
      <c r="AZ74" s="12">
        <v>560800.5</v>
      </c>
      <c r="BA74" s="15">
        <v>414414</v>
      </c>
      <c r="BB74" s="13">
        <v>1.35</v>
      </c>
    </row>
    <row r="75" spans="1:54" x14ac:dyDescent="0.25">
      <c r="A75" s="10" t="s">
        <v>144</v>
      </c>
      <c r="B75" s="10" t="s">
        <v>243</v>
      </c>
      <c r="C75" s="14"/>
      <c r="D75" s="14"/>
      <c r="E75" s="14"/>
      <c r="F75" s="14"/>
      <c r="G75" s="14"/>
      <c r="H75" s="14"/>
      <c r="I75" s="14"/>
      <c r="J75" s="14"/>
      <c r="K75" s="11">
        <v>30</v>
      </c>
      <c r="L75" s="12">
        <v>1081.8</v>
      </c>
      <c r="M75" s="17">
        <v>766.2</v>
      </c>
      <c r="N75" s="13">
        <v>1.41</v>
      </c>
      <c r="O75" s="11">
        <v>105</v>
      </c>
      <c r="P75" s="12">
        <v>3786.3</v>
      </c>
      <c r="Q75" s="12">
        <v>2681.7</v>
      </c>
      <c r="R75" s="13">
        <v>1.41</v>
      </c>
      <c r="S75" s="11">
        <v>105</v>
      </c>
      <c r="T75" s="12">
        <v>3786.3</v>
      </c>
      <c r="U75" s="12">
        <v>2681.7</v>
      </c>
      <c r="V75" s="13">
        <v>1.41</v>
      </c>
      <c r="W75" s="11">
        <v>60</v>
      </c>
      <c r="X75" s="12">
        <v>2163.6</v>
      </c>
      <c r="Y75" s="12">
        <v>1532.4</v>
      </c>
      <c r="Z75" s="13">
        <v>1.41</v>
      </c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1">
        <v>300</v>
      </c>
      <c r="AZ75" s="15">
        <v>10818</v>
      </c>
      <c r="BA75" s="15">
        <v>7662</v>
      </c>
      <c r="BB75" s="13">
        <v>1.41</v>
      </c>
    </row>
    <row r="76" spans="1:54" x14ac:dyDescent="0.25">
      <c r="A76" s="10" t="s">
        <v>144</v>
      </c>
      <c r="B76" s="10" t="s">
        <v>244</v>
      </c>
      <c r="C76" s="11">
        <v>50</v>
      </c>
      <c r="D76" s="12">
        <v>1329.5</v>
      </c>
      <c r="E76" s="19">
        <v>869</v>
      </c>
      <c r="F76" s="13">
        <v>1.53</v>
      </c>
      <c r="G76" s="11">
        <v>50</v>
      </c>
      <c r="H76" s="12">
        <v>1329.5</v>
      </c>
      <c r="I76" s="19">
        <v>869</v>
      </c>
      <c r="J76" s="13">
        <v>1.53</v>
      </c>
      <c r="K76" s="11">
        <v>50</v>
      </c>
      <c r="L76" s="12">
        <v>1329.5</v>
      </c>
      <c r="M76" s="19">
        <v>869</v>
      </c>
      <c r="N76" s="13">
        <v>1.53</v>
      </c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1">
        <v>150</v>
      </c>
      <c r="AF76" s="12">
        <v>3988.5</v>
      </c>
      <c r="AG76" s="15">
        <v>2607</v>
      </c>
      <c r="AH76" s="13">
        <v>1.53</v>
      </c>
      <c r="AI76" s="11">
        <v>200</v>
      </c>
      <c r="AJ76" s="15">
        <v>5318</v>
      </c>
      <c r="AK76" s="15">
        <v>3476</v>
      </c>
      <c r="AL76" s="13">
        <v>1.53</v>
      </c>
      <c r="AM76" s="11">
        <v>150</v>
      </c>
      <c r="AN76" s="12">
        <v>3988.5</v>
      </c>
      <c r="AO76" s="15">
        <v>2607</v>
      </c>
      <c r="AP76" s="13">
        <v>1.53</v>
      </c>
      <c r="AQ76" s="11">
        <v>200</v>
      </c>
      <c r="AR76" s="15">
        <v>5318</v>
      </c>
      <c r="AS76" s="15">
        <v>3476</v>
      </c>
      <c r="AT76" s="13">
        <v>1.53</v>
      </c>
      <c r="AU76" s="11">
        <v>150</v>
      </c>
      <c r="AV76" s="12">
        <v>3988.5</v>
      </c>
      <c r="AW76" s="15">
        <v>2607</v>
      </c>
      <c r="AX76" s="13">
        <v>1.53</v>
      </c>
      <c r="AY76" s="18">
        <v>1000</v>
      </c>
      <c r="AZ76" s="15">
        <v>26590</v>
      </c>
      <c r="BA76" s="15">
        <v>17380</v>
      </c>
      <c r="BB76" s="13">
        <v>1.53</v>
      </c>
    </row>
    <row r="77" spans="1:54" x14ac:dyDescent="0.25">
      <c r="A77" s="10" t="s">
        <v>144</v>
      </c>
      <c r="B77" s="10" t="s">
        <v>245</v>
      </c>
      <c r="C77" s="14"/>
      <c r="D77" s="14"/>
      <c r="E77" s="14"/>
      <c r="F77" s="14"/>
      <c r="G77" s="14"/>
      <c r="H77" s="14"/>
      <c r="I77" s="14"/>
      <c r="J77" s="14"/>
      <c r="K77" s="11">
        <v>95</v>
      </c>
      <c r="L77" s="12">
        <v>1504.8</v>
      </c>
      <c r="M77" s="12">
        <v>1065.9000000000001</v>
      </c>
      <c r="N77" s="13">
        <v>1.41</v>
      </c>
      <c r="O77" s="11">
        <v>332.5</v>
      </c>
      <c r="P77" s="12">
        <v>5266.8</v>
      </c>
      <c r="Q77" s="16">
        <v>3730.65</v>
      </c>
      <c r="R77" s="13">
        <v>1.41</v>
      </c>
      <c r="S77" s="11">
        <v>332.5</v>
      </c>
      <c r="T77" s="12">
        <v>5266.8</v>
      </c>
      <c r="U77" s="16">
        <v>3730.65</v>
      </c>
      <c r="V77" s="13">
        <v>1.41</v>
      </c>
      <c r="W77" s="11">
        <v>190</v>
      </c>
      <c r="X77" s="12">
        <v>3009.6</v>
      </c>
      <c r="Y77" s="12">
        <v>2131.8000000000002</v>
      </c>
      <c r="Z77" s="13">
        <v>1.41</v>
      </c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1">
        <v>950</v>
      </c>
      <c r="AZ77" s="15">
        <v>15048</v>
      </c>
      <c r="BA77" s="15">
        <v>10659</v>
      </c>
      <c r="BB77" s="13">
        <v>1.41</v>
      </c>
    </row>
    <row r="78" spans="1:54" x14ac:dyDescent="0.25">
      <c r="A78" s="10" t="s">
        <v>144</v>
      </c>
      <c r="B78" s="10" t="s">
        <v>246</v>
      </c>
      <c r="C78" s="11">
        <v>2.97</v>
      </c>
      <c r="D78" s="13">
        <v>814.37</v>
      </c>
      <c r="E78" s="13">
        <v>601.80999999999995</v>
      </c>
      <c r="F78" s="13">
        <v>1.35</v>
      </c>
      <c r="G78" s="11">
        <v>5.94</v>
      </c>
      <c r="H78" s="16">
        <v>1628.75</v>
      </c>
      <c r="I78" s="16">
        <v>1203.6199999999999</v>
      </c>
      <c r="J78" s="13">
        <v>1.35</v>
      </c>
      <c r="K78" s="11">
        <v>44.55</v>
      </c>
      <c r="L78" s="16">
        <v>12215.61</v>
      </c>
      <c r="M78" s="16">
        <v>9027.17</v>
      </c>
      <c r="N78" s="13">
        <v>1.35</v>
      </c>
      <c r="O78" s="11">
        <v>53.46</v>
      </c>
      <c r="P78" s="16">
        <v>14658.73</v>
      </c>
      <c r="Q78" s="12">
        <v>10832.6</v>
      </c>
      <c r="R78" s="13">
        <v>1.35</v>
      </c>
      <c r="S78" s="11">
        <v>35.64</v>
      </c>
      <c r="T78" s="16">
        <v>9772.49</v>
      </c>
      <c r="U78" s="16">
        <v>7221.73</v>
      </c>
      <c r="V78" s="13">
        <v>1.35</v>
      </c>
      <c r="W78" s="11">
        <v>23.76</v>
      </c>
      <c r="X78" s="16">
        <v>6514.99</v>
      </c>
      <c r="Y78" s="16">
        <v>4814.49</v>
      </c>
      <c r="Z78" s="13">
        <v>1.35</v>
      </c>
      <c r="AA78" s="11">
        <v>19.8</v>
      </c>
      <c r="AB78" s="16">
        <v>5429.16</v>
      </c>
      <c r="AC78" s="16">
        <v>4012.07</v>
      </c>
      <c r="AD78" s="13">
        <v>1.35</v>
      </c>
      <c r="AE78" s="11">
        <v>1.98</v>
      </c>
      <c r="AF78" s="13">
        <v>542.91999999999996</v>
      </c>
      <c r="AG78" s="13">
        <v>401.21</v>
      </c>
      <c r="AH78" s="13">
        <v>1.35</v>
      </c>
      <c r="AI78" s="11">
        <v>1.98</v>
      </c>
      <c r="AJ78" s="13">
        <v>542.91999999999996</v>
      </c>
      <c r="AK78" s="13">
        <v>401.21</v>
      </c>
      <c r="AL78" s="13">
        <v>1.35</v>
      </c>
      <c r="AM78" s="11">
        <v>1.98</v>
      </c>
      <c r="AN78" s="13">
        <v>542.91999999999996</v>
      </c>
      <c r="AO78" s="13">
        <v>401.21</v>
      </c>
      <c r="AP78" s="13">
        <v>1.35</v>
      </c>
      <c r="AQ78" s="11">
        <v>2.97</v>
      </c>
      <c r="AR78" s="13">
        <v>814.37</v>
      </c>
      <c r="AS78" s="13">
        <v>601.80999999999995</v>
      </c>
      <c r="AT78" s="13">
        <v>1.35</v>
      </c>
      <c r="AU78" s="11">
        <v>2.97</v>
      </c>
      <c r="AV78" s="13">
        <v>814.37</v>
      </c>
      <c r="AW78" s="13">
        <v>601.80999999999995</v>
      </c>
      <c r="AX78" s="13">
        <v>1.35</v>
      </c>
      <c r="AY78" s="11">
        <v>198</v>
      </c>
      <c r="AZ78" s="12">
        <v>54291.6</v>
      </c>
      <c r="BA78" s="16">
        <v>40120.74</v>
      </c>
      <c r="BB78" s="13">
        <v>1.35</v>
      </c>
    </row>
    <row r="79" spans="1:54" x14ac:dyDescent="0.25">
      <c r="A79" s="10" t="s">
        <v>144</v>
      </c>
      <c r="B79" s="10" t="s">
        <v>247</v>
      </c>
      <c r="C79" s="11">
        <v>13.5</v>
      </c>
      <c r="D79" s="12">
        <v>2456.6</v>
      </c>
      <c r="E79" s="16">
        <v>1815.35</v>
      </c>
      <c r="F79" s="13">
        <v>1.35</v>
      </c>
      <c r="G79" s="11">
        <v>27</v>
      </c>
      <c r="H79" s="16">
        <v>4913.1899999999996</v>
      </c>
      <c r="I79" s="16">
        <v>3630.69</v>
      </c>
      <c r="J79" s="13">
        <v>1.35</v>
      </c>
      <c r="K79" s="11">
        <v>202.5</v>
      </c>
      <c r="L79" s="16">
        <v>36848.93</v>
      </c>
      <c r="M79" s="16">
        <v>27230.18</v>
      </c>
      <c r="N79" s="13">
        <v>1.35</v>
      </c>
      <c r="O79" s="11">
        <v>243</v>
      </c>
      <c r="P79" s="16">
        <v>44218.71</v>
      </c>
      <c r="Q79" s="16">
        <v>32676.21</v>
      </c>
      <c r="R79" s="13">
        <v>1.35</v>
      </c>
      <c r="S79" s="11">
        <v>162</v>
      </c>
      <c r="T79" s="16">
        <v>29479.14</v>
      </c>
      <c r="U79" s="16">
        <v>21784.14</v>
      </c>
      <c r="V79" s="13">
        <v>1.35</v>
      </c>
      <c r="W79" s="11">
        <v>108</v>
      </c>
      <c r="X79" s="16">
        <v>19652.759999999998</v>
      </c>
      <c r="Y79" s="16">
        <v>14522.76</v>
      </c>
      <c r="Z79" s="13">
        <v>1.35</v>
      </c>
      <c r="AA79" s="11">
        <v>90</v>
      </c>
      <c r="AB79" s="12">
        <v>16377.3</v>
      </c>
      <c r="AC79" s="12">
        <v>12102.3</v>
      </c>
      <c r="AD79" s="13">
        <v>1.35</v>
      </c>
      <c r="AE79" s="11">
        <v>9</v>
      </c>
      <c r="AF79" s="16">
        <v>1637.73</v>
      </c>
      <c r="AG79" s="16">
        <v>1210.23</v>
      </c>
      <c r="AH79" s="13">
        <v>1.35</v>
      </c>
      <c r="AI79" s="11">
        <v>9</v>
      </c>
      <c r="AJ79" s="16">
        <v>1637.73</v>
      </c>
      <c r="AK79" s="16">
        <v>1210.23</v>
      </c>
      <c r="AL79" s="13">
        <v>1.35</v>
      </c>
      <c r="AM79" s="11">
        <v>9</v>
      </c>
      <c r="AN79" s="16">
        <v>1637.73</v>
      </c>
      <c r="AO79" s="16">
        <v>1210.23</v>
      </c>
      <c r="AP79" s="13">
        <v>1.35</v>
      </c>
      <c r="AQ79" s="11">
        <v>13.5</v>
      </c>
      <c r="AR79" s="12">
        <v>2456.6</v>
      </c>
      <c r="AS79" s="16">
        <v>1815.35</v>
      </c>
      <c r="AT79" s="13">
        <v>1.35</v>
      </c>
      <c r="AU79" s="11">
        <v>13.5</v>
      </c>
      <c r="AV79" s="12">
        <v>2456.6</v>
      </c>
      <c r="AW79" s="16">
        <v>1815.35</v>
      </c>
      <c r="AX79" s="13">
        <v>1.35</v>
      </c>
      <c r="AY79" s="11">
        <v>900</v>
      </c>
      <c r="AZ79" s="16">
        <v>163773.01999999999</v>
      </c>
      <c r="BA79" s="16">
        <v>121023.02</v>
      </c>
      <c r="BB79" s="13">
        <v>1.35</v>
      </c>
    </row>
    <row r="80" spans="1:54" x14ac:dyDescent="0.25">
      <c r="A80" s="10" t="s">
        <v>144</v>
      </c>
      <c r="B80" s="10" t="s">
        <v>250</v>
      </c>
      <c r="C80" s="14"/>
      <c r="D80" s="14"/>
      <c r="E80" s="14"/>
      <c r="F80" s="14"/>
      <c r="G80" s="14"/>
      <c r="H80" s="14"/>
      <c r="I80" s="14"/>
      <c r="J80" s="14"/>
      <c r="K80" s="11">
        <v>30</v>
      </c>
      <c r="L80" s="12">
        <v>11549.1</v>
      </c>
      <c r="M80" s="12">
        <v>7549.8</v>
      </c>
      <c r="N80" s="13">
        <v>1.53</v>
      </c>
      <c r="O80" s="11">
        <v>30</v>
      </c>
      <c r="P80" s="12">
        <v>11549.1</v>
      </c>
      <c r="Q80" s="12">
        <v>7549.8</v>
      </c>
      <c r="R80" s="13">
        <v>1.53</v>
      </c>
      <c r="S80" s="11">
        <v>45</v>
      </c>
      <c r="T80" s="16">
        <v>17323.650000000001</v>
      </c>
      <c r="U80" s="12">
        <v>11324.7</v>
      </c>
      <c r="V80" s="13">
        <v>1.53</v>
      </c>
      <c r="W80" s="11">
        <v>37.5</v>
      </c>
      <c r="X80" s="16">
        <v>14436.38</v>
      </c>
      <c r="Y80" s="16">
        <v>9437.25</v>
      </c>
      <c r="Z80" s="13">
        <v>1.53</v>
      </c>
      <c r="AA80" s="11">
        <v>7.5</v>
      </c>
      <c r="AB80" s="16">
        <v>2887.28</v>
      </c>
      <c r="AC80" s="16">
        <v>1887.45</v>
      </c>
      <c r="AD80" s="13">
        <v>1.53</v>
      </c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1">
        <v>150</v>
      </c>
      <c r="AZ80" s="16">
        <v>57745.51</v>
      </c>
      <c r="BA80" s="15">
        <v>37749</v>
      </c>
      <c r="BB80" s="13">
        <v>1.53</v>
      </c>
    </row>
    <row r="81" spans="1:54" x14ac:dyDescent="0.25">
      <c r="A81" s="10" t="s">
        <v>144</v>
      </c>
      <c r="B81" s="10" t="s">
        <v>251</v>
      </c>
      <c r="C81" s="14"/>
      <c r="D81" s="14"/>
      <c r="E81" s="14"/>
      <c r="F81" s="14"/>
      <c r="G81" s="14"/>
      <c r="H81" s="14"/>
      <c r="I81" s="14"/>
      <c r="J81" s="14"/>
      <c r="K81" s="11">
        <v>40</v>
      </c>
      <c r="L81" s="12">
        <v>8093.6</v>
      </c>
      <c r="M81" s="12">
        <v>5502.4</v>
      </c>
      <c r="N81" s="13">
        <v>1.47</v>
      </c>
      <c r="O81" s="11">
        <v>36</v>
      </c>
      <c r="P81" s="16">
        <v>7284.24</v>
      </c>
      <c r="Q81" s="16">
        <v>4952.16</v>
      </c>
      <c r="R81" s="13">
        <v>1.47</v>
      </c>
      <c r="S81" s="11">
        <v>40</v>
      </c>
      <c r="T81" s="12">
        <v>8093.6</v>
      </c>
      <c r="U81" s="12">
        <v>5502.4</v>
      </c>
      <c r="V81" s="13">
        <v>1.47</v>
      </c>
      <c r="W81" s="11">
        <v>40</v>
      </c>
      <c r="X81" s="12">
        <v>8093.6</v>
      </c>
      <c r="Y81" s="12">
        <v>5502.4</v>
      </c>
      <c r="Z81" s="13">
        <v>1.47</v>
      </c>
      <c r="AA81" s="11">
        <v>40</v>
      </c>
      <c r="AB81" s="12">
        <v>8093.6</v>
      </c>
      <c r="AC81" s="12">
        <v>5502.4</v>
      </c>
      <c r="AD81" s="13">
        <v>1.47</v>
      </c>
      <c r="AE81" s="11">
        <v>40</v>
      </c>
      <c r="AF81" s="12">
        <v>8093.6</v>
      </c>
      <c r="AG81" s="12">
        <v>5502.4</v>
      </c>
      <c r="AH81" s="13">
        <v>1.47</v>
      </c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1">
        <v>236</v>
      </c>
      <c r="AZ81" s="16">
        <v>47752.24</v>
      </c>
      <c r="BA81" s="16">
        <v>32464.16</v>
      </c>
      <c r="BB81" s="13">
        <v>1.47</v>
      </c>
    </row>
    <row r="82" spans="1:54" x14ac:dyDescent="0.25">
      <c r="A82" s="10" t="s">
        <v>144</v>
      </c>
      <c r="B82" s="10" t="s">
        <v>252</v>
      </c>
      <c r="C82" s="14"/>
      <c r="D82" s="14"/>
      <c r="E82" s="14"/>
      <c r="F82" s="14"/>
      <c r="G82" s="14"/>
      <c r="H82" s="14"/>
      <c r="I82" s="14"/>
      <c r="J82" s="14"/>
      <c r="K82" s="11">
        <v>40</v>
      </c>
      <c r="L82" s="15">
        <v>8850</v>
      </c>
      <c r="M82" s="12">
        <v>6016.8</v>
      </c>
      <c r="N82" s="13">
        <v>1.47</v>
      </c>
      <c r="O82" s="11">
        <v>40</v>
      </c>
      <c r="P82" s="15">
        <v>8850</v>
      </c>
      <c r="Q82" s="12">
        <v>6016.8</v>
      </c>
      <c r="R82" s="13">
        <v>1.47</v>
      </c>
      <c r="S82" s="11">
        <v>50</v>
      </c>
      <c r="T82" s="12">
        <v>11062.5</v>
      </c>
      <c r="U82" s="15">
        <v>7521</v>
      </c>
      <c r="V82" s="13">
        <v>1.47</v>
      </c>
      <c r="W82" s="11">
        <v>40</v>
      </c>
      <c r="X82" s="15">
        <v>8850</v>
      </c>
      <c r="Y82" s="12">
        <v>6016.8</v>
      </c>
      <c r="Z82" s="13">
        <v>1.47</v>
      </c>
      <c r="AA82" s="11">
        <v>40</v>
      </c>
      <c r="AB82" s="15">
        <v>8850</v>
      </c>
      <c r="AC82" s="12">
        <v>6016.8</v>
      </c>
      <c r="AD82" s="13">
        <v>1.47</v>
      </c>
      <c r="AE82" s="11">
        <v>40</v>
      </c>
      <c r="AF82" s="15">
        <v>8850</v>
      </c>
      <c r="AG82" s="12">
        <v>6016.8</v>
      </c>
      <c r="AH82" s="13">
        <v>1.47</v>
      </c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1">
        <v>250</v>
      </c>
      <c r="AZ82" s="12">
        <v>55312.5</v>
      </c>
      <c r="BA82" s="15">
        <v>37605</v>
      </c>
      <c r="BB82" s="13">
        <v>1.47</v>
      </c>
    </row>
    <row r="83" spans="1:54" x14ac:dyDescent="0.25">
      <c r="A83" s="10" t="s">
        <v>144</v>
      </c>
      <c r="B83" s="10" t="s">
        <v>253</v>
      </c>
      <c r="C83" s="14"/>
      <c r="D83" s="14"/>
      <c r="E83" s="14"/>
      <c r="F83" s="14"/>
      <c r="G83" s="14"/>
      <c r="H83" s="14"/>
      <c r="I83" s="14"/>
      <c r="J83" s="14"/>
      <c r="K83" s="11">
        <v>20</v>
      </c>
      <c r="L83" s="12">
        <v>4128.8</v>
      </c>
      <c r="M83" s="15">
        <v>2699</v>
      </c>
      <c r="N83" s="13">
        <v>1.53</v>
      </c>
      <c r="O83" s="11">
        <v>20</v>
      </c>
      <c r="P83" s="12">
        <v>4128.8</v>
      </c>
      <c r="Q83" s="15">
        <v>2699</v>
      </c>
      <c r="R83" s="13">
        <v>1.53</v>
      </c>
      <c r="S83" s="11">
        <v>20</v>
      </c>
      <c r="T83" s="12">
        <v>4128.8</v>
      </c>
      <c r="U83" s="15">
        <v>2699</v>
      </c>
      <c r="V83" s="13">
        <v>1.53</v>
      </c>
      <c r="W83" s="11">
        <v>20</v>
      </c>
      <c r="X83" s="12">
        <v>4128.8</v>
      </c>
      <c r="Y83" s="15">
        <v>2699</v>
      </c>
      <c r="Z83" s="13">
        <v>1.53</v>
      </c>
      <c r="AA83" s="11">
        <v>30</v>
      </c>
      <c r="AB83" s="12">
        <v>6193.2</v>
      </c>
      <c r="AC83" s="12">
        <v>4048.5</v>
      </c>
      <c r="AD83" s="13">
        <v>1.53</v>
      </c>
      <c r="AE83" s="11">
        <v>30</v>
      </c>
      <c r="AF83" s="12">
        <v>6193.2</v>
      </c>
      <c r="AG83" s="12">
        <v>4048.5</v>
      </c>
      <c r="AH83" s="13">
        <v>1.53</v>
      </c>
      <c r="AI83" s="11">
        <v>30</v>
      </c>
      <c r="AJ83" s="12">
        <v>6193.2</v>
      </c>
      <c r="AK83" s="12">
        <v>4048.5</v>
      </c>
      <c r="AL83" s="13">
        <v>1.53</v>
      </c>
      <c r="AM83" s="11">
        <v>30</v>
      </c>
      <c r="AN83" s="12">
        <v>6193.2</v>
      </c>
      <c r="AO83" s="12">
        <v>4048.5</v>
      </c>
      <c r="AP83" s="13">
        <v>1.53</v>
      </c>
      <c r="AQ83" s="14"/>
      <c r="AR83" s="14"/>
      <c r="AS83" s="14"/>
      <c r="AT83" s="14"/>
      <c r="AU83" s="14"/>
      <c r="AV83" s="14"/>
      <c r="AW83" s="14"/>
      <c r="AX83" s="14"/>
      <c r="AY83" s="11">
        <v>200</v>
      </c>
      <c r="AZ83" s="15">
        <v>41288</v>
      </c>
      <c r="BA83" s="15">
        <v>26990</v>
      </c>
      <c r="BB83" s="13">
        <v>1.53</v>
      </c>
    </row>
    <row r="84" spans="1:54" x14ac:dyDescent="0.25">
      <c r="A84" s="10" t="s">
        <v>144</v>
      </c>
      <c r="B84" s="10" t="s">
        <v>254</v>
      </c>
      <c r="C84" s="11">
        <v>100</v>
      </c>
      <c r="D84" s="15">
        <v>1915</v>
      </c>
      <c r="E84" s="15">
        <v>1356</v>
      </c>
      <c r="F84" s="13">
        <v>1.41</v>
      </c>
      <c r="G84" s="11">
        <v>100</v>
      </c>
      <c r="H84" s="15">
        <v>1915</v>
      </c>
      <c r="I84" s="15">
        <v>1356</v>
      </c>
      <c r="J84" s="13">
        <v>1.41</v>
      </c>
      <c r="K84" s="11">
        <v>100</v>
      </c>
      <c r="L84" s="15">
        <v>1915</v>
      </c>
      <c r="M84" s="15">
        <v>1356</v>
      </c>
      <c r="N84" s="13">
        <v>1.41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1">
        <v>300</v>
      </c>
      <c r="AF84" s="15">
        <v>5745</v>
      </c>
      <c r="AG84" s="15">
        <v>4068</v>
      </c>
      <c r="AH84" s="13">
        <v>1.41</v>
      </c>
      <c r="AI84" s="11">
        <v>400</v>
      </c>
      <c r="AJ84" s="15">
        <v>7660</v>
      </c>
      <c r="AK84" s="15">
        <v>5424</v>
      </c>
      <c r="AL84" s="13">
        <v>1.41</v>
      </c>
      <c r="AM84" s="11">
        <v>300</v>
      </c>
      <c r="AN84" s="15">
        <v>5745</v>
      </c>
      <c r="AO84" s="15">
        <v>4068</v>
      </c>
      <c r="AP84" s="13">
        <v>1.41</v>
      </c>
      <c r="AQ84" s="11">
        <v>400</v>
      </c>
      <c r="AR84" s="15">
        <v>7660</v>
      </c>
      <c r="AS84" s="15">
        <v>5424</v>
      </c>
      <c r="AT84" s="13">
        <v>1.41</v>
      </c>
      <c r="AU84" s="11">
        <v>300</v>
      </c>
      <c r="AV84" s="15">
        <v>5745</v>
      </c>
      <c r="AW84" s="15">
        <v>4068</v>
      </c>
      <c r="AX84" s="13">
        <v>1.41</v>
      </c>
      <c r="AY84" s="18">
        <v>2000</v>
      </c>
      <c r="AZ84" s="15">
        <v>38300</v>
      </c>
      <c r="BA84" s="15">
        <v>27120</v>
      </c>
      <c r="BB84" s="13">
        <v>1.41</v>
      </c>
    </row>
    <row r="85" spans="1:54" x14ac:dyDescent="0.25">
      <c r="A85" s="10" t="s">
        <v>144</v>
      </c>
      <c r="B85" s="10" t="s">
        <v>255</v>
      </c>
      <c r="C85" s="14"/>
      <c r="D85" s="14"/>
      <c r="E85" s="14"/>
      <c r="F85" s="14"/>
      <c r="G85" s="14"/>
      <c r="H85" s="14"/>
      <c r="I85" s="14"/>
      <c r="J85" s="14"/>
      <c r="K85" s="11">
        <v>16</v>
      </c>
      <c r="L85" s="16">
        <v>1944.64</v>
      </c>
      <c r="M85" s="16">
        <v>1377.12</v>
      </c>
      <c r="N85" s="13">
        <v>1.41</v>
      </c>
      <c r="O85" s="11">
        <v>16</v>
      </c>
      <c r="P85" s="16">
        <v>1944.64</v>
      </c>
      <c r="Q85" s="16">
        <v>1377.12</v>
      </c>
      <c r="R85" s="13">
        <v>1.41</v>
      </c>
      <c r="S85" s="11">
        <v>16</v>
      </c>
      <c r="T85" s="16">
        <v>1944.64</v>
      </c>
      <c r="U85" s="16">
        <v>1377.12</v>
      </c>
      <c r="V85" s="13">
        <v>1.41</v>
      </c>
      <c r="W85" s="11">
        <v>16</v>
      </c>
      <c r="X85" s="16">
        <v>1944.64</v>
      </c>
      <c r="Y85" s="16">
        <v>1377.12</v>
      </c>
      <c r="Z85" s="13">
        <v>1.41</v>
      </c>
      <c r="AA85" s="11">
        <v>24</v>
      </c>
      <c r="AB85" s="16">
        <v>2916.96</v>
      </c>
      <c r="AC85" s="16">
        <v>2065.6799999999998</v>
      </c>
      <c r="AD85" s="13">
        <v>1.41</v>
      </c>
      <c r="AE85" s="11">
        <v>24</v>
      </c>
      <c r="AF85" s="16">
        <v>2916.96</v>
      </c>
      <c r="AG85" s="16">
        <v>2065.6799999999998</v>
      </c>
      <c r="AH85" s="13">
        <v>1.41</v>
      </c>
      <c r="AI85" s="11">
        <v>24</v>
      </c>
      <c r="AJ85" s="16">
        <v>2916.96</v>
      </c>
      <c r="AK85" s="16">
        <v>2065.6799999999998</v>
      </c>
      <c r="AL85" s="13">
        <v>1.41</v>
      </c>
      <c r="AM85" s="11">
        <v>24</v>
      </c>
      <c r="AN85" s="16">
        <v>2916.96</v>
      </c>
      <c r="AO85" s="16">
        <v>2065.6799999999998</v>
      </c>
      <c r="AP85" s="13">
        <v>1.41</v>
      </c>
      <c r="AQ85" s="14"/>
      <c r="AR85" s="14"/>
      <c r="AS85" s="14"/>
      <c r="AT85" s="14"/>
      <c r="AU85" s="14"/>
      <c r="AV85" s="14"/>
      <c r="AW85" s="14"/>
      <c r="AX85" s="14"/>
      <c r="AY85" s="11">
        <v>160</v>
      </c>
      <c r="AZ85" s="12">
        <v>19446.400000000001</v>
      </c>
      <c r="BA85" s="12">
        <v>13771.2</v>
      </c>
      <c r="BB85" s="13">
        <v>1.41</v>
      </c>
    </row>
    <row r="86" spans="1:54" x14ac:dyDescent="0.25">
      <c r="A86" s="10" t="s">
        <v>144</v>
      </c>
      <c r="B86" s="10" t="s">
        <v>256</v>
      </c>
      <c r="C86" s="11">
        <v>15</v>
      </c>
      <c r="D86" s="12">
        <v>2387.1</v>
      </c>
      <c r="E86" s="15">
        <v>1764</v>
      </c>
      <c r="F86" s="13">
        <v>1.35</v>
      </c>
      <c r="G86" s="11">
        <v>30</v>
      </c>
      <c r="H86" s="12">
        <v>4774.2</v>
      </c>
      <c r="I86" s="15">
        <v>3528</v>
      </c>
      <c r="J86" s="13">
        <v>1.35</v>
      </c>
      <c r="K86" s="11">
        <v>225</v>
      </c>
      <c r="L86" s="12">
        <v>35806.5</v>
      </c>
      <c r="M86" s="15">
        <v>26460</v>
      </c>
      <c r="N86" s="13">
        <v>1.35</v>
      </c>
      <c r="O86" s="11">
        <v>270</v>
      </c>
      <c r="P86" s="12">
        <v>42967.8</v>
      </c>
      <c r="Q86" s="15">
        <v>31752</v>
      </c>
      <c r="R86" s="13">
        <v>1.35</v>
      </c>
      <c r="S86" s="11">
        <v>180</v>
      </c>
      <c r="T86" s="12">
        <v>28645.200000000001</v>
      </c>
      <c r="U86" s="15">
        <v>21168</v>
      </c>
      <c r="V86" s="13">
        <v>1.35</v>
      </c>
      <c r="W86" s="11">
        <v>120</v>
      </c>
      <c r="X86" s="12">
        <v>19096.8</v>
      </c>
      <c r="Y86" s="15">
        <v>14112</v>
      </c>
      <c r="Z86" s="13">
        <v>1.35</v>
      </c>
      <c r="AA86" s="11">
        <v>100</v>
      </c>
      <c r="AB86" s="15">
        <v>15914</v>
      </c>
      <c r="AC86" s="15">
        <v>11760</v>
      </c>
      <c r="AD86" s="13">
        <v>1.35</v>
      </c>
      <c r="AE86" s="11">
        <v>10</v>
      </c>
      <c r="AF86" s="12">
        <v>1591.4</v>
      </c>
      <c r="AG86" s="15">
        <v>1176</v>
      </c>
      <c r="AH86" s="13">
        <v>1.35</v>
      </c>
      <c r="AI86" s="11">
        <v>10</v>
      </c>
      <c r="AJ86" s="12">
        <v>1591.4</v>
      </c>
      <c r="AK86" s="15">
        <v>1176</v>
      </c>
      <c r="AL86" s="13">
        <v>1.35</v>
      </c>
      <c r="AM86" s="11">
        <v>10</v>
      </c>
      <c r="AN86" s="12">
        <v>1591.4</v>
      </c>
      <c r="AO86" s="15">
        <v>1176</v>
      </c>
      <c r="AP86" s="13">
        <v>1.35</v>
      </c>
      <c r="AQ86" s="11">
        <v>15</v>
      </c>
      <c r="AR86" s="12">
        <v>2387.1</v>
      </c>
      <c r="AS86" s="15">
        <v>1764</v>
      </c>
      <c r="AT86" s="13">
        <v>1.35</v>
      </c>
      <c r="AU86" s="11">
        <v>15</v>
      </c>
      <c r="AV86" s="12">
        <v>2387.1</v>
      </c>
      <c r="AW86" s="15">
        <v>1764</v>
      </c>
      <c r="AX86" s="13">
        <v>1.35</v>
      </c>
      <c r="AY86" s="18">
        <v>1000</v>
      </c>
      <c r="AZ86" s="15">
        <v>159140</v>
      </c>
      <c r="BA86" s="15">
        <v>117600</v>
      </c>
      <c r="BB86" s="13">
        <v>1.35</v>
      </c>
    </row>
    <row r="87" spans="1:54" x14ac:dyDescent="0.25">
      <c r="A87" s="10" t="s">
        <v>144</v>
      </c>
      <c r="B87" s="10" t="s">
        <v>257</v>
      </c>
      <c r="C87" s="11">
        <v>50</v>
      </c>
      <c r="D87" s="12">
        <v>1423.5</v>
      </c>
      <c r="E87" s="15">
        <v>1008</v>
      </c>
      <c r="F87" s="13">
        <v>1.41</v>
      </c>
      <c r="G87" s="11">
        <v>50</v>
      </c>
      <c r="H87" s="12">
        <v>1423.5</v>
      </c>
      <c r="I87" s="15">
        <v>1008</v>
      </c>
      <c r="J87" s="13">
        <v>1.41</v>
      </c>
      <c r="K87" s="11">
        <v>50</v>
      </c>
      <c r="L87" s="12">
        <v>1423.5</v>
      </c>
      <c r="M87" s="15">
        <v>1008</v>
      </c>
      <c r="N87" s="13">
        <v>1.41</v>
      </c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1">
        <v>100</v>
      </c>
      <c r="AF87" s="15">
        <v>2847</v>
      </c>
      <c r="AG87" s="15">
        <v>2016</v>
      </c>
      <c r="AH87" s="13">
        <v>1.41</v>
      </c>
      <c r="AI87" s="11">
        <v>300</v>
      </c>
      <c r="AJ87" s="15">
        <v>8541</v>
      </c>
      <c r="AK87" s="15">
        <v>6048</v>
      </c>
      <c r="AL87" s="13">
        <v>1.41</v>
      </c>
      <c r="AM87" s="11">
        <v>300</v>
      </c>
      <c r="AN87" s="15">
        <v>8541</v>
      </c>
      <c r="AO87" s="15">
        <v>6048</v>
      </c>
      <c r="AP87" s="13">
        <v>1.41</v>
      </c>
      <c r="AQ87" s="11">
        <v>100</v>
      </c>
      <c r="AR87" s="15">
        <v>2847</v>
      </c>
      <c r="AS87" s="15">
        <v>2016</v>
      </c>
      <c r="AT87" s="13">
        <v>1.41</v>
      </c>
      <c r="AU87" s="11">
        <v>50</v>
      </c>
      <c r="AV87" s="12">
        <v>1423.5</v>
      </c>
      <c r="AW87" s="15">
        <v>1008</v>
      </c>
      <c r="AX87" s="13">
        <v>1.41</v>
      </c>
      <c r="AY87" s="18">
        <v>1000</v>
      </c>
      <c r="AZ87" s="15">
        <v>28470</v>
      </c>
      <c r="BA87" s="15">
        <v>20160</v>
      </c>
      <c r="BB87" s="13">
        <v>1.41</v>
      </c>
    </row>
    <row r="88" spans="1:54" x14ac:dyDescent="0.25">
      <c r="A88" s="10" t="s">
        <v>144</v>
      </c>
      <c r="B88" s="10" t="s">
        <v>272</v>
      </c>
      <c r="C88" s="14"/>
      <c r="D88" s="14"/>
      <c r="E88" s="14"/>
      <c r="F88" s="14"/>
      <c r="G88" s="14"/>
      <c r="H88" s="14"/>
      <c r="I88" s="14"/>
      <c r="J88" s="14"/>
      <c r="K88" s="11">
        <v>290</v>
      </c>
      <c r="L88" s="12">
        <v>4651.6000000000004</v>
      </c>
      <c r="M88" s="12">
        <v>2975.4</v>
      </c>
      <c r="N88" s="13">
        <v>1.56</v>
      </c>
      <c r="O88" s="11">
        <v>870</v>
      </c>
      <c r="P88" s="12">
        <v>13954.8</v>
      </c>
      <c r="Q88" s="12">
        <v>8926.2000000000007</v>
      </c>
      <c r="R88" s="13">
        <v>1.56</v>
      </c>
      <c r="S88" s="18">
        <v>1450</v>
      </c>
      <c r="T88" s="15">
        <v>23258</v>
      </c>
      <c r="U88" s="15">
        <v>14877</v>
      </c>
      <c r="V88" s="13">
        <v>1.56</v>
      </c>
      <c r="W88" s="18">
        <v>2320</v>
      </c>
      <c r="X88" s="12">
        <v>37212.800000000003</v>
      </c>
      <c r="Y88" s="12">
        <v>23803.200000000001</v>
      </c>
      <c r="Z88" s="13">
        <v>1.56</v>
      </c>
      <c r="AA88" s="11">
        <v>870</v>
      </c>
      <c r="AB88" s="12">
        <v>13954.8</v>
      </c>
      <c r="AC88" s="12">
        <v>8926.2000000000007</v>
      </c>
      <c r="AD88" s="13">
        <v>1.56</v>
      </c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8">
        <v>5800</v>
      </c>
      <c r="AZ88" s="15">
        <v>93032</v>
      </c>
      <c r="BA88" s="15">
        <v>59508</v>
      </c>
      <c r="BB88" s="13">
        <v>1.56</v>
      </c>
    </row>
    <row r="89" spans="1:54" x14ac:dyDescent="0.25">
      <c r="A89" s="10" t="s">
        <v>144</v>
      </c>
      <c r="B89" s="10" t="s">
        <v>258</v>
      </c>
      <c r="C89" s="11">
        <v>250</v>
      </c>
      <c r="D89" s="15">
        <v>2370</v>
      </c>
      <c r="E89" s="12">
        <v>1917.5</v>
      </c>
      <c r="F89" s="13">
        <v>1.24</v>
      </c>
      <c r="G89" s="11">
        <v>250</v>
      </c>
      <c r="H89" s="15">
        <v>2370</v>
      </c>
      <c r="I89" s="12">
        <v>1917.5</v>
      </c>
      <c r="J89" s="13">
        <v>1.24</v>
      </c>
      <c r="K89" s="11">
        <v>250</v>
      </c>
      <c r="L89" s="15">
        <v>2370</v>
      </c>
      <c r="M89" s="12">
        <v>1917.5</v>
      </c>
      <c r="N89" s="13">
        <v>1.24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1">
        <v>500</v>
      </c>
      <c r="AF89" s="15">
        <v>4740</v>
      </c>
      <c r="AG89" s="15">
        <v>3835</v>
      </c>
      <c r="AH89" s="13">
        <v>1.24</v>
      </c>
      <c r="AI89" s="18">
        <v>1500</v>
      </c>
      <c r="AJ89" s="15">
        <v>14220</v>
      </c>
      <c r="AK89" s="15">
        <v>11505</v>
      </c>
      <c r="AL89" s="13">
        <v>1.24</v>
      </c>
      <c r="AM89" s="18">
        <v>1500</v>
      </c>
      <c r="AN89" s="15">
        <v>14220</v>
      </c>
      <c r="AO89" s="15">
        <v>11505</v>
      </c>
      <c r="AP89" s="13">
        <v>1.24</v>
      </c>
      <c r="AQ89" s="11">
        <v>500</v>
      </c>
      <c r="AR89" s="15">
        <v>4740</v>
      </c>
      <c r="AS89" s="15">
        <v>3835</v>
      </c>
      <c r="AT89" s="13">
        <v>1.24</v>
      </c>
      <c r="AU89" s="11">
        <v>250</v>
      </c>
      <c r="AV89" s="15">
        <v>2370</v>
      </c>
      <c r="AW89" s="12">
        <v>1917.5</v>
      </c>
      <c r="AX89" s="13">
        <v>1.24</v>
      </c>
      <c r="AY89" s="18">
        <v>5000</v>
      </c>
      <c r="AZ89" s="15">
        <v>47400</v>
      </c>
      <c r="BA89" s="15">
        <v>38350</v>
      </c>
      <c r="BB89" s="13">
        <v>1.24</v>
      </c>
    </row>
    <row r="90" spans="1:54" x14ac:dyDescent="0.25">
      <c r="A90" s="10" t="s">
        <v>144</v>
      </c>
      <c r="B90" s="10" t="s">
        <v>259</v>
      </c>
      <c r="C90" s="11">
        <v>100</v>
      </c>
      <c r="D90" s="15">
        <v>1785</v>
      </c>
      <c r="E90" s="15">
        <v>1264</v>
      </c>
      <c r="F90" s="13">
        <v>1.41</v>
      </c>
      <c r="G90" s="11">
        <v>100</v>
      </c>
      <c r="H90" s="15">
        <v>1785</v>
      </c>
      <c r="I90" s="15">
        <v>1264</v>
      </c>
      <c r="J90" s="13">
        <v>1.41</v>
      </c>
      <c r="K90" s="11">
        <v>100</v>
      </c>
      <c r="L90" s="15">
        <v>1785</v>
      </c>
      <c r="M90" s="15">
        <v>1264</v>
      </c>
      <c r="N90" s="13">
        <v>1.41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1">
        <v>300</v>
      </c>
      <c r="AF90" s="15">
        <v>5355</v>
      </c>
      <c r="AG90" s="15">
        <v>3792</v>
      </c>
      <c r="AH90" s="13">
        <v>1.41</v>
      </c>
      <c r="AI90" s="11">
        <v>300</v>
      </c>
      <c r="AJ90" s="15">
        <v>5355</v>
      </c>
      <c r="AK90" s="15">
        <v>3792</v>
      </c>
      <c r="AL90" s="13">
        <v>1.41</v>
      </c>
      <c r="AM90" s="11">
        <v>400</v>
      </c>
      <c r="AN90" s="15">
        <v>7140</v>
      </c>
      <c r="AO90" s="15">
        <v>5056</v>
      </c>
      <c r="AP90" s="13">
        <v>1.41</v>
      </c>
      <c r="AQ90" s="11">
        <v>300</v>
      </c>
      <c r="AR90" s="15">
        <v>5355</v>
      </c>
      <c r="AS90" s="15">
        <v>3792</v>
      </c>
      <c r="AT90" s="13">
        <v>1.41</v>
      </c>
      <c r="AU90" s="11">
        <v>400</v>
      </c>
      <c r="AV90" s="15">
        <v>7140</v>
      </c>
      <c r="AW90" s="15">
        <v>5056</v>
      </c>
      <c r="AX90" s="13">
        <v>1.41</v>
      </c>
      <c r="AY90" s="18">
        <v>2000</v>
      </c>
      <c r="AZ90" s="15">
        <v>35700</v>
      </c>
      <c r="BA90" s="15">
        <v>25280</v>
      </c>
      <c r="BB90" s="13">
        <v>1.41</v>
      </c>
    </row>
    <row r="91" spans="1:54" x14ac:dyDescent="0.25">
      <c r="A91" s="10" t="s">
        <v>144</v>
      </c>
      <c r="B91" s="10" t="s">
        <v>260</v>
      </c>
      <c r="C91" s="11">
        <v>5</v>
      </c>
      <c r="D91" s="12">
        <v>2372.6999999999998</v>
      </c>
      <c r="E91" s="12">
        <v>1613.1</v>
      </c>
      <c r="F91" s="13">
        <v>1.47</v>
      </c>
      <c r="G91" s="11">
        <v>8.75</v>
      </c>
      <c r="H91" s="16">
        <v>4152.2299999999996</v>
      </c>
      <c r="I91" s="16">
        <v>2822.93</v>
      </c>
      <c r="J91" s="13">
        <v>1.47</v>
      </c>
      <c r="K91" s="11">
        <v>56.25</v>
      </c>
      <c r="L91" s="16">
        <v>26692.880000000001</v>
      </c>
      <c r="M91" s="16">
        <v>18147.38</v>
      </c>
      <c r="N91" s="13">
        <v>1.47</v>
      </c>
      <c r="O91" s="11">
        <v>67.5</v>
      </c>
      <c r="P91" s="16">
        <v>32031.45</v>
      </c>
      <c r="Q91" s="16">
        <v>21776.85</v>
      </c>
      <c r="R91" s="13">
        <v>1.47</v>
      </c>
      <c r="S91" s="11">
        <v>45</v>
      </c>
      <c r="T91" s="12">
        <v>21354.3</v>
      </c>
      <c r="U91" s="12">
        <v>14517.9</v>
      </c>
      <c r="V91" s="13">
        <v>1.47</v>
      </c>
      <c r="W91" s="11">
        <v>30</v>
      </c>
      <c r="X91" s="12">
        <v>14236.2</v>
      </c>
      <c r="Y91" s="12">
        <v>9678.6</v>
      </c>
      <c r="Z91" s="13">
        <v>1.47</v>
      </c>
      <c r="AA91" s="11">
        <v>25</v>
      </c>
      <c r="AB91" s="12">
        <v>11863.5</v>
      </c>
      <c r="AC91" s="12">
        <v>8065.5</v>
      </c>
      <c r="AD91" s="13">
        <v>1.47</v>
      </c>
      <c r="AE91" s="11">
        <v>2.5</v>
      </c>
      <c r="AF91" s="16">
        <v>1186.3499999999999</v>
      </c>
      <c r="AG91" s="13">
        <v>806.55</v>
      </c>
      <c r="AH91" s="13">
        <v>1.47</v>
      </c>
      <c r="AI91" s="11">
        <v>2.5</v>
      </c>
      <c r="AJ91" s="16">
        <v>1186.3499999999999</v>
      </c>
      <c r="AK91" s="13">
        <v>806.55</v>
      </c>
      <c r="AL91" s="13">
        <v>1.47</v>
      </c>
      <c r="AM91" s="11">
        <v>2.5</v>
      </c>
      <c r="AN91" s="16">
        <v>1186.3499999999999</v>
      </c>
      <c r="AO91" s="13">
        <v>806.55</v>
      </c>
      <c r="AP91" s="13">
        <v>1.47</v>
      </c>
      <c r="AQ91" s="11">
        <v>2.5</v>
      </c>
      <c r="AR91" s="16">
        <v>1186.3499999999999</v>
      </c>
      <c r="AS91" s="13">
        <v>806.55</v>
      </c>
      <c r="AT91" s="13">
        <v>1.47</v>
      </c>
      <c r="AU91" s="11">
        <v>2.5</v>
      </c>
      <c r="AV91" s="16">
        <v>1186.3499999999999</v>
      </c>
      <c r="AW91" s="13">
        <v>806.55</v>
      </c>
      <c r="AX91" s="13">
        <v>1.47</v>
      </c>
      <c r="AY91" s="11">
        <v>250</v>
      </c>
      <c r="AZ91" s="16">
        <v>118635.01</v>
      </c>
      <c r="BA91" s="16">
        <v>80655.009999999995</v>
      </c>
      <c r="BB91" s="13">
        <v>1.47</v>
      </c>
    </row>
    <row r="92" spans="1:54" x14ac:dyDescent="0.25">
      <c r="A92" s="10" t="s">
        <v>144</v>
      </c>
      <c r="B92" s="10" t="s">
        <v>261</v>
      </c>
      <c r="C92" s="11">
        <v>0.45</v>
      </c>
      <c r="D92" s="13">
        <v>210.99</v>
      </c>
      <c r="E92" s="13">
        <v>155.91999999999999</v>
      </c>
      <c r="F92" s="13">
        <v>1.35</v>
      </c>
      <c r="G92" s="11">
        <v>0.9</v>
      </c>
      <c r="H92" s="13">
        <v>421.97</v>
      </c>
      <c r="I92" s="13">
        <v>311.83</v>
      </c>
      <c r="J92" s="13">
        <v>1.35</v>
      </c>
      <c r="K92" s="11">
        <v>6.75</v>
      </c>
      <c r="L92" s="16">
        <v>3164.81</v>
      </c>
      <c r="M92" s="16">
        <v>2338.7399999999998</v>
      </c>
      <c r="N92" s="13">
        <v>1.35</v>
      </c>
      <c r="O92" s="11">
        <v>8.1</v>
      </c>
      <c r="P92" s="16">
        <v>3797.77</v>
      </c>
      <c r="Q92" s="16">
        <v>2806.49</v>
      </c>
      <c r="R92" s="13">
        <v>1.35</v>
      </c>
      <c r="S92" s="11">
        <v>5.4</v>
      </c>
      <c r="T92" s="16">
        <v>2531.84</v>
      </c>
      <c r="U92" s="16">
        <v>1870.99</v>
      </c>
      <c r="V92" s="13">
        <v>1.35</v>
      </c>
      <c r="W92" s="11">
        <v>3.6</v>
      </c>
      <c r="X92" s="12">
        <v>1687.9</v>
      </c>
      <c r="Y92" s="16">
        <v>1247.33</v>
      </c>
      <c r="Z92" s="13">
        <v>1.35</v>
      </c>
      <c r="AA92" s="11">
        <v>3</v>
      </c>
      <c r="AB92" s="16">
        <v>1406.58</v>
      </c>
      <c r="AC92" s="16">
        <v>1039.44</v>
      </c>
      <c r="AD92" s="13">
        <v>1.35</v>
      </c>
      <c r="AE92" s="11">
        <v>0.3</v>
      </c>
      <c r="AF92" s="13">
        <v>140.66</v>
      </c>
      <c r="AG92" s="13">
        <v>103.94</v>
      </c>
      <c r="AH92" s="13">
        <v>1.35</v>
      </c>
      <c r="AI92" s="11">
        <v>0.3</v>
      </c>
      <c r="AJ92" s="13">
        <v>140.66</v>
      </c>
      <c r="AK92" s="13">
        <v>103.94</v>
      </c>
      <c r="AL92" s="13">
        <v>1.35</v>
      </c>
      <c r="AM92" s="11">
        <v>0.3</v>
      </c>
      <c r="AN92" s="13">
        <v>140.66</v>
      </c>
      <c r="AO92" s="13">
        <v>103.94</v>
      </c>
      <c r="AP92" s="13">
        <v>1.35</v>
      </c>
      <c r="AQ92" s="11">
        <v>0.45</v>
      </c>
      <c r="AR92" s="13">
        <v>210.99</v>
      </c>
      <c r="AS92" s="13">
        <v>155.91999999999999</v>
      </c>
      <c r="AT92" s="13">
        <v>1.35</v>
      </c>
      <c r="AU92" s="11">
        <v>0.45</v>
      </c>
      <c r="AV92" s="13">
        <v>210.99</v>
      </c>
      <c r="AW92" s="13">
        <v>155.91999999999999</v>
      </c>
      <c r="AX92" s="13">
        <v>1.35</v>
      </c>
      <c r="AY92" s="11">
        <v>30</v>
      </c>
      <c r="AZ92" s="16">
        <v>14065.82</v>
      </c>
      <c r="BA92" s="12">
        <v>10394.4</v>
      </c>
      <c r="BB92" s="13">
        <v>1.35</v>
      </c>
    </row>
    <row r="93" spans="1:54" x14ac:dyDescent="0.25">
      <c r="A93" s="10" t="s">
        <v>144</v>
      </c>
      <c r="B93" s="10" t="s">
        <v>262</v>
      </c>
      <c r="C93" s="14"/>
      <c r="D93" s="14"/>
      <c r="E93" s="14"/>
      <c r="F93" s="14"/>
      <c r="G93" s="14"/>
      <c r="H93" s="14"/>
      <c r="I93" s="14"/>
      <c r="J93" s="14"/>
      <c r="K93" s="11">
        <v>280</v>
      </c>
      <c r="L93" s="12">
        <v>58368.800000000003</v>
      </c>
      <c r="M93" s="12">
        <v>38155.599999999999</v>
      </c>
      <c r="N93" s="13">
        <v>1.53</v>
      </c>
      <c r="O93" s="11">
        <v>280</v>
      </c>
      <c r="P93" s="12">
        <v>58368.800000000003</v>
      </c>
      <c r="Q93" s="12">
        <v>38155.599999999999</v>
      </c>
      <c r="R93" s="13">
        <v>1.53</v>
      </c>
      <c r="S93" s="11">
        <v>420</v>
      </c>
      <c r="T93" s="12">
        <v>87553.2</v>
      </c>
      <c r="U93" s="12">
        <v>57233.4</v>
      </c>
      <c r="V93" s="13">
        <v>1.53</v>
      </c>
      <c r="W93" s="11">
        <v>350</v>
      </c>
      <c r="X93" s="15">
        <v>72961</v>
      </c>
      <c r="Y93" s="12">
        <v>47694.5</v>
      </c>
      <c r="Z93" s="13">
        <v>1.53</v>
      </c>
      <c r="AA93" s="11">
        <v>70</v>
      </c>
      <c r="AB93" s="12">
        <v>14592.2</v>
      </c>
      <c r="AC93" s="12">
        <v>9538.9</v>
      </c>
      <c r="AD93" s="13">
        <v>1.53</v>
      </c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8">
        <v>1400</v>
      </c>
      <c r="AZ93" s="15">
        <v>291844</v>
      </c>
      <c r="BA93" s="15">
        <v>190778</v>
      </c>
      <c r="BB93" s="13">
        <v>1.53</v>
      </c>
    </row>
    <row r="94" spans="1:54" x14ac:dyDescent="0.25">
      <c r="A94" s="10" t="s">
        <v>144</v>
      </c>
      <c r="B94" s="10" t="s">
        <v>263</v>
      </c>
      <c r="C94" s="11">
        <v>75</v>
      </c>
      <c r="D94" s="12">
        <v>2197.5</v>
      </c>
      <c r="E94" s="16">
        <v>1556.25</v>
      </c>
      <c r="F94" s="13">
        <v>1.41</v>
      </c>
      <c r="G94" s="11">
        <v>75</v>
      </c>
      <c r="H94" s="12">
        <v>2197.5</v>
      </c>
      <c r="I94" s="16">
        <v>1556.25</v>
      </c>
      <c r="J94" s="13">
        <v>1.41</v>
      </c>
      <c r="K94" s="11">
        <v>75</v>
      </c>
      <c r="L94" s="12">
        <v>2197.5</v>
      </c>
      <c r="M94" s="16">
        <v>1556.25</v>
      </c>
      <c r="N94" s="13">
        <v>1.41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1">
        <v>225</v>
      </c>
      <c r="AF94" s="12">
        <v>6592.5</v>
      </c>
      <c r="AG94" s="16">
        <v>4668.75</v>
      </c>
      <c r="AH94" s="13">
        <v>1.41</v>
      </c>
      <c r="AI94" s="11">
        <v>225</v>
      </c>
      <c r="AJ94" s="12">
        <v>6592.5</v>
      </c>
      <c r="AK94" s="16">
        <v>4668.75</v>
      </c>
      <c r="AL94" s="13">
        <v>1.41</v>
      </c>
      <c r="AM94" s="11">
        <v>300</v>
      </c>
      <c r="AN94" s="15">
        <v>8790</v>
      </c>
      <c r="AO94" s="15">
        <v>6225</v>
      </c>
      <c r="AP94" s="13">
        <v>1.41</v>
      </c>
      <c r="AQ94" s="11">
        <v>225</v>
      </c>
      <c r="AR94" s="12">
        <v>6592.5</v>
      </c>
      <c r="AS94" s="16">
        <v>4668.75</v>
      </c>
      <c r="AT94" s="13">
        <v>1.41</v>
      </c>
      <c r="AU94" s="11">
        <v>300</v>
      </c>
      <c r="AV94" s="15">
        <v>8790</v>
      </c>
      <c r="AW94" s="15">
        <v>6225</v>
      </c>
      <c r="AX94" s="13">
        <v>1.41</v>
      </c>
      <c r="AY94" s="18">
        <v>1500</v>
      </c>
      <c r="AZ94" s="15">
        <v>43950</v>
      </c>
      <c r="BA94" s="15">
        <v>31125</v>
      </c>
      <c r="BB94" s="13">
        <v>1.41</v>
      </c>
    </row>
    <row r="95" spans="1:54" x14ac:dyDescent="0.25">
      <c r="A95" s="10" t="s">
        <v>144</v>
      </c>
      <c r="B95" s="10" t="s">
        <v>264</v>
      </c>
      <c r="C95" s="11">
        <v>40</v>
      </c>
      <c r="D95" s="12">
        <v>3634.4</v>
      </c>
      <c r="E95" s="12">
        <v>2470.8000000000002</v>
      </c>
      <c r="F95" s="13">
        <v>1.47</v>
      </c>
      <c r="G95" s="11">
        <v>40</v>
      </c>
      <c r="H95" s="12">
        <v>3634.4</v>
      </c>
      <c r="I95" s="12">
        <v>2470.8000000000002</v>
      </c>
      <c r="J95" s="13">
        <v>1.47</v>
      </c>
      <c r="K95" s="11">
        <v>40</v>
      </c>
      <c r="L95" s="12">
        <v>3634.4</v>
      </c>
      <c r="M95" s="12">
        <v>2470.8000000000002</v>
      </c>
      <c r="N95" s="13">
        <v>1.47</v>
      </c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1">
        <v>80</v>
      </c>
      <c r="AF95" s="12">
        <v>7268.8</v>
      </c>
      <c r="AG95" s="12">
        <v>4941.6000000000004</v>
      </c>
      <c r="AH95" s="13">
        <v>1.47</v>
      </c>
      <c r="AI95" s="11">
        <v>240</v>
      </c>
      <c r="AJ95" s="12">
        <v>21806.400000000001</v>
      </c>
      <c r="AK95" s="12">
        <v>14824.8</v>
      </c>
      <c r="AL95" s="13">
        <v>1.47</v>
      </c>
      <c r="AM95" s="11">
        <v>240</v>
      </c>
      <c r="AN95" s="12">
        <v>21806.400000000001</v>
      </c>
      <c r="AO95" s="12">
        <v>14824.8</v>
      </c>
      <c r="AP95" s="13">
        <v>1.47</v>
      </c>
      <c r="AQ95" s="11">
        <v>80</v>
      </c>
      <c r="AR95" s="12">
        <v>7268.8</v>
      </c>
      <c r="AS95" s="12">
        <v>4941.6000000000004</v>
      </c>
      <c r="AT95" s="13">
        <v>1.47</v>
      </c>
      <c r="AU95" s="11">
        <v>40</v>
      </c>
      <c r="AV95" s="12">
        <v>3634.4</v>
      </c>
      <c r="AW95" s="12">
        <v>2470.8000000000002</v>
      </c>
      <c r="AX95" s="13">
        <v>1.47</v>
      </c>
      <c r="AY95" s="11">
        <v>800</v>
      </c>
      <c r="AZ95" s="15">
        <v>72688</v>
      </c>
      <c r="BA95" s="15">
        <v>49416</v>
      </c>
      <c r="BB95" s="13">
        <v>1.47</v>
      </c>
    </row>
    <row r="96" spans="1:54" x14ac:dyDescent="0.25">
      <c r="A96" s="10" t="s">
        <v>144</v>
      </c>
      <c r="B96" s="10" t="s">
        <v>265</v>
      </c>
      <c r="C96" s="11">
        <v>5.22</v>
      </c>
      <c r="D96" s="16">
        <v>1266.8900000000001</v>
      </c>
      <c r="E96" s="13">
        <v>936.21</v>
      </c>
      <c r="F96" s="13">
        <v>1.35</v>
      </c>
      <c r="G96" s="11">
        <v>10.44</v>
      </c>
      <c r="H96" s="16">
        <v>2533.79</v>
      </c>
      <c r="I96" s="16">
        <v>1872.41</v>
      </c>
      <c r="J96" s="13">
        <v>1.35</v>
      </c>
      <c r="K96" s="11">
        <v>78.3</v>
      </c>
      <c r="L96" s="16">
        <v>19003.41</v>
      </c>
      <c r="M96" s="16">
        <v>14043.11</v>
      </c>
      <c r="N96" s="13">
        <v>1.35</v>
      </c>
      <c r="O96" s="11">
        <v>93.96</v>
      </c>
      <c r="P96" s="16">
        <v>22804.09</v>
      </c>
      <c r="Q96" s="16">
        <v>16851.73</v>
      </c>
      <c r="R96" s="13">
        <v>1.35</v>
      </c>
      <c r="S96" s="11">
        <v>62.64</v>
      </c>
      <c r="T96" s="16">
        <v>15202.73</v>
      </c>
      <c r="U96" s="16">
        <v>11234.48</v>
      </c>
      <c r="V96" s="13">
        <v>1.35</v>
      </c>
      <c r="W96" s="11">
        <v>41.76</v>
      </c>
      <c r="X96" s="16">
        <v>10135.15</v>
      </c>
      <c r="Y96" s="16">
        <v>7489.66</v>
      </c>
      <c r="Z96" s="13">
        <v>1.35</v>
      </c>
      <c r="AA96" s="11">
        <v>34.799999999999997</v>
      </c>
      <c r="AB96" s="16">
        <v>8445.9599999999991</v>
      </c>
      <c r="AC96" s="16">
        <v>6241.38</v>
      </c>
      <c r="AD96" s="13">
        <v>1.35</v>
      </c>
      <c r="AE96" s="11">
        <v>3.48</v>
      </c>
      <c r="AF96" s="17">
        <v>844.6</v>
      </c>
      <c r="AG96" s="13">
        <v>624.14</v>
      </c>
      <c r="AH96" s="13">
        <v>1.35</v>
      </c>
      <c r="AI96" s="11">
        <v>3.48</v>
      </c>
      <c r="AJ96" s="17">
        <v>844.6</v>
      </c>
      <c r="AK96" s="13">
        <v>624.14</v>
      </c>
      <c r="AL96" s="13">
        <v>1.35</v>
      </c>
      <c r="AM96" s="11">
        <v>3.48</v>
      </c>
      <c r="AN96" s="17">
        <v>844.6</v>
      </c>
      <c r="AO96" s="13">
        <v>624.14</v>
      </c>
      <c r="AP96" s="13">
        <v>1.35</v>
      </c>
      <c r="AQ96" s="11">
        <v>5.22</v>
      </c>
      <c r="AR96" s="16">
        <v>1266.8900000000001</v>
      </c>
      <c r="AS96" s="13">
        <v>936.21</v>
      </c>
      <c r="AT96" s="13">
        <v>1.35</v>
      </c>
      <c r="AU96" s="11">
        <v>5.22</v>
      </c>
      <c r="AV96" s="16">
        <v>1266.8900000000001</v>
      </c>
      <c r="AW96" s="13">
        <v>936.21</v>
      </c>
      <c r="AX96" s="13">
        <v>1.35</v>
      </c>
      <c r="AY96" s="11">
        <v>348</v>
      </c>
      <c r="AZ96" s="12">
        <v>84459.6</v>
      </c>
      <c r="BA96" s="16">
        <v>62413.82</v>
      </c>
      <c r="BB96" s="13">
        <v>1.35</v>
      </c>
    </row>
    <row r="97" spans="1:54" x14ac:dyDescent="0.25">
      <c r="A97" s="10" t="s">
        <v>144</v>
      </c>
      <c r="B97" s="10" t="s">
        <v>266</v>
      </c>
      <c r="C97" s="14"/>
      <c r="D97" s="14"/>
      <c r="E97" s="14"/>
      <c r="F97" s="14"/>
      <c r="G97" s="14"/>
      <c r="H97" s="14"/>
      <c r="I97" s="14"/>
      <c r="J97" s="14"/>
      <c r="K97" s="11">
        <v>40</v>
      </c>
      <c r="L97" s="15">
        <v>1712</v>
      </c>
      <c r="M97" s="12">
        <v>1212.4000000000001</v>
      </c>
      <c r="N97" s="13">
        <v>1.41</v>
      </c>
      <c r="O97" s="11">
        <v>140</v>
      </c>
      <c r="P97" s="15">
        <v>5992</v>
      </c>
      <c r="Q97" s="12">
        <v>4243.3999999999996</v>
      </c>
      <c r="R97" s="13">
        <v>1.41</v>
      </c>
      <c r="S97" s="11">
        <v>140</v>
      </c>
      <c r="T97" s="15">
        <v>5992</v>
      </c>
      <c r="U97" s="12">
        <v>4243.3999999999996</v>
      </c>
      <c r="V97" s="13">
        <v>1.41</v>
      </c>
      <c r="W97" s="11">
        <v>80</v>
      </c>
      <c r="X97" s="15">
        <v>3424</v>
      </c>
      <c r="Y97" s="12">
        <v>2424.8000000000002</v>
      </c>
      <c r="Z97" s="13">
        <v>1.41</v>
      </c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1">
        <v>400</v>
      </c>
      <c r="AZ97" s="15">
        <v>17120</v>
      </c>
      <c r="BA97" s="15">
        <v>12124</v>
      </c>
      <c r="BB97" s="13">
        <v>1.41</v>
      </c>
    </row>
    <row r="98" spans="1:54" x14ac:dyDescent="0.25">
      <c r="A98" s="10" t="s">
        <v>144</v>
      </c>
      <c r="B98" s="10" t="s">
        <v>267</v>
      </c>
      <c r="C98" s="11">
        <v>100</v>
      </c>
      <c r="D98" s="15">
        <v>4143</v>
      </c>
      <c r="E98" s="15">
        <v>2934</v>
      </c>
      <c r="F98" s="13">
        <v>1.41</v>
      </c>
      <c r="G98" s="11">
        <v>100</v>
      </c>
      <c r="H98" s="15">
        <v>4143</v>
      </c>
      <c r="I98" s="15">
        <v>2934</v>
      </c>
      <c r="J98" s="13">
        <v>1.41</v>
      </c>
      <c r="K98" s="11">
        <v>100</v>
      </c>
      <c r="L98" s="15">
        <v>4143</v>
      </c>
      <c r="M98" s="15">
        <v>2934</v>
      </c>
      <c r="N98" s="13">
        <v>1.41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1">
        <v>300</v>
      </c>
      <c r="AF98" s="15">
        <v>12429</v>
      </c>
      <c r="AG98" s="15">
        <v>8802</v>
      </c>
      <c r="AH98" s="13">
        <v>1.41</v>
      </c>
      <c r="AI98" s="11">
        <v>400</v>
      </c>
      <c r="AJ98" s="15">
        <v>16572</v>
      </c>
      <c r="AK98" s="15">
        <v>11736</v>
      </c>
      <c r="AL98" s="13">
        <v>1.41</v>
      </c>
      <c r="AM98" s="11">
        <v>300</v>
      </c>
      <c r="AN98" s="15">
        <v>12429</v>
      </c>
      <c r="AO98" s="15">
        <v>8802</v>
      </c>
      <c r="AP98" s="13">
        <v>1.41</v>
      </c>
      <c r="AQ98" s="11">
        <v>400</v>
      </c>
      <c r="AR98" s="15">
        <v>16572</v>
      </c>
      <c r="AS98" s="15">
        <v>11736</v>
      </c>
      <c r="AT98" s="13">
        <v>1.41</v>
      </c>
      <c r="AU98" s="11">
        <v>300</v>
      </c>
      <c r="AV98" s="15">
        <v>12429</v>
      </c>
      <c r="AW98" s="15">
        <v>8802</v>
      </c>
      <c r="AX98" s="13">
        <v>1.41</v>
      </c>
      <c r="AY98" s="18">
        <v>2000</v>
      </c>
      <c r="AZ98" s="15">
        <v>82860</v>
      </c>
      <c r="BA98" s="15">
        <v>58680</v>
      </c>
      <c r="BB98" s="13">
        <v>1.41</v>
      </c>
    </row>
    <row r="99" spans="1:54" x14ac:dyDescent="0.25">
      <c r="A99" s="10" t="s">
        <v>144</v>
      </c>
      <c r="B99" s="10" t="s">
        <v>269</v>
      </c>
      <c r="C99" s="11">
        <v>15</v>
      </c>
      <c r="D99" s="12">
        <v>2621.7</v>
      </c>
      <c r="E99" s="12">
        <v>1937.4</v>
      </c>
      <c r="F99" s="13">
        <v>1.35</v>
      </c>
      <c r="G99" s="11">
        <v>30</v>
      </c>
      <c r="H99" s="12">
        <v>5243.4</v>
      </c>
      <c r="I99" s="12">
        <v>3874.8</v>
      </c>
      <c r="J99" s="13">
        <v>1.35</v>
      </c>
      <c r="K99" s="11">
        <v>225</v>
      </c>
      <c r="L99" s="12">
        <v>39325.5</v>
      </c>
      <c r="M99" s="15">
        <v>29061</v>
      </c>
      <c r="N99" s="13">
        <v>1.35</v>
      </c>
      <c r="O99" s="11">
        <v>270</v>
      </c>
      <c r="P99" s="12">
        <v>47190.6</v>
      </c>
      <c r="Q99" s="12">
        <v>34873.199999999997</v>
      </c>
      <c r="R99" s="13">
        <v>1.35</v>
      </c>
      <c r="S99" s="11">
        <v>180</v>
      </c>
      <c r="T99" s="12">
        <v>31460.400000000001</v>
      </c>
      <c r="U99" s="12">
        <v>23248.799999999999</v>
      </c>
      <c r="V99" s="13">
        <v>1.35</v>
      </c>
      <c r="W99" s="11">
        <v>120</v>
      </c>
      <c r="X99" s="12">
        <v>20973.599999999999</v>
      </c>
      <c r="Y99" s="12">
        <v>15499.2</v>
      </c>
      <c r="Z99" s="13">
        <v>1.35</v>
      </c>
      <c r="AA99" s="11">
        <v>100</v>
      </c>
      <c r="AB99" s="15">
        <v>17478</v>
      </c>
      <c r="AC99" s="15">
        <v>12916</v>
      </c>
      <c r="AD99" s="13">
        <v>1.35</v>
      </c>
      <c r="AE99" s="11">
        <v>10</v>
      </c>
      <c r="AF99" s="12">
        <v>1747.8</v>
      </c>
      <c r="AG99" s="12">
        <v>1291.5999999999999</v>
      </c>
      <c r="AH99" s="13">
        <v>1.35</v>
      </c>
      <c r="AI99" s="11">
        <v>10</v>
      </c>
      <c r="AJ99" s="12">
        <v>1747.8</v>
      </c>
      <c r="AK99" s="12">
        <v>1291.5999999999999</v>
      </c>
      <c r="AL99" s="13">
        <v>1.35</v>
      </c>
      <c r="AM99" s="11">
        <v>10</v>
      </c>
      <c r="AN99" s="12">
        <v>1747.8</v>
      </c>
      <c r="AO99" s="12">
        <v>1291.5999999999999</v>
      </c>
      <c r="AP99" s="13">
        <v>1.35</v>
      </c>
      <c r="AQ99" s="11">
        <v>15</v>
      </c>
      <c r="AR99" s="12">
        <v>2621.7</v>
      </c>
      <c r="AS99" s="12">
        <v>1937.4</v>
      </c>
      <c r="AT99" s="13">
        <v>1.35</v>
      </c>
      <c r="AU99" s="11">
        <v>15</v>
      </c>
      <c r="AV99" s="12">
        <v>2621.7</v>
      </c>
      <c r="AW99" s="12">
        <v>1937.4</v>
      </c>
      <c r="AX99" s="13">
        <v>1.35</v>
      </c>
      <c r="AY99" s="18">
        <v>1000</v>
      </c>
      <c r="AZ99" s="15">
        <v>174780</v>
      </c>
      <c r="BA99" s="15">
        <v>129160</v>
      </c>
      <c r="BB99" s="13">
        <v>1.35</v>
      </c>
    </row>
    <row r="100" spans="1:54" x14ac:dyDescent="0.25">
      <c r="A100" s="10" t="s">
        <v>144</v>
      </c>
      <c r="B100" s="10" t="s">
        <v>277</v>
      </c>
      <c r="C100" s="14"/>
      <c r="D100" s="14"/>
      <c r="E100" s="14"/>
      <c r="F100" s="14"/>
      <c r="G100" s="14"/>
      <c r="H100" s="14"/>
      <c r="I100" s="14"/>
      <c r="J100" s="14"/>
      <c r="K100" s="11">
        <v>80</v>
      </c>
      <c r="L100" s="12">
        <v>1490.4</v>
      </c>
      <c r="M100" s="12">
        <v>1055.2</v>
      </c>
      <c r="N100" s="13">
        <v>1.41</v>
      </c>
      <c r="O100" s="11">
        <v>280</v>
      </c>
      <c r="P100" s="12">
        <v>5216.3999999999996</v>
      </c>
      <c r="Q100" s="12">
        <v>3693.2</v>
      </c>
      <c r="R100" s="13">
        <v>1.41</v>
      </c>
      <c r="S100" s="11">
        <v>280</v>
      </c>
      <c r="T100" s="12">
        <v>5216.3999999999996</v>
      </c>
      <c r="U100" s="12">
        <v>3693.2</v>
      </c>
      <c r="V100" s="13">
        <v>1.41</v>
      </c>
      <c r="W100" s="11">
        <v>160</v>
      </c>
      <c r="X100" s="12">
        <v>2980.8</v>
      </c>
      <c r="Y100" s="12">
        <v>2110.4</v>
      </c>
      <c r="Z100" s="13">
        <v>1.41</v>
      </c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1">
        <v>800</v>
      </c>
      <c r="AZ100" s="15">
        <v>14904</v>
      </c>
      <c r="BA100" s="15">
        <v>10552</v>
      </c>
      <c r="BB100" s="13">
        <v>1.41</v>
      </c>
    </row>
    <row r="101" spans="1:54" x14ac:dyDescent="0.25">
      <c r="A101" s="10" t="s">
        <v>144</v>
      </c>
      <c r="B101" s="10" t="s">
        <v>268</v>
      </c>
      <c r="C101" s="11">
        <v>0.6</v>
      </c>
      <c r="D101" s="17">
        <v>357.1</v>
      </c>
      <c r="E101" s="13">
        <v>263.89</v>
      </c>
      <c r="F101" s="13">
        <v>1.35</v>
      </c>
      <c r="G101" s="11">
        <v>1.2</v>
      </c>
      <c r="H101" s="13">
        <v>714.19</v>
      </c>
      <c r="I101" s="13">
        <v>527.77</v>
      </c>
      <c r="J101" s="13">
        <v>1.35</v>
      </c>
      <c r="K101" s="11">
        <v>9</v>
      </c>
      <c r="L101" s="16">
        <v>5356.44</v>
      </c>
      <c r="M101" s="16">
        <v>3958.29</v>
      </c>
      <c r="N101" s="13">
        <v>1.35</v>
      </c>
      <c r="O101" s="11">
        <v>10.8</v>
      </c>
      <c r="P101" s="16">
        <v>6427.73</v>
      </c>
      <c r="Q101" s="16">
        <v>4749.95</v>
      </c>
      <c r="R101" s="13">
        <v>1.35</v>
      </c>
      <c r="S101" s="11">
        <v>7.2</v>
      </c>
      <c r="T101" s="16">
        <v>4285.1499999999996</v>
      </c>
      <c r="U101" s="16">
        <v>3166.63</v>
      </c>
      <c r="V101" s="13">
        <v>1.35</v>
      </c>
      <c r="W101" s="11">
        <v>4.8</v>
      </c>
      <c r="X101" s="16">
        <v>2856.77</v>
      </c>
      <c r="Y101" s="16">
        <v>2111.09</v>
      </c>
      <c r="Z101" s="13">
        <v>1.35</v>
      </c>
      <c r="AA101" s="11">
        <v>4</v>
      </c>
      <c r="AB101" s="16">
        <v>2380.64</v>
      </c>
      <c r="AC101" s="16">
        <v>1759.24</v>
      </c>
      <c r="AD101" s="13">
        <v>1.35</v>
      </c>
      <c r="AE101" s="11">
        <v>0.4</v>
      </c>
      <c r="AF101" s="13">
        <v>238.06</v>
      </c>
      <c r="AG101" s="13">
        <v>175.92</v>
      </c>
      <c r="AH101" s="13">
        <v>1.35</v>
      </c>
      <c r="AI101" s="11">
        <v>0.4</v>
      </c>
      <c r="AJ101" s="13">
        <v>238.06</v>
      </c>
      <c r="AK101" s="13">
        <v>175.92</v>
      </c>
      <c r="AL101" s="13">
        <v>1.35</v>
      </c>
      <c r="AM101" s="11">
        <v>0.4</v>
      </c>
      <c r="AN101" s="13">
        <v>238.06</v>
      </c>
      <c r="AO101" s="13">
        <v>175.92</v>
      </c>
      <c r="AP101" s="13">
        <v>1.35</v>
      </c>
      <c r="AQ101" s="11">
        <v>0.6</v>
      </c>
      <c r="AR101" s="17">
        <v>357.1</v>
      </c>
      <c r="AS101" s="13">
        <v>263.89</v>
      </c>
      <c r="AT101" s="13">
        <v>1.35</v>
      </c>
      <c r="AU101" s="11">
        <v>0.6</v>
      </c>
      <c r="AV101" s="17">
        <v>357.1</v>
      </c>
      <c r="AW101" s="13">
        <v>263.89</v>
      </c>
      <c r="AX101" s="13">
        <v>1.35</v>
      </c>
      <c r="AY101" s="11">
        <v>40</v>
      </c>
      <c r="AZ101" s="12">
        <v>23806.400000000001</v>
      </c>
      <c r="BA101" s="12">
        <v>17592.400000000001</v>
      </c>
      <c r="BB101" s="13">
        <v>1.35</v>
      </c>
    </row>
    <row r="102" spans="1:54" x14ac:dyDescent="0.25">
      <c r="A102" s="10" t="s">
        <v>144</v>
      </c>
      <c r="B102" s="10" t="s">
        <v>270</v>
      </c>
      <c r="C102" s="11">
        <v>2.4</v>
      </c>
      <c r="D102" s="16">
        <v>1384.25</v>
      </c>
      <c r="E102" s="17">
        <v>904.9</v>
      </c>
      <c r="F102" s="13">
        <v>1.53</v>
      </c>
      <c r="G102" s="11">
        <v>4.8</v>
      </c>
      <c r="H102" s="12">
        <v>2768.5</v>
      </c>
      <c r="I102" s="16">
        <v>1809.79</v>
      </c>
      <c r="J102" s="13">
        <v>1.53</v>
      </c>
      <c r="K102" s="11">
        <v>36</v>
      </c>
      <c r="L102" s="16">
        <v>20763.72</v>
      </c>
      <c r="M102" s="16">
        <v>13573.44</v>
      </c>
      <c r="N102" s="13">
        <v>1.53</v>
      </c>
      <c r="O102" s="11">
        <v>43.2</v>
      </c>
      <c r="P102" s="16">
        <v>24916.46</v>
      </c>
      <c r="Q102" s="16">
        <v>16288.13</v>
      </c>
      <c r="R102" s="13">
        <v>1.53</v>
      </c>
      <c r="S102" s="11">
        <v>28.8</v>
      </c>
      <c r="T102" s="16">
        <v>16610.98</v>
      </c>
      <c r="U102" s="16">
        <v>10858.75</v>
      </c>
      <c r="V102" s="13">
        <v>1.53</v>
      </c>
      <c r="W102" s="11">
        <v>19.2</v>
      </c>
      <c r="X102" s="16">
        <v>11073.98</v>
      </c>
      <c r="Y102" s="16">
        <v>7239.17</v>
      </c>
      <c r="Z102" s="13">
        <v>1.53</v>
      </c>
      <c r="AA102" s="11">
        <v>16</v>
      </c>
      <c r="AB102" s="16">
        <v>9228.32</v>
      </c>
      <c r="AC102" s="16">
        <v>6032.64</v>
      </c>
      <c r="AD102" s="13">
        <v>1.53</v>
      </c>
      <c r="AE102" s="11">
        <v>1.6</v>
      </c>
      <c r="AF102" s="13">
        <v>922.83</v>
      </c>
      <c r="AG102" s="13">
        <v>603.26</v>
      </c>
      <c r="AH102" s="13">
        <v>1.53</v>
      </c>
      <c r="AI102" s="11">
        <v>1.6</v>
      </c>
      <c r="AJ102" s="13">
        <v>922.83</v>
      </c>
      <c r="AK102" s="13">
        <v>603.26</v>
      </c>
      <c r="AL102" s="13">
        <v>1.53</v>
      </c>
      <c r="AM102" s="11">
        <v>1.6</v>
      </c>
      <c r="AN102" s="13">
        <v>922.83</v>
      </c>
      <c r="AO102" s="13">
        <v>603.26</v>
      </c>
      <c r="AP102" s="13">
        <v>1.53</v>
      </c>
      <c r="AQ102" s="11">
        <v>2.4</v>
      </c>
      <c r="AR102" s="16">
        <v>1384.25</v>
      </c>
      <c r="AS102" s="17">
        <v>904.9</v>
      </c>
      <c r="AT102" s="13">
        <v>1.53</v>
      </c>
      <c r="AU102" s="11">
        <v>2.4</v>
      </c>
      <c r="AV102" s="16">
        <v>1384.25</v>
      </c>
      <c r="AW102" s="17">
        <v>904.9</v>
      </c>
      <c r="AX102" s="13">
        <v>1.53</v>
      </c>
      <c r="AY102" s="11">
        <v>160</v>
      </c>
      <c r="AZ102" s="12">
        <v>92283.199999999997</v>
      </c>
      <c r="BA102" s="12">
        <v>60326.400000000001</v>
      </c>
      <c r="BB102" s="13">
        <v>1.53</v>
      </c>
    </row>
    <row r="103" spans="1:54" x14ac:dyDescent="0.25">
      <c r="A103" s="10" t="s">
        <v>144</v>
      </c>
      <c r="B103" s="10" t="s">
        <v>271</v>
      </c>
      <c r="C103" s="11">
        <v>80</v>
      </c>
      <c r="D103" s="12">
        <v>1124.8</v>
      </c>
      <c r="E103" s="17">
        <v>796.8</v>
      </c>
      <c r="F103" s="13">
        <v>1.41</v>
      </c>
      <c r="G103" s="11">
        <v>80</v>
      </c>
      <c r="H103" s="12">
        <v>1124.8</v>
      </c>
      <c r="I103" s="17">
        <v>796.8</v>
      </c>
      <c r="J103" s="13">
        <v>1.41</v>
      </c>
      <c r="K103" s="11">
        <v>80</v>
      </c>
      <c r="L103" s="12">
        <v>1124.8</v>
      </c>
      <c r="M103" s="17">
        <v>796.8</v>
      </c>
      <c r="N103" s="13">
        <v>1.41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1">
        <v>240</v>
      </c>
      <c r="AF103" s="12">
        <v>3374.4</v>
      </c>
      <c r="AG103" s="12">
        <v>2390.4</v>
      </c>
      <c r="AH103" s="13">
        <v>1.41</v>
      </c>
      <c r="AI103" s="11">
        <v>240</v>
      </c>
      <c r="AJ103" s="12">
        <v>3374.4</v>
      </c>
      <c r="AK103" s="12">
        <v>2390.4</v>
      </c>
      <c r="AL103" s="13">
        <v>1.41</v>
      </c>
      <c r="AM103" s="11">
        <v>320</v>
      </c>
      <c r="AN103" s="12">
        <v>4499.2</v>
      </c>
      <c r="AO103" s="12">
        <v>3187.2</v>
      </c>
      <c r="AP103" s="13">
        <v>1.41</v>
      </c>
      <c r="AQ103" s="11">
        <v>240</v>
      </c>
      <c r="AR103" s="12">
        <v>3374.4</v>
      </c>
      <c r="AS103" s="12">
        <v>2390.4</v>
      </c>
      <c r="AT103" s="13">
        <v>1.41</v>
      </c>
      <c r="AU103" s="11">
        <v>320</v>
      </c>
      <c r="AV103" s="12">
        <v>4499.2</v>
      </c>
      <c r="AW103" s="12">
        <v>3187.2</v>
      </c>
      <c r="AX103" s="13">
        <v>1.41</v>
      </c>
      <c r="AY103" s="18">
        <v>1600</v>
      </c>
      <c r="AZ103" s="15">
        <v>22496</v>
      </c>
      <c r="BA103" s="15">
        <v>15936</v>
      </c>
      <c r="BB103" s="13">
        <v>1.41</v>
      </c>
    </row>
    <row r="104" spans="1:54" x14ac:dyDescent="0.25">
      <c r="A104" s="10" t="s">
        <v>144</v>
      </c>
      <c r="B104" s="10" t="s">
        <v>275</v>
      </c>
      <c r="C104" s="11">
        <v>12</v>
      </c>
      <c r="D104" s="15">
        <v>1905</v>
      </c>
      <c r="E104" s="16">
        <v>1407.72</v>
      </c>
      <c r="F104" s="13">
        <v>1.35</v>
      </c>
      <c r="G104" s="11">
        <v>24</v>
      </c>
      <c r="H104" s="15">
        <v>3810</v>
      </c>
      <c r="I104" s="16">
        <v>2815.44</v>
      </c>
      <c r="J104" s="13">
        <v>1.35</v>
      </c>
      <c r="K104" s="11">
        <v>180</v>
      </c>
      <c r="L104" s="15">
        <v>28575</v>
      </c>
      <c r="M104" s="12">
        <v>21115.8</v>
      </c>
      <c r="N104" s="13">
        <v>1.35</v>
      </c>
      <c r="O104" s="11">
        <v>216</v>
      </c>
      <c r="P104" s="15">
        <v>34290</v>
      </c>
      <c r="Q104" s="16">
        <v>25338.959999999999</v>
      </c>
      <c r="R104" s="13">
        <v>1.35</v>
      </c>
      <c r="S104" s="11">
        <v>144</v>
      </c>
      <c r="T104" s="15">
        <v>22860</v>
      </c>
      <c r="U104" s="16">
        <v>16892.64</v>
      </c>
      <c r="V104" s="13">
        <v>1.35</v>
      </c>
      <c r="W104" s="11">
        <v>96</v>
      </c>
      <c r="X104" s="15">
        <v>15240</v>
      </c>
      <c r="Y104" s="16">
        <v>11261.76</v>
      </c>
      <c r="Z104" s="13">
        <v>1.35</v>
      </c>
      <c r="AA104" s="11">
        <v>80</v>
      </c>
      <c r="AB104" s="15">
        <v>12700</v>
      </c>
      <c r="AC104" s="12">
        <v>9384.7999999999993</v>
      </c>
      <c r="AD104" s="13">
        <v>1.35</v>
      </c>
      <c r="AE104" s="11">
        <v>8</v>
      </c>
      <c r="AF104" s="15">
        <v>1270</v>
      </c>
      <c r="AG104" s="13">
        <v>938.48</v>
      </c>
      <c r="AH104" s="13">
        <v>1.35</v>
      </c>
      <c r="AI104" s="11">
        <v>8</v>
      </c>
      <c r="AJ104" s="15">
        <v>1270</v>
      </c>
      <c r="AK104" s="13">
        <v>938.48</v>
      </c>
      <c r="AL104" s="13">
        <v>1.35</v>
      </c>
      <c r="AM104" s="11">
        <v>8</v>
      </c>
      <c r="AN104" s="15">
        <v>1270</v>
      </c>
      <c r="AO104" s="13">
        <v>938.48</v>
      </c>
      <c r="AP104" s="13">
        <v>1.35</v>
      </c>
      <c r="AQ104" s="11">
        <v>12</v>
      </c>
      <c r="AR104" s="15">
        <v>1905</v>
      </c>
      <c r="AS104" s="16">
        <v>1407.72</v>
      </c>
      <c r="AT104" s="13">
        <v>1.35</v>
      </c>
      <c r="AU104" s="11">
        <v>12</v>
      </c>
      <c r="AV104" s="15">
        <v>1905</v>
      </c>
      <c r="AW104" s="16">
        <v>1407.72</v>
      </c>
      <c r="AX104" s="13">
        <v>1.35</v>
      </c>
      <c r="AY104" s="11">
        <v>800</v>
      </c>
      <c r="AZ104" s="15">
        <v>127000</v>
      </c>
      <c r="BA104" s="15">
        <v>93848</v>
      </c>
      <c r="BB104" s="13">
        <v>1.35</v>
      </c>
    </row>
    <row r="105" spans="1:54" x14ac:dyDescent="0.25">
      <c r="A105" s="10" t="s">
        <v>144</v>
      </c>
      <c r="B105" s="10" t="s">
        <v>273</v>
      </c>
      <c r="C105" s="14"/>
      <c r="D105" s="14"/>
      <c r="E105" s="14"/>
      <c r="F105" s="14"/>
      <c r="G105" s="14"/>
      <c r="H105" s="14"/>
      <c r="I105" s="14"/>
      <c r="J105" s="14"/>
      <c r="K105" s="11">
        <v>280</v>
      </c>
      <c r="L105" s="12">
        <v>53169.2</v>
      </c>
      <c r="M105" s="12">
        <v>34756.400000000001</v>
      </c>
      <c r="N105" s="13">
        <v>1.53</v>
      </c>
      <c r="O105" s="11">
        <v>280</v>
      </c>
      <c r="P105" s="12">
        <v>53169.2</v>
      </c>
      <c r="Q105" s="12">
        <v>34756.400000000001</v>
      </c>
      <c r="R105" s="13">
        <v>1.53</v>
      </c>
      <c r="S105" s="11">
        <v>420</v>
      </c>
      <c r="T105" s="12">
        <v>79753.8</v>
      </c>
      <c r="U105" s="12">
        <v>52134.6</v>
      </c>
      <c r="V105" s="13">
        <v>1.53</v>
      </c>
      <c r="W105" s="11">
        <v>350</v>
      </c>
      <c r="X105" s="12">
        <v>66461.5</v>
      </c>
      <c r="Y105" s="12">
        <v>43445.5</v>
      </c>
      <c r="Z105" s="13">
        <v>1.53</v>
      </c>
      <c r="AA105" s="11">
        <v>70</v>
      </c>
      <c r="AB105" s="12">
        <v>13292.3</v>
      </c>
      <c r="AC105" s="12">
        <v>8689.1</v>
      </c>
      <c r="AD105" s="13">
        <v>1.53</v>
      </c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8">
        <v>1400</v>
      </c>
      <c r="AZ105" s="15">
        <v>265846</v>
      </c>
      <c r="BA105" s="15">
        <v>173782</v>
      </c>
      <c r="BB105" s="13">
        <v>1.53</v>
      </c>
    </row>
    <row r="106" spans="1:54" x14ac:dyDescent="0.25">
      <c r="A106" s="10" t="s">
        <v>144</v>
      </c>
      <c r="B106" s="10" t="s">
        <v>274</v>
      </c>
      <c r="C106" s="14"/>
      <c r="D106" s="14"/>
      <c r="E106" s="14"/>
      <c r="F106" s="14"/>
      <c r="G106" s="14"/>
      <c r="H106" s="14"/>
      <c r="I106" s="14"/>
      <c r="J106" s="14"/>
      <c r="K106" s="11">
        <v>100</v>
      </c>
      <c r="L106" s="15">
        <v>16553</v>
      </c>
      <c r="M106" s="15">
        <v>11254</v>
      </c>
      <c r="N106" s="13">
        <v>1.47</v>
      </c>
      <c r="O106" s="11">
        <v>100</v>
      </c>
      <c r="P106" s="15">
        <v>16553</v>
      </c>
      <c r="Q106" s="15">
        <v>11254</v>
      </c>
      <c r="R106" s="13">
        <v>1.47</v>
      </c>
      <c r="S106" s="11">
        <v>100</v>
      </c>
      <c r="T106" s="15">
        <v>16553</v>
      </c>
      <c r="U106" s="15">
        <v>11254</v>
      </c>
      <c r="V106" s="13">
        <v>1.47</v>
      </c>
      <c r="W106" s="11">
        <v>100</v>
      </c>
      <c r="X106" s="15">
        <v>16553</v>
      </c>
      <c r="Y106" s="15">
        <v>11254</v>
      </c>
      <c r="Z106" s="13">
        <v>1.47</v>
      </c>
      <c r="AA106" s="11">
        <v>100</v>
      </c>
      <c r="AB106" s="15">
        <v>16553</v>
      </c>
      <c r="AC106" s="15">
        <v>11254</v>
      </c>
      <c r="AD106" s="13">
        <v>1.47</v>
      </c>
      <c r="AE106" s="11">
        <v>100</v>
      </c>
      <c r="AF106" s="15">
        <v>16553</v>
      </c>
      <c r="AG106" s="15">
        <v>11254</v>
      </c>
      <c r="AH106" s="13">
        <v>1.47</v>
      </c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1">
        <v>600</v>
      </c>
      <c r="AZ106" s="15">
        <v>99318</v>
      </c>
      <c r="BA106" s="15">
        <v>67524</v>
      </c>
      <c r="BB106" s="13">
        <v>1.47</v>
      </c>
    </row>
    <row r="107" spans="1:54" x14ac:dyDescent="0.25">
      <c r="A107" s="10" t="s">
        <v>144</v>
      </c>
      <c r="B107" s="10" t="s">
        <v>276</v>
      </c>
      <c r="C107" s="11">
        <v>150</v>
      </c>
      <c r="D107" s="15">
        <v>5262</v>
      </c>
      <c r="E107" s="12">
        <v>4258.5</v>
      </c>
      <c r="F107" s="13">
        <v>1.24</v>
      </c>
      <c r="G107" s="11">
        <v>150</v>
      </c>
      <c r="H107" s="15">
        <v>5262</v>
      </c>
      <c r="I107" s="12">
        <v>4258.5</v>
      </c>
      <c r="J107" s="13">
        <v>1.24</v>
      </c>
      <c r="K107" s="11">
        <v>150</v>
      </c>
      <c r="L107" s="15">
        <v>5262</v>
      </c>
      <c r="M107" s="12">
        <v>4258.5</v>
      </c>
      <c r="N107" s="13">
        <v>1.24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1">
        <v>300</v>
      </c>
      <c r="AF107" s="15">
        <v>10524</v>
      </c>
      <c r="AG107" s="15">
        <v>8517</v>
      </c>
      <c r="AH107" s="13">
        <v>1.24</v>
      </c>
      <c r="AI107" s="11">
        <v>900</v>
      </c>
      <c r="AJ107" s="15">
        <v>31572</v>
      </c>
      <c r="AK107" s="15">
        <v>25551</v>
      </c>
      <c r="AL107" s="13">
        <v>1.24</v>
      </c>
      <c r="AM107" s="11">
        <v>900</v>
      </c>
      <c r="AN107" s="15">
        <v>31572</v>
      </c>
      <c r="AO107" s="15">
        <v>25551</v>
      </c>
      <c r="AP107" s="13">
        <v>1.24</v>
      </c>
      <c r="AQ107" s="11">
        <v>300</v>
      </c>
      <c r="AR107" s="15">
        <v>10524</v>
      </c>
      <c r="AS107" s="15">
        <v>8517</v>
      </c>
      <c r="AT107" s="13">
        <v>1.24</v>
      </c>
      <c r="AU107" s="11">
        <v>150</v>
      </c>
      <c r="AV107" s="15">
        <v>5262</v>
      </c>
      <c r="AW107" s="12">
        <v>4258.5</v>
      </c>
      <c r="AX107" s="13">
        <v>1.24</v>
      </c>
      <c r="AY107" s="18">
        <v>3000</v>
      </c>
      <c r="AZ107" s="15">
        <v>105240</v>
      </c>
      <c r="BA107" s="15">
        <v>85170</v>
      </c>
      <c r="BB107" s="13">
        <v>1.24</v>
      </c>
    </row>
    <row r="108" spans="1:54" x14ac:dyDescent="0.25">
      <c r="A108" s="10" t="s">
        <v>144</v>
      </c>
      <c r="B108" s="10" t="s">
        <v>278</v>
      </c>
      <c r="C108" s="11">
        <v>0.75</v>
      </c>
      <c r="D108" s="13">
        <v>405.62</v>
      </c>
      <c r="E108" s="13">
        <v>265.16000000000003</v>
      </c>
      <c r="F108" s="13">
        <v>1.53</v>
      </c>
      <c r="G108" s="11">
        <v>1.5</v>
      </c>
      <c r="H108" s="13">
        <v>811.23</v>
      </c>
      <c r="I108" s="13">
        <v>530.30999999999995</v>
      </c>
      <c r="J108" s="13">
        <v>1.53</v>
      </c>
      <c r="K108" s="11">
        <v>11.25</v>
      </c>
      <c r="L108" s="16">
        <v>6084.23</v>
      </c>
      <c r="M108" s="16">
        <v>3977.33</v>
      </c>
      <c r="N108" s="13">
        <v>1.53</v>
      </c>
      <c r="O108" s="11">
        <v>13.5</v>
      </c>
      <c r="P108" s="16">
        <v>7301.07</v>
      </c>
      <c r="Q108" s="16">
        <v>4772.79</v>
      </c>
      <c r="R108" s="13">
        <v>1.53</v>
      </c>
      <c r="S108" s="11">
        <v>9</v>
      </c>
      <c r="T108" s="16">
        <v>4867.38</v>
      </c>
      <c r="U108" s="16">
        <v>3181.86</v>
      </c>
      <c r="V108" s="13">
        <v>1.53</v>
      </c>
      <c r="W108" s="11">
        <v>6</v>
      </c>
      <c r="X108" s="16">
        <v>3244.92</v>
      </c>
      <c r="Y108" s="16">
        <v>2121.2399999999998</v>
      </c>
      <c r="Z108" s="13">
        <v>1.53</v>
      </c>
      <c r="AA108" s="11">
        <v>5</v>
      </c>
      <c r="AB108" s="12">
        <v>2704.1</v>
      </c>
      <c r="AC108" s="12">
        <v>1767.7</v>
      </c>
      <c r="AD108" s="13">
        <v>1.53</v>
      </c>
      <c r="AE108" s="11">
        <v>0.5</v>
      </c>
      <c r="AF108" s="13">
        <v>270.41000000000003</v>
      </c>
      <c r="AG108" s="13">
        <v>176.77</v>
      </c>
      <c r="AH108" s="13">
        <v>1.53</v>
      </c>
      <c r="AI108" s="11">
        <v>0.5</v>
      </c>
      <c r="AJ108" s="13">
        <v>270.41000000000003</v>
      </c>
      <c r="AK108" s="13">
        <v>176.77</v>
      </c>
      <c r="AL108" s="13">
        <v>1.53</v>
      </c>
      <c r="AM108" s="11">
        <v>0.5</v>
      </c>
      <c r="AN108" s="13">
        <v>270.41000000000003</v>
      </c>
      <c r="AO108" s="13">
        <v>176.77</v>
      </c>
      <c r="AP108" s="13">
        <v>1.53</v>
      </c>
      <c r="AQ108" s="11">
        <v>0.75</v>
      </c>
      <c r="AR108" s="13">
        <v>405.62</v>
      </c>
      <c r="AS108" s="13">
        <v>265.16000000000003</v>
      </c>
      <c r="AT108" s="13">
        <v>1.53</v>
      </c>
      <c r="AU108" s="11">
        <v>0.75</v>
      </c>
      <c r="AV108" s="13">
        <v>405.62</v>
      </c>
      <c r="AW108" s="13">
        <v>265.16000000000003</v>
      </c>
      <c r="AX108" s="13">
        <v>1.53</v>
      </c>
      <c r="AY108" s="11">
        <v>50</v>
      </c>
      <c r="AZ108" s="16">
        <v>27041.02</v>
      </c>
      <c r="BA108" s="16">
        <v>17677.02</v>
      </c>
      <c r="BB108" s="13">
        <v>1.53</v>
      </c>
    </row>
    <row r="109" spans="1:54" x14ac:dyDescent="0.25">
      <c r="A109" s="10" t="s">
        <v>144</v>
      </c>
      <c r="B109" s="10" t="s">
        <v>288</v>
      </c>
      <c r="C109" s="14"/>
      <c r="D109" s="14"/>
      <c r="E109" s="14"/>
      <c r="F109" s="14"/>
      <c r="G109" s="14"/>
      <c r="H109" s="14"/>
      <c r="I109" s="14"/>
      <c r="J109" s="14"/>
      <c r="K109" s="11">
        <v>40</v>
      </c>
      <c r="L109" s="15">
        <v>17494</v>
      </c>
      <c r="M109" s="15">
        <v>11436</v>
      </c>
      <c r="N109" s="13">
        <v>1.53</v>
      </c>
      <c r="O109" s="11">
        <v>40</v>
      </c>
      <c r="P109" s="15">
        <v>17494</v>
      </c>
      <c r="Q109" s="15">
        <v>11436</v>
      </c>
      <c r="R109" s="13">
        <v>1.53</v>
      </c>
      <c r="S109" s="11">
        <v>60</v>
      </c>
      <c r="T109" s="15">
        <v>26241</v>
      </c>
      <c r="U109" s="15">
        <v>17154</v>
      </c>
      <c r="V109" s="13">
        <v>1.53</v>
      </c>
      <c r="W109" s="11">
        <v>50</v>
      </c>
      <c r="X109" s="12">
        <v>21867.5</v>
      </c>
      <c r="Y109" s="15">
        <v>14295</v>
      </c>
      <c r="Z109" s="13">
        <v>1.53</v>
      </c>
      <c r="AA109" s="11">
        <v>10</v>
      </c>
      <c r="AB109" s="12">
        <v>4373.5</v>
      </c>
      <c r="AC109" s="15">
        <v>2859</v>
      </c>
      <c r="AD109" s="13">
        <v>1.53</v>
      </c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1">
        <v>200</v>
      </c>
      <c r="AZ109" s="15">
        <v>87470</v>
      </c>
      <c r="BA109" s="15">
        <v>57180</v>
      </c>
      <c r="BB109" s="13">
        <v>1.53</v>
      </c>
    </row>
    <row r="110" spans="1:54" x14ac:dyDescent="0.25">
      <c r="A110" s="10" t="s">
        <v>144</v>
      </c>
      <c r="B110" s="10" t="s">
        <v>279</v>
      </c>
      <c r="C110" s="14"/>
      <c r="D110" s="14"/>
      <c r="E110" s="14"/>
      <c r="F110" s="14"/>
      <c r="G110" s="14"/>
      <c r="H110" s="14"/>
      <c r="I110" s="14"/>
      <c r="J110" s="14"/>
      <c r="K110" s="11">
        <v>16</v>
      </c>
      <c r="L110" s="16">
        <v>4178.5600000000004</v>
      </c>
      <c r="M110" s="12">
        <v>2959.2</v>
      </c>
      <c r="N110" s="13">
        <v>1.41</v>
      </c>
      <c r="O110" s="11">
        <v>16</v>
      </c>
      <c r="P110" s="16">
        <v>4178.5600000000004</v>
      </c>
      <c r="Q110" s="12">
        <v>2959.2</v>
      </c>
      <c r="R110" s="13">
        <v>1.41</v>
      </c>
      <c r="S110" s="11">
        <v>16</v>
      </c>
      <c r="T110" s="16">
        <v>4178.5600000000004</v>
      </c>
      <c r="U110" s="12">
        <v>2959.2</v>
      </c>
      <c r="V110" s="13">
        <v>1.41</v>
      </c>
      <c r="W110" s="11">
        <v>16</v>
      </c>
      <c r="X110" s="16">
        <v>4178.5600000000004</v>
      </c>
      <c r="Y110" s="12">
        <v>2959.2</v>
      </c>
      <c r="Z110" s="13">
        <v>1.41</v>
      </c>
      <c r="AA110" s="11">
        <v>24</v>
      </c>
      <c r="AB110" s="16">
        <v>6267.84</v>
      </c>
      <c r="AC110" s="12">
        <v>4438.8</v>
      </c>
      <c r="AD110" s="13">
        <v>1.41</v>
      </c>
      <c r="AE110" s="11">
        <v>24</v>
      </c>
      <c r="AF110" s="16">
        <v>6267.84</v>
      </c>
      <c r="AG110" s="12">
        <v>4438.8</v>
      </c>
      <c r="AH110" s="13">
        <v>1.41</v>
      </c>
      <c r="AI110" s="11">
        <v>24</v>
      </c>
      <c r="AJ110" s="16">
        <v>6267.84</v>
      </c>
      <c r="AK110" s="12">
        <v>4438.8</v>
      </c>
      <c r="AL110" s="13">
        <v>1.41</v>
      </c>
      <c r="AM110" s="11">
        <v>24</v>
      </c>
      <c r="AN110" s="16">
        <v>6267.84</v>
      </c>
      <c r="AO110" s="12">
        <v>4438.8</v>
      </c>
      <c r="AP110" s="13">
        <v>1.41</v>
      </c>
      <c r="AQ110" s="14"/>
      <c r="AR110" s="14"/>
      <c r="AS110" s="14"/>
      <c r="AT110" s="14"/>
      <c r="AU110" s="14"/>
      <c r="AV110" s="14"/>
      <c r="AW110" s="14"/>
      <c r="AX110" s="14"/>
      <c r="AY110" s="11">
        <v>160</v>
      </c>
      <c r="AZ110" s="12">
        <v>41785.599999999999</v>
      </c>
      <c r="BA110" s="15">
        <v>29592</v>
      </c>
      <c r="BB110" s="13">
        <v>1.41</v>
      </c>
    </row>
    <row r="111" spans="1:54" x14ac:dyDescent="0.25">
      <c r="A111" s="10" t="s">
        <v>144</v>
      </c>
      <c r="B111" s="10" t="s">
        <v>280</v>
      </c>
      <c r="C111" s="14"/>
      <c r="D111" s="14"/>
      <c r="E111" s="14"/>
      <c r="F111" s="14"/>
      <c r="G111" s="11">
        <v>50</v>
      </c>
      <c r="H111" s="15">
        <v>2782</v>
      </c>
      <c r="I111" s="12">
        <v>1818.5</v>
      </c>
      <c r="J111" s="13">
        <v>1.53</v>
      </c>
      <c r="K111" s="11">
        <v>60</v>
      </c>
      <c r="L111" s="12">
        <v>3338.4</v>
      </c>
      <c r="M111" s="12">
        <v>2182.1999999999998</v>
      </c>
      <c r="N111" s="13">
        <v>1.53</v>
      </c>
      <c r="O111" s="11">
        <v>50</v>
      </c>
      <c r="P111" s="15">
        <v>2782</v>
      </c>
      <c r="Q111" s="12">
        <v>1818.5</v>
      </c>
      <c r="R111" s="13">
        <v>1.53</v>
      </c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1">
        <v>50</v>
      </c>
      <c r="AF111" s="15">
        <v>2782</v>
      </c>
      <c r="AG111" s="12">
        <v>1818.5</v>
      </c>
      <c r="AH111" s="13">
        <v>1.53</v>
      </c>
      <c r="AI111" s="11">
        <v>200</v>
      </c>
      <c r="AJ111" s="15">
        <v>11128</v>
      </c>
      <c r="AK111" s="15">
        <v>7274</v>
      </c>
      <c r="AL111" s="13">
        <v>1.53</v>
      </c>
      <c r="AM111" s="11">
        <v>200</v>
      </c>
      <c r="AN111" s="15">
        <v>11128</v>
      </c>
      <c r="AO111" s="15">
        <v>7274</v>
      </c>
      <c r="AP111" s="13">
        <v>1.53</v>
      </c>
      <c r="AQ111" s="11">
        <v>200</v>
      </c>
      <c r="AR111" s="15">
        <v>11128</v>
      </c>
      <c r="AS111" s="15">
        <v>7274</v>
      </c>
      <c r="AT111" s="13">
        <v>1.53</v>
      </c>
      <c r="AU111" s="11">
        <v>200</v>
      </c>
      <c r="AV111" s="15">
        <v>11128</v>
      </c>
      <c r="AW111" s="15">
        <v>7274</v>
      </c>
      <c r="AX111" s="13">
        <v>1.53</v>
      </c>
      <c r="AY111" s="18">
        <v>1010</v>
      </c>
      <c r="AZ111" s="12">
        <v>56196.4</v>
      </c>
      <c r="BA111" s="12">
        <v>36733.699999999997</v>
      </c>
      <c r="BB111" s="13">
        <v>1.53</v>
      </c>
    </row>
    <row r="112" spans="1:54" x14ac:dyDescent="0.25">
      <c r="A112" s="10" t="s">
        <v>144</v>
      </c>
      <c r="B112" s="10" t="s">
        <v>281</v>
      </c>
      <c r="C112" s="11">
        <v>45</v>
      </c>
      <c r="D112" s="16">
        <v>1395.45</v>
      </c>
      <c r="E112" s="17">
        <v>988.2</v>
      </c>
      <c r="F112" s="13">
        <v>1.41</v>
      </c>
      <c r="G112" s="11">
        <v>45</v>
      </c>
      <c r="H112" s="16">
        <v>1395.45</v>
      </c>
      <c r="I112" s="17">
        <v>988.2</v>
      </c>
      <c r="J112" s="13">
        <v>1.41</v>
      </c>
      <c r="K112" s="11">
        <v>45</v>
      </c>
      <c r="L112" s="16">
        <v>1395.45</v>
      </c>
      <c r="M112" s="17">
        <v>988.2</v>
      </c>
      <c r="N112" s="13">
        <v>1.41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1">
        <v>90</v>
      </c>
      <c r="AF112" s="12">
        <v>2790.9</v>
      </c>
      <c r="AG112" s="12">
        <v>1976.4</v>
      </c>
      <c r="AH112" s="13">
        <v>1.41</v>
      </c>
      <c r="AI112" s="11">
        <v>270</v>
      </c>
      <c r="AJ112" s="12">
        <v>8372.7000000000007</v>
      </c>
      <c r="AK112" s="12">
        <v>5929.2</v>
      </c>
      <c r="AL112" s="13">
        <v>1.41</v>
      </c>
      <c r="AM112" s="11">
        <v>270</v>
      </c>
      <c r="AN112" s="12">
        <v>8372.7000000000007</v>
      </c>
      <c r="AO112" s="12">
        <v>5929.2</v>
      </c>
      <c r="AP112" s="13">
        <v>1.41</v>
      </c>
      <c r="AQ112" s="11">
        <v>90</v>
      </c>
      <c r="AR112" s="12">
        <v>2790.9</v>
      </c>
      <c r="AS112" s="12">
        <v>1976.4</v>
      </c>
      <c r="AT112" s="13">
        <v>1.41</v>
      </c>
      <c r="AU112" s="11">
        <v>45</v>
      </c>
      <c r="AV112" s="16">
        <v>1395.45</v>
      </c>
      <c r="AW112" s="17">
        <v>988.2</v>
      </c>
      <c r="AX112" s="13">
        <v>1.41</v>
      </c>
      <c r="AY112" s="11">
        <v>900</v>
      </c>
      <c r="AZ112" s="15">
        <v>27909</v>
      </c>
      <c r="BA112" s="15">
        <v>19764</v>
      </c>
      <c r="BB112" s="13">
        <v>1.41</v>
      </c>
    </row>
    <row r="113" spans="1:54" x14ac:dyDescent="0.25">
      <c r="A113" s="10" t="s">
        <v>144</v>
      </c>
      <c r="B113" s="10" t="s">
        <v>282</v>
      </c>
      <c r="C113" s="14"/>
      <c r="D113" s="14"/>
      <c r="E113" s="14"/>
      <c r="F113" s="14"/>
      <c r="G113" s="14"/>
      <c r="H113" s="14"/>
      <c r="I113" s="14"/>
      <c r="J113" s="14"/>
      <c r="K113" s="11">
        <v>290</v>
      </c>
      <c r="L113" s="15">
        <v>6148</v>
      </c>
      <c r="M113" s="12">
        <v>3775.8</v>
      </c>
      <c r="N113" s="13">
        <v>1.63</v>
      </c>
      <c r="O113" s="11">
        <v>870</v>
      </c>
      <c r="P113" s="15">
        <v>18444</v>
      </c>
      <c r="Q113" s="12">
        <v>11327.4</v>
      </c>
      <c r="R113" s="13">
        <v>1.63</v>
      </c>
      <c r="S113" s="18">
        <v>1450</v>
      </c>
      <c r="T113" s="15">
        <v>30740</v>
      </c>
      <c r="U113" s="15">
        <v>18879</v>
      </c>
      <c r="V113" s="13">
        <v>1.63</v>
      </c>
      <c r="W113" s="18">
        <v>2320</v>
      </c>
      <c r="X113" s="15">
        <v>49184</v>
      </c>
      <c r="Y113" s="12">
        <v>30206.400000000001</v>
      </c>
      <c r="Z113" s="13">
        <v>1.63</v>
      </c>
      <c r="AA113" s="11">
        <v>870</v>
      </c>
      <c r="AB113" s="15">
        <v>18444</v>
      </c>
      <c r="AC113" s="12">
        <v>11327.4</v>
      </c>
      <c r="AD113" s="13">
        <v>1.63</v>
      </c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8">
        <v>5800</v>
      </c>
      <c r="AZ113" s="15">
        <v>122960</v>
      </c>
      <c r="BA113" s="15">
        <v>75516</v>
      </c>
      <c r="BB113" s="13">
        <v>1.63</v>
      </c>
    </row>
    <row r="114" spans="1:54" x14ac:dyDescent="0.25">
      <c r="A114" s="10" t="s">
        <v>144</v>
      </c>
      <c r="B114" s="10" t="s">
        <v>283</v>
      </c>
      <c r="C114" s="11">
        <v>7.5</v>
      </c>
      <c r="D114" s="16">
        <v>1859.85</v>
      </c>
      <c r="E114" s="16">
        <v>1374.38</v>
      </c>
      <c r="F114" s="13">
        <v>1.35</v>
      </c>
      <c r="G114" s="11">
        <v>15</v>
      </c>
      <c r="H114" s="12">
        <v>3719.7</v>
      </c>
      <c r="I114" s="16">
        <v>2748.75</v>
      </c>
      <c r="J114" s="13">
        <v>1.35</v>
      </c>
      <c r="K114" s="11">
        <v>112.5</v>
      </c>
      <c r="L114" s="16">
        <v>27897.75</v>
      </c>
      <c r="M114" s="16">
        <v>20615.63</v>
      </c>
      <c r="N114" s="13">
        <v>1.35</v>
      </c>
      <c r="O114" s="11">
        <v>135</v>
      </c>
      <c r="P114" s="12">
        <v>33477.300000000003</v>
      </c>
      <c r="Q114" s="16">
        <v>24738.75</v>
      </c>
      <c r="R114" s="13">
        <v>1.35</v>
      </c>
      <c r="S114" s="11">
        <v>90</v>
      </c>
      <c r="T114" s="12">
        <v>22318.2</v>
      </c>
      <c r="U114" s="12">
        <v>16492.5</v>
      </c>
      <c r="V114" s="13">
        <v>1.35</v>
      </c>
      <c r="W114" s="11">
        <v>60</v>
      </c>
      <c r="X114" s="12">
        <v>14878.8</v>
      </c>
      <c r="Y114" s="15">
        <v>10995</v>
      </c>
      <c r="Z114" s="13">
        <v>1.35</v>
      </c>
      <c r="AA114" s="11">
        <v>50</v>
      </c>
      <c r="AB114" s="15">
        <v>12399</v>
      </c>
      <c r="AC114" s="12">
        <v>9162.5</v>
      </c>
      <c r="AD114" s="13">
        <v>1.35</v>
      </c>
      <c r="AE114" s="11">
        <v>5</v>
      </c>
      <c r="AF114" s="12">
        <v>1239.9000000000001</v>
      </c>
      <c r="AG114" s="13">
        <v>916.25</v>
      </c>
      <c r="AH114" s="13">
        <v>1.35</v>
      </c>
      <c r="AI114" s="11">
        <v>5</v>
      </c>
      <c r="AJ114" s="12">
        <v>1239.9000000000001</v>
      </c>
      <c r="AK114" s="13">
        <v>916.25</v>
      </c>
      <c r="AL114" s="13">
        <v>1.35</v>
      </c>
      <c r="AM114" s="11">
        <v>5</v>
      </c>
      <c r="AN114" s="12">
        <v>1239.9000000000001</v>
      </c>
      <c r="AO114" s="13">
        <v>916.25</v>
      </c>
      <c r="AP114" s="13">
        <v>1.35</v>
      </c>
      <c r="AQ114" s="11">
        <v>7.5</v>
      </c>
      <c r="AR114" s="16">
        <v>1859.85</v>
      </c>
      <c r="AS114" s="16">
        <v>1374.38</v>
      </c>
      <c r="AT114" s="13">
        <v>1.35</v>
      </c>
      <c r="AU114" s="11">
        <v>7.5</v>
      </c>
      <c r="AV114" s="16">
        <v>1859.85</v>
      </c>
      <c r="AW114" s="16">
        <v>1374.38</v>
      </c>
      <c r="AX114" s="13">
        <v>1.35</v>
      </c>
      <c r="AY114" s="11">
        <v>500</v>
      </c>
      <c r="AZ114" s="15">
        <v>123990</v>
      </c>
      <c r="BA114" s="16">
        <v>91625.02</v>
      </c>
      <c r="BB114" s="13">
        <v>1.35</v>
      </c>
    </row>
    <row r="115" spans="1:54" x14ac:dyDescent="0.25">
      <c r="A115" s="10" t="s">
        <v>144</v>
      </c>
      <c r="B115" s="10" t="s">
        <v>284</v>
      </c>
      <c r="C115" s="14"/>
      <c r="D115" s="14"/>
      <c r="E115" s="14"/>
      <c r="F115" s="14"/>
      <c r="G115" s="14"/>
      <c r="H115" s="14"/>
      <c r="I115" s="14"/>
      <c r="J115" s="14"/>
      <c r="K115" s="11">
        <v>400</v>
      </c>
      <c r="L115" s="15">
        <v>5784</v>
      </c>
      <c r="M115" s="15">
        <v>4096</v>
      </c>
      <c r="N115" s="13">
        <v>1.41</v>
      </c>
      <c r="O115" s="18">
        <v>1400</v>
      </c>
      <c r="P115" s="15">
        <v>20244</v>
      </c>
      <c r="Q115" s="15">
        <v>14336</v>
      </c>
      <c r="R115" s="13">
        <v>1.41</v>
      </c>
      <c r="S115" s="18">
        <v>1400</v>
      </c>
      <c r="T115" s="15">
        <v>20244</v>
      </c>
      <c r="U115" s="15">
        <v>14336</v>
      </c>
      <c r="V115" s="13">
        <v>1.41</v>
      </c>
      <c r="W115" s="11">
        <v>800</v>
      </c>
      <c r="X115" s="15">
        <v>11568</v>
      </c>
      <c r="Y115" s="15">
        <v>8192</v>
      </c>
      <c r="Z115" s="13">
        <v>1.41</v>
      </c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8">
        <v>4000</v>
      </c>
      <c r="AZ115" s="15">
        <v>57840</v>
      </c>
      <c r="BA115" s="15">
        <v>40960</v>
      </c>
      <c r="BB115" s="13">
        <v>1.41</v>
      </c>
    </row>
    <row r="116" spans="1:54" x14ac:dyDescent="0.25">
      <c r="A116" s="10" t="s">
        <v>144</v>
      </c>
      <c r="B116" s="10" t="s">
        <v>285</v>
      </c>
      <c r="C116" s="14"/>
      <c r="D116" s="14"/>
      <c r="E116" s="14"/>
      <c r="F116" s="14"/>
      <c r="G116" s="14"/>
      <c r="H116" s="14"/>
      <c r="I116" s="14"/>
      <c r="J116" s="14"/>
      <c r="K116" s="11">
        <v>70</v>
      </c>
      <c r="L116" s="12">
        <v>8877.4</v>
      </c>
      <c r="M116" s="12">
        <v>6286.7</v>
      </c>
      <c r="N116" s="13">
        <v>1.41</v>
      </c>
      <c r="O116" s="11">
        <v>70</v>
      </c>
      <c r="P116" s="12">
        <v>8877.4</v>
      </c>
      <c r="Q116" s="12">
        <v>6286.7</v>
      </c>
      <c r="R116" s="13">
        <v>1.41</v>
      </c>
      <c r="S116" s="11">
        <v>70</v>
      </c>
      <c r="T116" s="12">
        <v>8877.4</v>
      </c>
      <c r="U116" s="12">
        <v>6286.7</v>
      </c>
      <c r="V116" s="13">
        <v>1.41</v>
      </c>
      <c r="W116" s="11">
        <v>70</v>
      </c>
      <c r="X116" s="12">
        <v>8877.4</v>
      </c>
      <c r="Y116" s="12">
        <v>6286.7</v>
      </c>
      <c r="Z116" s="13">
        <v>1.41</v>
      </c>
      <c r="AA116" s="11">
        <v>105</v>
      </c>
      <c r="AB116" s="12">
        <v>13316.1</v>
      </c>
      <c r="AC116" s="16">
        <v>9430.0499999999993</v>
      </c>
      <c r="AD116" s="13">
        <v>1.41</v>
      </c>
      <c r="AE116" s="11">
        <v>105</v>
      </c>
      <c r="AF116" s="12">
        <v>13316.1</v>
      </c>
      <c r="AG116" s="16">
        <v>9430.0499999999993</v>
      </c>
      <c r="AH116" s="13">
        <v>1.41</v>
      </c>
      <c r="AI116" s="11">
        <v>105</v>
      </c>
      <c r="AJ116" s="12">
        <v>13316.1</v>
      </c>
      <c r="AK116" s="16">
        <v>9430.0499999999993</v>
      </c>
      <c r="AL116" s="13">
        <v>1.41</v>
      </c>
      <c r="AM116" s="11">
        <v>105</v>
      </c>
      <c r="AN116" s="12">
        <v>13316.1</v>
      </c>
      <c r="AO116" s="16">
        <v>9430.0499999999993</v>
      </c>
      <c r="AP116" s="13">
        <v>1.41</v>
      </c>
      <c r="AQ116" s="14"/>
      <c r="AR116" s="14"/>
      <c r="AS116" s="14"/>
      <c r="AT116" s="14"/>
      <c r="AU116" s="14"/>
      <c r="AV116" s="14"/>
      <c r="AW116" s="14"/>
      <c r="AX116" s="14"/>
      <c r="AY116" s="11">
        <v>700</v>
      </c>
      <c r="AZ116" s="15">
        <v>88774</v>
      </c>
      <c r="BA116" s="15">
        <v>62867</v>
      </c>
      <c r="BB116" s="13">
        <v>1.41</v>
      </c>
    </row>
    <row r="117" spans="1:54" x14ac:dyDescent="0.25">
      <c r="A117" s="10" t="s">
        <v>144</v>
      </c>
      <c r="B117" s="10" t="s">
        <v>286</v>
      </c>
      <c r="C117" s="11">
        <v>75</v>
      </c>
      <c r="D117" s="16">
        <v>3323.25</v>
      </c>
      <c r="E117" s="12">
        <v>2353.5</v>
      </c>
      <c r="F117" s="13">
        <v>1.41</v>
      </c>
      <c r="G117" s="11">
        <v>75</v>
      </c>
      <c r="H117" s="16">
        <v>3323.25</v>
      </c>
      <c r="I117" s="12">
        <v>2353.5</v>
      </c>
      <c r="J117" s="13">
        <v>1.41</v>
      </c>
      <c r="K117" s="11">
        <v>75</v>
      </c>
      <c r="L117" s="16">
        <v>3323.25</v>
      </c>
      <c r="M117" s="12">
        <v>2353.5</v>
      </c>
      <c r="N117" s="13">
        <v>1.41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1">
        <v>225</v>
      </c>
      <c r="AF117" s="16">
        <v>9969.75</v>
      </c>
      <c r="AG117" s="12">
        <v>7060.5</v>
      </c>
      <c r="AH117" s="13">
        <v>1.41</v>
      </c>
      <c r="AI117" s="11">
        <v>225</v>
      </c>
      <c r="AJ117" s="16">
        <v>9969.75</v>
      </c>
      <c r="AK117" s="12">
        <v>7060.5</v>
      </c>
      <c r="AL117" s="13">
        <v>1.41</v>
      </c>
      <c r="AM117" s="11">
        <v>300</v>
      </c>
      <c r="AN117" s="15">
        <v>13293</v>
      </c>
      <c r="AO117" s="15">
        <v>9414</v>
      </c>
      <c r="AP117" s="13">
        <v>1.41</v>
      </c>
      <c r="AQ117" s="11">
        <v>225</v>
      </c>
      <c r="AR117" s="16">
        <v>9969.75</v>
      </c>
      <c r="AS117" s="12">
        <v>7060.5</v>
      </c>
      <c r="AT117" s="13">
        <v>1.41</v>
      </c>
      <c r="AU117" s="11">
        <v>300</v>
      </c>
      <c r="AV117" s="15">
        <v>13293</v>
      </c>
      <c r="AW117" s="15">
        <v>9414</v>
      </c>
      <c r="AX117" s="13">
        <v>1.41</v>
      </c>
      <c r="AY117" s="18">
        <v>1500</v>
      </c>
      <c r="AZ117" s="15">
        <v>66465</v>
      </c>
      <c r="BA117" s="15">
        <v>47070</v>
      </c>
      <c r="BB117" s="13">
        <v>1.41</v>
      </c>
    </row>
    <row r="118" spans="1:54" x14ac:dyDescent="0.25">
      <c r="A118" s="10" t="s">
        <v>144</v>
      </c>
      <c r="B118" s="10" t="s">
        <v>287</v>
      </c>
      <c r="C118" s="14"/>
      <c r="D118" s="14"/>
      <c r="E118" s="14"/>
      <c r="F118" s="14"/>
      <c r="G118" s="14"/>
      <c r="H118" s="14"/>
      <c r="I118" s="14"/>
      <c r="J118" s="14"/>
      <c r="K118" s="11">
        <v>20</v>
      </c>
      <c r="L118" s="12">
        <v>3636.4</v>
      </c>
      <c r="M118" s="12">
        <v>2575.1999999999998</v>
      </c>
      <c r="N118" s="13">
        <v>1.41</v>
      </c>
      <c r="O118" s="11">
        <v>20</v>
      </c>
      <c r="P118" s="12">
        <v>3636.4</v>
      </c>
      <c r="Q118" s="12">
        <v>2575.1999999999998</v>
      </c>
      <c r="R118" s="13">
        <v>1.41</v>
      </c>
      <c r="S118" s="11">
        <v>20</v>
      </c>
      <c r="T118" s="12">
        <v>3636.4</v>
      </c>
      <c r="U118" s="12">
        <v>2575.1999999999998</v>
      </c>
      <c r="V118" s="13">
        <v>1.41</v>
      </c>
      <c r="W118" s="11">
        <v>20</v>
      </c>
      <c r="X118" s="12">
        <v>3636.4</v>
      </c>
      <c r="Y118" s="12">
        <v>2575.1999999999998</v>
      </c>
      <c r="Z118" s="13">
        <v>1.41</v>
      </c>
      <c r="AA118" s="11">
        <v>30</v>
      </c>
      <c r="AB118" s="12">
        <v>5454.6</v>
      </c>
      <c r="AC118" s="12">
        <v>3862.8</v>
      </c>
      <c r="AD118" s="13">
        <v>1.41</v>
      </c>
      <c r="AE118" s="11">
        <v>30</v>
      </c>
      <c r="AF118" s="12">
        <v>5454.6</v>
      </c>
      <c r="AG118" s="12">
        <v>3862.8</v>
      </c>
      <c r="AH118" s="13">
        <v>1.41</v>
      </c>
      <c r="AI118" s="11">
        <v>30</v>
      </c>
      <c r="AJ118" s="12">
        <v>5454.6</v>
      </c>
      <c r="AK118" s="12">
        <v>3862.8</v>
      </c>
      <c r="AL118" s="13">
        <v>1.41</v>
      </c>
      <c r="AM118" s="11">
        <v>30</v>
      </c>
      <c r="AN118" s="12">
        <v>5454.6</v>
      </c>
      <c r="AO118" s="12">
        <v>3862.8</v>
      </c>
      <c r="AP118" s="13">
        <v>1.41</v>
      </c>
      <c r="AQ118" s="14"/>
      <c r="AR118" s="14"/>
      <c r="AS118" s="14"/>
      <c r="AT118" s="14"/>
      <c r="AU118" s="14"/>
      <c r="AV118" s="14"/>
      <c r="AW118" s="14"/>
      <c r="AX118" s="14"/>
      <c r="AY118" s="11">
        <v>200</v>
      </c>
      <c r="AZ118" s="15">
        <v>36364</v>
      </c>
      <c r="BA118" s="15">
        <v>25752</v>
      </c>
      <c r="BB118" s="13">
        <v>1.41</v>
      </c>
    </row>
    <row r="119" spans="1:54" x14ac:dyDescent="0.25">
      <c r="A119" s="10" t="s">
        <v>144</v>
      </c>
      <c r="B119" s="10" t="s">
        <v>289</v>
      </c>
      <c r="C119" s="11">
        <v>35</v>
      </c>
      <c r="D119" s="13">
        <v>924.35</v>
      </c>
      <c r="E119" s="17">
        <v>654.5</v>
      </c>
      <c r="F119" s="13">
        <v>1.41</v>
      </c>
      <c r="G119" s="11">
        <v>35</v>
      </c>
      <c r="H119" s="13">
        <v>924.35</v>
      </c>
      <c r="I119" s="17">
        <v>654.5</v>
      </c>
      <c r="J119" s="13">
        <v>1.41</v>
      </c>
      <c r="K119" s="11">
        <v>35</v>
      </c>
      <c r="L119" s="13">
        <v>924.35</v>
      </c>
      <c r="M119" s="17">
        <v>654.5</v>
      </c>
      <c r="N119" s="13">
        <v>1.41</v>
      </c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1">
        <v>70</v>
      </c>
      <c r="AF119" s="12">
        <v>1848.7</v>
      </c>
      <c r="AG119" s="15">
        <v>1309</v>
      </c>
      <c r="AH119" s="13">
        <v>1.41</v>
      </c>
      <c r="AI119" s="11">
        <v>210</v>
      </c>
      <c r="AJ119" s="12">
        <v>5546.1</v>
      </c>
      <c r="AK119" s="15">
        <v>3927</v>
      </c>
      <c r="AL119" s="13">
        <v>1.41</v>
      </c>
      <c r="AM119" s="11">
        <v>210</v>
      </c>
      <c r="AN119" s="12">
        <v>5546.1</v>
      </c>
      <c r="AO119" s="15">
        <v>3927</v>
      </c>
      <c r="AP119" s="13">
        <v>1.41</v>
      </c>
      <c r="AQ119" s="11">
        <v>70</v>
      </c>
      <c r="AR119" s="12">
        <v>1848.7</v>
      </c>
      <c r="AS119" s="15">
        <v>1309</v>
      </c>
      <c r="AT119" s="13">
        <v>1.41</v>
      </c>
      <c r="AU119" s="11">
        <v>35</v>
      </c>
      <c r="AV119" s="13">
        <v>924.35</v>
      </c>
      <c r="AW119" s="17">
        <v>654.5</v>
      </c>
      <c r="AX119" s="13">
        <v>1.41</v>
      </c>
      <c r="AY119" s="11">
        <v>700</v>
      </c>
      <c r="AZ119" s="15">
        <v>18487</v>
      </c>
      <c r="BA119" s="15">
        <v>13090</v>
      </c>
      <c r="BB119" s="13">
        <v>1.41</v>
      </c>
    </row>
    <row r="120" spans="1:54" x14ac:dyDescent="0.25">
      <c r="A120" s="10" t="s">
        <v>144</v>
      </c>
      <c r="B120" s="10" t="s">
        <v>290</v>
      </c>
      <c r="C120" s="14"/>
      <c r="D120" s="14"/>
      <c r="E120" s="14"/>
      <c r="F120" s="14"/>
      <c r="G120" s="14"/>
      <c r="H120" s="14"/>
      <c r="I120" s="14"/>
      <c r="J120" s="14"/>
      <c r="K120" s="11">
        <v>50</v>
      </c>
      <c r="L120" s="15">
        <v>5308</v>
      </c>
      <c r="M120" s="15">
        <v>3759</v>
      </c>
      <c r="N120" s="13">
        <v>1.41</v>
      </c>
      <c r="O120" s="11">
        <v>50</v>
      </c>
      <c r="P120" s="15">
        <v>5308</v>
      </c>
      <c r="Q120" s="15">
        <v>3759</v>
      </c>
      <c r="R120" s="13">
        <v>1.41</v>
      </c>
      <c r="S120" s="11">
        <v>50</v>
      </c>
      <c r="T120" s="15">
        <v>5308</v>
      </c>
      <c r="U120" s="15">
        <v>3759</v>
      </c>
      <c r="V120" s="13">
        <v>1.41</v>
      </c>
      <c r="W120" s="11">
        <v>50</v>
      </c>
      <c r="X120" s="15">
        <v>5308</v>
      </c>
      <c r="Y120" s="15">
        <v>3759</v>
      </c>
      <c r="Z120" s="13">
        <v>1.41</v>
      </c>
      <c r="AA120" s="11">
        <v>75</v>
      </c>
      <c r="AB120" s="15">
        <v>7962</v>
      </c>
      <c r="AC120" s="12">
        <v>5638.5</v>
      </c>
      <c r="AD120" s="13">
        <v>1.41</v>
      </c>
      <c r="AE120" s="11">
        <v>75</v>
      </c>
      <c r="AF120" s="15">
        <v>7962</v>
      </c>
      <c r="AG120" s="12">
        <v>5638.5</v>
      </c>
      <c r="AH120" s="13">
        <v>1.41</v>
      </c>
      <c r="AI120" s="11">
        <v>75</v>
      </c>
      <c r="AJ120" s="15">
        <v>7962</v>
      </c>
      <c r="AK120" s="12">
        <v>5638.5</v>
      </c>
      <c r="AL120" s="13">
        <v>1.41</v>
      </c>
      <c r="AM120" s="11">
        <v>75</v>
      </c>
      <c r="AN120" s="15">
        <v>7962</v>
      </c>
      <c r="AO120" s="12">
        <v>5638.5</v>
      </c>
      <c r="AP120" s="13">
        <v>1.41</v>
      </c>
      <c r="AQ120" s="14"/>
      <c r="AR120" s="14"/>
      <c r="AS120" s="14"/>
      <c r="AT120" s="14"/>
      <c r="AU120" s="14"/>
      <c r="AV120" s="14"/>
      <c r="AW120" s="14"/>
      <c r="AX120" s="14"/>
      <c r="AY120" s="11">
        <v>500</v>
      </c>
      <c r="AZ120" s="15">
        <v>53080</v>
      </c>
      <c r="BA120" s="15">
        <v>37590</v>
      </c>
      <c r="BB120" s="13">
        <v>1.41</v>
      </c>
    </row>
    <row r="121" spans="1:54" x14ac:dyDescent="0.25">
      <c r="A121" s="10" t="s">
        <v>144</v>
      </c>
      <c r="B121" s="10" t="s">
        <v>291</v>
      </c>
      <c r="C121" s="14"/>
      <c r="D121" s="14"/>
      <c r="E121" s="14"/>
      <c r="F121" s="14"/>
      <c r="G121" s="14"/>
      <c r="H121" s="14"/>
      <c r="I121" s="14"/>
      <c r="J121" s="14"/>
      <c r="K121" s="11">
        <v>70</v>
      </c>
      <c r="L121" s="12">
        <v>8457.4</v>
      </c>
      <c r="M121" s="12">
        <v>5989.2</v>
      </c>
      <c r="N121" s="13">
        <v>1.41</v>
      </c>
      <c r="O121" s="11">
        <v>70</v>
      </c>
      <c r="P121" s="12">
        <v>8457.4</v>
      </c>
      <c r="Q121" s="12">
        <v>5989.2</v>
      </c>
      <c r="R121" s="13">
        <v>1.41</v>
      </c>
      <c r="S121" s="11">
        <v>70</v>
      </c>
      <c r="T121" s="12">
        <v>8457.4</v>
      </c>
      <c r="U121" s="12">
        <v>5989.2</v>
      </c>
      <c r="V121" s="13">
        <v>1.41</v>
      </c>
      <c r="W121" s="11">
        <v>70</v>
      </c>
      <c r="X121" s="12">
        <v>8457.4</v>
      </c>
      <c r="Y121" s="12">
        <v>5989.2</v>
      </c>
      <c r="Z121" s="13">
        <v>1.41</v>
      </c>
      <c r="AA121" s="11">
        <v>105</v>
      </c>
      <c r="AB121" s="12">
        <v>12686.1</v>
      </c>
      <c r="AC121" s="12">
        <v>8983.7999999999993</v>
      </c>
      <c r="AD121" s="13">
        <v>1.41</v>
      </c>
      <c r="AE121" s="11">
        <v>105</v>
      </c>
      <c r="AF121" s="12">
        <v>12686.1</v>
      </c>
      <c r="AG121" s="12">
        <v>8983.7999999999993</v>
      </c>
      <c r="AH121" s="13">
        <v>1.41</v>
      </c>
      <c r="AI121" s="11">
        <v>105</v>
      </c>
      <c r="AJ121" s="12">
        <v>12686.1</v>
      </c>
      <c r="AK121" s="12">
        <v>8983.7999999999993</v>
      </c>
      <c r="AL121" s="13">
        <v>1.41</v>
      </c>
      <c r="AM121" s="11">
        <v>105</v>
      </c>
      <c r="AN121" s="12">
        <v>12686.1</v>
      </c>
      <c r="AO121" s="12">
        <v>8983.7999999999993</v>
      </c>
      <c r="AP121" s="13">
        <v>1.41</v>
      </c>
      <c r="AQ121" s="14"/>
      <c r="AR121" s="14"/>
      <c r="AS121" s="14"/>
      <c r="AT121" s="14"/>
      <c r="AU121" s="14"/>
      <c r="AV121" s="14"/>
      <c r="AW121" s="14"/>
      <c r="AX121" s="14"/>
      <c r="AY121" s="11">
        <v>700</v>
      </c>
      <c r="AZ121" s="15">
        <v>84574</v>
      </c>
      <c r="BA121" s="15">
        <v>59892</v>
      </c>
      <c r="BB121" s="13">
        <v>1.41</v>
      </c>
    </row>
    <row r="122" spans="1:54" x14ac:dyDescent="0.25">
      <c r="A122" s="10" t="s">
        <v>144</v>
      </c>
      <c r="B122" s="10" t="s">
        <v>293</v>
      </c>
      <c r="C122" s="14"/>
      <c r="D122" s="14"/>
      <c r="E122" s="14"/>
      <c r="F122" s="14"/>
      <c r="G122" s="14"/>
      <c r="H122" s="14"/>
      <c r="I122" s="14"/>
      <c r="J122" s="14"/>
      <c r="K122" s="11">
        <v>60</v>
      </c>
      <c r="L122" s="12">
        <v>9778.2000000000007</v>
      </c>
      <c r="M122" s="12">
        <v>6924.6</v>
      </c>
      <c r="N122" s="13">
        <v>1.41</v>
      </c>
      <c r="O122" s="11">
        <v>60</v>
      </c>
      <c r="P122" s="12">
        <v>9778.2000000000007</v>
      </c>
      <c r="Q122" s="12">
        <v>6924.6</v>
      </c>
      <c r="R122" s="13">
        <v>1.41</v>
      </c>
      <c r="S122" s="11">
        <v>60</v>
      </c>
      <c r="T122" s="12">
        <v>9778.2000000000007</v>
      </c>
      <c r="U122" s="12">
        <v>6924.6</v>
      </c>
      <c r="V122" s="13">
        <v>1.41</v>
      </c>
      <c r="W122" s="11">
        <v>60</v>
      </c>
      <c r="X122" s="12">
        <v>9778.2000000000007</v>
      </c>
      <c r="Y122" s="12">
        <v>6924.6</v>
      </c>
      <c r="Z122" s="13">
        <v>1.41</v>
      </c>
      <c r="AA122" s="11">
        <v>90</v>
      </c>
      <c r="AB122" s="12">
        <v>14667.3</v>
      </c>
      <c r="AC122" s="12">
        <v>10386.9</v>
      </c>
      <c r="AD122" s="13">
        <v>1.41</v>
      </c>
      <c r="AE122" s="11">
        <v>90</v>
      </c>
      <c r="AF122" s="12">
        <v>14667.3</v>
      </c>
      <c r="AG122" s="12">
        <v>10386.9</v>
      </c>
      <c r="AH122" s="13">
        <v>1.41</v>
      </c>
      <c r="AI122" s="11">
        <v>90</v>
      </c>
      <c r="AJ122" s="12">
        <v>14667.3</v>
      </c>
      <c r="AK122" s="12">
        <v>10386.9</v>
      </c>
      <c r="AL122" s="13">
        <v>1.41</v>
      </c>
      <c r="AM122" s="11">
        <v>90</v>
      </c>
      <c r="AN122" s="12">
        <v>14667.3</v>
      </c>
      <c r="AO122" s="12">
        <v>10386.9</v>
      </c>
      <c r="AP122" s="13">
        <v>1.41</v>
      </c>
      <c r="AQ122" s="14"/>
      <c r="AR122" s="14"/>
      <c r="AS122" s="14"/>
      <c r="AT122" s="14"/>
      <c r="AU122" s="14"/>
      <c r="AV122" s="14"/>
      <c r="AW122" s="14"/>
      <c r="AX122" s="14"/>
      <c r="AY122" s="11">
        <v>600</v>
      </c>
      <c r="AZ122" s="15">
        <v>97782</v>
      </c>
      <c r="BA122" s="15">
        <v>69246</v>
      </c>
      <c r="BB122" s="13">
        <v>1.41</v>
      </c>
    </row>
    <row r="123" spans="1:54" x14ac:dyDescent="0.25">
      <c r="A123" s="10" t="s">
        <v>144</v>
      </c>
      <c r="B123" s="10" t="s">
        <v>294</v>
      </c>
      <c r="C123" s="14"/>
      <c r="D123" s="14"/>
      <c r="E123" s="14"/>
      <c r="F123" s="14"/>
      <c r="G123" s="14"/>
      <c r="H123" s="14"/>
      <c r="I123" s="14"/>
      <c r="J123" s="14"/>
      <c r="K123" s="11">
        <v>20</v>
      </c>
      <c r="L123" s="15">
        <v>1189</v>
      </c>
      <c r="M123" s="19">
        <v>842</v>
      </c>
      <c r="N123" s="13">
        <v>1.41</v>
      </c>
      <c r="O123" s="11">
        <v>70</v>
      </c>
      <c r="P123" s="12">
        <v>4161.5</v>
      </c>
      <c r="Q123" s="15">
        <v>2947</v>
      </c>
      <c r="R123" s="13">
        <v>1.41</v>
      </c>
      <c r="S123" s="11">
        <v>70</v>
      </c>
      <c r="T123" s="12">
        <v>4161.5</v>
      </c>
      <c r="U123" s="15">
        <v>2947</v>
      </c>
      <c r="V123" s="13">
        <v>1.41</v>
      </c>
      <c r="W123" s="11">
        <v>40</v>
      </c>
      <c r="X123" s="15">
        <v>2378</v>
      </c>
      <c r="Y123" s="15">
        <v>1684</v>
      </c>
      <c r="Z123" s="13">
        <v>1.41</v>
      </c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1">
        <v>200</v>
      </c>
      <c r="AZ123" s="15">
        <v>11890</v>
      </c>
      <c r="BA123" s="15">
        <v>8420</v>
      </c>
      <c r="BB123" s="13">
        <v>1.41</v>
      </c>
    </row>
    <row r="124" spans="1:54" x14ac:dyDescent="0.25">
      <c r="A124" s="10" t="s">
        <v>144</v>
      </c>
      <c r="B124" s="10" t="s">
        <v>295</v>
      </c>
      <c r="C124" s="14"/>
      <c r="D124" s="14"/>
      <c r="E124" s="14"/>
      <c r="F124" s="14"/>
      <c r="G124" s="14"/>
      <c r="H124" s="14"/>
      <c r="I124" s="14"/>
      <c r="J124" s="14"/>
      <c r="K124" s="11">
        <v>40</v>
      </c>
      <c r="L124" s="12">
        <v>3740.8</v>
      </c>
      <c r="M124" s="12">
        <v>2649.2</v>
      </c>
      <c r="N124" s="13">
        <v>1.41</v>
      </c>
      <c r="O124" s="11">
        <v>40</v>
      </c>
      <c r="P124" s="12">
        <v>3740.8</v>
      </c>
      <c r="Q124" s="12">
        <v>2649.2</v>
      </c>
      <c r="R124" s="13">
        <v>1.41</v>
      </c>
      <c r="S124" s="11">
        <v>40</v>
      </c>
      <c r="T124" s="12">
        <v>3740.8</v>
      </c>
      <c r="U124" s="12">
        <v>2649.2</v>
      </c>
      <c r="V124" s="13">
        <v>1.41</v>
      </c>
      <c r="W124" s="11">
        <v>40</v>
      </c>
      <c r="X124" s="12">
        <v>3740.8</v>
      </c>
      <c r="Y124" s="12">
        <v>2649.2</v>
      </c>
      <c r="Z124" s="13">
        <v>1.41</v>
      </c>
      <c r="AA124" s="11">
        <v>60</v>
      </c>
      <c r="AB124" s="12">
        <v>5611.2</v>
      </c>
      <c r="AC124" s="12">
        <v>3973.8</v>
      </c>
      <c r="AD124" s="13">
        <v>1.41</v>
      </c>
      <c r="AE124" s="11">
        <v>60</v>
      </c>
      <c r="AF124" s="12">
        <v>5611.2</v>
      </c>
      <c r="AG124" s="12">
        <v>3973.8</v>
      </c>
      <c r="AH124" s="13">
        <v>1.41</v>
      </c>
      <c r="AI124" s="11">
        <v>60</v>
      </c>
      <c r="AJ124" s="12">
        <v>5611.2</v>
      </c>
      <c r="AK124" s="12">
        <v>3973.8</v>
      </c>
      <c r="AL124" s="13">
        <v>1.41</v>
      </c>
      <c r="AM124" s="11">
        <v>60</v>
      </c>
      <c r="AN124" s="12">
        <v>5611.2</v>
      </c>
      <c r="AO124" s="12">
        <v>3973.8</v>
      </c>
      <c r="AP124" s="13">
        <v>1.41</v>
      </c>
      <c r="AQ124" s="14"/>
      <c r="AR124" s="14"/>
      <c r="AS124" s="14"/>
      <c r="AT124" s="14"/>
      <c r="AU124" s="14"/>
      <c r="AV124" s="14"/>
      <c r="AW124" s="14"/>
      <c r="AX124" s="14"/>
      <c r="AY124" s="11">
        <v>400</v>
      </c>
      <c r="AZ124" s="15">
        <v>37408</v>
      </c>
      <c r="BA124" s="15">
        <v>26492</v>
      </c>
      <c r="BB124" s="13">
        <v>1.41</v>
      </c>
    </row>
    <row r="125" spans="1:54" x14ac:dyDescent="0.25">
      <c r="A125" s="10" t="s">
        <v>144</v>
      </c>
      <c r="B125" s="10" t="s">
        <v>297</v>
      </c>
      <c r="C125" s="14"/>
      <c r="D125" s="14"/>
      <c r="E125" s="14"/>
      <c r="F125" s="14"/>
      <c r="G125" s="14"/>
      <c r="H125" s="14"/>
      <c r="I125" s="14"/>
      <c r="J125" s="14"/>
      <c r="K125" s="11">
        <v>80</v>
      </c>
      <c r="L125" s="12">
        <v>2255.1999999999998</v>
      </c>
      <c r="M125" s="12">
        <v>1414.4</v>
      </c>
      <c r="N125" s="13">
        <v>1.59</v>
      </c>
      <c r="O125" s="11">
        <v>240</v>
      </c>
      <c r="P125" s="12">
        <v>6765.6</v>
      </c>
      <c r="Q125" s="12">
        <v>4243.2</v>
      </c>
      <c r="R125" s="13">
        <v>1.59</v>
      </c>
      <c r="S125" s="11">
        <v>400</v>
      </c>
      <c r="T125" s="15">
        <v>11276</v>
      </c>
      <c r="U125" s="15">
        <v>7072</v>
      </c>
      <c r="V125" s="13">
        <v>1.59</v>
      </c>
      <c r="W125" s="11">
        <v>640</v>
      </c>
      <c r="X125" s="12">
        <v>18041.599999999999</v>
      </c>
      <c r="Y125" s="12">
        <v>11315.2</v>
      </c>
      <c r="Z125" s="13">
        <v>1.59</v>
      </c>
      <c r="AA125" s="11">
        <v>240</v>
      </c>
      <c r="AB125" s="12">
        <v>6765.6</v>
      </c>
      <c r="AC125" s="12">
        <v>4243.2</v>
      </c>
      <c r="AD125" s="13">
        <v>1.59</v>
      </c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8">
        <v>1600</v>
      </c>
      <c r="AZ125" s="15">
        <v>45104</v>
      </c>
      <c r="BA125" s="15">
        <v>28288</v>
      </c>
      <c r="BB125" s="13">
        <v>1.59</v>
      </c>
    </row>
    <row r="126" spans="1:54" x14ac:dyDescent="0.25">
      <c r="A126" s="10" t="s">
        <v>144</v>
      </c>
      <c r="B126" s="10" t="s">
        <v>296</v>
      </c>
      <c r="C126" s="11">
        <v>150</v>
      </c>
      <c r="D126" s="15">
        <v>5277</v>
      </c>
      <c r="E126" s="12">
        <v>4270.5</v>
      </c>
      <c r="F126" s="13">
        <v>1.24</v>
      </c>
      <c r="G126" s="11">
        <v>150</v>
      </c>
      <c r="H126" s="15">
        <v>5277</v>
      </c>
      <c r="I126" s="12">
        <v>4270.5</v>
      </c>
      <c r="J126" s="13">
        <v>1.24</v>
      </c>
      <c r="K126" s="11">
        <v>150</v>
      </c>
      <c r="L126" s="15">
        <v>5277</v>
      </c>
      <c r="M126" s="12">
        <v>4270.5</v>
      </c>
      <c r="N126" s="13">
        <v>1.24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1">
        <v>300</v>
      </c>
      <c r="AF126" s="15">
        <v>10554</v>
      </c>
      <c r="AG126" s="15">
        <v>8541</v>
      </c>
      <c r="AH126" s="13">
        <v>1.24</v>
      </c>
      <c r="AI126" s="11">
        <v>900</v>
      </c>
      <c r="AJ126" s="15">
        <v>31662</v>
      </c>
      <c r="AK126" s="15">
        <v>25623</v>
      </c>
      <c r="AL126" s="13">
        <v>1.24</v>
      </c>
      <c r="AM126" s="11">
        <v>900</v>
      </c>
      <c r="AN126" s="15">
        <v>31662</v>
      </c>
      <c r="AO126" s="15">
        <v>25623</v>
      </c>
      <c r="AP126" s="13">
        <v>1.24</v>
      </c>
      <c r="AQ126" s="11">
        <v>300</v>
      </c>
      <c r="AR126" s="15">
        <v>10554</v>
      </c>
      <c r="AS126" s="15">
        <v>8541</v>
      </c>
      <c r="AT126" s="13">
        <v>1.24</v>
      </c>
      <c r="AU126" s="11">
        <v>150</v>
      </c>
      <c r="AV126" s="15">
        <v>5277</v>
      </c>
      <c r="AW126" s="12">
        <v>4270.5</v>
      </c>
      <c r="AX126" s="13">
        <v>1.24</v>
      </c>
      <c r="AY126" s="18">
        <v>3000</v>
      </c>
      <c r="AZ126" s="15">
        <v>105540</v>
      </c>
      <c r="BA126" s="15">
        <v>85410</v>
      </c>
      <c r="BB126" s="13">
        <v>1.24</v>
      </c>
    </row>
    <row r="127" spans="1:54" x14ac:dyDescent="0.25">
      <c r="A127" s="10" t="s">
        <v>144</v>
      </c>
      <c r="B127" s="10" t="s">
        <v>298</v>
      </c>
      <c r="C127" s="11">
        <v>75</v>
      </c>
      <c r="D127" s="16">
        <v>2858.25</v>
      </c>
      <c r="E127" s="16">
        <v>2024.25</v>
      </c>
      <c r="F127" s="13">
        <v>1.41</v>
      </c>
      <c r="G127" s="11">
        <v>75</v>
      </c>
      <c r="H127" s="16">
        <v>2858.25</v>
      </c>
      <c r="I127" s="16">
        <v>2024.25</v>
      </c>
      <c r="J127" s="13">
        <v>1.41</v>
      </c>
      <c r="K127" s="11">
        <v>75</v>
      </c>
      <c r="L127" s="16">
        <v>2858.25</v>
      </c>
      <c r="M127" s="16">
        <v>2024.25</v>
      </c>
      <c r="N127" s="13">
        <v>1.41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1">
        <v>225</v>
      </c>
      <c r="AF127" s="16">
        <v>8574.75</v>
      </c>
      <c r="AG127" s="16">
        <v>6072.75</v>
      </c>
      <c r="AH127" s="13">
        <v>1.41</v>
      </c>
      <c r="AI127" s="11">
        <v>300</v>
      </c>
      <c r="AJ127" s="15">
        <v>11433</v>
      </c>
      <c r="AK127" s="15">
        <v>8097</v>
      </c>
      <c r="AL127" s="13">
        <v>1.41</v>
      </c>
      <c r="AM127" s="11">
        <v>225</v>
      </c>
      <c r="AN127" s="16">
        <v>8574.75</v>
      </c>
      <c r="AO127" s="16">
        <v>6072.75</v>
      </c>
      <c r="AP127" s="13">
        <v>1.41</v>
      </c>
      <c r="AQ127" s="11">
        <v>300</v>
      </c>
      <c r="AR127" s="15">
        <v>11433</v>
      </c>
      <c r="AS127" s="15">
        <v>8097</v>
      </c>
      <c r="AT127" s="13">
        <v>1.41</v>
      </c>
      <c r="AU127" s="11">
        <v>225</v>
      </c>
      <c r="AV127" s="16">
        <v>8574.75</v>
      </c>
      <c r="AW127" s="16">
        <v>6072.75</v>
      </c>
      <c r="AX127" s="13">
        <v>1.41</v>
      </c>
      <c r="AY127" s="18">
        <v>1500</v>
      </c>
      <c r="AZ127" s="15">
        <v>57165</v>
      </c>
      <c r="BA127" s="15">
        <v>40485</v>
      </c>
      <c r="BB127" s="13">
        <v>1.41</v>
      </c>
    </row>
    <row r="128" spans="1:54" x14ac:dyDescent="0.25">
      <c r="A128" s="10" t="s">
        <v>144</v>
      </c>
      <c r="B128" s="10" t="s">
        <v>299</v>
      </c>
      <c r="C128" s="14"/>
      <c r="D128" s="14"/>
      <c r="E128" s="14"/>
      <c r="F128" s="14"/>
      <c r="G128" s="14"/>
      <c r="H128" s="14"/>
      <c r="I128" s="14"/>
      <c r="J128" s="14"/>
      <c r="K128" s="11">
        <v>80</v>
      </c>
      <c r="L128" s="12">
        <v>21177.599999999999</v>
      </c>
      <c r="M128" s="12">
        <v>14997.6</v>
      </c>
      <c r="N128" s="13">
        <v>1.41</v>
      </c>
      <c r="O128" s="11">
        <v>80</v>
      </c>
      <c r="P128" s="12">
        <v>21177.599999999999</v>
      </c>
      <c r="Q128" s="12">
        <v>14997.6</v>
      </c>
      <c r="R128" s="13">
        <v>1.41</v>
      </c>
      <c r="S128" s="11">
        <v>120</v>
      </c>
      <c r="T128" s="12">
        <v>31766.400000000001</v>
      </c>
      <c r="U128" s="12">
        <v>22496.400000000001</v>
      </c>
      <c r="V128" s="13">
        <v>1.41</v>
      </c>
      <c r="W128" s="11">
        <v>100</v>
      </c>
      <c r="X128" s="15">
        <v>26472</v>
      </c>
      <c r="Y128" s="15">
        <v>18747</v>
      </c>
      <c r="Z128" s="13">
        <v>1.41</v>
      </c>
      <c r="AA128" s="11">
        <v>20</v>
      </c>
      <c r="AB128" s="12">
        <v>5294.4</v>
      </c>
      <c r="AC128" s="12">
        <v>3749.4</v>
      </c>
      <c r="AD128" s="13">
        <v>1.41</v>
      </c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1">
        <v>400</v>
      </c>
      <c r="AZ128" s="15">
        <v>105888</v>
      </c>
      <c r="BA128" s="15">
        <v>74988</v>
      </c>
      <c r="BB128" s="13">
        <v>1.41</v>
      </c>
    </row>
    <row r="129" spans="1:54" x14ac:dyDescent="0.25">
      <c r="A129" s="10" t="s">
        <v>144</v>
      </c>
      <c r="B129" s="10" t="s">
        <v>300</v>
      </c>
      <c r="C129" s="11">
        <v>50</v>
      </c>
      <c r="D129" s="15">
        <v>1134</v>
      </c>
      <c r="E129" s="19">
        <v>803</v>
      </c>
      <c r="F129" s="13">
        <v>1.41</v>
      </c>
      <c r="G129" s="11">
        <v>50</v>
      </c>
      <c r="H129" s="15">
        <v>1134</v>
      </c>
      <c r="I129" s="19">
        <v>803</v>
      </c>
      <c r="J129" s="13">
        <v>1.41</v>
      </c>
      <c r="K129" s="11">
        <v>50</v>
      </c>
      <c r="L129" s="15">
        <v>1134</v>
      </c>
      <c r="M129" s="19">
        <v>803</v>
      </c>
      <c r="N129" s="13">
        <v>1.41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1">
        <v>100</v>
      </c>
      <c r="AF129" s="15">
        <v>2268</v>
      </c>
      <c r="AG129" s="15">
        <v>1606</v>
      </c>
      <c r="AH129" s="13">
        <v>1.41</v>
      </c>
      <c r="AI129" s="11">
        <v>300</v>
      </c>
      <c r="AJ129" s="15">
        <v>6804</v>
      </c>
      <c r="AK129" s="15">
        <v>4818</v>
      </c>
      <c r="AL129" s="13">
        <v>1.41</v>
      </c>
      <c r="AM129" s="11">
        <v>300</v>
      </c>
      <c r="AN129" s="15">
        <v>6804</v>
      </c>
      <c r="AO129" s="15">
        <v>4818</v>
      </c>
      <c r="AP129" s="13">
        <v>1.41</v>
      </c>
      <c r="AQ129" s="11">
        <v>100</v>
      </c>
      <c r="AR129" s="15">
        <v>2268</v>
      </c>
      <c r="AS129" s="15">
        <v>1606</v>
      </c>
      <c r="AT129" s="13">
        <v>1.41</v>
      </c>
      <c r="AU129" s="11">
        <v>50</v>
      </c>
      <c r="AV129" s="15">
        <v>1134</v>
      </c>
      <c r="AW129" s="19">
        <v>803</v>
      </c>
      <c r="AX129" s="13">
        <v>1.41</v>
      </c>
      <c r="AY129" s="18">
        <v>1000</v>
      </c>
      <c r="AZ129" s="15">
        <v>22680</v>
      </c>
      <c r="BA129" s="15">
        <v>16060</v>
      </c>
      <c r="BB129" s="13">
        <v>1.41</v>
      </c>
    </row>
    <row r="130" spans="1:54" x14ac:dyDescent="0.25">
      <c r="A130" s="10" t="s">
        <v>144</v>
      </c>
      <c r="B130" s="10" t="s">
        <v>301</v>
      </c>
      <c r="C130" s="14"/>
      <c r="D130" s="14"/>
      <c r="E130" s="14"/>
      <c r="F130" s="14"/>
      <c r="G130" s="14"/>
      <c r="H130" s="14"/>
      <c r="I130" s="14"/>
      <c r="J130" s="14"/>
      <c r="K130" s="11">
        <v>120</v>
      </c>
      <c r="L130" s="12">
        <v>36250.800000000003</v>
      </c>
      <c r="M130" s="12">
        <v>23697.599999999999</v>
      </c>
      <c r="N130" s="13">
        <v>1.53</v>
      </c>
      <c r="O130" s="11">
        <v>120</v>
      </c>
      <c r="P130" s="12">
        <v>36250.800000000003</v>
      </c>
      <c r="Q130" s="12">
        <v>23697.599999999999</v>
      </c>
      <c r="R130" s="13">
        <v>1.53</v>
      </c>
      <c r="S130" s="11">
        <v>180</v>
      </c>
      <c r="T130" s="12">
        <v>54376.2</v>
      </c>
      <c r="U130" s="12">
        <v>35546.400000000001</v>
      </c>
      <c r="V130" s="13">
        <v>1.53</v>
      </c>
      <c r="W130" s="11">
        <v>150</v>
      </c>
      <c r="X130" s="12">
        <v>45313.5</v>
      </c>
      <c r="Y130" s="15">
        <v>29622</v>
      </c>
      <c r="Z130" s="13">
        <v>1.53</v>
      </c>
      <c r="AA130" s="11">
        <v>30</v>
      </c>
      <c r="AB130" s="12">
        <v>9062.7000000000007</v>
      </c>
      <c r="AC130" s="12">
        <v>5924.4</v>
      </c>
      <c r="AD130" s="13">
        <v>1.53</v>
      </c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1">
        <v>600</v>
      </c>
      <c r="AZ130" s="15">
        <v>181254</v>
      </c>
      <c r="BA130" s="15">
        <v>118488</v>
      </c>
      <c r="BB130" s="13">
        <v>1.53</v>
      </c>
    </row>
    <row r="131" spans="1:54" x14ac:dyDescent="0.25">
      <c r="A131" s="10" t="s">
        <v>144</v>
      </c>
      <c r="B131" s="10" t="s">
        <v>302</v>
      </c>
      <c r="C131" s="11">
        <v>100</v>
      </c>
      <c r="D131" s="15">
        <v>2508</v>
      </c>
      <c r="E131" s="15">
        <v>1776</v>
      </c>
      <c r="F131" s="13">
        <v>1.41</v>
      </c>
      <c r="G131" s="11">
        <v>100</v>
      </c>
      <c r="H131" s="15">
        <v>2508</v>
      </c>
      <c r="I131" s="15">
        <v>1776</v>
      </c>
      <c r="J131" s="13">
        <v>1.41</v>
      </c>
      <c r="K131" s="11">
        <v>100</v>
      </c>
      <c r="L131" s="15">
        <v>2508</v>
      </c>
      <c r="M131" s="15">
        <v>1776</v>
      </c>
      <c r="N131" s="13">
        <v>1.41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1">
        <v>300</v>
      </c>
      <c r="AF131" s="15">
        <v>7524</v>
      </c>
      <c r="AG131" s="15">
        <v>5328</v>
      </c>
      <c r="AH131" s="13">
        <v>1.41</v>
      </c>
      <c r="AI131" s="11">
        <v>300</v>
      </c>
      <c r="AJ131" s="15">
        <v>7524</v>
      </c>
      <c r="AK131" s="15">
        <v>5328</v>
      </c>
      <c r="AL131" s="13">
        <v>1.41</v>
      </c>
      <c r="AM131" s="11">
        <v>400</v>
      </c>
      <c r="AN131" s="15">
        <v>10032</v>
      </c>
      <c r="AO131" s="15">
        <v>7104</v>
      </c>
      <c r="AP131" s="13">
        <v>1.41</v>
      </c>
      <c r="AQ131" s="11">
        <v>300</v>
      </c>
      <c r="AR131" s="15">
        <v>7524</v>
      </c>
      <c r="AS131" s="15">
        <v>5328</v>
      </c>
      <c r="AT131" s="13">
        <v>1.41</v>
      </c>
      <c r="AU131" s="11">
        <v>400</v>
      </c>
      <c r="AV131" s="15">
        <v>10032</v>
      </c>
      <c r="AW131" s="15">
        <v>7104</v>
      </c>
      <c r="AX131" s="13">
        <v>1.41</v>
      </c>
      <c r="AY131" s="18">
        <v>2000</v>
      </c>
      <c r="AZ131" s="15">
        <v>50160</v>
      </c>
      <c r="BA131" s="15">
        <v>35520</v>
      </c>
      <c r="BB131" s="13">
        <v>1.41</v>
      </c>
    </row>
    <row r="132" spans="1:54" x14ac:dyDescent="0.25">
      <c r="A132" s="10" t="s">
        <v>144</v>
      </c>
      <c r="B132" s="10" t="s">
        <v>303</v>
      </c>
      <c r="C132" s="14"/>
      <c r="D132" s="14"/>
      <c r="E132" s="14"/>
      <c r="F132" s="14"/>
      <c r="G132" s="14"/>
      <c r="H132" s="14"/>
      <c r="I132" s="14"/>
      <c r="J132" s="14"/>
      <c r="K132" s="11">
        <v>200</v>
      </c>
      <c r="L132" s="15">
        <v>33968</v>
      </c>
      <c r="M132" s="15">
        <v>24056</v>
      </c>
      <c r="N132" s="13">
        <v>1.41</v>
      </c>
      <c r="O132" s="11">
        <v>200</v>
      </c>
      <c r="P132" s="15">
        <v>33968</v>
      </c>
      <c r="Q132" s="15">
        <v>24056</v>
      </c>
      <c r="R132" s="13">
        <v>1.41</v>
      </c>
      <c r="S132" s="11">
        <v>300</v>
      </c>
      <c r="T132" s="15">
        <v>50952</v>
      </c>
      <c r="U132" s="15">
        <v>36084</v>
      </c>
      <c r="V132" s="13">
        <v>1.41</v>
      </c>
      <c r="W132" s="11">
        <v>250</v>
      </c>
      <c r="X132" s="15">
        <v>42460</v>
      </c>
      <c r="Y132" s="15">
        <v>30070</v>
      </c>
      <c r="Z132" s="13">
        <v>1.41</v>
      </c>
      <c r="AA132" s="11">
        <v>50</v>
      </c>
      <c r="AB132" s="15">
        <v>8492</v>
      </c>
      <c r="AC132" s="15">
        <v>6014</v>
      </c>
      <c r="AD132" s="13">
        <v>1.41</v>
      </c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8">
        <v>1000</v>
      </c>
      <c r="AZ132" s="15">
        <v>169840</v>
      </c>
      <c r="BA132" s="15">
        <v>120280</v>
      </c>
      <c r="BB132" s="13">
        <v>1.41</v>
      </c>
    </row>
    <row r="133" spans="1:54" x14ac:dyDescent="0.25">
      <c r="A133" s="10" t="s">
        <v>144</v>
      </c>
      <c r="B133" s="10" t="s">
        <v>304</v>
      </c>
      <c r="C133" s="14"/>
      <c r="D133" s="14"/>
      <c r="E133" s="14"/>
      <c r="F133" s="14"/>
      <c r="G133" s="14"/>
      <c r="H133" s="14"/>
      <c r="I133" s="14"/>
      <c r="J133" s="14"/>
      <c r="K133" s="11">
        <v>340</v>
      </c>
      <c r="L133" s="12">
        <v>17370.599999999999</v>
      </c>
      <c r="M133" s="12">
        <v>12301.2</v>
      </c>
      <c r="N133" s="13">
        <v>1.41</v>
      </c>
      <c r="O133" s="18">
        <v>1190</v>
      </c>
      <c r="P133" s="12">
        <v>60797.1</v>
      </c>
      <c r="Q133" s="12">
        <v>43054.2</v>
      </c>
      <c r="R133" s="13">
        <v>1.41</v>
      </c>
      <c r="S133" s="18">
        <v>1190</v>
      </c>
      <c r="T133" s="12">
        <v>60797.1</v>
      </c>
      <c r="U133" s="12">
        <v>43054.2</v>
      </c>
      <c r="V133" s="13">
        <v>1.41</v>
      </c>
      <c r="W133" s="11">
        <v>680</v>
      </c>
      <c r="X133" s="12">
        <v>34741.199999999997</v>
      </c>
      <c r="Y133" s="12">
        <v>24602.400000000001</v>
      </c>
      <c r="Z133" s="13">
        <v>1.41</v>
      </c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8">
        <v>3400</v>
      </c>
      <c r="AZ133" s="15">
        <v>173706</v>
      </c>
      <c r="BA133" s="15">
        <v>123012</v>
      </c>
      <c r="BB133" s="13">
        <v>1.41</v>
      </c>
    </row>
    <row r="134" spans="1:54" x14ac:dyDescent="0.25">
      <c r="A134" s="10" t="s">
        <v>144</v>
      </c>
      <c r="B134" s="10" t="s">
        <v>305</v>
      </c>
      <c r="C134" s="14"/>
      <c r="D134" s="14"/>
      <c r="E134" s="14"/>
      <c r="F134" s="14"/>
      <c r="G134" s="14"/>
      <c r="H134" s="14"/>
      <c r="I134" s="14"/>
      <c r="J134" s="14"/>
      <c r="K134" s="11">
        <v>40</v>
      </c>
      <c r="L134" s="15">
        <v>6438</v>
      </c>
      <c r="M134" s="12">
        <v>4559.2</v>
      </c>
      <c r="N134" s="13">
        <v>1.41</v>
      </c>
      <c r="O134" s="11">
        <v>40</v>
      </c>
      <c r="P134" s="15">
        <v>6438</v>
      </c>
      <c r="Q134" s="12">
        <v>4559.2</v>
      </c>
      <c r="R134" s="13">
        <v>1.41</v>
      </c>
      <c r="S134" s="11">
        <v>40</v>
      </c>
      <c r="T134" s="15">
        <v>6438</v>
      </c>
      <c r="U134" s="12">
        <v>4559.2</v>
      </c>
      <c r="V134" s="13">
        <v>1.41</v>
      </c>
      <c r="W134" s="11">
        <v>40</v>
      </c>
      <c r="X134" s="15">
        <v>6438</v>
      </c>
      <c r="Y134" s="12">
        <v>4559.2</v>
      </c>
      <c r="Z134" s="13">
        <v>1.41</v>
      </c>
      <c r="AA134" s="11">
        <v>60</v>
      </c>
      <c r="AB134" s="15">
        <v>9657</v>
      </c>
      <c r="AC134" s="12">
        <v>6838.8</v>
      </c>
      <c r="AD134" s="13">
        <v>1.41</v>
      </c>
      <c r="AE134" s="11">
        <v>60</v>
      </c>
      <c r="AF134" s="15">
        <v>9657</v>
      </c>
      <c r="AG134" s="12">
        <v>6838.8</v>
      </c>
      <c r="AH134" s="13">
        <v>1.41</v>
      </c>
      <c r="AI134" s="11">
        <v>60</v>
      </c>
      <c r="AJ134" s="15">
        <v>9657</v>
      </c>
      <c r="AK134" s="12">
        <v>6838.8</v>
      </c>
      <c r="AL134" s="13">
        <v>1.41</v>
      </c>
      <c r="AM134" s="11">
        <v>60</v>
      </c>
      <c r="AN134" s="15">
        <v>9657</v>
      </c>
      <c r="AO134" s="12">
        <v>6838.8</v>
      </c>
      <c r="AP134" s="13">
        <v>1.41</v>
      </c>
      <c r="AQ134" s="14"/>
      <c r="AR134" s="14"/>
      <c r="AS134" s="14"/>
      <c r="AT134" s="14"/>
      <c r="AU134" s="14"/>
      <c r="AV134" s="14"/>
      <c r="AW134" s="14"/>
      <c r="AX134" s="14"/>
      <c r="AY134" s="11">
        <v>400</v>
      </c>
      <c r="AZ134" s="15">
        <v>64380</v>
      </c>
      <c r="BA134" s="15">
        <v>45592</v>
      </c>
      <c r="BB134" s="13">
        <v>1.41</v>
      </c>
    </row>
    <row r="135" spans="1:54" x14ac:dyDescent="0.25">
      <c r="A135" s="10" t="s">
        <v>144</v>
      </c>
      <c r="B135" s="10" t="s">
        <v>292</v>
      </c>
      <c r="C135" s="14"/>
      <c r="D135" s="14"/>
      <c r="E135" s="14"/>
      <c r="F135" s="14"/>
      <c r="G135" s="14"/>
      <c r="H135" s="14"/>
      <c r="I135" s="14"/>
      <c r="J135" s="14"/>
      <c r="K135" s="11">
        <v>80</v>
      </c>
      <c r="L135" s="15">
        <v>20024</v>
      </c>
      <c r="M135" s="12">
        <v>14180.8</v>
      </c>
      <c r="N135" s="13">
        <v>1.41</v>
      </c>
      <c r="O135" s="11">
        <v>80</v>
      </c>
      <c r="P135" s="15">
        <v>20024</v>
      </c>
      <c r="Q135" s="12">
        <v>14180.8</v>
      </c>
      <c r="R135" s="13">
        <v>1.41</v>
      </c>
      <c r="S135" s="11">
        <v>80</v>
      </c>
      <c r="T135" s="15">
        <v>20024</v>
      </c>
      <c r="U135" s="12">
        <v>14180.8</v>
      </c>
      <c r="V135" s="13">
        <v>1.41</v>
      </c>
      <c r="W135" s="11">
        <v>80</v>
      </c>
      <c r="X135" s="15">
        <v>20024</v>
      </c>
      <c r="Y135" s="12">
        <v>14180.8</v>
      </c>
      <c r="Z135" s="13">
        <v>1.41</v>
      </c>
      <c r="AA135" s="11">
        <v>80</v>
      </c>
      <c r="AB135" s="15">
        <v>20024</v>
      </c>
      <c r="AC135" s="12">
        <v>14180.8</v>
      </c>
      <c r="AD135" s="13">
        <v>1.41</v>
      </c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1">
        <v>400</v>
      </c>
      <c r="AZ135" s="15">
        <v>100120</v>
      </c>
      <c r="BA135" s="15">
        <v>70904</v>
      </c>
      <c r="BB135" s="13">
        <v>1.41</v>
      </c>
    </row>
    <row r="136" spans="1:54" x14ac:dyDescent="0.25">
      <c r="A136" s="10" t="s">
        <v>144</v>
      </c>
      <c r="B136" s="10" t="s">
        <v>320</v>
      </c>
      <c r="C136" s="14"/>
      <c r="D136" s="14"/>
      <c r="E136" s="14"/>
      <c r="F136" s="14"/>
      <c r="G136" s="14"/>
      <c r="H136" s="14"/>
      <c r="I136" s="14"/>
      <c r="J136" s="14"/>
      <c r="K136" s="11">
        <v>90</v>
      </c>
      <c r="L136" s="12">
        <v>3356.1</v>
      </c>
      <c r="M136" s="12">
        <v>2376.9</v>
      </c>
      <c r="N136" s="13">
        <v>1.41</v>
      </c>
      <c r="O136" s="11">
        <v>315</v>
      </c>
      <c r="P136" s="16">
        <v>11746.35</v>
      </c>
      <c r="Q136" s="16">
        <v>8319.15</v>
      </c>
      <c r="R136" s="13">
        <v>1.41</v>
      </c>
      <c r="S136" s="11">
        <v>315</v>
      </c>
      <c r="T136" s="16">
        <v>11746.35</v>
      </c>
      <c r="U136" s="16">
        <v>8319.15</v>
      </c>
      <c r="V136" s="13">
        <v>1.41</v>
      </c>
      <c r="W136" s="11">
        <v>180</v>
      </c>
      <c r="X136" s="12">
        <v>6712.2</v>
      </c>
      <c r="Y136" s="12">
        <v>4753.8</v>
      </c>
      <c r="Z136" s="13">
        <v>1.41</v>
      </c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1">
        <v>900</v>
      </c>
      <c r="AZ136" s="15">
        <v>33561</v>
      </c>
      <c r="BA136" s="15">
        <v>23769</v>
      </c>
      <c r="BB136" s="13">
        <v>1.41</v>
      </c>
    </row>
    <row r="137" spans="1:54" x14ac:dyDescent="0.25">
      <c r="A137" s="10" t="s">
        <v>144</v>
      </c>
      <c r="B137" s="10" t="s">
        <v>306</v>
      </c>
      <c r="C137" s="11">
        <v>1.05</v>
      </c>
      <c r="D137" s="17">
        <v>811.8</v>
      </c>
      <c r="E137" s="13">
        <v>530.67999999999995</v>
      </c>
      <c r="F137" s="13">
        <v>1.53</v>
      </c>
      <c r="G137" s="11">
        <v>2.1</v>
      </c>
      <c r="H137" s="16">
        <v>1623.59</v>
      </c>
      <c r="I137" s="16">
        <v>1061.3599999999999</v>
      </c>
      <c r="J137" s="13">
        <v>1.53</v>
      </c>
      <c r="K137" s="11">
        <v>15.75</v>
      </c>
      <c r="L137" s="16">
        <v>12176.96</v>
      </c>
      <c r="M137" s="16">
        <v>7960.21</v>
      </c>
      <c r="N137" s="13">
        <v>1.53</v>
      </c>
      <c r="O137" s="11">
        <v>18.899999999999999</v>
      </c>
      <c r="P137" s="16">
        <v>14612.35</v>
      </c>
      <c r="Q137" s="16">
        <v>9552.25</v>
      </c>
      <c r="R137" s="13">
        <v>1.53</v>
      </c>
      <c r="S137" s="11">
        <v>12.6</v>
      </c>
      <c r="T137" s="16">
        <v>9741.56</v>
      </c>
      <c r="U137" s="16">
        <v>6368.17</v>
      </c>
      <c r="V137" s="13">
        <v>1.53</v>
      </c>
      <c r="W137" s="11">
        <v>8.4</v>
      </c>
      <c r="X137" s="16">
        <v>6494.38</v>
      </c>
      <c r="Y137" s="16">
        <v>4245.4399999999996</v>
      </c>
      <c r="Z137" s="13">
        <v>1.53</v>
      </c>
      <c r="AA137" s="11">
        <v>7</v>
      </c>
      <c r="AB137" s="16">
        <v>5411.98</v>
      </c>
      <c r="AC137" s="16">
        <v>3537.87</v>
      </c>
      <c r="AD137" s="13">
        <v>1.53</v>
      </c>
      <c r="AE137" s="11">
        <v>0.7</v>
      </c>
      <c r="AF137" s="17">
        <v>541.20000000000005</v>
      </c>
      <c r="AG137" s="13">
        <v>353.79</v>
      </c>
      <c r="AH137" s="13">
        <v>1.53</v>
      </c>
      <c r="AI137" s="11">
        <v>0.7</v>
      </c>
      <c r="AJ137" s="17">
        <v>541.20000000000005</v>
      </c>
      <c r="AK137" s="13">
        <v>353.79</v>
      </c>
      <c r="AL137" s="13">
        <v>1.53</v>
      </c>
      <c r="AM137" s="11">
        <v>0.7</v>
      </c>
      <c r="AN137" s="17">
        <v>541.20000000000005</v>
      </c>
      <c r="AO137" s="13">
        <v>353.79</v>
      </c>
      <c r="AP137" s="13">
        <v>1.53</v>
      </c>
      <c r="AQ137" s="11">
        <v>1.05</v>
      </c>
      <c r="AR137" s="17">
        <v>811.8</v>
      </c>
      <c r="AS137" s="13">
        <v>530.67999999999995</v>
      </c>
      <c r="AT137" s="13">
        <v>1.53</v>
      </c>
      <c r="AU137" s="11">
        <v>1.05</v>
      </c>
      <c r="AV137" s="17">
        <v>811.8</v>
      </c>
      <c r="AW137" s="13">
        <v>530.67999999999995</v>
      </c>
      <c r="AX137" s="13">
        <v>1.53</v>
      </c>
      <c r="AY137" s="11">
        <v>70</v>
      </c>
      <c r="AZ137" s="16">
        <v>54119.82</v>
      </c>
      <c r="BA137" s="16">
        <v>35378.71</v>
      </c>
      <c r="BB137" s="13">
        <v>1.53</v>
      </c>
    </row>
    <row r="138" spans="1:54" x14ac:dyDescent="0.25">
      <c r="A138" s="10" t="s">
        <v>144</v>
      </c>
      <c r="B138" s="10" t="s">
        <v>307</v>
      </c>
      <c r="C138" s="11">
        <v>250</v>
      </c>
      <c r="D138" s="12">
        <v>3817.5</v>
      </c>
      <c r="E138" s="15">
        <v>3090</v>
      </c>
      <c r="F138" s="13">
        <v>1.24</v>
      </c>
      <c r="G138" s="11">
        <v>250</v>
      </c>
      <c r="H138" s="12">
        <v>3817.5</v>
      </c>
      <c r="I138" s="15">
        <v>3090</v>
      </c>
      <c r="J138" s="13">
        <v>1.24</v>
      </c>
      <c r="K138" s="11">
        <v>250</v>
      </c>
      <c r="L138" s="12">
        <v>3817.5</v>
      </c>
      <c r="M138" s="15">
        <v>3090</v>
      </c>
      <c r="N138" s="13">
        <v>1.24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1">
        <v>500</v>
      </c>
      <c r="AF138" s="15">
        <v>7635</v>
      </c>
      <c r="AG138" s="15">
        <v>6180</v>
      </c>
      <c r="AH138" s="13">
        <v>1.24</v>
      </c>
      <c r="AI138" s="18">
        <v>1500</v>
      </c>
      <c r="AJ138" s="15">
        <v>22905</v>
      </c>
      <c r="AK138" s="15">
        <v>18540</v>
      </c>
      <c r="AL138" s="13">
        <v>1.24</v>
      </c>
      <c r="AM138" s="18">
        <v>1500</v>
      </c>
      <c r="AN138" s="15">
        <v>22905</v>
      </c>
      <c r="AO138" s="15">
        <v>18540</v>
      </c>
      <c r="AP138" s="13">
        <v>1.24</v>
      </c>
      <c r="AQ138" s="11">
        <v>500</v>
      </c>
      <c r="AR138" s="15">
        <v>7635</v>
      </c>
      <c r="AS138" s="15">
        <v>6180</v>
      </c>
      <c r="AT138" s="13">
        <v>1.24</v>
      </c>
      <c r="AU138" s="11">
        <v>250</v>
      </c>
      <c r="AV138" s="12">
        <v>3817.5</v>
      </c>
      <c r="AW138" s="15">
        <v>3090</v>
      </c>
      <c r="AX138" s="13">
        <v>1.24</v>
      </c>
      <c r="AY138" s="18">
        <v>5000</v>
      </c>
      <c r="AZ138" s="15">
        <v>76350</v>
      </c>
      <c r="BA138" s="15">
        <v>61800</v>
      </c>
      <c r="BB138" s="13">
        <v>1.24</v>
      </c>
    </row>
    <row r="139" spans="1:54" x14ac:dyDescent="0.25">
      <c r="A139" s="10" t="s">
        <v>144</v>
      </c>
      <c r="B139" s="10" t="s">
        <v>308</v>
      </c>
      <c r="C139" s="11">
        <v>75</v>
      </c>
      <c r="D139" s="16">
        <v>1944.75</v>
      </c>
      <c r="E139" s="15">
        <v>1377</v>
      </c>
      <c r="F139" s="13">
        <v>1.41</v>
      </c>
      <c r="G139" s="11">
        <v>75</v>
      </c>
      <c r="H139" s="16">
        <v>1944.75</v>
      </c>
      <c r="I139" s="15">
        <v>1377</v>
      </c>
      <c r="J139" s="13">
        <v>1.41</v>
      </c>
      <c r="K139" s="11">
        <v>75</v>
      </c>
      <c r="L139" s="16">
        <v>1944.75</v>
      </c>
      <c r="M139" s="15">
        <v>1377</v>
      </c>
      <c r="N139" s="13">
        <v>1.41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1">
        <v>225</v>
      </c>
      <c r="AF139" s="16">
        <v>5834.25</v>
      </c>
      <c r="AG139" s="15">
        <v>4131</v>
      </c>
      <c r="AH139" s="13">
        <v>1.41</v>
      </c>
      <c r="AI139" s="11">
        <v>225</v>
      </c>
      <c r="AJ139" s="16">
        <v>5834.25</v>
      </c>
      <c r="AK139" s="15">
        <v>4131</v>
      </c>
      <c r="AL139" s="13">
        <v>1.41</v>
      </c>
      <c r="AM139" s="11">
        <v>300</v>
      </c>
      <c r="AN139" s="15">
        <v>7779</v>
      </c>
      <c r="AO139" s="15">
        <v>5508</v>
      </c>
      <c r="AP139" s="13">
        <v>1.41</v>
      </c>
      <c r="AQ139" s="11">
        <v>225</v>
      </c>
      <c r="AR139" s="16">
        <v>5834.25</v>
      </c>
      <c r="AS139" s="15">
        <v>4131</v>
      </c>
      <c r="AT139" s="13">
        <v>1.41</v>
      </c>
      <c r="AU139" s="11">
        <v>300</v>
      </c>
      <c r="AV139" s="15">
        <v>7779</v>
      </c>
      <c r="AW139" s="15">
        <v>5508</v>
      </c>
      <c r="AX139" s="13">
        <v>1.41</v>
      </c>
      <c r="AY139" s="18">
        <v>1500</v>
      </c>
      <c r="AZ139" s="15">
        <v>38895</v>
      </c>
      <c r="BA139" s="15">
        <v>27540</v>
      </c>
      <c r="BB139" s="13">
        <v>1.41</v>
      </c>
    </row>
    <row r="140" spans="1:54" x14ac:dyDescent="0.25">
      <c r="A140" s="10" t="s">
        <v>144</v>
      </c>
      <c r="B140" s="10" t="s">
        <v>309</v>
      </c>
      <c r="C140" s="11">
        <v>12.5</v>
      </c>
      <c r="D140" s="13">
        <v>465.13</v>
      </c>
      <c r="E140" s="13">
        <v>329.38</v>
      </c>
      <c r="F140" s="13">
        <v>1.41</v>
      </c>
      <c r="G140" s="11">
        <v>12.5</v>
      </c>
      <c r="H140" s="13">
        <v>465.13</v>
      </c>
      <c r="I140" s="13">
        <v>329.38</v>
      </c>
      <c r="J140" s="13">
        <v>1.41</v>
      </c>
      <c r="K140" s="11">
        <v>12.5</v>
      </c>
      <c r="L140" s="13">
        <v>465.13</v>
      </c>
      <c r="M140" s="13">
        <v>329.38</v>
      </c>
      <c r="N140" s="13">
        <v>1.41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1">
        <v>37.5</v>
      </c>
      <c r="AF140" s="16">
        <v>1395.38</v>
      </c>
      <c r="AG140" s="13">
        <v>988.13</v>
      </c>
      <c r="AH140" s="13">
        <v>1.41</v>
      </c>
      <c r="AI140" s="11">
        <v>50</v>
      </c>
      <c r="AJ140" s="12">
        <v>1860.5</v>
      </c>
      <c r="AK140" s="12">
        <v>1317.5</v>
      </c>
      <c r="AL140" s="13">
        <v>1.41</v>
      </c>
      <c r="AM140" s="11">
        <v>37.5</v>
      </c>
      <c r="AN140" s="16">
        <v>1395.38</v>
      </c>
      <c r="AO140" s="13">
        <v>988.13</v>
      </c>
      <c r="AP140" s="13">
        <v>1.41</v>
      </c>
      <c r="AQ140" s="11">
        <v>50</v>
      </c>
      <c r="AR140" s="12">
        <v>1860.5</v>
      </c>
      <c r="AS140" s="12">
        <v>1317.5</v>
      </c>
      <c r="AT140" s="13">
        <v>1.41</v>
      </c>
      <c r="AU140" s="11">
        <v>37.5</v>
      </c>
      <c r="AV140" s="16">
        <v>1395.38</v>
      </c>
      <c r="AW140" s="13">
        <v>988.13</v>
      </c>
      <c r="AX140" s="13">
        <v>1.41</v>
      </c>
      <c r="AY140" s="11">
        <v>250</v>
      </c>
      <c r="AZ140" s="16">
        <v>9302.5300000000007</v>
      </c>
      <c r="BA140" s="16">
        <v>6587.53</v>
      </c>
      <c r="BB140" s="13">
        <v>1.41</v>
      </c>
    </row>
    <row r="141" spans="1:54" x14ac:dyDescent="0.25">
      <c r="A141" s="10" t="s">
        <v>144</v>
      </c>
      <c r="B141" s="10" t="s">
        <v>310</v>
      </c>
      <c r="C141" s="11">
        <v>75</v>
      </c>
      <c r="D141" s="16">
        <v>3564.75</v>
      </c>
      <c r="E141" s="12">
        <v>2524.5</v>
      </c>
      <c r="F141" s="13">
        <v>1.41</v>
      </c>
      <c r="G141" s="11">
        <v>75</v>
      </c>
      <c r="H141" s="16">
        <v>3564.75</v>
      </c>
      <c r="I141" s="12">
        <v>2524.5</v>
      </c>
      <c r="J141" s="13">
        <v>1.41</v>
      </c>
      <c r="K141" s="11">
        <v>75</v>
      </c>
      <c r="L141" s="16">
        <v>3564.75</v>
      </c>
      <c r="M141" s="12">
        <v>2524.5</v>
      </c>
      <c r="N141" s="13">
        <v>1.41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1">
        <v>225</v>
      </c>
      <c r="AF141" s="16">
        <v>10694.25</v>
      </c>
      <c r="AG141" s="12">
        <v>7573.5</v>
      </c>
      <c r="AH141" s="13">
        <v>1.41</v>
      </c>
      <c r="AI141" s="11">
        <v>300</v>
      </c>
      <c r="AJ141" s="15">
        <v>14259</v>
      </c>
      <c r="AK141" s="15">
        <v>10098</v>
      </c>
      <c r="AL141" s="13">
        <v>1.41</v>
      </c>
      <c r="AM141" s="11">
        <v>225</v>
      </c>
      <c r="AN141" s="16">
        <v>10694.25</v>
      </c>
      <c r="AO141" s="12">
        <v>7573.5</v>
      </c>
      <c r="AP141" s="13">
        <v>1.41</v>
      </c>
      <c r="AQ141" s="11">
        <v>300</v>
      </c>
      <c r="AR141" s="15">
        <v>14259</v>
      </c>
      <c r="AS141" s="15">
        <v>10098</v>
      </c>
      <c r="AT141" s="13">
        <v>1.41</v>
      </c>
      <c r="AU141" s="11">
        <v>225</v>
      </c>
      <c r="AV141" s="16">
        <v>10694.25</v>
      </c>
      <c r="AW141" s="12">
        <v>7573.5</v>
      </c>
      <c r="AX141" s="13">
        <v>1.41</v>
      </c>
      <c r="AY141" s="18">
        <v>1500</v>
      </c>
      <c r="AZ141" s="15">
        <v>71295</v>
      </c>
      <c r="BA141" s="15">
        <v>50490</v>
      </c>
      <c r="BB141" s="13">
        <v>1.41</v>
      </c>
    </row>
    <row r="142" spans="1:54" x14ac:dyDescent="0.25">
      <c r="A142" s="10" t="s">
        <v>144</v>
      </c>
      <c r="B142" s="10" t="s">
        <v>311</v>
      </c>
      <c r="C142" s="11">
        <v>25</v>
      </c>
      <c r="D142" s="13">
        <v>873.25</v>
      </c>
      <c r="E142" s="17">
        <v>618.5</v>
      </c>
      <c r="F142" s="13">
        <v>1.41</v>
      </c>
      <c r="G142" s="11">
        <v>25</v>
      </c>
      <c r="H142" s="13">
        <v>873.25</v>
      </c>
      <c r="I142" s="17">
        <v>618.5</v>
      </c>
      <c r="J142" s="13">
        <v>1.41</v>
      </c>
      <c r="K142" s="11">
        <v>25</v>
      </c>
      <c r="L142" s="13">
        <v>873.25</v>
      </c>
      <c r="M142" s="17">
        <v>618.5</v>
      </c>
      <c r="N142" s="13">
        <v>1.41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1">
        <v>50</v>
      </c>
      <c r="AF142" s="12">
        <v>1746.5</v>
      </c>
      <c r="AG142" s="15">
        <v>1237</v>
      </c>
      <c r="AH142" s="13">
        <v>1.41</v>
      </c>
      <c r="AI142" s="11">
        <v>150</v>
      </c>
      <c r="AJ142" s="12">
        <v>5239.5</v>
      </c>
      <c r="AK142" s="15">
        <v>3711</v>
      </c>
      <c r="AL142" s="13">
        <v>1.41</v>
      </c>
      <c r="AM142" s="11">
        <v>150</v>
      </c>
      <c r="AN142" s="12">
        <v>5239.5</v>
      </c>
      <c r="AO142" s="15">
        <v>3711</v>
      </c>
      <c r="AP142" s="13">
        <v>1.41</v>
      </c>
      <c r="AQ142" s="11">
        <v>50</v>
      </c>
      <c r="AR142" s="12">
        <v>1746.5</v>
      </c>
      <c r="AS142" s="15">
        <v>1237</v>
      </c>
      <c r="AT142" s="13">
        <v>1.41</v>
      </c>
      <c r="AU142" s="11">
        <v>25</v>
      </c>
      <c r="AV142" s="13">
        <v>873.25</v>
      </c>
      <c r="AW142" s="17">
        <v>618.5</v>
      </c>
      <c r="AX142" s="13">
        <v>1.41</v>
      </c>
      <c r="AY142" s="11">
        <v>500</v>
      </c>
      <c r="AZ142" s="15">
        <v>17465</v>
      </c>
      <c r="BA142" s="15">
        <v>12370</v>
      </c>
      <c r="BB142" s="13">
        <v>1.41</v>
      </c>
    </row>
    <row r="143" spans="1:54" x14ac:dyDescent="0.25">
      <c r="A143" s="10" t="s">
        <v>144</v>
      </c>
      <c r="B143" s="10" t="s">
        <v>312</v>
      </c>
      <c r="C143" s="14"/>
      <c r="D143" s="14"/>
      <c r="E143" s="14"/>
      <c r="F143" s="14"/>
      <c r="G143" s="14"/>
      <c r="H143" s="14"/>
      <c r="I143" s="14"/>
      <c r="J143" s="14"/>
      <c r="K143" s="11">
        <v>170</v>
      </c>
      <c r="L143" s="12">
        <v>4207.5</v>
      </c>
      <c r="M143" s="12">
        <v>2980.1</v>
      </c>
      <c r="N143" s="13">
        <v>1.41</v>
      </c>
      <c r="O143" s="11">
        <v>595</v>
      </c>
      <c r="P143" s="16">
        <v>14726.25</v>
      </c>
      <c r="Q143" s="16">
        <v>10430.35</v>
      </c>
      <c r="R143" s="13">
        <v>1.41</v>
      </c>
      <c r="S143" s="11">
        <v>595</v>
      </c>
      <c r="T143" s="16">
        <v>14726.25</v>
      </c>
      <c r="U143" s="16">
        <v>10430.35</v>
      </c>
      <c r="V143" s="13">
        <v>1.41</v>
      </c>
      <c r="W143" s="11">
        <v>340</v>
      </c>
      <c r="X143" s="15">
        <v>8415</v>
      </c>
      <c r="Y143" s="12">
        <v>5960.2</v>
      </c>
      <c r="Z143" s="13">
        <v>1.41</v>
      </c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8">
        <v>1700</v>
      </c>
      <c r="AZ143" s="15">
        <v>42075</v>
      </c>
      <c r="BA143" s="15">
        <v>29801</v>
      </c>
      <c r="BB143" s="13">
        <v>1.41</v>
      </c>
    </row>
    <row r="144" spans="1:54" x14ac:dyDescent="0.25">
      <c r="A144" s="10" t="s">
        <v>144</v>
      </c>
      <c r="B144" s="10" t="s">
        <v>313</v>
      </c>
      <c r="C144" s="11">
        <v>40</v>
      </c>
      <c r="D144" s="15">
        <v>1834</v>
      </c>
      <c r="E144" s="12">
        <v>1298.8</v>
      </c>
      <c r="F144" s="13">
        <v>1.41</v>
      </c>
      <c r="G144" s="11">
        <v>40</v>
      </c>
      <c r="H144" s="15">
        <v>1834</v>
      </c>
      <c r="I144" s="12">
        <v>1298.8</v>
      </c>
      <c r="J144" s="13">
        <v>1.41</v>
      </c>
      <c r="K144" s="11">
        <v>40</v>
      </c>
      <c r="L144" s="15">
        <v>1834</v>
      </c>
      <c r="M144" s="12">
        <v>1298.8</v>
      </c>
      <c r="N144" s="13">
        <v>1.41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1">
        <v>80</v>
      </c>
      <c r="AF144" s="15">
        <v>3668</v>
      </c>
      <c r="AG144" s="12">
        <v>2597.6</v>
      </c>
      <c r="AH144" s="13">
        <v>1.41</v>
      </c>
      <c r="AI144" s="11">
        <v>240</v>
      </c>
      <c r="AJ144" s="15">
        <v>11004</v>
      </c>
      <c r="AK144" s="12">
        <v>7792.8</v>
      </c>
      <c r="AL144" s="13">
        <v>1.41</v>
      </c>
      <c r="AM144" s="11">
        <v>240</v>
      </c>
      <c r="AN144" s="15">
        <v>11004</v>
      </c>
      <c r="AO144" s="12">
        <v>7792.8</v>
      </c>
      <c r="AP144" s="13">
        <v>1.41</v>
      </c>
      <c r="AQ144" s="11">
        <v>80</v>
      </c>
      <c r="AR144" s="15">
        <v>3668</v>
      </c>
      <c r="AS144" s="12">
        <v>2597.6</v>
      </c>
      <c r="AT144" s="13">
        <v>1.41</v>
      </c>
      <c r="AU144" s="11">
        <v>40</v>
      </c>
      <c r="AV144" s="15">
        <v>1834</v>
      </c>
      <c r="AW144" s="12">
        <v>1298.8</v>
      </c>
      <c r="AX144" s="13">
        <v>1.41</v>
      </c>
      <c r="AY144" s="11">
        <v>800</v>
      </c>
      <c r="AZ144" s="15">
        <v>36680</v>
      </c>
      <c r="BA144" s="15">
        <v>25976</v>
      </c>
      <c r="BB144" s="13">
        <v>1.41</v>
      </c>
    </row>
    <row r="145" spans="1:54" x14ac:dyDescent="0.25">
      <c r="A145" s="10" t="s">
        <v>144</v>
      </c>
      <c r="B145" s="10" t="s">
        <v>314</v>
      </c>
      <c r="C145" s="11">
        <v>100</v>
      </c>
      <c r="D145" s="15">
        <v>2781</v>
      </c>
      <c r="E145" s="15">
        <v>2251</v>
      </c>
      <c r="F145" s="13">
        <v>1.24</v>
      </c>
      <c r="G145" s="11">
        <v>100</v>
      </c>
      <c r="H145" s="15">
        <v>2781</v>
      </c>
      <c r="I145" s="15">
        <v>2251</v>
      </c>
      <c r="J145" s="13">
        <v>1.24</v>
      </c>
      <c r="K145" s="11">
        <v>100</v>
      </c>
      <c r="L145" s="15">
        <v>2781</v>
      </c>
      <c r="M145" s="15">
        <v>2251</v>
      </c>
      <c r="N145" s="13">
        <v>1.24</v>
      </c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1">
        <v>200</v>
      </c>
      <c r="AF145" s="15">
        <v>5562</v>
      </c>
      <c r="AG145" s="15">
        <v>4502</v>
      </c>
      <c r="AH145" s="13">
        <v>1.24</v>
      </c>
      <c r="AI145" s="11">
        <v>600</v>
      </c>
      <c r="AJ145" s="15">
        <v>16686</v>
      </c>
      <c r="AK145" s="15">
        <v>13506</v>
      </c>
      <c r="AL145" s="13">
        <v>1.24</v>
      </c>
      <c r="AM145" s="11">
        <v>600</v>
      </c>
      <c r="AN145" s="15">
        <v>16686</v>
      </c>
      <c r="AO145" s="15">
        <v>13506</v>
      </c>
      <c r="AP145" s="13">
        <v>1.24</v>
      </c>
      <c r="AQ145" s="11">
        <v>200</v>
      </c>
      <c r="AR145" s="15">
        <v>5562</v>
      </c>
      <c r="AS145" s="15">
        <v>4502</v>
      </c>
      <c r="AT145" s="13">
        <v>1.24</v>
      </c>
      <c r="AU145" s="11">
        <v>100</v>
      </c>
      <c r="AV145" s="15">
        <v>2781</v>
      </c>
      <c r="AW145" s="15">
        <v>2251</v>
      </c>
      <c r="AX145" s="13">
        <v>1.24</v>
      </c>
      <c r="AY145" s="18">
        <v>2000</v>
      </c>
      <c r="AZ145" s="15">
        <v>55620</v>
      </c>
      <c r="BA145" s="15">
        <v>45020</v>
      </c>
      <c r="BB145" s="13">
        <v>1.24</v>
      </c>
    </row>
    <row r="146" spans="1:54" x14ac:dyDescent="0.25">
      <c r="A146" s="10" t="s">
        <v>144</v>
      </c>
      <c r="B146" s="10" t="s">
        <v>315</v>
      </c>
      <c r="C146" s="14"/>
      <c r="D146" s="14"/>
      <c r="E146" s="14"/>
      <c r="F146" s="14"/>
      <c r="G146" s="14"/>
      <c r="H146" s="14"/>
      <c r="I146" s="14"/>
      <c r="J146" s="14"/>
      <c r="K146" s="11">
        <v>200</v>
      </c>
      <c r="L146" s="15">
        <v>42170</v>
      </c>
      <c r="M146" s="15">
        <v>29864</v>
      </c>
      <c r="N146" s="13">
        <v>1.41</v>
      </c>
      <c r="O146" s="11">
        <v>200</v>
      </c>
      <c r="P146" s="15">
        <v>42170</v>
      </c>
      <c r="Q146" s="15">
        <v>29864</v>
      </c>
      <c r="R146" s="13">
        <v>1.41</v>
      </c>
      <c r="S146" s="11">
        <v>300</v>
      </c>
      <c r="T146" s="15">
        <v>63255</v>
      </c>
      <c r="U146" s="15">
        <v>44796</v>
      </c>
      <c r="V146" s="13">
        <v>1.41</v>
      </c>
      <c r="W146" s="11">
        <v>250</v>
      </c>
      <c r="X146" s="12">
        <v>52712.5</v>
      </c>
      <c r="Y146" s="15">
        <v>37330</v>
      </c>
      <c r="Z146" s="13">
        <v>1.41</v>
      </c>
      <c r="AA146" s="11">
        <v>50</v>
      </c>
      <c r="AB146" s="12">
        <v>10542.5</v>
      </c>
      <c r="AC146" s="15">
        <v>7466</v>
      </c>
      <c r="AD146" s="13">
        <v>1.41</v>
      </c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8">
        <v>1000</v>
      </c>
      <c r="AZ146" s="15">
        <v>210850</v>
      </c>
      <c r="BA146" s="15">
        <v>149320</v>
      </c>
      <c r="BB146" s="13">
        <v>1.41</v>
      </c>
    </row>
    <row r="147" spans="1:54" x14ac:dyDescent="0.25">
      <c r="A147" s="10" t="s">
        <v>144</v>
      </c>
      <c r="B147" s="10" t="s">
        <v>316</v>
      </c>
      <c r="C147" s="14"/>
      <c r="D147" s="14"/>
      <c r="E147" s="14"/>
      <c r="F147" s="14"/>
      <c r="G147" s="14"/>
      <c r="H147" s="14"/>
      <c r="I147" s="14"/>
      <c r="J147" s="14"/>
      <c r="K147" s="11">
        <v>90</v>
      </c>
      <c r="L147" s="12">
        <v>2291.4</v>
      </c>
      <c r="M147" s="12">
        <v>1622.7</v>
      </c>
      <c r="N147" s="13">
        <v>1.41</v>
      </c>
      <c r="O147" s="11">
        <v>315</v>
      </c>
      <c r="P147" s="12">
        <v>8019.9</v>
      </c>
      <c r="Q147" s="16">
        <v>5679.45</v>
      </c>
      <c r="R147" s="13">
        <v>1.41</v>
      </c>
      <c r="S147" s="11">
        <v>315</v>
      </c>
      <c r="T147" s="12">
        <v>8019.9</v>
      </c>
      <c r="U147" s="16">
        <v>5679.45</v>
      </c>
      <c r="V147" s="13">
        <v>1.41</v>
      </c>
      <c r="W147" s="11">
        <v>180</v>
      </c>
      <c r="X147" s="12">
        <v>4582.8</v>
      </c>
      <c r="Y147" s="12">
        <v>3245.4</v>
      </c>
      <c r="Z147" s="13">
        <v>1.41</v>
      </c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1">
        <v>900</v>
      </c>
      <c r="AZ147" s="15">
        <v>22914</v>
      </c>
      <c r="BA147" s="15">
        <v>16227</v>
      </c>
      <c r="BB147" s="13">
        <v>1.41</v>
      </c>
    </row>
    <row r="148" spans="1:54" x14ac:dyDescent="0.25">
      <c r="A148" s="10" t="s">
        <v>144</v>
      </c>
      <c r="B148" s="10" t="s">
        <v>317</v>
      </c>
      <c r="C148" s="11">
        <v>50</v>
      </c>
      <c r="D148" s="15">
        <v>2038</v>
      </c>
      <c r="E148" s="12">
        <v>1443.5</v>
      </c>
      <c r="F148" s="13">
        <v>1.41</v>
      </c>
      <c r="G148" s="11">
        <v>50</v>
      </c>
      <c r="H148" s="15">
        <v>2038</v>
      </c>
      <c r="I148" s="12">
        <v>1443.5</v>
      </c>
      <c r="J148" s="13">
        <v>1.41</v>
      </c>
      <c r="K148" s="11">
        <v>50</v>
      </c>
      <c r="L148" s="15">
        <v>2038</v>
      </c>
      <c r="M148" s="12">
        <v>1443.5</v>
      </c>
      <c r="N148" s="13">
        <v>1.41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1">
        <v>100</v>
      </c>
      <c r="AF148" s="15">
        <v>4076</v>
      </c>
      <c r="AG148" s="15">
        <v>2887</v>
      </c>
      <c r="AH148" s="13">
        <v>1.41</v>
      </c>
      <c r="AI148" s="11">
        <v>300</v>
      </c>
      <c r="AJ148" s="15">
        <v>12228</v>
      </c>
      <c r="AK148" s="15">
        <v>8661</v>
      </c>
      <c r="AL148" s="13">
        <v>1.41</v>
      </c>
      <c r="AM148" s="11">
        <v>300</v>
      </c>
      <c r="AN148" s="15">
        <v>12228</v>
      </c>
      <c r="AO148" s="15">
        <v>8661</v>
      </c>
      <c r="AP148" s="13">
        <v>1.41</v>
      </c>
      <c r="AQ148" s="11">
        <v>100</v>
      </c>
      <c r="AR148" s="15">
        <v>4076</v>
      </c>
      <c r="AS148" s="15">
        <v>2887</v>
      </c>
      <c r="AT148" s="13">
        <v>1.41</v>
      </c>
      <c r="AU148" s="11">
        <v>50</v>
      </c>
      <c r="AV148" s="15">
        <v>2038</v>
      </c>
      <c r="AW148" s="12">
        <v>1443.5</v>
      </c>
      <c r="AX148" s="13">
        <v>1.41</v>
      </c>
      <c r="AY148" s="18">
        <v>1000</v>
      </c>
      <c r="AZ148" s="15">
        <v>40760</v>
      </c>
      <c r="BA148" s="15">
        <v>28870</v>
      </c>
      <c r="BB148" s="13">
        <v>1.41</v>
      </c>
    </row>
    <row r="149" spans="1:54" x14ac:dyDescent="0.25">
      <c r="A149" s="10" t="s">
        <v>144</v>
      </c>
      <c r="B149" s="10" t="s">
        <v>318</v>
      </c>
      <c r="C149" s="14"/>
      <c r="D149" s="14"/>
      <c r="E149" s="14"/>
      <c r="F149" s="14"/>
      <c r="G149" s="14"/>
      <c r="H149" s="14"/>
      <c r="I149" s="14"/>
      <c r="J149" s="14"/>
      <c r="K149" s="11">
        <v>480</v>
      </c>
      <c r="L149" s="12">
        <v>2764.8</v>
      </c>
      <c r="M149" s="12">
        <v>2083.1999999999998</v>
      </c>
      <c r="N149" s="13">
        <v>1.33</v>
      </c>
      <c r="O149" s="18">
        <v>1585</v>
      </c>
      <c r="P149" s="12">
        <v>9129.6</v>
      </c>
      <c r="Q149" s="12">
        <v>6878.9</v>
      </c>
      <c r="R149" s="13">
        <v>1.33</v>
      </c>
      <c r="S149" s="18">
        <v>1965</v>
      </c>
      <c r="T149" s="12">
        <v>11318.4</v>
      </c>
      <c r="U149" s="12">
        <v>8528.1</v>
      </c>
      <c r="V149" s="13">
        <v>1.33</v>
      </c>
      <c r="W149" s="18">
        <v>2100</v>
      </c>
      <c r="X149" s="15">
        <v>12096</v>
      </c>
      <c r="Y149" s="15">
        <v>9114</v>
      </c>
      <c r="Z149" s="13">
        <v>1.33</v>
      </c>
      <c r="AA149" s="11">
        <v>570</v>
      </c>
      <c r="AB149" s="12">
        <v>3283.2</v>
      </c>
      <c r="AC149" s="12">
        <v>2473.8000000000002</v>
      </c>
      <c r="AD149" s="13">
        <v>1.33</v>
      </c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8">
        <v>6700</v>
      </c>
      <c r="AZ149" s="15">
        <v>38592</v>
      </c>
      <c r="BA149" s="15">
        <v>29078</v>
      </c>
      <c r="BB149" s="13">
        <v>1.33</v>
      </c>
    </row>
    <row r="150" spans="1:54" x14ac:dyDescent="0.25">
      <c r="A150" s="10" t="s">
        <v>144</v>
      </c>
      <c r="B150" s="10" t="s">
        <v>319</v>
      </c>
      <c r="C150" s="11">
        <v>20</v>
      </c>
      <c r="D150" s="12">
        <v>1258.5999999999999</v>
      </c>
      <c r="E150" s="17">
        <v>891.4</v>
      </c>
      <c r="F150" s="13">
        <v>1.41</v>
      </c>
      <c r="G150" s="11">
        <v>20</v>
      </c>
      <c r="H150" s="12">
        <v>1258.5999999999999</v>
      </c>
      <c r="I150" s="17">
        <v>891.4</v>
      </c>
      <c r="J150" s="13">
        <v>1.41</v>
      </c>
      <c r="K150" s="11">
        <v>20</v>
      </c>
      <c r="L150" s="12">
        <v>1258.5999999999999</v>
      </c>
      <c r="M150" s="17">
        <v>891.4</v>
      </c>
      <c r="N150" s="13">
        <v>1.41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1">
        <v>40</v>
      </c>
      <c r="AF150" s="12">
        <v>2517.1999999999998</v>
      </c>
      <c r="AG150" s="12">
        <v>1782.8</v>
      </c>
      <c r="AH150" s="13">
        <v>1.41</v>
      </c>
      <c r="AI150" s="11">
        <v>120</v>
      </c>
      <c r="AJ150" s="12">
        <v>7551.6</v>
      </c>
      <c r="AK150" s="12">
        <v>5348.4</v>
      </c>
      <c r="AL150" s="13">
        <v>1.41</v>
      </c>
      <c r="AM150" s="11">
        <v>120</v>
      </c>
      <c r="AN150" s="12">
        <v>7551.6</v>
      </c>
      <c r="AO150" s="12">
        <v>5348.4</v>
      </c>
      <c r="AP150" s="13">
        <v>1.41</v>
      </c>
      <c r="AQ150" s="11">
        <v>40</v>
      </c>
      <c r="AR150" s="12">
        <v>2517.1999999999998</v>
      </c>
      <c r="AS150" s="12">
        <v>1782.8</v>
      </c>
      <c r="AT150" s="13">
        <v>1.41</v>
      </c>
      <c r="AU150" s="11">
        <v>20</v>
      </c>
      <c r="AV150" s="12">
        <v>1258.5999999999999</v>
      </c>
      <c r="AW150" s="17">
        <v>891.4</v>
      </c>
      <c r="AX150" s="13">
        <v>1.41</v>
      </c>
      <c r="AY150" s="11">
        <v>400</v>
      </c>
      <c r="AZ150" s="15">
        <v>25172</v>
      </c>
      <c r="BA150" s="15">
        <v>17828</v>
      </c>
      <c r="BB150" s="13">
        <v>1.41</v>
      </c>
    </row>
    <row r="151" spans="1:54" x14ac:dyDescent="0.25">
      <c r="A151" s="10" t="s">
        <v>144</v>
      </c>
      <c r="B151" s="10" t="s">
        <v>321</v>
      </c>
      <c r="C151" s="11">
        <v>125</v>
      </c>
      <c r="D151" s="16">
        <v>2861.25</v>
      </c>
      <c r="E151" s="16">
        <v>2026.25</v>
      </c>
      <c r="F151" s="13">
        <v>1.41</v>
      </c>
      <c r="G151" s="11">
        <v>125</v>
      </c>
      <c r="H151" s="16">
        <v>2861.25</v>
      </c>
      <c r="I151" s="16">
        <v>2026.25</v>
      </c>
      <c r="J151" s="13">
        <v>1.41</v>
      </c>
      <c r="K151" s="11">
        <v>125</v>
      </c>
      <c r="L151" s="16">
        <v>2861.25</v>
      </c>
      <c r="M151" s="16">
        <v>2026.25</v>
      </c>
      <c r="N151" s="13">
        <v>1.41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1">
        <v>375</v>
      </c>
      <c r="AF151" s="16">
        <v>8583.75</v>
      </c>
      <c r="AG151" s="16">
        <v>6078.75</v>
      </c>
      <c r="AH151" s="13">
        <v>1.41</v>
      </c>
      <c r="AI151" s="11">
        <v>500</v>
      </c>
      <c r="AJ151" s="15">
        <v>11445</v>
      </c>
      <c r="AK151" s="15">
        <v>8105</v>
      </c>
      <c r="AL151" s="13">
        <v>1.41</v>
      </c>
      <c r="AM151" s="11">
        <v>375</v>
      </c>
      <c r="AN151" s="16">
        <v>8583.75</v>
      </c>
      <c r="AO151" s="16">
        <v>6078.75</v>
      </c>
      <c r="AP151" s="13">
        <v>1.41</v>
      </c>
      <c r="AQ151" s="11">
        <v>500</v>
      </c>
      <c r="AR151" s="15">
        <v>11445</v>
      </c>
      <c r="AS151" s="15">
        <v>8105</v>
      </c>
      <c r="AT151" s="13">
        <v>1.41</v>
      </c>
      <c r="AU151" s="11">
        <v>375</v>
      </c>
      <c r="AV151" s="16">
        <v>8583.75</v>
      </c>
      <c r="AW151" s="16">
        <v>6078.75</v>
      </c>
      <c r="AX151" s="13">
        <v>1.41</v>
      </c>
      <c r="AY151" s="18">
        <v>2500</v>
      </c>
      <c r="AZ151" s="15">
        <v>57225</v>
      </c>
      <c r="BA151" s="15">
        <v>40525</v>
      </c>
      <c r="BB151" s="13">
        <v>1.41</v>
      </c>
    </row>
    <row r="152" spans="1:54" x14ac:dyDescent="0.25">
      <c r="A152" s="10" t="s">
        <v>144</v>
      </c>
      <c r="B152" s="10" t="s">
        <v>328</v>
      </c>
      <c r="C152" s="14"/>
      <c r="D152" s="14"/>
      <c r="E152" s="14"/>
      <c r="F152" s="14"/>
      <c r="G152" s="14"/>
      <c r="H152" s="14"/>
      <c r="I152" s="14"/>
      <c r="J152" s="14"/>
      <c r="K152" s="11">
        <v>400</v>
      </c>
      <c r="L152" s="15">
        <v>8348</v>
      </c>
      <c r="M152" s="15">
        <v>5912</v>
      </c>
      <c r="N152" s="13">
        <v>1.41</v>
      </c>
      <c r="O152" s="18">
        <v>1400</v>
      </c>
      <c r="P152" s="15">
        <v>29218</v>
      </c>
      <c r="Q152" s="15">
        <v>20692</v>
      </c>
      <c r="R152" s="13">
        <v>1.41</v>
      </c>
      <c r="S152" s="18">
        <v>1400</v>
      </c>
      <c r="T152" s="15">
        <v>29218</v>
      </c>
      <c r="U152" s="15">
        <v>20692</v>
      </c>
      <c r="V152" s="13">
        <v>1.41</v>
      </c>
      <c r="W152" s="11">
        <v>800</v>
      </c>
      <c r="X152" s="15">
        <v>16696</v>
      </c>
      <c r="Y152" s="15">
        <v>11824</v>
      </c>
      <c r="Z152" s="13">
        <v>1.41</v>
      </c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8">
        <v>4000</v>
      </c>
      <c r="AZ152" s="15">
        <v>83480</v>
      </c>
      <c r="BA152" s="15">
        <v>59120</v>
      </c>
      <c r="BB152" s="13">
        <v>1.41</v>
      </c>
    </row>
    <row r="153" spans="1:54" x14ac:dyDescent="0.25">
      <c r="A153" s="10" t="s">
        <v>144</v>
      </c>
      <c r="B153" s="10" t="s">
        <v>322</v>
      </c>
      <c r="C153" s="11">
        <v>50</v>
      </c>
      <c r="D153" s="12">
        <v>9877.5</v>
      </c>
      <c r="E153" s="15">
        <v>6995</v>
      </c>
      <c r="F153" s="13">
        <v>1.41</v>
      </c>
      <c r="G153" s="11">
        <v>50</v>
      </c>
      <c r="H153" s="12">
        <v>9877.5</v>
      </c>
      <c r="I153" s="15">
        <v>6995</v>
      </c>
      <c r="J153" s="13">
        <v>1.41</v>
      </c>
      <c r="K153" s="11">
        <v>50</v>
      </c>
      <c r="L153" s="12">
        <v>9877.5</v>
      </c>
      <c r="M153" s="15">
        <v>6995</v>
      </c>
      <c r="N153" s="13">
        <v>1.41</v>
      </c>
      <c r="O153" s="11">
        <v>50</v>
      </c>
      <c r="P153" s="12">
        <v>9877.5</v>
      </c>
      <c r="Q153" s="15">
        <v>6995</v>
      </c>
      <c r="R153" s="13">
        <v>1.41</v>
      </c>
      <c r="S153" s="11">
        <v>50</v>
      </c>
      <c r="T153" s="12">
        <v>9877.5</v>
      </c>
      <c r="U153" s="15">
        <v>6995</v>
      </c>
      <c r="V153" s="13">
        <v>1.41</v>
      </c>
      <c r="W153" s="11">
        <v>50</v>
      </c>
      <c r="X153" s="12">
        <v>9877.5</v>
      </c>
      <c r="Y153" s="15">
        <v>6995</v>
      </c>
      <c r="Z153" s="13">
        <v>1.41</v>
      </c>
      <c r="AA153" s="11">
        <v>50</v>
      </c>
      <c r="AB153" s="12">
        <v>9877.5</v>
      </c>
      <c r="AC153" s="15">
        <v>6995</v>
      </c>
      <c r="AD153" s="13">
        <v>1.41</v>
      </c>
      <c r="AE153" s="11">
        <v>50</v>
      </c>
      <c r="AF153" s="12">
        <v>9877.5</v>
      </c>
      <c r="AG153" s="15">
        <v>6995</v>
      </c>
      <c r="AH153" s="13">
        <v>1.41</v>
      </c>
      <c r="AI153" s="11">
        <v>50</v>
      </c>
      <c r="AJ153" s="12">
        <v>9877.5</v>
      </c>
      <c r="AK153" s="15">
        <v>6995</v>
      </c>
      <c r="AL153" s="13">
        <v>1.41</v>
      </c>
      <c r="AM153" s="11">
        <v>50</v>
      </c>
      <c r="AN153" s="12">
        <v>9877.5</v>
      </c>
      <c r="AO153" s="15">
        <v>6995</v>
      </c>
      <c r="AP153" s="13">
        <v>1.41</v>
      </c>
      <c r="AQ153" s="11">
        <v>50</v>
      </c>
      <c r="AR153" s="12">
        <v>9877.5</v>
      </c>
      <c r="AS153" s="15">
        <v>6995</v>
      </c>
      <c r="AT153" s="13">
        <v>1.41</v>
      </c>
      <c r="AU153" s="11">
        <v>50</v>
      </c>
      <c r="AV153" s="12">
        <v>9877.5</v>
      </c>
      <c r="AW153" s="15">
        <v>6995</v>
      </c>
      <c r="AX153" s="13">
        <v>1.41</v>
      </c>
      <c r="AY153" s="11">
        <v>600</v>
      </c>
      <c r="AZ153" s="15">
        <v>118530</v>
      </c>
      <c r="BA153" s="15">
        <v>83940</v>
      </c>
      <c r="BB153" s="13">
        <v>1.41</v>
      </c>
    </row>
    <row r="154" spans="1:54" x14ac:dyDescent="0.25">
      <c r="A154" s="10" t="s">
        <v>144</v>
      </c>
      <c r="B154" s="10" t="s">
        <v>323</v>
      </c>
      <c r="C154" s="11">
        <v>300</v>
      </c>
      <c r="D154" s="15">
        <v>2841</v>
      </c>
      <c r="E154" s="15">
        <v>2013</v>
      </c>
      <c r="F154" s="13">
        <v>1.41</v>
      </c>
      <c r="G154" s="11">
        <v>300</v>
      </c>
      <c r="H154" s="15">
        <v>2841</v>
      </c>
      <c r="I154" s="15">
        <v>2013</v>
      </c>
      <c r="J154" s="13">
        <v>1.41</v>
      </c>
      <c r="K154" s="11">
        <v>300</v>
      </c>
      <c r="L154" s="15">
        <v>2841</v>
      </c>
      <c r="M154" s="15">
        <v>2013</v>
      </c>
      <c r="N154" s="13">
        <v>1.41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1">
        <v>600</v>
      </c>
      <c r="AF154" s="15">
        <v>5682</v>
      </c>
      <c r="AG154" s="15">
        <v>4026</v>
      </c>
      <c r="AH154" s="13">
        <v>1.41</v>
      </c>
      <c r="AI154" s="18">
        <v>1800</v>
      </c>
      <c r="AJ154" s="15">
        <v>17046</v>
      </c>
      <c r="AK154" s="15">
        <v>12078</v>
      </c>
      <c r="AL154" s="13">
        <v>1.41</v>
      </c>
      <c r="AM154" s="18">
        <v>1800</v>
      </c>
      <c r="AN154" s="15">
        <v>17046</v>
      </c>
      <c r="AO154" s="15">
        <v>12078</v>
      </c>
      <c r="AP154" s="13">
        <v>1.41</v>
      </c>
      <c r="AQ154" s="11">
        <v>600</v>
      </c>
      <c r="AR154" s="15">
        <v>5682</v>
      </c>
      <c r="AS154" s="15">
        <v>4026</v>
      </c>
      <c r="AT154" s="13">
        <v>1.41</v>
      </c>
      <c r="AU154" s="11">
        <v>300</v>
      </c>
      <c r="AV154" s="15">
        <v>2841</v>
      </c>
      <c r="AW154" s="15">
        <v>2013</v>
      </c>
      <c r="AX154" s="13">
        <v>1.41</v>
      </c>
      <c r="AY154" s="18">
        <v>6000</v>
      </c>
      <c r="AZ154" s="15">
        <v>56820</v>
      </c>
      <c r="BA154" s="15">
        <v>40260</v>
      </c>
      <c r="BB154" s="13">
        <v>1.41</v>
      </c>
    </row>
    <row r="155" spans="1:54" x14ac:dyDescent="0.25">
      <c r="A155" s="10" t="s">
        <v>144</v>
      </c>
      <c r="B155" s="10" t="s">
        <v>324</v>
      </c>
      <c r="C155" s="14"/>
      <c r="D155" s="14"/>
      <c r="E155" s="14"/>
      <c r="F155" s="14"/>
      <c r="G155" s="14"/>
      <c r="H155" s="14"/>
      <c r="I155" s="14"/>
      <c r="J155" s="14"/>
      <c r="K155" s="18">
        <v>2070</v>
      </c>
      <c r="L155" s="12">
        <v>25440.3</v>
      </c>
      <c r="M155" s="12">
        <v>19892.7</v>
      </c>
      <c r="N155" s="13">
        <v>1.28</v>
      </c>
      <c r="O155" s="18">
        <v>6345</v>
      </c>
      <c r="P155" s="16">
        <v>77980.05</v>
      </c>
      <c r="Q155" s="16">
        <v>60975.45</v>
      </c>
      <c r="R155" s="13">
        <v>1.28</v>
      </c>
      <c r="S155" s="18">
        <v>9945</v>
      </c>
      <c r="T155" s="16">
        <v>122224.05</v>
      </c>
      <c r="U155" s="16">
        <v>95571.45</v>
      </c>
      <c r="V155" s="13">
        <v>1.28</v>
      </c>
      <c r="W155" s="18">
        <v>14940</v>
      </c>
      <c r="X155" s="12">
        <v>183612.6</v>
      </c>
      <c r="Y155" s="12">
        <v>143573.4</v>
      </c>
      <c r="Z155" s="13">
        <v>1.28</v>
      </c>
      <c r="AA155" s="18">
        <v>5400</v>
      </c>
      <c r="AB155" s="15">
        <v>66366</v>
      </c>
      <c r="AC155" s="15">
        <v>51894</v>
      </c>
      <c r="AD155" s="13">
        <v>1.28</v>
      </c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8">
        <v>38700</v>
      </c>
      <c r="AZ155" s="15">
        <v>475623</v>
      </c>
      <c r="BA155" s="15">
        <v>371907</v>
      </c>
      <c r="BB155" s="13">
        <v>1.28</v>
      </c>
    </row>
    <row r="156" spans="1:54" x14ac:dyDescent="0.25">
      <c r="A156" s="10" t="s">
        <v>144</v>
      </c>
      <c r="B156" s="10" t="s">
        <v>325</v>
      </c>
      <c r="C156" s="11">
        <v>50</v>
      </c>
      <c r="D156" s="12">
        <v>1129.5</v>
      </c>
      <c r="E156" s="19">
        <v>800</v>
      </c>
      <c r="F156" s="13">
        <v>1.41</v>
      </c>
      <c r="G156" s="11">
        <v>50</v>
      </c>
      <c r="H156" s="12">
        <v>1129.5</v>
      </c>
      <c r="I156" s="19">
        <v>800</v>
      </c>
      <c r="J156" s="13">
        <v>1.41</v>
      </c>
      <c r="K156" s="11">
        <v>50</v>
      </c>
      <c r="L156" s="12">
        <v>1129.5</v>
      </c>
      <c r="M156" s="19">
        <v>800</v>
      </c>
      <c r="N156" s="13">
        <v>1.41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1">
        <v>100</v>
      </c>
      <c r="AF156" s="15">
        <v>2259</v>
      </c>
      <c r="AG156" s="15">
        <v>1600</v>
      </c>
      <c r="AH156" s="13">
        <v>1.41</v>
      </c>
      <c r="AI156" s="11">
        <v>300</v>
      </c>
      <c r="AJ156" s="15">
        <v>6777</v>
      </c>
      <c r="AK156" s="15">
        <v>4800</v>
      </c>
      <c r="AL156" s="13">
        <v>1.41</v>
      </c>
      <c r="AM156" s="11">
        <v>300</v>
      </c>
      <c r="AN156" s="15">
        <v>6777</v>
      </c>
      <c r="AO156" s="15">
        <v>4800</v>
      </c>
      <c r="AP156" s="13">
        <v>1.41</v>
      </c>
      <c r="AQ156" s="11">
        <v>100</v>
      </c>
      <c r="AR156" s="15">
        <v>2259</v>
      </c>
      <c r="AS156" s="15">
        <v>1600</v>
      </c>
      <c r="AT156" s="13">
        <v>1.41</v>
      </c>
      <c r="AU156" s="11">
        <v>50</v>
      </c>
      <c r="AV156" s="12">
        <v>1129.5</v>
      </c>
      <c r="AW156" s="19">
        <v>800</v>
      </c>
      <c r="AX156" s="13">
        <v>1.41</v>
      </c>
      <c r="AY156" s="18">
        <v>1000</v>
      </c>
      <c r="AZ156" s="15">
        <v>22590</v>
      </c>
      <c r="BA156" s="15">
        <v>16000</v>
      </c>
      <c r="BB156" s="13">
        <v>1.41</v>
      </c>
    </row>
    <row r="157" spans="1:54" x14ac:dyDescent="0.25">
      <c r="A157" s="10" t="s">
        <v>144</v>
      </c>
      <c r="B157" s="10" t="s">
        <v>326</v>
      </c>
      <c r="C157" s="11">
        <v>120</v>
      </c>
      <c r="D157" s="12">
        <v>3494.4</v>
      </c>
      <c r="E157" s="12">
        <v>2474.4</v>
      </c>
      <c r="F157" s="13">
        <v>1.41</v>
      </c>
      <c r="G157" s="11">
        <v>120</v>
      </c>
      <c r="H157" s="12">
        <v>3494.4</v>
      </c>
      <c r="I157" s="12">
        <v>2474.4</v>
      </c>
      <c r="J157" s="13">
        <v>1.41</v>
      </c>
      <c r="K157" s="11">
        <v>120</v>
      </c>
      <c r="L157" s="12">
        <v>3494.4</v>
      </c>
      <c r="M157" s="12">
        <v>2474.4</v>
      </c>
      <c r="N157" s="13">
        <v>1.41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1">
        <v>240</v>
      </c>
      <c r="AF157" s="12">
        <v>6988.8</v>
      </c>
      <c r="AG157" s="12">
        <v>4948.8</v>
      </c>
      <c r="AH157" s="13">
        <v>1.41</v>
      </c>
      <c r="AI157" s="11">
        <v>720</v>
      </c>
      <c r="AJ157" s="12">
        <v>20966.400000000001</v>
      </c>
      <c r="AK157" s="12">
        <v>14846.4</v>
      </c>
      <c r="AL157" s="13">
        <v>1.41</v>
      </c>
      <c r="AM157" s="11">
        <v>720</v>
      </c>
      <c r="AN157" s="12">
        <v>20966.400000000001</v>
      </c>
      <c r="AO157" s="12">
        <v>14846.4</v>
      </c>
      <c r="AP157" s="13">
        <v>1.41</v>
      </c>
      <c r="AQ157" s="11">
        <v>240</v>
      </c>
      <c r="AR157" s="12">
        <v>6988.8</v>
      </c>
      <c r="AS157" s="12">
        <v>4948.8</v>
      </c>
      <c r="AT157" s="13">
        <v>1.41</v>
      </c>
      <c r="AU157" s="11">
        <v>120</v>
      </c>
      <c r="AV157" s="12">
        <v>3494.4</v>
      </c>
      <c r="AW157" s="12">
        <v>2474.4</v>
      </c>
      <c r="AX157" s="13">
        <v>1.41</v>
      </c>
      <c r="AY157" s="18">
        <v>2400</v>
      </c>
      <c r="AZ157" s="15">
        <v>69888</v>
      </c>
      <c r="BA157" s="15">
        <v>49488</v>
      </c>
      <c r="BB157" s="13">
        <v>1.41</v>
      </c>
    </row>
    <row r="158" spans="1:54" x14ac:dyDescent="0.25">
      <c r="A158" s="10" t="s">
        <v>327</v>
      </c>
      <c r="B158" s="10" t="s">
        <v>322</v>
      </c>
      <c r="C158" s="20"/>
      <c r="D158" s="20"/>
      <c r="E158" s="20"/>
      <c r="F158" s="20"/>
      <c r="G158" s="20"/>
      <c r="H158" s="20"/>
      <c r="I158" s="20"/>
      <c r="J158" s="20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20"/>
      <c r="AZ158" s="20"/>
      <c r="BA158" s="20"/>
      <c r="BB158" s="20"/>
    </row>
    <row r="159" spans="1:54" x14ac:dyDescent="0.25">
      <c r="A159" s="10" t="s">
        <v>327</v>
      </c>
      <c r="B159" s="10" t="s">
        <v>313</v>
      </c>
      <c r="C159" s="20"/>
      <c r="D159" s="20"/>
      <c r="E159" s="20"/>
      <c r="F159" s="20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20"/>
      <c r="AZ159" s="20"/>
      <c r="BA159" s="20"/>
      <c r="BB159" s="20"/>
    </row>
    <row r="160" spans="1:54" x14ac:dyDescent="0.25">
      <c r="A160" s="10" t="s">
        <v>327</v>
      </c>
      <c r="B160" s="10" t="s">
        <v>302</v>
      </c>
      <c r="C160" s="20"/>
      <c r="D160" s="20"/>
      <c r="E160" s="20"/>
      <c r="F160" s="20"/>
      <c r="G160" s="20"/>
      <c r="H160" s="20"/>
      <c r="I160" s="20"/>
      <c r="J160" s="20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20"/>
      <c r="AZ160" s="20"/>
      <c r="BA160" s="20"/>
      <c r="BB160" s="20"/>
    </row>
    <row r="161" spans="1:54" x14ac:dyDescent="0.25">
      <c r="A161" s="10" t="s">
        <v>327</v>
      </c>
      <c r="B161" s="10" t="s">
        <v>267</v>
      </c>
      <c r="C161" s="20"/>
      <c r="D161" s="20"/>
      <c r="E161" s="20"/>
      <c r="F161" s="20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20"/>
      <c r="AZ161" s="20"/>
      <c r="BA161" s="20"/>
      <c r="BB161" s="20"/>
    </row>
    <row r="162" spans="1:54" x14ac:dyDescent="0.25">
      <c r="A162" s="10" t="s">
        <v>327</v>
      </c>
      <c r="B162" s="10" t="s">
        <v>236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20"/>
      <c r="AZ162" s="20"/>
      <c r="BA162" s="20"/>
      <c r="BB162" s="20"/>
    </row>
    <row r="163" spans="1:54" x14ac:dyDescent="0.25">
      <c r="A163" s="10" t="s">
        <v>327</v>
      </c>
      <c r="B163" s="10" t="s">
        <v>328</v>
      </c>
      <c r="C163" s="14"/>
      <c r="D163" s="14"/>
      <c r="E163" s="14"/>
      <c r="F163" s="14"/>
      <c r="G163" s="20"/>
      <c r="H163" s="20"/>
      <c r="I163" s="20"/>
      <c r="J163" s="20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20"/>
      <c r="AZ163" s="20"/>
      <c r="BA163" s="20"/>
      <c r="BB163" s="20"/>
    </row>
    <row r="164" spans="1:54" x14ac:dyDescent="0.25">
      <c r="A164" s="10" t="s">
        <v>327</v>
      </c>
      <c r="B164" s="10" t="s">
        <v>277</v>
      </c>
      <c r="C164" s="14"/>
      <c r="D164" s="14"/>
      <c r="E164" s="14"/>
      <c r="F164" s="14"/>
      <c r="G164" s="20"/>
      <c r="H164" s="20"/>
      <c r="I164" s="20"/>
      <c r="J164" s="20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20"/>
      <c r="AZ164" s="20"/>
      <c r="BA164" s="20"/>
      <c r="BB164" s="20"/>
    </row>
    <row r="165" spans="1:54" x14ac:dyDescent="0.25">
      <c r="A165" s="10" t="s">
        <v>327</v>
      </c>
      <c r="B165" s="10" t="s">
        <v>329</v>
      </c>
      <c r="C165" s="14"/>
      <c r="D165" s="14"/>
      <c r="E165" s="14"/>
      <c r="F165" s="14"/>
      <c r="G165" s="20"/>
      <c r="H165" s="20"/>
      <c r="I165" s="20"/>
      <c r="J165" s="20"/>
      <c r="K165" s="20"/>
      <c r="L165" s="20"/>
      <c r="M165" s="20"/>
      <c r="N165" s="20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20"/>
      <c r="AZ165" s="20"/>
      <c r="BA165" s="20"/>
      <c r="BB165" s="20"/>
    </row>
    <row r="166" spans="1:54" x14ac:dyDescent="0.25">
      <c r="A166" s="10" t="s">
        <v>327</v>
      </c>
      <c r="B166" s="10" t="s">
        <v>196</v>
      </c>
      <c r="C166" s="20"/>
      <c r="D166" s="20"/>
      <c r="E166" s="20"/>
      <c r="F166" s="20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20"/>
      <c r="AZ166" s="20"/>
      <c r="BA166" s="20"/>
      <c r="BB166" s="20"/>
    </row>
    <row r="167" spans="1:54" x14ac:dyDescent="0.25">
      <c r="A167" s="10" t="s">
        <v>327</v>
      </c>
      <c r="B167" s="10" t="s">
        <v>203</v>
      </c>
      <c r="C167" s="20"/>
      <c r="D167" s="20"/>
      <c r="E167" s="20"/>
      <c r="F167" s="20"/>
      <c r="G167" s="20"/>
      <c r="H167" s="20"/>
      <c r="I167" s="20"/>
      <c r="J167" s="20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20"/>
      <c r="AZ167" s="20"/>
      <c r="BA167" s="20"/>
      <c r="BB167" s="20"/>
    </row>
    <row r="168" spans="1:54" x14ac:dyDescent="0.25">
      <c r="A168" s="10" t="s">
        <v>327</v>
      </c>
      <c r="B168" s="10" t="s">
        <v>201</v>
      </c>
      <c r="C168" s="20"/>
      <c r="D168" s="20"/>
      <c r="E168" s="20"/>
      <c r="F168" s="20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20"/>
      <c r="AZ168" s="20"/>
      <c r="BA168" s="20"/>
      <c r="BB168" s="20"/>
    </row>
    <row r="169" spans="1:54" x14ac:dyDescent="0.25">
      <c r="A169" s="10" t="s">
        <v>327</v>
      </c>
      <c r="B169" s="10" t="s">
        <v>187</v>
      </c>
      <c r="C169" s="20"/>
      <c r="D169" s="20"/>
      <c r="E169" s="20"/>
      <c r="F169" s="20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20"/>
      <c r="AZ169" s="20"/>
      <c r="BA169" s="20"/>
      <c r="BB169" s="20"/>
    </row>
    <row r="170" spans="1:54" x14ac:dyDescent="0.25">
      <c r="A170" s="10" t="s">
        <v>327</v>
      </c>
      <c r="B170" s="10" t="s">
        <v>202</v>
      </c>
      <c r="C170" s="20"/>
      <c r="D170" s="20"/>
      <c r="E170" s="20"/>
      <c r="F170" s="20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20"/>
      <c r="AZ170" s="20"/>
      <c r="BA170" s="20"/>
      <c r="BB170" s="20"/>
    </row>
    <row r="171" spans="1:54" x14ac:dyDescent="0.25">
      <c r="A171" s="10" t="s">
        <v>327</v>
      </c>
      <c r="B171" s="10" t="s">
        <v>330</v>
      </c>
      <c r="C171" s="20"/>
      <c r="D171" s="20"/>
      <c r="E171" s="20"/>
      <c r="F171" s="20"/>
      <c r="G171" s="20"/>
      <c r="H171" s="20"/>
      <c r="I171" s="20"/>
      <c r="J171" s="20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20"/>
      <c r="AZ171" s="20"/>
      <c r="BA171" s="20"/>
      <c r="BB171" s="20"/>
    </row>
    <row r="172" spans="1:54" x14ac:dyDescent="0.25">
      <c r="A172" s="10" t="s">
        <v>327</v>
      </c>
      <c r="B172" s="10" t="s">
        <v>222</v>
      </c>
      <c r="C172" s="20"/>
      <c r="D172" s="20"/>
      <c r="E172" s="20"/>
      <c r="F172" s="20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20"/>
      <c r="AZ172" s="20"/>
      <c r="BA172" s="20"/>
      <c r="BB172" s="20"/>
    </row>
    <row r="173" spans="1:54" x14ac:dyDescent="0.25">
      <c r="A173" s="10" t="s">
        <v>327</v>
      </c>
      <c r="B173" s="10" t="s">
        <v>319</v>
      </c>
      <c r="C173" s="20"/>
      <c r="D173" s="20"/>
      <c r="E173" s="20"/>
      <c r="F173" s="20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20"/>
      <c r="AZ173" s="20"/>
      <c r="BA173" s="20"/>
      <c r="BB173" s="20"/>
    </row>
    <row r="174" spans="1:54" x14ac:dyDescent="0.25">
      <c r="A174" s="10" t="s">
        <v>327</v>
      </c>
      <c r="B174" s="10" t="s">
        <v>331</v>
      </c>
      <c r="C174" s="20"/>
      <c r="D174" s="20"/>
      <c r="E174" s="20"/>
      <c r="F174" s="20"/>
      <c r="G174" s="20"/>
      <c r="H174" s="20"/>
      <c r="I174" s="20"/>
      <c r="J174" s="20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20"/>
      <c r="AZ174" s="20"/>
      <c r="BA174" s="20"/>
      <c r="BB174" s="20"/>
    </row>
    <row r="175" spans="1:54" x14ac:dyDescent="0.25">
      <c r="A175" s="10" t="s">
        <v>327</v>
      </c>
      <c r="B175" s="10" t="s">
        <v>275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20"/>
      <c r="P175" s="20"/>
      <c r="Q175" s="20"/>
      <c r="R175" s="20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20"/>
      <c r="AZ175" s="20"/>
      <c r="BA175" s="20"/>
      <c r="BB175" s="20"/>
    </row>
    <row r="176" spans="1:54" x14ac:dyDescent="0.25">
      <c r="A176" s="10" t="s">
        <v>327</v>
      </c>
      <c r="B176" s="10" t="s">
        <v>332</v>
      </c>
      <c r="C176" s="14"/>
      <c r="D176" s="14"/>
      <c r="E176" s="14"/>
      <c r="F176" s="14"/>
      <c r="G176" s="20"/>
      <c r="H176" s="20"/>
      <c r="I176" s="20"/>
      <c r="J176" s="20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20"/>
      <c r="AZ176" s="20"/>
      <c r="BA176" s="20"/>
      <c r="BB176" s="20"/>
    </row>
    <row r="177" spans="1:54" x14ac:dyDescent="0.25">
      <c r="A177" s="10" t="s">
        <v>327</v>
      </c>
      <c r="B177" s="10" t="s">
        <v>292</v>
      </c>
      <c r="C177" s="14"/>
      <c r="D177" s="14"/>
      <c r="E177" s="14"/>
      <c r="F177" s="14"/>
      <c r="G177" s="20"/>
      <c r="H177" s="20"/>
      <c r="I177" s="20"/>
      <c r="J177" s="20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20"/>
      <c r="AZ177" s="20"/>
      <c r="BA177" s="20"/>
      <c r="BB177" s="20"/>
    </row>
    <row r="178" spans="1:54" x14ac:dyDescent="0.25">
      <c r="A178" s="10" t="s">
        <v>327</v>
      </c>
      <c r="B178" s="10" t="s">
        <v>274</v>
      </c>
      <c r="C178" s="14"/>
      <c r="D178" s="14"/>
      <c r="E178" s="14"/>
      <c r="F178" s="14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20"/>
      <c r="AZ178" s="20"/>
      <c r="BA178" s="20"/>
      <c r="BB178" s="20"/>
    </row>
    <row r="179" spans="1:54" x14ac:dyDescent="0.25">
      <c r="A179" s="10" t="s">
        <v>327</v>
      </c>
      <c r="B179" s="10" t="s">
        <v>251</v>
      </c>
      <c r="C179" s="14"/>
      <c r="D179" s="14"/>
      <c r="E179" s="14"/>
      <c r="F179" s="14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20"/>
      <c r="AZ179" s="20"/>
      <c r="BA179" s="20"/>
      <c r="BB179" s="20"/>
    </row>
    <row r="180" spans="1:54" x14ac:dyDescent="0.25">
      <c r="A180" s="10" t="s">
        <v>327</v>
      </c>
      <c r="B180" s="10" t="s">
        <v>252</v>
      </c>
      <c r="C180" s="14"/>
      <c r="D180" s="14"/>
      <c r="E180" s="14"/>
      <c r="F180" s="14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20"/>
      <c r="AZ180" s="20"/>
      <c r="BA180" s="20"/>
      <c r="BB180" s="20"/>
    </row>
    <row r="181" spans="1:54" x14ac:dyDescent="0.25">
      <c r="A181" s="10" t="s">
        <v>327</v>
      </c>
      <c r="B181" s="10" t="s">
        <v>333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20"/>
      <c r="AZ181" s="20"/>
      <c r="BA181" s="20"/>
      <c r="BB181" s="20"/>
    </row>
    <row r="182" spans="1:54" x14ac:dyDescent="0.25">
      <c r="A182" s="10" t="s">
        <v>327</v>
      </c>
      <c r="B182" s="10" t="s">
        <v>272</v>
      </c>
      <c r="C182" s="14"/>
      <c r="D182" s="14"/>
      <c r="E182" s="14"/>
      <c r="F182" s="14"/>
      <c r="G182" s="14"/>
      <c r="H182" s="14"/>
      <c r="I182" s="14"/>
      <c r="J182" s="14"/>
      <c r="K182" s="20"/>
      <c r="L182" s="20"/>
      <c r="M182" s="20"/>
      <c r="N182" s="20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20"/>
      <c r="AZ182" s="20"/>
      <c r="BA182" s="20"/>
      <c r="BB182" s="20"/>
    </row>
    <row r="183" spans="1:54" x14ac:dyDescent="0.25">
      <c r="A183" s="10" t="s">
        <v>327</v>
      </c>
      <c r="B183" s="10" t="s">
        <v>282</v>
      </c>
      <c r="C183" s="14"/>
      <c r="D183" s="14"/>
      <c r="E183" s="14"/>
      <c r="F183" s="14"/>
      <c r="G183" s="20"/>
      <c r="H183" s="20"/>
      <c r="I183" s="20"/>
      <c r="J183" s="20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20"/>
      <c r="AZ183" s="20"/>
      <c r="BA183" s="20"/>
      <c r="BB183" s="20"/>
    </row>
    <row r="184" spans="1:54" x14ac:dyDescent="0.25">
      <c r="A184" s="10" t="s">
        <v>327</v>
      </c>
      <c r="B184" s="10" t="s">
        <v>334</v>
      </c>
      <c r="C184" s="14"/>
      <c r="D184" s="14"/>
      <c r="E184" s="14"/>
      <c r="F184" s="14"/>
      <c r="G184" s="20"/>
      <c r="H184" s="20"/>
      <c r="I184" s="20"/>
      <c r="J184" s="20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20"/>
      <c r="AZ184" s="20"/>
      <c r="BA184" s="20"/>
      <c r="BB184" s="20"/>
    </row>
    <row r="185" spans="1:54" x14ac:dyDescent="0.25">
      <c r="A185" s="10" t="s">
        <v>327</v>
      </c>
      <c r="B185" s="10" t="s">
        <v>312</v>
      </c>
      <c r="C185" s="14"/>
      <c r="D185" s="14"/>
      <c r="E185" s="14"/>
      <c r="F185" s="14"/>
      <c r="G185" s="20"/>
      <c r="H185" s="20"/>
      <c r="I185" s="20"/>
      <c r="J185" s="20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20"/>
      <c r="AZ185" s="20"/>
      <c r="BA185" s="20"/>
      <c r="BB185" s="20"/>
    </row>
    <row r="186" spans="1:54" x14ac:dyDescent="0.25">
      <c r="A186" s="10" t="s">
        <v>327</v>
      </c>
      <c r="B186" s="10" t="s">
        <v>227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20"/>
      <c r="AZ186" s="20"/>
      <c r="BA186" s="20"/>
      <c r="BB186" s="20"/>
    </row>
    <row r="187" spans="1:54" x14ac:dyDescent="0.25">
      <c r="A187" s="10" t="s">
        <v>327</v>
      </c>
      <c r="B187" s="10" t="s">
        <v>213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20"/>
      <c r="AZ187" s="20"/>
      <c r="BA187" s="20"/>
      <c r="BB187" s="20"/>
    </row>
    <row r="188" spans="1:54" x14ac:dyDescent="0.25">
      <c r="A188" s="10" t="s">
        <v>327</v>
      </c>
      <c r="B188" s="10" t="s">
        <v>231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20"/>
      <c r="AZ188" s="20"/>
      <c r="BA188" s="20"/>
      <c r="BB188" s="20"/>
    </row>
    <row r="189" spans="1:54" x14ac:dyDescent="0.25">
      <c r="A189" s="10" t="s">
        <v>327</v>
      </c>
      <c r="B189" s="10" t="s">
        <v>295</v>
      </c>
      <c r="C189" s="20"/>
      <c r="D189" s="20"/>
      <c r="E189" s="20"/>
      <c r="F189" s="20"/>
      <c r="G189" s="20"/>
      <c r="H189" s="20"/>
      <c r="I189" s="20"/>
      <c r="J189" s="20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20"/>
      <c r="AZ189" s="20"/>
      <c r="BA189" s="20"/>
      <c r="BB189" s="20"/>
    </row>
    <row r="190" spans="1:54" x14ac:dyDescent="0.25">
      <c r="A190" s="10" t="s">
        <v>327</v>
      </c>
      <c r="B190" s="10" t="s">
        <v>255</v>
      </c>
      <c r="C190" s="20"/>
      <c r="D190" s="20"/>
      <c r="E190" s="20"/>
      <c r="F190" s="20"/>
      <c r="G190" s="20"/>
      <c r="H190" s="20"/>
      <c r="I190" s="20"/>
      <c r="J190" s="20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20"/>
      <c r="AZ190" s="20"/>
      <c r="BA190" s="20"/>
      <c r="BB190" s="20"/>
    </row>
    <row r="191" spans="1:54" x14ac:dyDescent="0.25">
      <c r="A191" s="10" t="s">
        <v>327</v>
      </c>
      <c r="B191" s="10" t="s">
        <v>285</v>
      </c>
      <c r="C191" s="14"/>
      <c r="D191" s="14"/>
      <c r="E191" s="14"/>
      <c r="F191" s="14"/>
      <c r="G191" s="20"/>
      <c r="H191" s="20"/>
      <c r="I191" s="20"/>
      <c r="J191" s="20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20"/>
      <c r="AZ191" s="20"/>
      <c r="BA191" s="20"/>
      <c r="BB191" s="20"/>
    </row>
    <row r="192" spans="1:54" x14ac:dyDescent="0.25">
      <c r="A192" s="10" t="s">
        <v>327</v>
      </c>
      <c r="B192" s="10" t="s">
        <v>305</v>
      </c>
      <c r="C192" s="20"/>
      <c r="D192" s="20"/>
      <c r="E192" s="20"/>
      <c r="F192" s="20"/>
      <c r="G192" s="20"/>
      <c r="H192" s="20"/>
      <c r="I192" s="20"/>
      <c r="J192" s="20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20"/>
      <c r="AZ192" s="20"/>
      <c r="BA192" s="20"/>
      <c r="BB192" s="20"/>
    </row>
    <row r="193" spans="1:54" x14ac:dyDescent="0.25">
      <c r="A193" s="10" t="s">
        <v>327</v>
      </c>
      <c r="B193" s="10" t="s">
        <v>287</v>
      </c>
      <c r="C193" s="20"/>
      <c r="D193" s="20"/>
      <c r="E193" s="20"/>
      <c r="F193" s="20"/>
      <c r="G193" s="20"/>
      <c r="H193" s="20"/>
      <c r="I193" s="20"/>
      <c r="J193" s="20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20"/>
      <c r="AZ193" s="20"/>
      <c r="BA193" s="20"/>
      <c r="BB193" s="20"/>
    </row>
    <row r="194" spans="1:54" x14ac:dyDescent="0.25">
      <c r="A194" s="10" t="s">
        <v>327</v>
      </c>
      <c r="B194" s="10" t="s">
        <v>279</v>
      </c>
      <c r="C194" s="14"/>
      <c r="D194" s="14"/>
      <c r="E194" s="14"/>
      <c r="F194" s="14"/>
      <c r="G194" s="20"/>
      <c r="H194" s="20"/>
      <c r="I194" s="20"/>
      <c r="J194" s="20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20"/>
      <c r="AZ194" s="20"/>
      <c r="BA194" s="20"/>
      <c r="BB194" s="20"/>
    </row>
    <row r="195" spans="1:54" x14ac:dyDescent="0.25">
      <c r="A195" s="10" t="s">
        <v>327</v>
      </c>
      <c r="B195" s="10" t="s">
        <v>316</v>
      </c>
      <c r="C195" s="14"/>
      <c r="D195" s="14"/>
      <c r="E195" s="14"/>
      <c r="F195" s="14"/>
      <c r="G195" s="20"/>
      <c r="H195" s="20"/>
      <c r="I195" s="20"/>
      <c r="J195" s="20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20"/>
      <c r="AZ195" s="20"/>
      <c r="BA195" s="20"/>
      <c r="BB195" s="20"/>
    </row>
    <row r="196" spans="1:54" x14ac:dyDescent="0.25">
      <c r="A196" s="10" t="s">
        <v>327</v>
      </c>
      <c r="B196" s="10" t="s">
        <v>297</v>
      </c>
      <c r="C196" s="20"/>
      <c r="D196" s="20"/>
      <c r="E196" s="20"/>
      <c r="F196" s="20"/>
      <c r="G196" s="20"/>
      <c r="H196" s="20"/>
      <c r="I196" s="20"/>
      <c r="J196" s="20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20"/>
      <c r="AZ196" s="20"/>
      <c r="BA196" s="20"/>
      <c r="BB196" s="20"/>
    </row>
    <row r="197" spans="1:54" x14ac:dyDescent="0.25">
      <c r="A197" s="10" t="s">
        <v>327</v>
      </c>
      <c r="B197" s="10" t="s">
        <v>320</v>
      </c>
      <c r="C197" s="14"/>
      <c r="D197" s="14"/>
      <c r="E197" s="14"/>
      <c r="F197" s="14"/>
      <c r="G197" s="20"/>
      <c r="H197" s="20"/>
      <c r="I197" s="20"/>
      <c r="J197" s="20"/>
      <c r="K197" s="20"/>
      <c r="L197" s="20"/>
      <c r="M197" s="20"/>
      <c r="N197" s="20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20"/>
      <c r="AZ197" s="20"/>
      <c r="BA197" s="20"/>
      <c r="BB197" s="20"/>
    </row>
    <row r="198" spans="1:54" x14ac:dyDescent="0.25">
      <c r="A198" s="10" t="s">
        <v>327</v>
      </c>
      <c r="B198" s="10" t="s">
        <v>266</v>
      </c>
      <c r="C198" s="14"/>
      <c r="D198" s="14"/>
      <c r="E198" s="14"/>
      <c r="F198" s="14"/>
      <c r="G198" s="20"/>
      <c r="H198" s="20"/>
      <c r="I198" s="20"/>
      <c r="J198" s="20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20"/>
      <c r="AZ198" s="20"/>
      <c r="BA198" s="20"/>
      <c r="BB198" s="20"/>
    </row>
    <row r="199" spans="1:54" x14ac:dyDescent="0.25">
      <c r="A199" s="10" t="s">
        <v>327</v>
      </c>
      <c r="B199" s="10" t="s">
        <v>307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20"/>
      <c r="AZ199" s="20"/>
      <c r="BA199" s="20"/>
      <c r="BB199" s="20"/>
    </row>
    <row r="200" spans="1:54" x14ac:dyDescent="0.25">
      <c r="A200" s="10" t="s">
        <v>327</v>
      </c>
      <c r="B200" s="10" t="s">
        <v>326</v>
      </c>
      <c r="C200" s="20"/>
      <c r="D200" s="20"/>
      <c r="E200" s="20"/>
      <c r="F200" s="20"/>
      <c r="G200" s="20"/>
      <c r="H200" s="20"/>
      <c r="I200" s="20"/>
      <c r="J200" s="20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20"/>
      <c r="AZ200" s="20"/>
      <c r="BA200" s="20"/>
      <c r="BB200" s="20"/>
    </row>
    <row r="201" spans="1:54" x14ac:dyDescent="0.25">
      <c r="A201" s="10" t="s">
        <v>327</v>
      </c>
      <c r="B201" s="10" t="s">
        <v>224</v>
      </c>
      <c r="C201" s="20"/>
      <c r="D201" s="20"/>
      <c r="E201" s="20"/>
      <c r="F201" s="20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20"/>
      <c r="AZ201" s="20"/>
      <c r="BA201" s="20"/>
      <c r="BB201" s="20"/>
    </row>
    <row r="202" spans="1:54" x14ac:dyDescent="0.25">
      <c r="A202" s="10" t="s">
        <v>327</v>
      </c>
      <c r="B202" s="10" t="s">
        <v>258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20"/>
      <c r="AZ202" s="20"/>
      <c r="BA202" s="20"/>
      <c r="BB202" s="20"/>
    </row>
    <row r="203" spans="1:54" x14ac:dyDescent="0.25">
      <c r="A203" s="10" t="s">
        <v>327</v>
      </c>
      <c r="B203" s="10" t="s">
        <v>308</v>
      </c>
      <c r="C203" s="14"/>
      <c r="D203" s="14"/>
      <c r="E203" s="14"/>
      <c r="F203" s="14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20"/>
      <c r="AZ203" s="20"/>
      <c r="BA203" s="20"/>
      <c r="BB203" s="20"/>
    </row>
    <row r="204" spans="1:54" x14ac:dyDescent="0.25">
      <c r="A204" s="10" t="s">
        <v>327</v>
      </c>
      <c r="B204" s="10" t="s">
        <v>259</v>
      </c>
      <c r="C204" s="20"/>
      <c r="D204" s="20"/>
      <c r="E204" s="20"/>
      <c r="F204" s="20"/>
      <c r="G204" s="14"/>
      <c r="H204" s="14"/>
      <c r="I204" s="14"/>
      <c r="J204" s="14"/>
      <c r="K204" s="14"/>
      <c r="L204" s="14"/>
      <c r="M204" s="14"/>
      <c r="N204" s="14"/>
      <c r="O204" s="20"/>
      <c r="P204" s="20"/>
      <c r="Q204" s="20"/>
      <c r="R204" s="20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20"/>
      <c r="AZ204" s="20"/>
      <c r="BA204" s="20"/>
      <c r="BB204" s="20"/>
    </row>
    <row r="205" spans="1:54" x14ac:dyDescent="0.25">
      <c r="A205" s="10" t="s">
        <v>327</v>
      </c>
      <c r="B205" s="10" t="s">
        <v>310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20"/>
      <c r="AZ205" s="20"/>
      <c r="BA205" s="20"/>
      <c r="BB205" s="20"/>
    </row>
    <row r="206" spans="1:54" x14ac:dyDescent="0.25">
      <c r="A206" s="10" t="s">
        <v>327</v>
      </c>
      <c r="B206" s="10" t="s">
        <v>286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20"/>
      <c r="AZ206" s="20"/>
      <c r="BA206" s="20"/>
      <c r="BB206" s="20"/>
    </row>
    <row r="207" spans="1:54" x14ac:dyDescent="0.25">
      <c r="A207" s="10" t="s">
        <v>327</v>
      </c>
      <c r="B207" s="10" t="s">
        <v>271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20"/>
      <c r="AZ207" s="20"/>
      <c r="BA207" s="20"/>
      <c r="BB207" s="20"/>
    </row>
    <row r="208" spans="1:54" x14ac:dyDescent="0.25">
      <c r="A208" s="10" t="s">
        <v>327</v>
      </c>
      <c r="B208" s="10" t="s">
        <v>205</v>
      </c>
      <c r="C208" s="14"/>
      <c r="D208" s="14"/>
      <c r="E208" s="14"/>
      <c r="F208" s="14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20"/>
      <c r="AZ208" s="20"/>
      <c r="BA208" s="20"/>
      <c r="BB208" s="20"/>
    </row>
    <row r="209" spans="1:54" x14ac:dyDescent="0.25">
      <c r="A209" s="10" t="s">
        <v>327</v>
      </c>
      <c r="B209" s="10" t="s">
        <v>244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20"/>
      <c r="P209" s="20"/>
      <c r="Q209" s="20"/>
      <c r="R209" s="20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20"/>
      <c r="AZ209" s="20"/>
      <c r="BA209" s="20"/>
      <c r="BB209" s="20"/>
    </row>
    <row r="210" spans="1:54" x14ac:dyDescent="0.25">
      <c r="A210" s="10" t="s">
        <v>327</v>
      </c>
      <c r="B210" s="10" t="s">
        <v>321</v>
      </c>
      <c r="C210" s="20"/>
      <c r="D210" s="20"/>
      <c r="E210" s="20"/>
      <c r="F210" s="20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20"/>
      <c r="AZ210" s="20"/>
      <c r="BA210" s="20"/>
      <c r="BB210" s="20"/>
    </row>
    <row r="211" spans="1:54" x14ac:dyDescent="0.25">
      <c r="A211" s="10" t="s">
        <v>327</v>
      </c>
      <c r="B211" s="10" t="s">
        <v>263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20"/>
      <c r="AZ211" s="20"/>
      <c r="BA211" s="20"/>
      <c r="BB211" s="20"/>
    </row>
    <row r="212" spans="1:54" x14ac:dyDescent="0.25">
      <c r="A212" s="10" t="s">
        <v>327</v>
      </c>
      <c r="B212" s="10" t="s">
        <v>280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20"/>
      <c r="AZ212" s="20"/>
      <c r="BA212" s="20"/>
      <c r="BB212" s="20"/>
    </row>
    <row r="213" spans="1:54" x14ac:dyDescent="0.25">
      <c r="A213" s="10" t="s">
        <v>327</v>
      </c>
      <c r="B213" s="10" t="s">
        <v>311</v>
      </c>
      <c r="C213" s="20"/>
      <c r="D213" s="20"/>
      <c r="E213" s="20"/>
      <c r="F213" s="20"/>
      <c r="G213" s="20"/>
      <c r="H213" s="20"/>
      <c r="I213" s="20"/>
      <c r="J213" s="20"/>
      <c r="K213" s="14"/>
      <c r="L213" s="14"/>
      <c r="M213" s="14"/>
      <c r="N213" s="14"/>
      <c r="O213" s="20"/>
      <c r="P213" s="20"/>
      <c r="Q213" s="20"/>
      <c r="R213" s="20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20"/>
      <c r="AZ213" s="20"/>
      <c r="BA213" s="20"/>
      <c r="BB213" s="20"/>
    </row>
    <row r="214" spans="1:54" x14ac:dyDescent="0.25">
      <c r="A214" s="10" t="s">
        <v>327</v>
      </c>
      <c r="B214" s="10" t="s">
        <v>335</v>
      </c>
      <c r="C214" s="20"/>
      <c r="D214" s="20"/>
      <c r="E214" s="20"/>
      <c r="F214" s="20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20"/>
      <c r="AZ214" s="20"/>
      <c r="BA214" s="20"/>
      <c r="BB214" s="20"/>
    </row>
    <row r="215" spans="1:54" x14ac:dyDescent="0.25">
      <c r="A215" s="10" t="s">
        <v>327</v>
      </c>
      <c r="B215" s="10" t="s">
        <v>336</v>
      </c>
      <c r="C215" s="14"/>
      <c r="D215" s="14"/>
      <c r="E215" s="14"/>
      <c r="F215" s="14"/>
      <c r="G215" s="20"/>
      <c r="H215" s="20"/>
      <c r="I215" s="20"/>
      <c r="J215" s="20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20"/>
      <c r="AZ215" s="20"/>
      <c r="BA215" s="20"/>
      <c r="BB215" s="20"/>
    </row>
    <row r="216" spans="1:54" x14ac:dyDescent="0.25">
      <c r="A216" s="10" t="s">
        <v>327</v>
      </c>
      <c r="B216" s="10" t="s">
        <v>325</v>
      </c>
      <c r="C216" s="14"/>
      <c r="D216" s="14"/>
      <c r="E216" s="14"/>
      <c r="F216" s="14"/>
      <c r="G216" s="20"/>
      <c r="H216" s="20"/>
      <c r="I216" s="20"/>
      <c r="J216" s="20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20"/>
      <c r="AZ216" s="20"/>
      <c r="BA216" s="20"/>
      <c r="BB216" s="20"/>
    </row>
    <row r="217" spans="1:54" x14ac:dyDescent="0.25">
      <c r="A217" s="10" t="s">
        <v>327</v>
      </c>
      <c r="B217" s="10" t="s">
        <v>221</v>
      </c>
      <c r="C217" s="20"/>
      <c r="D217" s="20"/>
      <c r="E217" s="20"/>
      <c r="F217" s="20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20"/>
      <c r="AZ217" s="20"/>
      <c r="BA217" s="20"/>
      <c r="BB217" s="20"/>
    </row>
    <row r="218" spans="1:54" x14ac:dyDescent="0.25">
      <c r="A218" s="10" t="s">
        <v>327</v>
      </c>
      <c r="B218" s="10" t="s">
        <v>206</v>
      </c>
      <c r="C218" s="14"/>
      <c r="D218" s="14"/>
      <c r="E218" s="14"/>
      <c r="F218" s="14"/>
      <c r="G218" s="14"/>
      <c r="H218" s="14"/>
      <c r="I218" s="14"/>
      <c r="J218" s="14"/>
      <c r="K218" s="20"/>
      <c r="L218" s="20"/>
      <c r="M218" s="20"/>
      <c r="N218" s="20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20"/>
      <c r="AZ218" s="20"/>
      <c r="BA218" s="20"/>
      <c r="BB218" s="20"/>
    </row>
    <row r="219" spans="1:54" x14ac:dyDescent="0.25">
      <c r="A219" s="10" t="s">
        <v>327</v>
      </c>
      <c r="B219" s="10" t="s">
        <v>189</v>
      </c>
      <c r="C219" s="14"/>
      <c r="D219" s="14"/>
      <c r="E219" s="14"/>
      <c r="F219" s="14"/>
      <c r="G219" s="14"/>
      <c r="H219" s="14"/>
      <c r="I219" s="14"/>
      <c r="J219" s="14"/>
      <c r="K219" s="20"/>
      <c r="L219" s="20"/>
      <c r="M219" s="20"/>
      <c r="N219" s="20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20"/>
      <c r="AZ219" s="20"/>
      <c r="BA219" s="20"/>
      <c r="BB219" s="20"/>
    </row>
    <row r="220" spans="1:54" x14ac:dyDescent="0.25">
      <c r="A220" s="10" t="s">
        <v>327</v>
      </c>
      <c r="B220" s="10" t="s">
        <v>198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20"/>
      <c r="AZ220" s="20"/>
      <c r="BA220" s="20"/>
      <c r="BB220" s="20"/>
    </row>
    <row r="221" spans="1:54" x14ac:dyDescent="0.25">
      <c r="A221" s="10" t="s">
        <v>327</v>
      </c>
      <c r="B221" s="10" t="s">
        <v>291</v>
      </c>
      <c r="C221" s="20"/>
      <c r="D221" s="20"/>
      <c r="E221" s="20"/>
      <c r="F221" s="20"/>
      <c r="G221" s="20"/>
      <c r="H221" s="20"/>
      <c r="I221" s="20"/>
      <c r="J221" s="20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20"/>
      <c r="AZ221" s="20"/>
      <c r="BA221" s="20"/>
      <c r="BB221" s="20"/>
    </row>
    <row r="222" spans="1:54" x14ac:dyDescent="0.25">
      <c r="A222" s="10" t="s">
        <v>327</v>
      </c>
      <c r="B222" s="10" t="s">
        <v>293</v>
      </c>
      <c r="C222" s="20"/>
      <c r="D222" s="20"/>
      <c r="E222" s="20"/>
      <c r="F222" s="20"/>
      <c r="G222" s="20"/>
      <c r="H222" s="20"/>
      <c r="I222" s="20"/>
      <c r="J222" s="20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20"/>
      <c r="AZ222" s="20"/>
      <c r="BA222" s="20"/>
      <c r="BB222" s="20"/>
    </row>
    <row r="223" spans="1:54" x14ac:dyDescent="0.25">
      <c r="A223" s="10" t="s">
        <v>327</v>
      </c>
      <c r="B223" s="10" t="s">
        <v>253</v>
      </c>
      <c r="C223" s="20"/>
      <c r="D223" s="20"/>
      <c r="E223" s="20"/>
      <c r="F223" s="20"/>
      <c r="G223" s="20"/>
      <c r="H223" s="20"/>
      <c r="I223" s="20"/>
      <c r="J223" s="20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20"/>
      <c r="AZ223" s="20"/>
      <c r="BA223" s="20"/>
      <c r="BB223" s="20"/>
    </row>
    <row r="224" spans="1:54" x14ac:dyDescent="0.25">
      <c r="A224" s="10" t="s">
        <v>327</v>
      </c>
      <c r="B224" s="10" t="s">
        <v>290</v>
      </c>
      <c r="C224" s="14"/>
      <c r="D224" s="14"/>
      <c r="E224" s="14"/>
      <c r="F224" s="14"/>
      <c r="G224" s="20"/>
      <c r="H224" s="20"/>
      <c r="I224" s="20"/>
      <c r="J224" s="20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20"/>
      <c r="AZ224" s="20"/>
      <c r="BA224" s="20"/>
      <c r="BB224" s="20"/>
    </row>
    <row r="225" spans="1:54" x14ac:dyDescent="0.25">
      <c r="A225" s="10" t="s">
        <v>327</v>
      </c>
      <c r="B225" s="10" t="s">
        <v>337</v>
      </c>
      <c r="C225" s="14"/>
      <c r="D225" s="14"/>
      <c r="E225" s="14"/>
      <c r="F225" s="14"/>
      <c r="G225" s="20"/>
      <c r="H225" s="20"/>
      <c r="I225" s="20"/>
      <c r="J225" s="20"/>
      <c r="K225" s="20"/>
      <c r="L225" s="20"/>
      <c r="M225" s="20"/>
      <c r="N225" s="20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20"/>
      <c r="AZ225" s="20"/>
      <c r="BA225" s="20"/>
      <c r="BB225" s="20"/>
    </row>
    <row r="226" spans="1:54" x14ac:dyDescent="0.25">
      <c r="A226" s="10" t="s">
        <v>327</v>
      </c>
      <c r="B226" s="10" t="s">
        <v>338</v>
      </c>
      <c r="C226" s="14"/>
      <c r="D226" s="14"/>
      <c r="E226" s="14"/>
      <c r="F226" s="14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20"/>
      <c r="AZ226" s="20"/>
      <c r="BA226" s="20"/>
      <c r="BB226" s="20"/>
    </row>
    <row r="227" spans="1:54" x14ac:dyDescent="0.25">
      <c r="A227" s="10" t="s">
        <v>327</v>
      </c>
      <c r="B227" s="10" t="s">
        <v>339</v>
      </c>
      <c r="C227" s="14"/>
      <c r="D227" s="14"/>
      <c r="E227" s="14"/>
      <c r="F227" s="14"/>
      <c r="G227" s="20"/>
      <c r="H227" s="20"/>
      <c r="I227" s="20"/>
      <c r="J227" s="20"/>
      <c r="K227" s="20"/>
      <c r="L227" s="20"/>
      <c r="M227" s="20"/>
      <c r="N227" s="20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20"/>
      <c r="AZ227" s="20"/>
      <c r="BA227" s="20"/>
      <c r="BB227" s="20"/>
    </row>
    <row r="228" spans="1:54" x14ac:dyDescent="0.25">
      <c r="A228" s="10" t="s">
        <v>327</v>
      </c>
      <c r="B228" s="10" t="s">
        <v>208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20"/>
      <c r="AZ228" s="20"/>
      <c r="BA228" s="20"/>
      <c r="BB228" s="20"/>
    </row>
    <row r="229" spans="1:54" x14ac:dyDescent="0.25">
      <c r="A229" s="10" t="s">
        <v>327</v>
      </c>
      <c r="B229" s="10" t="s">
        <v>301</v>
      </c>
      <c r="C229" s="20"/>
      <c r="D229" s="20"/>
      <c r="E229" s="20"/>
      <c r="F229" s="20"/>
      <c r="G229" s="14"/>
      <c r="H229" s="14"/>
      <c r="I229" s="14"/>
      <c r="J229" s="14"/>
      <c r="K229" s="20"/>
      <c r="L229" s="20"/>
      <c r="M229" s="20"/>
      <c r="N229" s="20"/>
      <c r="O229" s="20"/>
      <c r="P229" s="20"/>
      <c r="Q229" s="20"/>
      <c r="R229" s="20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20"/>
      <c r="AZ229" s="20"/>
      <c r="BA229" s="20"/>
      <c r="BB229" s="20"/>
    </row>
    <row r="230" spans="1:54" x14ac:dyDescent="0.25">
      <c r="A230" s="10" t="s">
        <v>327</v>
      </c>
      <c r="B230" s="10" t="s">
        <v>250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20"/>
      <c r="AZ230" s="20"/>
      <c r="BA230" s="20"/>
      <c r="BB230" s="20"/>
    </row>
    <row r="231" spans="1:54" x14ac:dyDescent="0.25">
      <c r="A231" s="10" t="s">
        <v>327</v>
      </c>
      <c r="B231" s="10" t="s">
        <v>273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20"/>
      <c r="AZ231" s="20"/>
      <c r="BA231" s="20"/>
      <c r="BB231" s="20"/>
    </row>
    <row r="232" spans="1:54" x14ac:dyDescent="0.25">
      <c r="A232" s="10" t="s">
        <v>327</v>
      </c>
      <c r="B232" s="10" t="s">
        <v>262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20"/>
      <c r="AZ232" s="20"/>
      <c r="BA232" s="20"/>
      <c r="BB232" s="20"/>
    </row>
    <row r="233" spans="1:54" x14ac:dyDescent="0.25">
      <c r="A233" s="10" t="s">
        <v>327</v>
      </c>
      <c r="B233" s="10" t="s">
        <v>204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20"/>
      <c r="AZ233" s="20"/>
      <c r="BA233" s="20"/>
      <c r="BB233" s="20"/>
    </row>
    <row r="234" spans="1:54" x14ac:dyDescent="0.25">
      <c r="A234" s="10" t="s">
        <v>327</v>
      </c>
      <c r="B234" s="10" t="s">
        <v>188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20"/>
      <c r="AZ234" s="20"/>
      <c r="BA234" s="20"/>
      <c r="BB234" s="20"/>
    </row>
    <row r="235" spans="1:54" x14ac:dyDescent="0.25">
      <c r="A235" s="10" t="s">
        <v>327</v>
      </c>
      <c r="B235" s="10" t="s">
        <v>199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20"/>
      <c r="AZ235" s="20"/>
      <c r="BA235" s="20"/>
      <c r="BB235" s="20"/>
    </row>
    <row r="236" spans="1:54" x14ac:dyDescent="0.25">
      <c r="A236" s="10" t="s">
        <v>327</v>
      </c>
      <c r="B236" s="10" t="s">
        <v>226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20"/>
      <c r="AZ236" s="20"/>
      <c r="BA236" s="20"/>
      <c r="BB236" s="20"/>
    </row>
    <row r="237" spans="1:54" x14ac:dyDescent="0.25">
      <c r="A237" s="10" t="s">
        <v>327</v>
      </c>
      <c r="B237" s="10" t="s">
        <v>340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20"/>
      <c r="AZ237" s="20"/>
      <c r="BA237" s="20"/>
      <c r="BB237" s="20"/>
    </row>
    <row r="238" spans="1:54" x14ac:dyDescent="0.25">
      <c r="A238" s="10" t="s">
        <v>327</v>
      </c>
      <c r="B238" s="10" t="s">
        <v>234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20"/>
      <c r="AZ238" s="20"/>
      <c r="BA238" s="20"/>
      <c r="BB238" s="20"/>
    </row>
    <row r="239" spans="1:54" x14ac:dyDescent="0.25">
      <c r="A239" s="10" t="s">
        <v>327</v>
      </c>
      <c r="B239" s="10" t="s">
        <v>233</v>
      </c>
      <c r="C239" s="14"/>
      <c r="D239" s="14"/>
      <c r="E239" s="14"/>
      <c r="F239" s="14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20"/>
      <c r="AZ239" s="20"/>
      <c r="BA239" s="20"/>
      <c r="BB239" s="20"/>
    </row>
    <row r="240" spans="1:54" x14ac:dyDescent="0.25">
      <c r="A240" s="10" t="s">
        <v>327</v>
      </c>
      <c r="B240" s="10" t="s">
        <v>341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20"/>
      <c r="AZ240" s="20"/>
      <c r="BA240" s="20"/>
      <c r="BB240" s="20"/>
    </row>
    <row r="241" spans="1:54" x14ac:dyDescent="0.25">
      <c r="A241" s="10" t="s">
        <v>327</v>
      </c>
      <c r="B241" s="10" t="s">
        <v>278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20"/>
      <c r="AZ241" s="20"/>
      <c r="BA241" s="20"/>
      <c r="BB241" s="20"/>
    </row>
    <row r="242" spans="1:54" x14ac:dyDescent="0.25">
      <c r="A242" s="10" t="s">
        <v>327</v>
      </c>
      <c r="B242" s="10" t="s">
        <v>342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20"/>
      <c r="AZ242" s="20"/>
      <c r="BA242" s="20"/>
      <c r="BB242" s="20"/>
    </row>
    <row r="243" spans="1:54" x14ac:dyDescent="0.25">
      <c r="A243" s="10" t="s">
        <v>327</v>
      </c>
      <c r="B243" s="10" t="s">
        <v>240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20"/>
      <c r="AZ243" s="20"/>
      <c r="BA243" s="20"/>
      <c r="BB243" s="20"/>
    </row>
    <row r="244" spans="1:54" x14ac:dyDescent="0.25">
      <c r="A244" s="10" t="s">
        <v>327</v>
      </c>
      <c r="B244" s="10" t="s">
        <v>228</v>
      </c>
      <c r="C244" s="14"/>
      <c r="D244" s="14"/>
      <c r="E244" s="14"/>
      <c r="F244" s="14"/>
      <c r="G244" s="14"/>
      <c r="H244" s="14"/>
      <c r="I244" s="14"/>
      <c r="J244" s="14"/>
      <c r="K244" s="20"/>
      <c r="L244" s="20"/>
      <c r="M244" s="20"/>
      <c r="N244" s="20"/>
      <c r="O244" s="20"/>
      <c r="P244" s="20"/>
      <c r="Q244" s="20"/>
      <c r="R244" s="20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20"/>
      <c r="AZ244" s="20"/>
      <c r="BA244" s="20"/>
      <c r="BB244" s="20"/>
    </row>
    <row r="245" spans="1:54" x14ac:dyDescent="0.25">
      <c r="A245" s="10" t="s">
        <v>327</v>
      </c>
      <c r="B245" s="10" t="s">
        <v>210</v>
      </c>
      <c r="C245" s="20"/>
      <c r="D245" s="20"/>
      <c r="E245" s="20"/>
      <c r="F245" s="20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20"/>
      <c r="AZ245" s="20"/>
      <c r="BA245" s="20"/>
      <c r="BB245" s="20"/>
    </row>
    <row r="246" spans="1:54" x14ac:dyDescent="0.25">
      <c r="A246" s="10" t="s">
        <v>327</v>
      </c>
      <c r="B246" s="10" t="s">
        <v>257</v>
      </c>
      <c r="C246" s="14"/>
      <c r="D246" s="14"/>
      <c r="E246" s="14"/>
      <c r="F246" s="14"/>
      <c r="G246" s="20"/>
      <c r="H246" s="20"/>
      <c r="I246" s="20"/>
      <c r="J246" s="20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20"/>
      <c r="AZ246" s="20"/>
      <c r="BA246" s="20"/>
      <c r="BB246" s="20"/>
    </row>
    <row r="247" spans="1:54" x14ac:dyDescent="0.25">
      <c r="A247" s="10" t="s">
        <v>327</v>
      </c>
      <c r="B247" s="10" t="s">
        <v>212</v>
      </c>
      <c r="C247" s="20"/>
      <c r="D247" s="20"/>
      <c r="E247" s="20"/>
      <c r="F247" s="20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20"/>
      <c r="AZ247" s="20"/>
      <c r="BA247" s="20"/>
      <c r="BB247" s="20"/>
    </row>
    <row r="248" spans="1:54" x14ac:dyDescent="0.25">
      <c r="A248" s="10" t="s">
        <v>327</v>
      </c>
      <c r="B248" s="10" t="s">
        <v>207</v>
      </c>
      <c r="C248" s="20"/>
      <c r="D248" s="20"/>
      <c r="E248" s="20"/>
      <c r="F248" s="20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20"/>
      <c r="AZ248" s="20"/>
      <c r="BA248" s="20"/>
      <c r="BB248" s="20"/>
    </row>
    <row r="249" spans="1:54" x14ac:dyDescent="0.25">
      <c r="A249" s="10" t="s">
        <v>327</v>
      </c>
      <c r="B249" s="10" t="s">
        <v>241</v>
      </c>
      <c r="C249" s="14"/>
      <c r="D249" s="14"/>
      <c r="E249" s="14"/>
      <c r="F249" s="14"/>
      <c r="G249" s="20"/>
      <c r="H249" s="20"/>
      <c r="I249" s="20"/>
      <c r="J249" s="20"/>
      <c r="K249" s="14"/>
      <c r="L249" s="14"/>
      <c r="M249" s="14"/>
      <c r="N249" s="14"/>
      <c r="O249" s="20"/>
      <c r="P249" s="20"/>
      <c r="Q249" s="20"/>
      <c r="R249" s="20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20"/>
      <c r="AZ249" s="20"/>
      <c r="BA249" s="20"/>
      <c r="BB249" s="20"/>
    </row>
    <row r="250" spans="1:54" x14ac:dyDescent="0.25">
      <c r="A250" s="10" t="s">
        <v>327</v>
      </c>
      <c r="B250" s="10" t="s">
        <v>289</v>
      </c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20"/>
      <c r="P250" s="20"/>
      <c r="Q250" s="20"/>
      <c r="R250" s="20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20"/>
      <c r="AZ250" s="20"/>
      <c r="BA250" s="20"/>
      <c r="BB250" s="20"/>
    </row>
    <row r="251" spans="1:54" x14ac:dyDescent="0.25">
      <c r="A251" s="10" t="s">
        <v>327</v>
      </c>
      <c r="B251" s="10" t="s">
        <v>281</v>
      </c>
      <c r="C251" s="20"/>
      <c r="D251" s="20"/>
      <c r="E251" s="20"/>
      <c r="F251" s="20"/>
      <c r="G251" s="20"/>
      <c r="H251" s="20"/>
      <c r="I251" s="20"/>
      <c r="J251" s="20"/>
      <c r="K251" s="14"/>
      <c r="L251" s="14"/>
      <c r="M251" s="14"/>
      <c r="N251" s="14"/>
      <c r="O251" s="20"/>
      <c r="P251" s="20"/>
      <c r="Q251" s="20"/>
      <c r="R251" s="20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20"/>
      <c r="AZ251" s="20"/>
      <c r="BA251" s="20"/>
      <c r="BB251" s="20"/>
    </row>
    <row r="252" spans="1:54" x14ac:dyDescent="0.25">
      <c r="A252" s="10" t="s">
        <v>327</v>
      </c>
      <c r="B252" s="10" t="s">
        <v>214</v>
      </c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20"/>
      <c r="P252" s="20"/>
      <c r="Q252" s="20"/>
      <c r="R252" s="20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20"/>
      <c r="AZ252" s="20"/>
      <c r="BA252" s="20"/>
      <c r="BB252" s="20"/>
    </row>
    <row r="253" spans="1:54" x14ac:dyDescent="0.25">
      <c r="A253" s="10" t="s">
        <v>327</v>
      </c>
      <c r="B253" s="10" t="s">
        <v>209</v>
      </c>
      <c r="C253" s="14"/>
      <c r="D253" s="14"/>
      <c r="E253" s="14"/>
      <c r="F253" s="14"/>
      <c r="G253" s="20"/>
      <c r="H253" s="20"/>
      <c r="I253" s="20"/>
      <c r="J253" s="20"/>
      <c r="K253" s="20"/>
      <c r="L253" s="20"/>
      <c r="M253" s="20"/>
      <c r="N253" s="20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20"/>
      <c r="AZ253" s="20"/>
      <c r="BA253" s="20"/>
      <c r="BB253" s="20"/>
    </row>
    <row r="254" spans="1:54" x14ac:dyDescent="0.25">
      <c r="A254" s="10" t="s">
        <v>327</v>
      </c>
      <c r="B254" s="10" t="s">
        <v>230</v>
      </c>
      <c r="C254" s="14"/>
      <c r="D254" s="14"/>
      <c r="E254" s="14"/>
      <c r="F254" s="14"/>
      <c r="G254" s="14"/>
      <c r="H254" s="14"/>
      <c r="I254" s="14"/>
      <c r="J254" s="14"/>
      <c r="K254" s="20"/>
      <c r="L254" s="20"/>
      <c r="M254" s="20"/>
      <c r="N254" s="20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20"/>
      <c r="AZ254" s="20"/>
      <c r="BA254" s="20"/>
      <c r="BB254" s="20"/>
    </row>
    <row r="255" spans="1:54" x14ac:dyDescent="0.25">
      <c r="A255" s="10" t="s">
        <v>327</v>
      </c>
      <c r="B255" s="10" t="s">
        <v>256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20"/>
      <c r="AZ255" s="20"/>
      <c r="BA255" s="20"/>
      <c r="BB255" s="20"/>
    </row>
    <row r="256" spans="1:54" x14ac:dyDescent="0.25">
      <c r="A256" s="10" t="s">
        <v>327</v>
      </c>
      <c r="B256" s="10" t="s">
        <v>248</v>
      </c>
      <c r="C256" s="14"/>
      <c r="D256" s="14"/>
      <c r="E256" s="14"/>
      <c r="F256" s="14"/>
      <c r="G256" s="14"/>
      <c r="H256" s="14"/>
      <c r="I256" s="14"/>
      <c r="J256" s="14"/>
      <c r="K256" s="20"/>
      <c r="L256" s="20"/>
      <c r="M256" s="20"/>
      <c r="N256" s="20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20"/>
      <c r="AZ256" s="20"/>
      <c r="BA256" s="20"/>
      <c r="BB256" s="20"/>
    </row>
    <row r="257" spans="1:54" x14ac:dyDescent="0.25">
      <c r="A257" s="10" t="s">
        <v>327</v>
      </c>
      <c r="B257" s="10" t="s">
        <v>247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20"/>
      <c r="AZ257" s="20"/>
      <c r="BA257" s="20"/>
      <c r="BB257" s="20"/>
    </row>
    <row r="258" spans="1:54" x14ac:dyDescent="0.25">
      <c r="A258" s="10" t="s">
        <v>327</v>
      </c>
      <c r="B258" s="10" t="s">
        <v>215</v>
      </c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20"/>
      <c r="P258" s="20"/>
      <c r="Q258" s="20"/>
      <c r="R258" s="20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20"/>
      <c r="AZ258" s="20"/>
      <c r="BA258" s="20"/>
      <c r="BB258" s="20"/>
    </row>
    <row r="259" spans="1:54" x14ac:dyDescent="0.25">
      <c r="A259" s="10" t="s">
        <v>327</v>
      </c>
      <c r="B259" s="10" t="s">
        <v>249</v>
      </c>
      <c r="C259" s="14"/>
      <c r="D259" s="14"/>
      <c r="E259" s="14"/>
      <c r="F259" s="14"/>
      <c r="G259" s="20"/>
      <c r="H259" s="20"/>
      <c r="I259" s="20"/>
      <c r="J259" s="20"/>
      <c r="K259" s="20"/>
      <c r="L259" s="20"/>
      <c r="M259" s="20"/>
      <c r="N259" s="20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20"/>
      <c r="AZ259" s="20"/>
      <c r="BA259" s="20"/>
      <c r="BB259" s="20"/>
    </row>
    <row r="260" spans="1:54" x14ac:dyDescent="0.25">
      <c r="A260" s="10" t="s">
        <v>327</v>
      </c>
      <c r="B260" s="10" t="s">
        <v>239</v>
      </c>
      <c r="C260" s="14"/>
      <c r="D260" s="14"/>
      <c r="E260" s="14"/>
      <c r="F260" s="14"/>
      <c r="G260" s="20"/>
      <c r="H260" s="20"/>
      <c r="I260" s="20"/>
      <c r="J260" s="20"/>
      <c r="K260" s="20"/>
      <c r="L260" s="20"/>
      <c r="M260" s="20"/>
      <c r="N260" s="20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20"/>
      <c r="AZ260" s="20"/>
      <c r="BA260" s="20"/>
      <c r="BB260" s="20"/>
    </row>
    <row r="261" spans="1:54" x14ac:dyDescent="0.25">
      <c r="A261" s="10" t="s">
        <v>327</v>
      </c>
      <c r="B261" s="10" t="s">
        <v>216</v>
      </c>
      <c r="C261" s="20"/>
      <c r="D261" s="20"/>
      <c r="E261" s="20"/>
      <c r="F261" s="20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20"/>
      <c r="AZ261" s="20"/>
      <c r="BA261" s="20"/>
      <c r="BB261" s="20"/>
    </row>
    <row r="262" spans="1:54" x14ac:dyDescent="0.25">
      <c r="A262" s="10" t="s">
        <v>327</v>
      </c>
      <c r="B262" s="10" t="s">
        <v>197</v>
      </c>
      <c r="C262" s="20"/>
      <c r="D262" s="20"/>
      <c r="E262" s="20"/>
      <c r="F262" s="20"/>
      <c r="G262" s="14"/>
      <c r="H262" s="14"/>
      <c r="I262" s="14"/>
      <c r="J262" s="14"/>
      <c r="K262" s="20"/>
      <c r="L262" s="20"/>
      <c r="M262" s="20"/>
      <c r="N262" s="20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20"/>
      <c r="AZ262" s="20"/>
      <c r="BA262" s="20"/>
      <c r="BB262" s="20"/>
    </row>
    <row r="263" spans="1:54" x14ac:dyDescent="0.25">
      <c r="A263" s="10" t="s">
        <v>327</v>
      </c>
      <c r="B263" s="10" t="s">
        <v>218</v>
      </c>
      <c r="C263" s="20"/>
      <c r="D263" s="20"/>
      <c r="E263" s="20"/>
      <c r="F263" s="20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20"/>
      <c r="AZ263" s="20"/>
      <c r="BA263" s="20"/>
      <c r="BB263" s="20"/>
    </row>
    <row r="264" spans="1:54" x14ac:dyDescent="0.25">
      <c r="A264" s="10" t="s">
        <v>327</v>
      </c>
      <c r="B264" s="10" t="s">
        <v>303</v>
      </c>
      <c r="C264" s="20"/>
      <c r="D264" s="20"/>
      <c r="E264" s="20"/>
      <c r="F264" s="20"/>
      <c r="G264" s="14"/>
      <c r="H264" s="14"/>
      <c r="I264" s="14"/>
      <c r="J264" s="14"/>
      <c r="K264" s="20"/>
      <c r="L264" s="20"/>
      <c r="M264" s="20"/>
      <c r="N264" s="20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20"/>
      <c r="AZ264" s="20"/>
      <c r="BA264" s="20"/>
      <c r="BB264" s="20"/>
    </row>
    <row r="265" spans="1:54" x14ac:dyDescent="0.25">
      <c r="A265" s="10" t="s">
        <v>327</v>
      </c>
      <c r="B265" s="10" t="s">
        <v>288</v>
      </c>
      <c r="C265" s="20"/>
      <c r="D265" s="20"/>
      <c r="E265" s="20"/>
      <c r="F265" s="20"/>
      <c r="G265" s="14"/>
      <c r="H265" s="14"/>
      <c r="I265" s="14"/>
      <c r="J265" s="14"/>
      <c r="K265" s="20"/>
      <c r="L265" s="20"/>
      <c r="M265" s="20"/>
      <c r="N265" s="20"/>
      <c r="O265" s="20"/>
      <c r="P265" s="20"/>
      <c r="Q265" s="20"/>
      <c r="R265" s="20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20"/>
      <c r="AZ265" s="20"/>
      <c r="BA265" s="20"/>
      <c r="BB265" s="20"/>
    </row>
    <row r="266" spans="1:54" x14ac:dyDescent="0.25">
      <c r="A266" s="10" t="s">
        <v>327</v>
      </c>
      <c r="B266" s="10" t="s">
        <v>343</v>
      </c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20"/>
      <c r="AZ266" s="20"/>
      <c r="BA266" s="20"/>
      <c r="BB266" s="20"/>
    </row>
    <row r="267" spans="1:54" x14ac:dyDescent="0.25">
      <c r="A267" s="10" t="s">
        <v>327</v>
      </c>
      <c r="B267" s="10" t="s">
        <v>344</v>
      </c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20"/>
      <c r="AZ267" s="20"/>
      <c r="BA267" s="20"/>
      <c r="BB267" s="20"/>
    </row>
    <row r="268" spans="1:54" x14ac:dyDescent="0.25">
      <c r="A268" s="10" t="s">
        <v>327</v>
      </c>
      <c r="B268" s="10" t="s">
        <v>345</v>
      </c>
      <c r="C268" s="14"/>
      <c r="D268" s="14"/>
      <c r="E268" s="14"/>
      <c r="F268" s="14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20"/>
      <c r="AZ268" s="20"/>
      <c r="BA268" s="20"/>
      <c r="BB268" s="20"/>
    </row>
    <row r="269" spans="1:54" x14ac:dyDescent="0.25">
      <c r="A269" s="10" t="s">
        <v>327</v>
      </c>
      <c r="B269" s="10" t="s">
        <v>324</v>
      </c>
      <c r="C269" s="14"/>
      <c r="D269" s="14"/>
      <c r="E269" s="14"/>
      <c r="F269" s="14"/>
      <c r="G269" s="20"/>
      <c r="H269" s="20"/>
      <c r="I269" s="20"/>
      <c r="J269" s="20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20"/>
      <c r="AZ269" s="20"/>
      <c r="BA269" s="20"/>
      <c r="BB269" s="20"/>
    </row>
    <row r="270" spans="1:54" x14ac:dyDescent="0.25">
      <c r="A270" s="10" t="s">
        <v>327</v>
      </c>
      <c r="B270" s="10" t="s">
        <v>346</v>
      </c>
      <c r="C270" s="14"/>
      <c r="D270" s="14"/>
      <c r="E270" s="14"/>
      <c r="F270" s="14"/>
      <c r="G270" s="20"/>
      <c r="H270" s="20"/>
      <c r="I270" s="20"/>
      <c r="J270" s="20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20"/>
      <c r="AZ270" s="20"/>
      <c r="BA270" s="20"/>
      <c r="BB270" s="20"/>
    </row>
    <row r="271" spans="1:54" x14ac:dyDescent="0.25">
      <c r="A271" s="10" t="s">
        <v>327</v>
      </c>
      <c r="B271" s="10" t="s">
        <v>304</v>
      </c>
      <c r="C271" s="14"/>
      <c r="D271" s="14"/>
      <c r="E271" s="14"/>
      <c r="F271" s="14"/>
      <c r="G271" s="20"/>
      <c r="H271" s="20"/>
      <c r="I271" s="20"/>
      <c r="J271" s="20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20"/>
      <c r="AZ271" s="20"/>
      <c r="BA271" s="20"/>
      <c r="BB271" s="20"/>
    </row>
    <row r="272" spans="1:54" x14ac:dyDescent="0.25">
      <c r="A272" s="10" t="s">
        <v>327</v>
      </c>
      <c r="B272" s="10" t="s">
        <v>243</v>
      </c>
      <c r="C272" s="20"/>
      <c r="D272" s="20"/>
      <c r="E272" s="20"/>
      <c r="F272" s="20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20"/>
      <c r="AZ272" s="20"/>
      <c r="BA272" s="20"/>
      <c r="BB272" s="20"/>
    </row>
    <row r="273" spans="1:54" x14ac:dyDescent="0.25">
      <c r="A273" s="10" t="s">
        <v>327</v>
      </c>
      <c r="B273" s="10" t="s">
        <v>318</v>
      </c>
      <c r="C273" s="14"/>
      <c r="D273" s="14"/>
      <c r="E273" s="14"/>
      <c r="F273" s="14"/>
      <c r="G273" s="20"/>
      <c r="H273" s="20"/>
      <c r="I273" s="20"/>
      <c r="J273" s="20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20"/>
      <c r="AZ273" s="20"/>
      <c r="BA273" s="20"/>
      <c r="BB273" s="20"/>
    </row>
    <row r="274" spans="1:54" x14ac:dyDescent="0.25">
      <c r="A274" s="10" t="s">
        <v>327</v>
      </c>
      <c r="B274" s="10" t="s">
        <v>347</v>
      </c>
      <c r="C274" s="14"/>
      <c r="D274" s="14"/>
      <c r="E274" s="14"/>
      <c r="F274" s="14"/>
      <c r="G274" s="20"/>
      <c r="H274" s="20"/>
      <c r="I274" s="20"/>
      <c r="J274" s="20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20"/>
      <c r="AZ274" s="20"/>
      <c r="BA274" s="20"/>
      <c r="BB274" s="20"/>
    </row>
    <row r="275" spans="1:54" x14ac:dyDescent="0.25">
      <c r="A275" s="10" t="s">
        <v>26</v>
      </c>
      <c r="B275" s="10" t="s">
        <v>27</v>
      </c>
      <c r="C275" s="11">
        <v>61.442999999999998</v>
      </c>
      <c r="D275" s="16">
        <v>4007.93</v>
      </c>
      <c r="E275" s="16">
        <v>2764.32</v>
      </c>
      <c r="F275" s="13">
        <v>1.45</v>
      </c>
      <c r="G275" s="11">
        <v>92.164000000000001</v>
      </c>
      <c r="H275" s="16">
        <v>6011.86</v>
      </c>
      <c r="I275" s="16">
        <v>4146.46</v>
      </c>
      <c r="J275" s="13">
        <v>1.45</v>
      </c>
      <c r="K275" s="11">
        <v>107.52500000000001</v>
      </c>
      <c r="L275" s="16">
        <v>7013.86</v>
      </c>
      <c r="M275" s="16">
        <v>4837.55</v>
      </c>
      <c r="N275" s="13">
        <v>1.45</v>
      </c>
      <c r="O275" s="11">
        <v>124.422</v>
      </c>
      <c r="P275" s="16">
        <v>8116.05</v>
      </c>
      <c r="Q275" s="16">
        <v>5597.75</v>
      </c>
      <c r="R275" s="13">
        <v>1.45</v>
      </c>
      <c r="S275" s="11">
        <v>124.422</v>
      </c>
      <c r="T275" s="16">
        <v>8116.05</v>
      </c>
      <c r="U275" s="16">
        <v>5597.75</v>
      </c>
      <c r="V275" s="13">
        <v>1.45</v>
      </c>
      <c r="W275" s="11">
        <v>124.422</v>
      </c>
      <c r="X275" s="16">
        <v>8116.05</v>
      </c>
      <c r="Y275" s="16">
        <v>5597.75</v>
      </c>
      <c r="Z275" s="13">
        <v>1.45</v>
      </c>
      <c r="AA275" s="11">
        <v>135.17400000000001</v>
      </c>
      <c r="AB275" s="12">
        <v>8817.4</v>
      </c>
      <c r="AC275" s="16">
        <v>6081.48</v>
      </c>
      <c r="AD275" s="13">
        <v>1.45</v>
      </c>
      <c r="AE275" s="11">
        <v>138.24700000000001</v>
      </c>
      <c r="AF275" s="16">
        <v>9017.85</v>
      </c>
      <c r="AG275" s="16">
        <v>6219.73</v>
      </c>
      <c r="AH275" s="13">
        <v>1.45</v>
      </c>
      <c r="AI275" s="11">
        <v>153.607</v>
      </c>
      <c r="AJ275" s="16">
        <v>10019.780000000001</v>
      </c>
      <c r="AK275" s="16">
        <v>6910.78</v>
      </c>
      <c r="AL275" s="13">
        <v>1.45</v>
      </c>
      <c r="AM275" s="11">
        <v>148.999</v>
      </c>
      <c r="AN275" s="12">
        <v>9719.2000000000007</v>
      </c>
      <c r="AO275" s="16">
        <v>6703.47</v>
      </c>
      <c r="AP275" s="13">
        <v>1.45</v>
      </c>
      <c r="AQ275" s="11">
        <v>153.607</v>
      </c>
      <c r="AR275" s="16">
        <v>10019.780000000001</v>
      </c>
      <c r="AS275" s="16">
        <v>6910.78</v>
      </c>
      <c r="AT275" s="13">
        <v>1.45</v>
      </c>
      <c r="AU275" s="11">
        <v>168.96799999999999</v>
      </c>
      <c r="AV275" s="16">
        <v>11021.78</v>
      </c>
      <c r="AW275" s="16">
        <v>7601.87</v>
      </c>
      <c r="AX275" s="13">
        <v>1.45</v>
      </c>
      <c r="AY275" s="18">
        <v>1533</v>
      </c>
      <c r="AZ275" s="16">
        <v>99997.59</v>
      </c>
      <c r="BA275" s="16">
        <v>68969.69</v>
      </c>
      <c r="BB275" s="13">
        <v>1.45</v>
      </c>
    </row>
    <row r="276" spans="1:54" x14ac:dyDescent="0.25">
      <c r="A276" s="10" t="s">
        <v>26</v>
      </c>
      <c r="B276" s="10" t="s">
        <v>28</v>
      </c>
      <c r="C276" s="11">
        <v>13.374000000000001</v>
      </c>
      <c r="D276" s="16">
        <v>20081.060000000001</v>
      </c>
      <c r="E276" s="16">
        <v>13848.91</v>
      </c>
      <c r="F276" s="13">
        <v>1.45</v>
      </c>
      <c r="G276" s="11">
        <v>16.716999999999999</v>
      </c>
      <c r="H276" s="16">
        <v>25100.58</v>
      </c>
      <c r="I276" s="16">
        <v>17310.62</v>
      </c>
      <c r="J276" s="13">
        <v>1.45</v>
      </c>
      <c r="K276" s="11">
        <v>20.059999999999999</v>
      </c>
      <c r="L276" s="16">
        <v>30120.09</v>
      </c>
      <c r="M276" s="16">
        <v>20772.330000000002</v>
      </c>
      <c r="N276" s="13">
        <v>1.45</v>
      </c>
      <c r="O276" s="11">
        <v>27.416</v>
      </c>
      <c r="P276" s="16">
        <v>41165.120000000003</v>
      </c>
      <c r="Q276" s="16">
        <v>28389.54</v>
      </c>
      <c r="R276" s="13">
        <v>1.45</v>
      </c>
      <c r="S276" s="11">
        <v>23.402999999999999</v>
      </c>
      <c r="T276" s="12">
        <v>35139.599999999999</v>
      </c>
      <c r="U276" s="16">
        <v>24234.04</v>
      </c>
      <c r="V276" s="13">
        <v>1.45</v>
      </c>
      <c r="W276" s="11">
        <v>26.747</v>
      </c>
      <c r="X276" s="16">
        <v>40160.620000000003</v>
      </c>
      <c r="Y276" s="16">
        <v>27696.79</v>
      </c>
      <c r="Z276" s="13">
        <v>1.45</v>
      </c>
      <c r="AA276" s="11">
        <v>26.747</v>
      </c>
      <c r="AB276" s="16">
        <v>40160.620000000003</v>
      </c>
      <c r="AC276" s="16">
        <v>27696.79</v>
      </c>
      <c r="AD276" s="13">
        <v>1.45</v>
      </c>
      <c r="AE276" s="11">
        <v>23.402999999999999</v>
      </c>
      <c r="AF276" s="12">
        <v>35139.599999999999</v>
      </c>
      <c r="AG276" s="16">
        <v>24234.04</v>
      </c>
      <c r="AH276" s="13">
        <v>1.45</v>
      </c>
      <c r="AI276" s="11">
        <v>26.747</v>
      </c>
      <c r="AJ276" s="16">
        <v>40160.620000000003</v>
      </c>
      <c r="AK276" s="16">
        <v>27696.79</v>
      </c>
      <c r="AL276" s="13">
        <v>1.45</v>
      </c>
      <c r="AM276" s="11">
        <v>35.774000000000001</v>
      </c>
      <c r="AN276" s="16">
        <v>53714.66</v>
      </c>
      <c r="AO276" s="16">
        <v>37044.33</v>
      </c>
      <c r="AP276" s="13">
        <v>1.45</v>
      </c>
      <c r="AQ276" s="11">
        <v>35.774000000000001</v>
      </c>
      <c r="AR276" s="16">
        <v>53714.66</v>
      </c>
      <c r="AS276" s="16">
        <v>37044.33</v>
      </c>
      <c r="AT276" s="13">
        <v>1.45</v>
      </c>
      <c r="AU276" s="11">
        <v>56.835999999999999</v>
      </c>
      <c r="AV276" s="16">
        <v>85339.25</v>
      </c>
      <c r="AW276" s="16">
        <v>58854.25</v>
      </c>
      <c r="AX276" s="13">
        <v>1.45</v>
      </c>
      <c r="AY276" s="11">
        <v>332.99799999999999</v>
      </c>
      <c r="AZ276" s="16">
        <v>499996.48</v>
      </c>
      <c r="BA276" s="16">
        <v>344822.76</v>
      </c>
      <c r="BB276" s="13">
        <v>1.45</v>
      </c>
    </row>
    <row r="277" spans="1:54" x14ac:dyDescent="0.25">
      <c r="A277" s="10" t="s">
        <v>26</v>
      </c>
      <c r="B277" s="10" t="s">
        <v>29</v>
      </c>
      <c r="C277" s="11">
        <v>6.8940000000000001</v>
      </c>
      <c r="D277" s="16">
        <v>40080.82</v>
      </c>
      <c r="E277" s="16">
        <v>27641.84</v>
      </c>
      <c r="F277" s="13">
        <v>1.45</v>
      </c>
      <c r="G277" s="11">
        <v>10.34</v>
      </c>
      <c r="H277" s="16">
        <v>60115.42</v>
      </c>
      <c r="I277" s="16">
        <v>41458.75</v>
      </c>
      <c r="J277" s="13">
        <v>1.45</v>
      </c>
      <c r="K277" s="11">
        <v>12.064</v>
      </c>
      <c r="L277" s="16">
        <v>70138.53</v>
      </c>
      <c r="M277" s="16">
        <v>48371.21</v>
      </c>
      <c r="N277" s="13">
        <v>1.45</v>
      </c>
      <c r="O277" s="11">
        <v>13.96</v>
      </c>
      <c r="P277" s="16">
        <v>81161.63</v>
      </c>
      <c r="Q277" s="16">
        <v>55973.32</v>
      </c>
      <c r="R277" s="13">
        <v>1.45</v>
      </c>
      <c r="S277" s="11">
        <v>13.96</v>
      </c>
      <c r="T277" s="16">
        <v>81161.63</v>
      </c>
      <c r="U277" s="16">
        <v>55973.32</v>
      </c>
      <c r="V277" s="13">
        <v>1.45</v>
      </c>
      <c r="W277" s="11">
        <v>13.96</v>
      </c>
      <c r="X277" s="16">
        <v>81161.63</v>
      </c>
      <c r="Y277" s="16">
        <v>55973.32</v>
      </c>
      <c r="Z277" s="13">
        <v>1.45</v>
      </c>
      <c r="AA277" s="11">
        <v>15.166</v>
      </c>
      <c r="AB277" s="16">
        <v>88173.15</v>
      </c>
      <c r="AC277" s="16">
        <v>60808.84</v>
      </c>
      <c r="AD277" s="13">
        <v>1.45</v>
      </c>
      <c r="AE277" s="11">
        <v>15.510999999999999</v>
      </c>
      <c r="AF277" s="16">
        <v>90178.94</v>
      </c>
      <c r="AG277" s="16">
        <v>62192.13</v>
      </c>
      <c r="AH277" s="13">
        <v>1.45</v>
      </c>
      <c r="AI277" s="11">
        <v>17.234999999999999</v>
      </c>
      <c r="AJ277" s="16">
        <v>100202.05</v>
      </c>
      <c r="AK277" s="16">
        <v>69104.59</v>
      </c>
      <c r="AL277" s="13">
        <v>1.45</v>
      </c>
      <c r="AM277" s="11">
        <v>16.716999999999999</v>
      </c>
      <c r="AN277" s="16">
        <v>97190.46</v>
      </c>
      <c r="AO277" s="16">
        <v>67027.649999999994</v>
      </c>
      <c r="AP277" s="13">
        <v>1.45</v>
      </c>
      <c r="AQ277" s="11">
        <v>17.234999999999999</v>
      </c>
      <c r="AR277" s="16">
        <v>100202.05</v>
      </c>
      <c r="AS277" s="16">
        <v>69104.59</v>
      </c>
      <c r="AT277" s="13">
        <v>1.45</v>
      </c>
      <c r="AU277" s="11">
        <v>18.959</v>
      </c>
      <c r="AV277" s="16">
        <v>110225.16</v>
      </c>
      <c r="AW277" s="16">
        <v>76017.06</v>
      </c>
      <c r="AX277" s="13">
        <v>1.45</v>
      </c>
      <c r="AY277" s="11">
        <v>172.001</v>
      </c>
      <c r="AZ277" s="16">
        <v>999991.47</v>
      </c>
      <c r="BA277" s="16">
        <v>689646.62</v>
      </c>
      <c r="BB277" s="13">
        <v>1.45</v>
      </c>
    </row>
    <row r="278" spans="1:54" x14ac:dyDescent="0.25">
      <c r="A278" s="10" t="s">
        <v>30</v>
      </c>
      <c r="B278" s="10" t="s">
        <v>27</v>
      </c>
      <c r="C278" s="11">
        <v>45.972999999999999</v>
      </c>
      <c r="D278" s="16">
        <v>3724.27</v>
      </c>
      <c r="E278" s="16">
        <v>2068.79</v>
      </c>
      <c r="F278" s="13">
        <v>1.8</v>
      </c>
      <c r="G278" s="11">
        <v>68.238</v>
      </c>
      <c r="H278" s="16">
        <v>5527.96</v>
      </c>
      <c r="I278" s="16">
        <v>3070.71</v>
      </c>
      <c r="J278" s="13">
        <v>1.8</v>
      </c>
      <c r="K278" s="11">
        <v>79.37</v>
      </c>
      <c r="L278" s="16">
        <v>6429.76</v>
      </c>
      <c r="M278" s="16">
        <v>3571.65</v>
      </c>
      <c r="N278" s="13">
        <v>1.8</v>
      </c>
      <c r="O278" s="11">
        <v>88.727000000000004</v>
      </c>
      <c r="P278" s="16">
        <v>7187.77</v>
      </c>
      <c r="Q278" s="16">
        <v>3992.72</v>
      </c>
      <c r="R278" s="13">
        <v>1.8</v>
      </c>
      <c r="S278" s="11">
        <v>88.727000000000004</v>
      </c>
      <c r="T278" s="16">
        <v>7187.77</v>
      </c>
      <c r="U278" s="16">
        <v>3992.72</v>
      </c>
      <c r="V278" s="13">
        <v>1.8</v>
      </c>
      <c r="W278" s="11">
        <v>88.727000000000004</v>
      </c>
      <c r="X278" s="16">
        <v>7187.77</v>
      </c>
      <c r="Y278" s="16">
        <v>3992.72</v>
      </c>
      <c r="Z278" s="13">
        <v>1.8</v>
      </c>
      <c r="AA278" s="11">
        <v>97.963999999999999</v>
      </c>
      <c r="AB278" s="16">
        <v>7936.06</v>
      </c>
      <c r="AC278" s="16">
        <v>4408.38</v>
      </c>
      <c r="AD278" s="13">
        <v>1.8</v>
      </c>
      <c r="AE278" s="11">
        <v>100.19</v>
      </c>
      <c r="AF278" s="16">
        <v>8116.39</v>
      </c>
      <c r="AG278" s="16">
        <v>4508.55</v>
      </c>
      <c r="AH278" s="13">
        <v>1.8</v>
      </c>
      <c r="AI278" s="11">
        <v>111.32299999999999</v>
      </c>
      <c r="AJ278" s="16">
        <v>9018.2800000000007</v>
      </c>
      <c r="AK278" s="16">
        <v>5009.54</v>
      </c>
      <c r="AL278" s="13">
        <v>1.8</v>
      </c>
      <c r="AM278" s="11">
        <v>107.983</v>
      </c>
      <c r="AN278" s="12">
        <v>8747.7000000000007</v>
      </c>
      <c r="AO278" s="16">
        <v>4859.24</v>
      </c>
      <c r="AP278" s="13">
        <v>1.8</v>
      </c>
      <c r="AQ278" s="11">
        <v>111.32299999999999</v>
      </c>
      <c r="AR278" s="16">
        <v>9018.2800000000007</v>
      </c>
      <c r="AS278" s="16">
        <v>5009.54</v>
      </c>
      <c r="AT278" s="13">
        <v>1.8</v>
      </c>
      <c r="AU278" s="11">
        <v>122.455</v>
      </c>
      <c r="AV278" s="16">
        <v>9920.08</v>
      </c>
      <c r="AW278" s="16">
        <v>5510.48</v>
      </c>
      <c r="AX278" s="13">
        <v>1.8</v>
      </c>
      <c r="AY278" s="18">
        <v>1111</v>
      </c>
      <c r="AZ278" s="16">
        <v>90002.09</v>
      </c>
      <c r="BA278" s="16">
        <v>49995.040000000001</v>
      </c>
      <c r="BB278" s="13">
        <v>1.8</v>
      </c>
    </row>
    <row r="279" spans="1:54" x14ac:dyDescent="0.25">
      <c r="A279" s="10" t="s">
        <v>30</v>
      </c>
      <c r="B279" s="10" t="s">
        <v>31</v>
      </c>
      <c r="C279" s="11">
        <v>538.98599999999999</v>
      </c>
      <c r="D279" s="16">
        <v>49721.46</v>
      </c>
      <c r="E279" s="16">
        <v>24254.37</v>
      </c>
      <c r="F279" s="13">
        <v>2.0499999999999998</v>
      </c>
      <c r="G279" s="11">
        <v>669.50900000000001</v>
      </c>
      <c r="H279" s="16">
        <v>61762.21</v>
      </c>
      <c r="I279" s="16">
        <v>30127.91</v>
      </c>
      <c r="J279" s="13">
        <v>2.0499999999999998</v>
      </c>
      <c r="K279" s="11">
        <v>800.03</v>
      </c>
      <c r="L279" s="16">
        <v>73802.77</v>
      </c>
      <c r="M279" s="16">
        <v>36001.35</v>
      </c>
      <c r="N279" s="13">
        <v>2.0499999999999998</v>
      </c>
      <c r="O279" s="18">
        <v>1053.383</v>
      </c>
      <c r="P279" s="16">
        <v>97174.58</v>
      </c>
      <c r="Q279" s="16">
        <v>47402.239999999998</v>
      </c>
      <c r="R279" s="13">
        <v>2.0499999999999998</v>
      </c>
      <c r="S279" s="11">
        <v>896.75699999999995</v>
      </c>
      <c r="T279" s="16">
        <v>82725.83</v>
      </c>
      <c r="U279" s="16">
        <v>40354.07</v>
      </c>
      <c r="V279" s="13">
        <v>2.0499999999999998</v>
      </c>
      <c r="W279" s="18">
        <v>1027.279</v>
      </c>
      <c r="X279" s="16">
        <v>94766.49</v>
      </c>
      <c r="Y279" s="16">
        <v>46227.56</v>
      </c>
      <c r="Z279" s="13">
        <v>2.0499999999999998</v>
      </c>
      <c r="AA279" s="18">
        <v>1044.1769999999999</v>
      </c>
      <c r="AB279" s="16">
        <v>96325.33</v>
      </c>
      <c r="AC279" s="16">
        <v>46987.97</v>
      </c>
      <c r="AD279" s="13">
        <v>2.0499999999999998</v>
      </c>
      <c r="AE279" s="11">
        <v>913.65499999999997</v>
      </c>
      <c r="AF279" s="16">
        <v>84284.67</v>
      </c>
      <c r="AG279" s="16">
        <v>41114.480000000003</v>
      </c>
      <c r="AH279" s="13">
        <v>2.0499999999999998</v>
      </c>
      <c r="AI279" s="18">
        <v>1044.1769999999999</v>
      </c>
      <c r="AJ279" s="16">
        <v>96325.33</v>
      </c>
      <c r="AK279" s="16">
        <v>46987.97</v>
      </c>
      <c r="AL279" s="13">
        <v>2.0499999999999998</v>
      </c>
      <c r="AM279" s="18">
        <v>1396.586</v>
      </c>
      <c r="AN279" s="16">
        <v>128835.06</v>
      </c>
      <c r="AO279" s="16">
        <v>62846.37</v>
      </c>
      <c r="AP279" s="13">
        <v>2.0499999999999998</v>
      </c>
      <c r="AQ279" s="18">
        <v>1396.586</v>
      </c>
      <c r="AR279" s="16">
        <v>128835.06</v>
      </c>
      <c r="AS279" s="16">
        <v>62846.37</v>
      </c>
      <c r="AT279" s="13">
        <v>2.0499999999999998</v>
      </c>
      <c r="AU279" s="18">
        <v>2218.8760000000002</v>
      </c>
      <c r="AV279" s="16">
        <v>204691.31</v>
      </c>
      <c r="AW279" s="16">
        <v>99849.42</v>
      </c>
      <c r="AX279" s="13">
        <v>2.0499999999999998</v>
      </c>
      <c r="AY279" s="18">
        <v>13000.001</v>
      </c>
      <c r="AZ279" s="12">
        <v>1199250.1000000001</v>
      </c>
      <c r="BA279" s="16">
        <v>585000.07999999996</v>
      </c>
      <c r="BB279" s="13">
        <v>2.0499999999999998</v>
      </c>
    </row>
    <row r="280" spans="1:54" x14ac:dyDescent="0.25">
      <c r="A280" s="10" t="s">
        <v>30</v>
      </c>
      <c r="B280" s="10" t="s">
        <v>32</v>
      </c>
      <c r="C280" s="18">
        <v>1293.1030000000001</v>
      </c>
      <c r="D280" s="16">
        <v>137159.44</v>
      </c>
      <c r="E280" s="12">
        <v>85719.8</v>
      </c>
      <c r="F280" s="13">
        <v>1.6</v>
      </c>
      <c r="G280" s="18">
        <v>1606.204</v>
      </c>
      <c r="H280" s="16">
        <v>170370.06</v>
      </c>
      <c r="I280" s="16">
        <v>106475.26</v>
      </c>
      <c r="J280" s="13">
        <v>1.6</v>
      </c>
      <c r="K280" s="18">
        <v>1919.3050000000001</v>
      </c>
      <c r="L280" s="16">
        <v>203580.68</v>
      </c>
      <c r="M280" s="16">
        <v>127230.73</v>
      </c>
      <c r="N280" s="13">
        <v>1.6</v>
      </c>
      <c r="O280" s="18">
        <v>2151.011</v>
      </c>
      <c r="P280" s="16">
        <v>228157.74</v>
      </c>
      <c r="Q280" s="16">
        <v>142590.51999999999</v>
      </c>
      <c r="R280" s="13">
        <v>1.6</v>
      </c>
      <c r="S280" s="18">
        <v>2777.2130000000002</v>
      </c>
      <c r="T280" s="16">
        <v>294578.98</v>
      </c>
      <c r="U280" s="16">
        <v>184101.45</v>
      </c>
      <c r="V280" s="13">
        <v>1.6</v>
      </c>
      <c r="W280" s="18">
        <v>3403.4160000000002</v>
      </c>
      <c r="X280" s="16">
        <v>361000.34</v>
      </c>
      <c r="Y280" s="16">
        <v>225612.45</v>
      </c>
      <c r="Z280" s="13">
        <v>1.6</v>
      </c>
      <c r="AA280" s="18">
        <v>3757.2150000000001</v>
      </c>
      <c r="AB280" s="12">
        <v>398527.8</v>
      </c>
      <c r="AC280" s="16">
        <v>249065.78</v>
      </c>
      <c r="AD280" s="13">
        <v>1.6</v>
      </c>
      <c r="AE280" s="18">
        <v>3131.0129999999999</v>
      </c>
      <c r="AF280" s="16">
        <v>332106.55</v>
      </c>
      <c r="AG280" s="16">
        <v>207554.85</v>
      </c>
      <c r="AH280" s="13">
        <v>1.6</v>
      </c>
      <c r="AI280" s="18">
        <v>3131.0129999999999</v>
      </c>
      <c r="AJ280" s="16">
        <v>332106.55</v>
      </c>
      <c r="AK280" s="16">
        <v>207554.85</v>
      </c>
      <c r="AL280" s="13">
        <v>1.6</v>
      </c>
      <c r="AM280" s="18">
        <v>2504.81</v>
      </c>
      <c r="AN280" s="12">
        <v>265685.2</v>
      </c>
      <c r="AO280" s="16">
        <v>166043.85</v>
      </c>
      <c r="AP280" s="13">
        <v>1.6</v>
      </c>
      <c r="AQ280" s="18">
        <v>2817.9110000000001</v>
      </c>
      <c r="AR280" s="16">
        <v>298895.82</v>
      </c>
      <c r="AS280" s="16">
        <v>186799.32</v>
      </c>
      <c r="AT280" s="13">
        <v>1.6</v>
      </c>
      <c r="AU280" s="18">
        <v>2817.9110000000001</v>
      </c>
      <c r="AV280" s="16">
        <v>298895.82</v>
      </c>
      <c r="AW280" s="16">
        <v>186799.32</v>
      </c>
      <c r="AX280" s="13">
        <v>1.6</v>
      </c>
      <c r="AY280" s="18">
        <v>31310.125</v>
      </c>
      <c r="AZ280" s="16">
        <v>3321064.98</v>
      </c>
      <c r="BA280" s="16">
        <v>2075548.18</v>
      </c>
      <c r="BB280" s="13">
        <v>1.6</v>
      </c>
    </row>
    <row r="281" spans="1:54" x14ac:dyDescent="0.25">
      <c r="A281" s="10" t="s">
        <v>30</v>
      </c>
      <c r="B281" s="10" t="s">
        <v>33</v>
      </c>
      <c r="C281" s="18">
        <v>2949.3589999999999</v>
      </c>
      <c r="D281" s="16">
        <v>290659.33</v>
      </c>
      <c r="E281" s="16">
        <v>132721.16</v>
      </c>
      <c r="F281" s="13">
        <v>2.19</v>
      </c>
      <c r="G281" s="18">
        <v>4377.7160000000003</v>
      </c>
      <c r="H281" s="16">
        <v>431423.91</v>
      </c>
      <c r="I281" s="16">
        <v>196997.22</v>
      </c>
      <c r="J281" s="13">
        <v>2.19</v>
      </c>
      <c r="K281" s="18">
        <v>5091.893</v>
      </c>
      <c r="L281" s="16">
        <v>501806.06</v>
      </c>
      <c r="M281" s="16">
        <v>229135.19</v>
      </c>
      <c r="N281" s="13">
        <v>2.19</v>
      </c>
      <c r="O281" s="18">
        <v>5692.1989999999996</v>
      </c>
      <c r="P281" s="16">
        <v>560966.21</v>
      </c>
      <c r="Q281" s="16">
        <v>256148.96</v>
      </c>
      <c r="R281" s="13">
        <v>2.19</v>
      </c>
      <c r="S281" s="18">
        <v>5692.1989999999996</v>
      </c>
      <c r="T281" s="16">
        <v>560966.21</v>
      </c>
      <c r="U281" s="16">
        <v>256148.96</v>
      </c>
      <c r="V281" s="13">
        <v>2.19</v>
      </c>
      <c r="W281" s="18">
        <v>5692.1989999999996</v>
      </c>
      <c r="X281" s="16">
        <v>560966.21</v>
      </c>
      <c r="Y281" s="16">
        <v>256148.96</v>
      </c>
      <c r="Z281" s="13">
        <v>2.19</v>
      </c>
      <c r="AA281" s="18">
        <v>6284.7690000000002</v>
      </c>
      <c r="AB281" s="16">
        <v>619363.98</v>
      </c>
      <c r="AC281" s="16">
        <v>282814.61</v>
      </c>
      <c r="AD281" s="13">
        <v>2.19</v>
      </c>
      <c r="AE281" s="18">
        <v>6427.6049999999996</v>
      </c>
      <c r="AF281" s="16">
        <v>633440.47</v>
      </c>
      <c r="AG281" s="16">
        <v>289242.23</v>
      </c>
      <c r="AH281" s="13">
        <v>2.19</v>
      </c>
      <c r="AI281" s="18">
        <v>7141.7830000000004</v>
      </c>
      <c r="AJ281" s="16">
        <v>703822.71</v>
      </c>
      <c r="AK281" s="16">
        <v>321380.24</v>
      </c>
      <c r="AL281" s="13">
        <v>2.19</v>
      </c>
      <c r="AM281" s="18">
        <v>6927.53</v>
      </c>
      <c r="AN281" s="16">
        <v>682708.08</v>
      </c>
      <c r="AO281" s="16">
        <v>311738.84999999998</v>
      </c>
      <c r="AP281" s="13">
        <v>2.19</v>
      </c>
      <c r="AQ281" s="18">
        <v>7141.7830000000004</v>
      </c>
      <c r="AR281" s="16">
        <v>703822.71</v>
      </c>
      <c r="AS281" s="16">
        <v>321380.24</v>
      </c>
      <c r="AT281" s="13">
        <v>2.19</v>
      </c>
      <c r="AU281" s="18">
        <v>7855.9639999999999</v>
      </c>
      <c r="AV281" s="16">
        <v>774205.25</v>
      </c>
      <c r="AW281" s="16">
        <v>353518.38</v>
      </c>
      <c r="AX281" s="13">
        <v>2.19</v>
      </c>
      <c r="AY281" s="18">
        <v>71274.998999999996</v>
      </c>
      <c r="AZ281" s="16">
        <v>7024151.1299999999</v>
      </c>
      <c r="BA281" s="15">
        <v>3207375</v>
      </c>
      <c r="BB281" s="13">
        <v>2.19</v>
      </c>
    </row>
    <row r="282" spans="1:54" x14ac:dyDescent="0.25">
      <c r="A282" s="10" t="s">
        <v>30</v>
      </c>
      <c r="B282" s="10" t="s">
        <v>34</v>
      </c>
      <c r="C282" s="11">
        <v>51.9</v>
      </c>
      <c r="D282" s="16">
        <v>14385.12</v>
      </c>
      <c r="E282" s="12">
        <v>11065.6</v>
      </c>
      <c r="F282" s="13">
        <v>1.3</v>
      </c>
      <c r="G282" s="11">
        <v>86.5</v>
      </c>
      <c r="H282" s="16">
        <v>23975.21</v>
      </c>
      <c r="I282" s="16">
        <v>18442.669999999998</v>
      </c>
      <c r="J282" s="13">
        <v>1.3</v>
      </c>
      <c r="K282" s="11">
        <v>138.4</v>
      </c>
      <c r="L282" s="16">
        <v>38360.33</v>
      </c>
      <c r="M282" s="16">
        <v>29508.26</v>
      </c>
      <c r="N282" s="13">
        <v>1.3</v>
      </c>
      <c r="O282" s="11">
        <v>190.3</v>
      </c>
      <c r="P282" s="16">
        <v>52745.45</v>
      </c>
      <c r="Q282" s="16">
        <v>40573.86</v>
      </c>
      <c r="R282" s="13">
        <v>1.3</v>
      </c>
      <c r="S282" s="11">
        <v>207.6</v>
      </c>
      <c r="T282" s="16">
        <v>57540.49</v>
      </c>
      <c r="U282" s="12">
        <v>44262.400000000001</v>
      </c>
      <c r="V282" s="13">
        <v>1.3</v>
      </c>
      <c r="W282" s="11">
        <v>259.5</v>
      </c>
      <c r="X282" s="16">
        <v>71925.62</v>
      </c>
      <c r="Y282" s="15">
        <v>55328</v>
      </c>
      <c r="Z282" s="13">
        <v>1.3</v>
      </c>
      <c r="AA282" s="11">
        <v>224.9</v>
      </c>
      <c r="AB282" s="16">
        <v>62335.53</v>
      </c>
      <c r="AC282" s="16">
        <v>47950.93</v>
      </c>
      <c r="AD282" s="13">
        <v>1.3</v>
      </c>
      <c r="AE282" s="11">
        <v>138.4</v>
      </c>
      <c r="AF282" s="16">
        <v>38360.33</v>
      </c>
      <c r="AG282" s="16">
        <v>29508.26</v>
      </c>
      <c r="AH282" s="13">
        <v>1.3</v>
      </c>
      <c r="AI282" s="11">
        <v>121.1</v>
      </c>
      <c r="AJ282" s="16">
        <v>33565.29</v>
      </c>
      <c r="AK282" s="16">
        <v>25819.73</v>
      </c>
      <c r="AL282" s="13">
        <v>1.3</v>
      </c>
      <c r="AM282" s="11">
        <v>103.8</v>
      </c>
      <c r="AN282" s="16">
        <v>28770.25</v>
      </c>
      <c r="AO282" s="12">
        <v>22131.200000000001</v>
      </c>
      <c r="AP282" s="13">
        <v>1.3</v>
      </c>
      <c r="AQ282" s="11">
        <v>103.8</v>
      </c>
      <c r="AR282" s="16">
        <v>28770.25</v>
      </c>
      <c r="AS282" s="12">
        <v>22131.200000000001</v>
      </c>
      <c r="AT282" s="13">
        <v>1.3</v>
      </c>
      <c r="AU282" s="11">
        <v>103.8</v>
      </c>
      <c r="AV282" s="16">
        <v>28770.25</v>
      </c>
      <c r="AW282" s="12">
        <v>22131.200000000001</v>
      </c>
      <c r="AX282" s="13">
        <v>1.3</v>
      </c>
      <c r="AY282" s="18">
        <v>1730</v>
      </c>
      <c r="AZ282" s="16">
        <v>479504.12</v>
      </c>
      <c r="BA282" s="16">
        <v>368853.31</v>
      </c>
      <c r="BB282" s="13">
        <v>1.3</v>
      </c>
    </row>
    <row r="283" spans="1:54" x14ac:dyDescent="0.25">
      <c r="A283" s="10" t="s">
        <v>30</v>
      </c>
      <c r="B283" s="10" t="s">
        <v>35</v>
      </c>
      <c r="C283" s="11">
        <v>98.1</v>
      </c>
      <c r="D283" s="16">
        <v>21758.58</v>
      </c>
      <c r="E283" s="16">
        <v>17406.86</v>
      </c>
      <c r="F283" s="13">
        <v>1.25</v>
      </c>
      <c r="G283" s="11">
        <v>163.5</v>
      </c>
      <c r="H283" s="12">
        <v>36264.300000000003</v>
      </c>
      <c r="I283" s="16">
        <v>29011.439999999999</v>
      </c>
      <c r="J283" s="13">
        <v>1.25</v>
      </c>
      <c r="K283" s="11">
        <v>261.60000000000002</v>
      </c>
      <c r="L283" s="16">
        <v>58022.879999999997</v>
      </c>
      <c r="M283" s="12">
        <v>46418.3</v>
      </c>
      <c r="N283" s="13">
        <v>1.25</v>
      </c>
      <c r="O283" s="11">
        <v>359.7</v>
      </c>
      <c r="P283" s="16">
        <v>79781.460000000006</v>
      </c>
      <c r="Q283" s="16">
        <v>63825.17</v>
      </c>
      <c r="R283" s="13">
        <v>1.25</v>
      </c>
      <c r="S283" s="11">
        <v>392.4</v>
      </c>
      <c r="T283" s="16">
        <v>87034.32</v>
      </c>
      <c r="U283" s="16">
        <v>69627.460000000006</v>
      </c>
      <c r="V283" s="13">
        <v>1.25</v>
      </c>
      <c r="W283" s="11">
        <v>490.5</v>
      </c>
      <c r="X283" s="12">
        <v>108792.9</v>
      </c>
      <c r="Y283" s="16">
        <v>87034.32</v>
      </c>
      <c r="Z283" s="13">
        <v>1.25</v>
      </c>
      <c r="AA283" s="11">
        <v>425.1</v>
      </c>
      <c r="AB283" s="16">
        <v>94287.18</v>
      </c>
      <c r="AC283" s="16">
        <v>75429.740000000005</v>
      </c>
      <c r="AD283" s="13">
        <v>1.25</v>
      </c>
      <c r="AE283" s="11">
        <v>261.60000000000002</v>
      </c>
      <c r="AF283" s="16">
        <v>58022.879999999997</v>
      </c>
      <c r="AG283" s="12">
        <v>46418.3</v>
      </c>
      <c r="AH283" s="13">
        <v>1.25</v>
      </c>
      <c r="AI283" s="11">
        <v>228.9</v>
      </c>
      <c r="AJ283" s="16">
        <v>50770.02</v>
      </c>
      <c r="AK283" s="16">
        <v>40616.019999999997</v>
      </c>
      <c r="AL283" s="13">
        <v>1.25</v>
      </c>
      <c r="AM283" s="11">
        <v>196.2</v>
      </c>
      <c r="AN283" s="16">
        <v>43517.16</v>
      </c>
      <c r="AO283" s="16">
        <v>34813.730000000003</v>
      </c>
      <c r="AP283" s="13">
        <v>1.25</v>
      </c>
      <c r="AQ283" s="11">
        <v>196.2</v>
      </c>
      <c r="AR283" s="16">
        <v>43517.16</v>
      </c>
      <c r="AS283" s="16">
        <v>34813.730000000003</v>
      </c>
      <c r="AT283" s="13">
        <v>1.25</v>
      </c>
      <c r="AU283" s="11">
        <v>196.2</v>
      </c>
      <c r="AV283" s="16">
        <v>43517.16</v>
      </c>
      <c r="AW283" s="16">
        <v>34813.730000000003</v>
      </c>
      <c r="AX283" s="13">
        <v>1.25</v>
      </c>
      <c r="AY283" s="18">
        <v>3270</v>
      </c>
      <c r="AZ283" s="15">
        <v>725286</v>
      </c>
      <c r="BA283" s="12">
        <v>580228.80000000005</v>
      </c>
      <c r="BB283" s="13">
        <v>1.25</v>
      </c>
    </row>
    <row r="284" spans="1:54" x14ac:dyDescent="0.25">
      <c r="A284" s="10" t="s">
        <v>30</v>
      </c>
      <c r="B284" s="10" t="s">
        <v>36</v>
      </c>
      <c r="C284" s="11">
        <v>58.86</v>
      </c>
      <c r="D284" s="16">
        <v>17197.71</v>
      </c>
      <c r="E284" s="12">
        <v>12314.1</v>
      </c>
      <c r="F284" s="13">
        <v>1.4</v>
      </c>
      <c r="G284" s="11">
        <v>98.1</v>
      </c>
      <c r="H284" s="16">
        <v>28662.86</v>
      </c>
      <c r="I284" s="12">
        <v>20523.5</v>
      </c>
      <c r="J284" s="13">
        <v>1.4</v>
      </c>
      <c r="K284" s="11">
        <v>156.96</v>
      </c>
      <c r="L284" s="16">
        <v>45860.57</v>
      </c>
      <c r="M284" s="12">
        <v>32837.599999999999</v>
      </c>
      <c r="N284" s="13">
        <v>1.4</v>
      </c>
      <c r="O284" s="11">
        <v>215.82</v>
      </c>
      <c r="P284" s="16">
        <v>63058.29</v>
      </c>
      <c r="Q284" s="12">
        <v>45151.7</v>
      </c>
      <c r="R284" s="13">
        <v>1.4</v>
      </c>
      <c r="S284" s="11">
        <v>235.44</v>
      </c>
      <c r="T284" s="16">
        <v>68790.86</v>
      </c>
      <c r="U284" s="12">
        <v>49256.4</v>
      </c>
      <c r="V284" s="13">
        <v>1.4</v>
      </c>
      <c r="W284" s="11">
        <v>294.3</v>
      </c>
      <c r="X284" s="16">
        <v>85988.57</v>
      </c>
      <c r="Y284" s="12">
        <v>61570.5</v>
      </c>
      <c r="Z284" s="13">
        <v>1.4</v>
      </c>
      <c r="AA284" s="11">
        <v>255.06</v>
      </c>
      <c r="AB284" s="16">
        <v>74523.429999999993</v>
      </c>
      <c r="AC284" s="12">
        <v>53361.1</v>
      </c>
      <c r="AD284" s="13">
        <v>1.4</v>
      </c>
      <c r="AE284" s="11">
        <v>156.96</v>
      </c>
      <c r="AF284" s="16">
        <v>45860.57</v>
      </c>
      <c r="AG284" s="12">
        <v>32837.599999999999</v>
      </c>
      <c r="AH284" s="13">
        <v>1.4</v>
      </c>
      <c r="AI284" s="11">
        <v>137.34</v>
      </c>
      <c r="AJ284" s="15">
        <v>40128</v>
      </c>
      <c r="AK284" s="12">
        <v>28732.9</v>
      </c>
      <c r="AL284" s="13">
        <v>1.4</v>
      </c>
      <c r="AM284" s="11">
        <v>117.72</v>
      </c>
      <c r="AN284" s="16">
        <v>34395.43</v>
      </c>
      <c r="AO284" s="12">
        <v>24628.2</v>
      </c>
      <c r="AP284" s="13">
        <v>1.4</v>
      </c>
      <c r="AQ284" s="11">
        <v>117.72</v>
      </c>
      <c r="AR284" s="16">
        <v>34395.43</v>
      </c>
      <c r="AS284" s="12">
        <v>24628.2</v>
      </c>
      <c r="AT284" s="13">
        <v>1.4</v>
      </c>
      <c r="AU284" s="11">
        <v>117.72</v>
      </c>
      <c r="AV284" s="16">
        <v>34395.43</v>
      </c>
      <c r="AW284" s="12">
        <v>24628.2</v>
      </c>
      <c r="AX284" s="13">
        <v>1.4</v>
      </c>
      <c r="AY284" s="18">
        <v>1962</v>
      </c>
      <c r="AZ284" s="16">
        <v>573257.15</v>
      </c>
      <c r="BA284" s="15">
        <v>410470</v>
      </c>
      <c r="BB284" s="13">
        <v>1.4</v>
      </c>
    </row>
    <row r="285" spans="1:54" x14ac:dyDescent="0.25">
      <c r="A285" s="10" t="s">
        <v>30</v>
      </c>
      <c r="B285" s="10" t="s">
        <v>37</v>
      </c>
      <c r="C285" s="11">
        <v>273.3</v>
      </c>
      <c r="D285" s="16">
        <v>73900.320000000007</v>
      </c>
      <c r="E285" s="16">
        <v>52785.16</v>
      </c>
      <c r="F285" s="13">
        <v>1.4</v>
      </c>
      <c r="G285" s="11">
        <v>455.5</v>
      </c>
      <c r="H285" s="12">
        <v>123167.2</v>
      </c>
      <c r="I285" s="16">
        <v>87975.27</v>
      </c>
      <c r="J285" s="13">
        <v>1.4</v>
      </c>
      <c r="K285" s="11">
        <v>728.8</v>
      </c>
      <c r="L285" s="16">
        <v>197067.51999999999</v>
      </c>
      <c r="M285" s="16">
        <v>140760.43</v>
      </c>
      <c r="N285" s="13">
        <v>1.4</v>
      </c>
      <c r="O285" s="18">
        <v>1002.1</v>
      </c>
      <c r="P285" s="16">
        <v>270967.84000000003</v>
      </c>
      <c r="Q285" s="16">
        <v>193545.59</v>
      </c>
      <c r="R285" s="13">
        <v>1.4</v>
      </c>
      <c r="S285" s="18">
        <v>1093.2</v>
      </c>
      <c r="T285" s="16">
        <v>295601.28000000003</v>
      </c>
      <c r="U285" s="16">
        <v>211140.65</v>
      </c>
      <c r="V285" s="13">
        <v>1.4</v>
      </c>
      <c r="W285" s="18">
        <v>1366.5</v>
      </c>
      <c r="X285" s="12">
        <v>369501.6</v>
      </c>
      <c r="Y285" s="16">
        <v>263925.81</v>
      </c>
      <c r="Z285" s="13">
        <v>1.4</v>
      </c>
      <c r="AA285" s="18">
        <v>1184.3</v>
      </c>
      <c r="AB285" s="16">
        <v>320234.71999999997</v>
      </c>
      <c r="AC285" s="12">
        <v>228735.7</v>
      </c>
      <c r="AD285" s="13">
        <v>1.4</v>
      </c>
      <c r="AE285" s="11">
        <v>728.8</v>
      </c>
      <c r="AF285" s="16">
        <v>197067.51999999999</v>
      </c>
      <c r="AG285" s="16">
        <v>140760.43</v>
      </c>
      <c r="AH285" s="13">
        <v>1.4</v>
      </c>
      <c r="AI285" s="11">
        <v>637.70000000000005</v>
      </c>
      <c r="AJ285" s="16">
        <v>172434.08</v>
      </c>
      <c r="AK285" s="16">
        <v>123165.38</v>
      </c>
      <c r="AL285" s="13">
        <v>1.4</v>
      </c>
      <c r="AM285" s="11">
        <v>546.6</v>
      </c>
      <c r="AN285" s="16">
        <v>147800.64000000001</v>
      </c>
      <c r="AO285" s="16">
        <v>105570.32</v>
      </c>
      <c r="AP285" s="13">
        <v>1.4</v>
      </c>
      <c r="AQ285" s="11">
        <v>546.6</v>
      </c>
      <c r="AR285" s="16">
        <v>147800.64000000001</v>
      </c>
      <c r="AS285" s="16">
        <v>105570.32</v>
      </c>
      <c r="AT285" s="13">
        <v>1.4</v>
      </c>
      <c r="AU285" s="11">
        <v>546.6</v>
      </c>
      <c r="AV285" s="16">
        <v>147800.64000000001</v>
      </c>
      <c r="AW285" s="16">
        <v>105570.32</v>
      </c>
      <c r="AX285" s="13">
        <v>1.4</v>
      </c>
      <c r="AY285" s="18">
        <v>9110</v>
      </c>
      <c r="AZ285" s="15">
        <v>2463344</v>
      </c>
      <c r="BA285" s="16">
        <v>1759505.38</v>
      </c>
      <c r="BB285" s="13">
        <v>1.4</v>
      </c>
    </row>
    <row r="286" spans="1:54" x14ac:dyDescent="0.25">
      <c r="A286" s="10" t="s">
        <v>30</v>
      </c>
      <c r="B286" s="10" t="s">
        <v>38</v>
      </c>
      <c r="C286" s="11">
        <v>218.16</v>
      </c>
      <c r="D286" s="16">
        <v>49166.720000000001</v>
      </c>
      <c r="E286" s="16">
        <v>34949.230000000003</v>
      </c>
      <c r="F286" s="13">
        <v>1.41</v>
      </c>
      <c r="G286" s="11">
        <v>363.6</v>
      </c>
      <c r="H286" s="16">
        <v>81944.53</v>
      </c>
      <c r="I286" s="16">
        <v>58248.72</v>
      </c>
      <c r="J286" s="13">
        <v>1.41</v>
      </c>
      <c r="K286" s="11">
        <v>581.76</v>
      </c>
      <c r="L286" s="16">
        <v>131111.25</v>
      </c>
      <c r="M286" s="16">
        <v>93197.95</v>
      </c>
      <c r="N286" s="13">
        <v>1.41</v>
      </c>
      <c r="O286" s="11">
        <v>799.92</v>
      </c>
      <c r="P286" s="16">
        <v>180277.97</v>
      </c>
      <c r="Q286" s="16">
        <v>128147.18</v>
      </c>
      <c r="R286" s="13">
        <v>1.41</v>
      </c>
      <c r="S286" s="11">
        <v>872.64</v>
      </c>
      <c r="T286" s="16">
        <v>196666.88</v>
      </c>
      <c r="U286" s="16">
        <v>139796.93</v>
      </c>
      <c r="V286" s="13">
        <v>1.41</v>
      </c>
      <c r="W286" s="18">
        <v>1090.8</v>
      </c>
      <c r="X286" s="12">
        <v>245833.60000000001</v>
      </c>
      <c r="Y286" s="16">
        <v>174746.16</v>
      </c>
      <c r="Z286" s="13">
        <v>1.41</v>
      </c>
      <c r="AA286" s="11">
        <v>945.36</v>
      </c>
      <c r="AB286" s="16">
        <v>213055.78</v>
      </c>
      <c r="AC286" s="16">
        <v>151446.67000000001</v>
      </c>
      <c r="AD286" s="13">
        <v>1.41</v>
      </c>
      <c r="AE286" s="11">
        <v>581.76</v>
      </c>
      <c r="AF286" s="16">
        <v>131111.25</v>
      </c>
      <c r="AG286" s="16">
        <v>93197.95</v>
      </c>
      <c r="AH286" s="13">
        <v>1.41</v>
      </c>
      <c r="AI286" s="11">
        <v>509.04</v>
      </c>
      <c r="AJ286" s="16">
        <v>114722.34</v>
      </c>
      <c r="AK286" s="16">
        <v>81548.210000000006</v>
      </c>
      <c r="AL286" s="13">
        <v>1.41</v>
      </c>
      <c r="AM286" s="11">
        <v>436.32</v>
      </c>
      <c r="AN286" s="16">
        <v>98333.440000000002</v>
      </c>
      <c r="AO286" s="16">
        <v>69898.460000000006</v>
      </c>
      <c r="AP286" s="13">
        <v>1.41</v>
      </c>
      <c r="AQ286" s="11">
        <v>436.32</v>
      </c>
      <c r="AR286" s="16">
        <v>98333.440000000002</v>
      </c>
      <c r="AS286" s="16">
        <v>69898.460000000006</v>
      </c>
      <c r="AT286" s="13">
        <v>1.41</v>
      </c>
      <c r="AU286" s="11">
        <v>436.32</v>
      </c>
      <c r="AV286" s="16">
        <v>98333.440000000002</v>
      </c>
      <c r="AW286" s="16">
        <v>69898.460000000006</v>
      </c>
      <c r="AX286" s="13">
        <v>1.41</v>
      </c>
      <c r="AY286" s="18">
        <v>7272</v>
      </c>
      <c r="AZ286" s="16">
        <v>1638890.64</v>
      </c>
      <c r="BA286" s="16">
        <v>1164974.3799999999</v>
      </c>
      <c r="BB286" s="13">
        <v>1.41</v>
      </c>
    </row>
    <row r="287" spans="1:54" x14ac:dyDescent="0.25">
      <c r="A287" s="10" t="s">
        <v>30</v>
      </c>
      <c r="B287" s="10" t="s">
        <v>39</v>
      </c>
      <c r="C287" s="18">
        <v>1033.627</v>
      </c>
      <c r="D287" s="16">
        <v>218312.36</v>
      </c>
      <c r="E287" s="16">
        <v>155178.42000000001</v>
      </c>
      <c r="F287" s="13">
        <v>1.41</v>
      </c>
      <c r="G287" s="18">
        <v>1722.711</v>
      </c>
      <c r="H287" s="16">
        <v>363853.79</v>
      </c>
      <c r="I287" s="12">
        <v>258630.6</v>
      </c>
      <c r="J287" s="13">
        <v>1.41</v>
      </c>
      <c r="K287" s="18">
        <v>2756.3380000000002</v>
      </c>
      <c r="L287" s="16">
        <v>582166.15</v>
      </c>
      <c r="M287" s="16">
        <v>413809.02</v>
      </c>
      <c r="N287" s="13">
        <v>1.41</v>
      </c>
      <c r="O287" s="18">
        <v>3424.3159999999998</v>
      </c>
      <c r="P287" s="16">
        <v>723249.78</v>
      </c>
      <c r="Q287" s="16">
        <v>514092.56</v>
      </c>
      <c r="R287" s="13">
        <v>1.41</v>
      </c>
      <c r="S287" s="18">
        <v>3735.6179999999999</v>
      </c>
      <c r="T287" s="16">
        <v>788999.88</v>
      </c>
      <c r="U287" s="16">
        <v>560828.32999999996</v>
      </c>
      <c r="V287" s="13">
        <v>1.41</v>
      </c>
      <c r="W287" s="18">
        <v>4669.5219999999999</v>
      </c>
      <c r="X287" s="16">
        <v>986249.74</v>
      </c>
      <c r="Y287" s="16">
        <v>701035.34</v>
      </c>
      <c r="Z287" s="13">
        <v>1.41</v>
      </c>
      <c r="AA287" s="18">
        <v>4046.9189999999999</v>
      </c>
      <c r="AB287" s="16">
        <v>854749.76</v>
      </c>
      <c r="AC287" s="16">
        <v>607563.94999999995</v>
      </c>
      <c r="AD287" s="13">
        <v>1.41</v>
      </c>
      <c r="AE287" s="18">
        <v>2490.4119999999998</v>
      </c>
      <c r="AF287" s="16">
        <v>525999.92000000004</v>
      </c>
      <c r="AG287" s="16">
        <v>373885.55</v>
      </c>
      <c r="AH287" s="13">
        <v>1.41</v>
      </c>
      <c r="AI287" s="18">
        <v>2179.11</v>
      </c>
      <c r="AJ287" s="16">
        <v>460249.82</v>
      </c>
      <c r="AK287" s="16">
        <v>327149.78000000003</v>
      </c>
      <c r="AL287" s="13">
        <v>1.41</v>
      </c>
      <c r="AM287" s="18">
        <v>1867.809</v>
      </c>
      <c r="AN287" s="16">
        <v>394499.94</v>
      </c>
      <c r="AO287" s="16">
        <v>280414.17</v>
      </c>
      <c r="AP287" s="13">
        <v>1.41</v>
      </c>
      <c r="AQ287" s="18">
        <v>1867.809</v>
      </c>
      <c r="AR287" s="16">
        <v>394499.94</v>
      </c>
      <c r="AS287" s="16">
        <v>280414.17</v>
      </c>
      <c r="AT287" s="13">
        <v>1.41</v>
      </c>
      <c r="AU287" s="18">
        <v>1867.809</v>
      </c>
      <c r="AV287" s="16">
        <v>394499.94</v>
      </c>
      <c r="AW287" s="16">
        <v>280414.17</v>
      </c>
      <c r="AX287" s="13">
        <v>1.41</v>
      </c>
      <c r="AY287" s="18">
        <v>31662</v>
      </c>
      <c r="AZ287" s="16">
        <v>6687331.0199999996</v>
      </c>
      <c r="BA287" s="16">
        <v>4753416.0599999996</v>
      </c>
      <c r="BB287" s="13">
        <v>1.41</v>
      </c>
    </row>
    <row r="288" spans="1:54" x14ac:dyDescent="0.25">
      <c r="A288" s="10" t="s">
        <v>30</v>
      </c>
      <c r="B288" s="10" t="s">
        <v>40</v>
      </c>
      <c r="C288" s="11">
        <v>0.59899999999999998</v>
      </c>
      <c r="D288" s="16">
        <v>24958.32</v>
      </c>
      <c r="E288" s="12">
        <v>16638.900000000001</v>
      </c>
      <c r="F288" s="13">
        <v>1.5</v>
      </c>
      <c r="G288" s="11">
        <v>0.74</v>
      </c>
      <c r="H288" s="16">
        <v>30833.31</v>
      </c>
      <c r="I288" s="16">
        <v>20555.560000000001</v>
      </c>
      <c r="J288" s="13">
        <v>1.5</v>
      </c>
      <c r="K288" s="11">
        <v>0.88</v>
      </c>
      <c r="L288" s="16">
        <v>36666.639999999999</v>
      </c>
      <c r="M288" s="16">
        <v>24444.46</v>
      </c>
      <c r="N288" s="13">
        <v>1.5</v>
      </c>
      <c r="O288" s="11">
        <v>1.1160000000000001</v>
      </c>
      <c r="P288" s="16">
        <v>46499.97</v>
      </c>
      <c r="Q288" s="16">
        <v>31000.01</v>
      </c>
      <c r="R288" s="13">
        <v>1.5</v>
      </c>
      <c r="S288" s="11">
        <v>0.94699999999999995</v>
      </c>
      <c r="T288" s="16">
        <v>39458.31</v>
      </c>
      <c r="U288" s="16">
        <v>26305.57</v>
      </c>
      <c r="V288" s="13">
        <v>1.5</v>
      </c>
      <c r="W288" s="11">
        <v>1.0880000000000001</v>
      </c>
      <c r="X288" s="12">
        <v>45333.3</v>
      </c>
      <c r="Y288" s="16">
        <v>30222.240000000002</v>
      </c>
      <c r="Z288" s="13">
        <v>1.5</v>
      </c>
      <c r="AA288" s="11">
        <v>1.125</v>
      </c>
      <c r="AB288" s="16">
        <v>46874.97</v>
      </c>
      <c r="AC288" s="16">
        <v>31250.01</v>
      </c>
      <c r="AD288" s="13">
        <v>1.5</v>
      </c>
      <c r="AE288" s="11">
        <v>0.98399999999999999</v>
      </c>
      <c r="AF288" s="16">
        <v>40999.97</v>
      </c>
      <c r="AG288" s="16">
        <v>27333.35</v>
      </c>
      <c r="AH288" s="13">
        <v>1.5</v>
      </c>
      <c r="AI288" s="11">
        <v>1.125</v>
      </c>
      <c r="AJ288" s="16">
        <v>46874.97</v>
      </c>
      <c r="AK288" s="16">
        <v>31250.01</v>
      </c>
      <c r="AL288" s="13">
        <v>1.5</v>
      </c>
      <c r="AM288" s="11">
        <v>1.5029999999999999</v>
      </c>
      <c r="AN288" s="16">
        <v>62624.959999999999</v>
      </c>
      <c r="AO288" s="16">
        <v>41750.019999999997</v>
      </c>
      <c r="AP288" s="13">
        <v>1.5</v>
      </c>
      <c r="AQ288" s="11">
        <v>1.5049999999999999</v>
      </c>
      <c r="AR288" s="16">
        <v>62708.29</v>
      </c>
      <c r="AS288" s="16">
        <v>41805.57</v>
      </c>
      <c r="AT288" s="13">
        <v>1.5</v>
      </c>
      <c r="AU288" s="11">
        <v>2.3879999999999999</v>
      </c>
      <c r="AV288" s="16">
        <v>99499.94</v>
      </c>
      <c r="AW288" s="16">
        <v>66333.36</v>
      </c>
      <c r="AX288" s="13">
        <v>1.5</v>
      </c>
      <c r="AY288" s="11">
        <v>14</v>
      </c>
      <c r="AZ288" s="16">
        <v>583332.94999999995</v>
      </c>
      <c r="BA288" s="16">
        <v>388889.06</v>
      </c>
      <c r="BB288" s="13">
        <v>1.5</v>
      </c>
    </row>
    <row r="289" spans="1:54" x14ac:dyDescent="0.25">
      <c r="A289" s="10" t="s">
        <v>30</v>
      </c>
      <c r="B289" s="10" t="s">
        <v>41</v>
      </c>
      <c r="C289" s="11">
        <v>0.47099999999999997</v>
      </c>
      <c r="D289" s="16">
        <v>16829.52</v>
      </c>
      <c r="E289" s="16">
        <v>12021.12</v>
      </c>
      <c r="F289" s="13">
        <v>1.4</v>
      </c>
      <c r="G289" s="11">
        <v>0.58099999999999996</v>
      </c>
      <c r="H289" s="16">
        <v>20759.98</v>
      </c>
      <c r="I289" s="12">
        <v>14828.6</v>
      </c>
      <c r="J289" s="13">
        <v>1.4</v>
      </c>
      <c r="K289" s="11">
        <v>0.69199999999999995</v>
      </c>
      <c r="L289" s="16">
        <v>24726.17</v>
      </c>
      <c r="M289" s="12">
        <v>17661.599999999999</v>
      </c>
      <c r="N289" s="13">
        <v>1.4</v>
      </c>
      <c r="O289" s="11">
        <v>0.876</v>
      </c>
      <c r="P289" s="16">
        <v>31300.76</v>
      </c>
      <c r="Q289" s="16">
        <v>22357.75</v>
      </c>
      <c r="R289" s="13">
        <v>1.4</v>
      </c>
      <c r="S289" s="11">
        <v>0.74399999999999999</v>
      </c>
      <c r="T289" s="16">
        <v>26584.21</v>
      </c>
      <c r="U289" s="16">
        <v>18988.78</v>
      </c>
      <c r="V289" s="13">
        <v>1.4</v>
      </c>
      <c r="W289" s="11">
        <v>0.85499999999999998</v>
      </c>
      <c r="X289" s="12">
        <v>30550.400000000001</v>
      </c>
      <c r="Y289" s="16">
        <v>21821.78</v>
      </c>
      <c r="Z289" s="13">
        <v>1.4</v>
      </c>
      <c r="AA289" s="11">
        <v>0.88400000000000001</v>
      </c>
      <c r="AB289" s="16">
        <v>31586.61</v>
      </c>
      <c r="AC289" s="16">
        <v>22561.93</v>
      </c>
      <c r="AD289" s="13">
        <v>1.4</v>
      </c>
      <c r="AE289" s="11">
        <v>0.77300000000000002</v>
      </c>
      <c r="AF289" s="16">
        <v>27620.42</v>
      </c>
      <c r="AG289" s="16">
        <v>19728.93</v>
      </c>
      <c r="AH289" s="13">
        <v>1.4</v>
      </c>
      <c r="AI289" s="11">
        <v>0.88400000000000001</v>
      </c>
      <c r="AJ289" s="16">
        <v>31586.61</v>
      </c>
      <c r="AK289" s="16">
        <v>22561.93</v>
      </c>
      <c r="AL289" s="13">
        <v>1.4</v>
      </c>
      <c r="AM289" s="11">
        <v>1.1819999999999999</v>
      </c>
      <c r="AN289" s="16">
        <v>42234.59</v>
      </c>
      <c r="AO289" s="16">
        <v>30167.65</v>
      </c>
      <c r="AP289" s="13">
        <v>1.4</v>
      </c>
      <c r="AQ289" s="11">
        <v>1.1819999999999999</v>
      </c>
      <c r="AR289" s="16">
        <v>42234.59</v>
      </c>
      <c r="AS289" s="16">
        <v>30167.65</v>
      </c>
      <c r="AT289" s="13">
        <v>1.4</v>
      </c>
      <c r="AU289" s="11">
        <v>1.8779999999999999</v>
      </c>
      <c r="AV289" s="16">
        <v>67103.679999999993</v>
      </c>
      <c r="AW289" s="16">
        <v>47931.35</v>
      </c>
      <c r="AX289" s="13">
        <v>1.4</v>
      </c>
      <c r="AY289" s="11">
        <v>11.002000000000001</v>
      </c>
      <c r="AZ289" s="16">
        <v>393117.54</v>
      </c>
      <c r="BA289" s="16">
        <v>280799.07</v>
      </c>
      <c r="BB289" s="13">
        <v>1.4</v>
      </c>
    </row>
    <row r="290" spans="1:54" x14ac:dyDescent="0.25">
      <c r="A290" s="10" t="s">
        <v>30</v>
      </c>
      <c r="B290" s="10" t="s">
        <v>42</v>
      </c>
      <c r="C290" s="11">
        <v>1.1399999999999999</v>
      </c>
      <c r="D290" s="12">
        <v>42636.9</v>
      </c>
      <c r="E290" s="16">
        <v>29404.76</v>
      </c>
      <c r="F290" s="13">
        <v>1.45</v>
      </c>
      <c r="G290" s="11">
        <v>1.1399999999999999</v>
      </c>
      <c r="H290" s="12">
        <v>42636.9</v>
      </c>
      <c r="I290" s="16">
        <v>29404.76</v>
      </c>
      <c r="J290" s="13">
        <v>1.45</v>
      </c>
      <c r="K290" s="11">
        <v>1.1399999999999999</v>
      </c>
      <c r="L290" s="12">
        <v>42636.9</v>
      </c>
      <c r="M290" s="16">
        <v>29404.76</v>
      </c>
      <c r="N290" s="13">
        <v>1.45</v>
      </c>
      <c r="O290" s="11">
        <v>2.85</v>
      </c>
      <c r="P290" s="16">
        <v>106592.25</v>
      </c>
      <c r="Q290" s="12">
        <v>73511.899999999994</v>
      </c>
      <c r="R290" s="13">
        <v>1.45</v>
      </c>
      <c r="S290" s="11">
        <v>2.85</v>
      </c>
      <c r="T290" s="16">
        <v>106592.25</v>
      </c>
      <c r="U290" s="12">
        <v>73511.899999999994</v>
      </c>
      <c r="V290" s="13">
        <v>1.45</v>
      </c>
      <c r="W290" s="11">
        <v>2.85</v>
      </c>
      <c r="X290" s="16">
        <v>106592.25</v>
      </c>
      <c r="Y290" s="12">
        <v>73511.899999999994</v>
      </c>
      <c r="Z290" s="13">
        <v>1.45</v>
      </c>
      <c r="AA290" s="11">
        <v>6.84</v>
      </c>
      <c r="AB290" s="12">
        <v>255821.4</v>
      </c>
      <c r="AC290" s="16">
        <v>176428.57</v>
      </c>
      <c r="AD290" s="13">
        <v>1.45</v>
      </c>
      <c r="AE290" s="11">
        <v>6.84</v>
      </c>
      <c r="AF290" s="12">
        <v>255821.4</v>
      </c>
      <c r="AG290" s="16">
        <v>176428.57</v>
      </c>
      <c r="AH290" s="13">
        <v>1.45</v>
      </c>
      <c r="AI290" s="11">
        <v>6.84</v>
      </c>
      <c r="AJ290" s="12">
        <v>255821.4</v>
      </c>
      <c r="AK290" s="16">
        <v>176428.57</v>
      </c>
      <c r="AL290" s="13">
        <v>1.45</v>
      </c>
      <c r="AM290" s="11">
        <v>7.98</v>
      </c>
      <c r="AN290" s="12">
        <v>298458.3</v>
      </c>
      <c r="AO290" s="16">
        <v>205833.33</v>
      </c>
      <c r="AP290" s="13">
        <v>1.45</v>
      </c>
      <c r="AQ290" s="11">
        <v>8.5500000000000007</v>
      </c>
      <c r="AR290" s="16">
        <v>319776.75</v>
      </c>
      <c r="AS290" s="16">
        <v>220535.71</v>
      </c>
      <c r="AT290" s="13">
        <v>1.45</v>
      </c>
      <c r="AU290" s="11">
        <v>7.98</v>
      </c>
      <c r="AV290" s="12">
        <v>298458.3</v>
      </c>
      <c r="AW290" s="16">
        <v>205833.33</v>
      </c>
      <c r="AX290" s="13">
        <v>1.45</v>
      </c>
      <c r="AY290" s="11">
        <v>57</v>
      </c>
      <c r="AZ290" s="15">
        <v>2131845</v>
      </c>
      <c r="BA290" s="16">
        <v>1470238.06</v>
      </c>
      <c r="BB290" s="13">
        <v>1.45</v>
      </c>
    </row>
    <row r="291" spans="1:54" x14ac:dyDescent="0.25">
      <c r="A291" s="10" t="s">
        <v>30</v>
      </c>
      <c r="B291" s="10" t="s">
        <v>163</v>
      </c>
      <c r="C291" s="11">
        <v>1.284</v>
      </c>
      <c r="D291" s="12">
        <v>21096.799999999999</v>
      </c>
      <c r="E291" s="16">
        <v>13610.88</v>
      </c>
      <c r="F291" s="13">
        <v>1.55</v>
      </c>
      <c r="G291" s="11">
        <v>1.585</v>
      </c>
      <c r="H291" s="16">
        <v>26042.39</v>
      </c>
      <c r="I291" s="16">
        <v>16801.59</v>
      </c>
      <c r="J291" s="13">
        <v>1.55</v>
      </c>
      <c r="K291" s="11">
        <v>1.887</v>
      </c>
      <c r="L291" s="16">
        <v>31004.41</v>
      </c>
      <c r="M291" s="12">
        <v>20002.900000000001</v>
      </c>
      <c r="N291" s="13">
        <v>1.55</v>
      </c>
      <c r="O291" s="11">
        <v>2.391</v>
      </c>
      <c r="P291" s="12">
        <v>39285.4</v>
      </c>
      <c r="Q291" s="16">
        <v>25345.48</v>
      </c>
      <c r="R291" s="13">
        <v>1.55</v>
      </c>
      <c r="S291" s="11">
        <v>2.0289999999999999</v>
      </c>
      <c r="T291" s="16">
        <v>33337.550000000003</v>
      </c>
      <c r="U291" s="16">
        <v>21508.15</v>
      </c>
      <c r="V291" s="13">
        <v>1.55</v>
      </c>
      <c r="W291" s="11">
        <v>2.331</v>
      </c>
      <c r="X291" s="16">
        <v>38299.57</v>
      </c>
      <c r="Y291" s="16">
        <v>24709.46</v>
      </c>
      <c r="Z291" s="13">
        <v>1.55</v>
      </c>
      <c r="AA291" s="11">
        <v>2.41</v>
      </c>
      <c r="AB291" s="16">
        <v>39597.58</v>
      </c>
      <c r="AC291" s="16">
        <v>25546.89</v>
      </c>
      <c r="AD291" s="13">
        <v>1.55</v>
      </c>
      <c r="AE291" s="11">
        <v>2.1080000000000001</v>
      </c>
      <c r="AF291" s="16">
        <v>34635.56</v>
      </c>
      <c r="AG291" s="16">
        <v>22345.58</v>
      </c>
      <c r="AH291" s="13">
        <v>1.55</v>
      </c>
      <c r="AI291" s="11">
        <v>2.41</v>
      </c>
      <c r="AJ291" s="16">
        <v>39597.58</v>
      </c>
      <c r="AK291" s="16">
        <v>25546.89</v>
      </c>
      <c r="AL291" s="13">
        <v>1.55</v>
      </c>
      <c r="AM291" s="11">
        <v>3.2229999999999999</v>
      </c>
      <c r="AN291" s="12">
        <v>52955.6</v>
      </c>
      <c r="AO291" s="16">
        <v>34164.99</v>
      </c>
      <c r="AP291" s="13">
        <v>1.55</v>
      </c>
      <c r="AQ291" s="11">
        <v>3.2229999999999999</v>
      </c>
      <c r="AR291" s="12">
        <v>52955.6</v>
      </c>
      <c r="AS291" s="16">
        <v>34164.99</v>
      </c>
      <c r="AT291" s="13">
        <v>1.55</v>
      </c>
      <c r="AU291" s="11">
        <v>5.12</v>
      </c>
      <c r="AV291" s="16">
        <v>84124.31</v>
      </c>
      <c r="AW291" s="16">
        <v>54273.89</v>
      </c>
      <c r="AX291" s="13">
        <v>1.55</v>
      </c>
      <c r="AY291" s="11">
        <v>30.001000000000001</v>
      </c>
      <c r="AZ291" s="16">
        <v>492932.35</v>
      </c>
      <c r="BA291" s="16">
        <v>318021.69</v>
      </c>
      <c r="BB291" s="13">
        <v>1.55</v>
      </c>
    </row>
    <row r="292" spans="1:54" x14ac:dyDescent="0.25">
      <c r="A292" s="10" t="s">
        <v>30</v>
      </c>
      <c r="B292" s="10" t="s">
        <v>43</v>
      </c>
      <c r="C292" s="11">
        <v>7.1040000000000001</v>
      </c>
      <c r="D292" s="16">
        <v>94697.46</v>
      </c>
      <c r="E292" s="16">
        <v>61095.11</v>
      </c>
      <c r="F292" s="13">
        <v>1.55</v>
      </c>
      <c r="G292" s="11">
        <v>8.7720000000000002</v>
      </c>
      <c r="H292" s="16">
        <v>116932.16</v>
      </c>
      <c r="I292" s="16">
        <v>75440.08</v>
      </c>
      <c r="J292" s="13">
        <v>1.55</v>
      </c>
      <c r="K292" s="11">
        <v>10.439</v>
      </c>
      <c r="L292" s="16">
        <v>139153.54</v>
      </c>
      <c r="M292" s="16">
        <v>89776.44</v>
      </c>
      <c r="N292" s="13">
        <v>1.55</v>
      </c>
      <c r="O292" s="11">
        <v>13.228999999999999</v>
      </c>
      <c r="P292" s="16">
        <v>176344.69</v>
      </c>
      <c r="Q292" s="16">
        <v>113770.72</v>
      </c>
      <c r="R292" s="13">
        <v>1.55</v>
      </c>
      <c r="S292" s="11">
        <v>11.228</v>
      </c>
      <c r="T292" s="16">
        <v>149671.04000000001</v>
      </c>
      <c r="U292" s="16">
        <v>96561.919999999998</v>
      </c>
      <c r="V292" s="13">
        <v>1.55</v>
      </c>
      <c r="W292" s="11">
        <v>12.896000000000001</v>
      </c>
      <c r="X292" s="16">
        <v>171905.74</v>
      </c>
      <c r="Y292" s="16">
        <v>110906.89</v>
      </c>
      <c r="Z292" s="13">
        <v>1.55</v>
      </c>
      <c r="AA292" s="11">
        <v>13.334</v>
      </c>
      <c r="AB292" s="16">
        <v>177744.35</v>
      </c>
      <c r="AC292" s="16">
        <v>114673.73</v>
      </c>
      <c r="AD292" s="13">
        <v>1.55</v>
      </c>
      <c r="AE292" s="11">
        <v>11.667</v>
      </c>
      <c r="AF292" s="16">
        <v>155522.98000000001</v>
      </c>
      <c r="AG292" s="16">
        <v>100337.37</v>
      </c>
      <c r="AH292" s="13">
        <v>1.55</v>
      </c>
      <c r="AI292" s="11">
        <v>13.334</v>
      </c>
      <c r="AJ292" s="16">
        <v>177744.35</v>
      </c>
      <c r="AK292" s="16">
        <v>114673.73</v>
      </c>
      <c r="AL292" s="13">
        <v>1.55</v>
      </c>
      <c r="AM292" s="11">
        <v>17.832999999999998</v>
      </c>
      <c r="AN292" s="16">
        <v>237716.74</v>
      </c>
      <c r="AO292" s="16">
        <v>153365.57999999999</v>
      </c>
      <c r="AP292" s="13">
        <v>1.55</v>
      </c>
      <c r="AQ292" s="11">
        <v>17.832999999999998</v>
      </c>
      <c r="AR292" s="16">
        <v>237716.74</v>
      </c>
      <c r="AS292" s="16">
        <v>153365.57999999999</v>
      </c>
      <c r="AT292" s="13">
        <v>1.55</v>
      </c>
      <c r="AU292" s="11">
        <v>28.332999999999998</v>
      </c>
      <c r="AV292" s="16">
        <v>377683.42</v>
      </c>
      <c r="AW292" s="16">
        <v>243666.63</v>
      </c>
      <c r="AX292" s="13">
        <v>1.55</v>
      </c>
      <c r="AY292" s="11">
        <v>166.00200000000001</v>
      </c>
      <c r="AZ292" s="16">
        <v>2212833.21</v>
      </c>
      <c r="BA292" s="16">
        <v>1427633.78</v>
      </c>
      <c r="BB292" s="13">
        <v>1.55</v>
      </c>
    </row>
    <row r="293" spans="1:54" x14ac:dyDescent="0.25">
      <c r="A293" s="10" t="s">
        <v>30</v>
      </c>
      <c r="B293" s="10" t="s">
        <v>171</v>
      </c>
      <c r="C293" s="14"/>
      <c r="D293" s="14"/>
      <c r="E293" s="14"/>
      <c r="F293" s="14"/>
      <c r="G293" s="14"/>
      <c r="H293" s="14"/>
      <c r="I293" s="14"/>
      <c r="J293" s="14"/>
      <c r="K293" s="11">
        <v>74.88</v>
      </c>
      <c r="L293" s="16">
        <v>2166.2800000000002</v>
      </c>
      <c r="M293" s="16">
        <v>1054.31</v>
      </c>
      <c r="N293" s="13">
        <v>2.0499999999999998</v>
      </c>
      <c r="O293" s="11">
        <v>93.6</v>
      </c>
      <c r="P293" s="16">
        <v>2707.85</v>
      </c>
      <c r="Q293" s="16">
        <v>1317.89</v>
      </c>
      <c r="R293" s="13">
        <v>2.0499999999999998</v>
      </c>
      <c r="S293" s="11">
        <v>93.6</v>
      </c>
      <c r="T293" s="16">
        <v>2707.85</v>
      </c>
      <c r="U293" s="16">
        <v>1317.89</v>
      </c>
      <c r="V293" s="13">
        <v>2.0499999999999998</v>
      </c>
      <c r="W293" s="11">
        <v>93.6</v>
      </c>
      <c r="X293" s="16">
        <v>2707.85</v>
      </c>
      <c r="Y293" s="16">
        <v>1317.89</v>
      </c>
      <c r="Z293" s="13">
        <v>2.0499999999999998</v>
      </c>
      <c r="AA293" s="11">
        <v>102.96</v>
      </c>
      <c r="AB293" s="16">
        <v>2978.63</v>
      </c>
      <c r="AC293" s="16">
        <v>1449.68</v>
      </c>
      <c r="AD293" s="13">
        <v>2.0499999999999998</v>
      </c>
      <c r="AE293" s="11">
        <v>102.96</v>
      </c>
      <c r="AF293" s="16">
        <v>2978.63</v>
      </c>
      <c r="AG293" s="16">
        <v>1449.68</v>
      </c>
      <c r="AH293" s="13">
        <v>2.0499999999999998</v>
      </c>
      <c r="AI293" s="11">
        <v>93.6</v>
      </c>
      <c r="AJ293" s="16">
        <v>2707.85</v>
      </c>
      <c r="AK293" s="16">
        <v>1317.89</v>
      </c>
      <c r="AL293" s="13">
        <v>2.0499999999999998</v>
      </c>
      <c r="AM293" s="11">
        <v>93.6</v>
      </c>
      <c r="AN293" s="16">
        <v>2707.85</v>
      </c>
      <c r="AO293" s="16">
        <v>1317.89</v>
      </c>
      <c r="AP293" s="13">
        <v>2.0499999999999998</v>
      </c>
      <c r="AQ293" s="11">
        <v>93.6</v>
      </c>
      <c r="AR293" s="16">
        <v>2707.85</v>
      </c>
      <c r="AS293" s="16">
        <v>1317.89</v>
      </c>
      <c r="AT293" s="13">
        <v>2.0499999999999998</v>
      </c>
      <c r="AU293" s="11">
        <v>93.6</v>
      </c>
      <c r="AV293" s="16">
        <v>2707.85</v>
      </c>
      <c r="AW293" s="16">
        <v>1317.89</v>
      </c>
      <c r="AX293" s="13">
        <v>2.0499999999999998</v>
      </c>
      <c r="AY293" s="11">
        <v>936</v>
      </c>
      <c r="AZ293" s="16">
        <v>27078.49</v>
      </c>
      <c r="BA293" s="12">
        <v>13178.9</v>
      </c>
      <c r="BB293" s="13">
        <v>2.0499999999999998</v>
      </c>
    </row>
    <row r="294" spans="1:54" x14ac:dyDescent="0.25">
      <c r="A294" s="10" t="s">
        <v>30</v>
      </c>
      <c r="B294" s="10" t="s">
        <v>172</v>
      </c>
      <c r="C294" s="14"/>
      <c r="D294" s="14"/>
      <c r="E294" s="14"/>
      <c r="F294" s="14"/>
      <c r="G294" s="14"/>
      <c r="H294" s="14"/>
      <c r="I294" s="14"/>
      <c r="J294" s="14"/>
      <c r="K294" s="11">
        <v>13.4</v>
      </c>
      <c r="L294" s="15">
        <v>24790</v>
      </c>
      <c r="M294" s="15">
        <v>13400</v>
      </c>
      <c r="N294" s="13">
        <v>1.85</v>
      </c>
      <c r="O294" s="11">
        <v>30.15</v>
      </c>
      <c r="P294" s="12">
        <v>55777.5</v>
      </c>
      <c r="Q294" s="15">
        <v>30150</v>
      </c>
      <c r="R294" s="13">
        <v>1.85</v>
      </c>
      <c r="S294" s="11">
        <v>40.200000000000003</v>
      </c>
      <c r="T294" s="15">
        <v>74370</v>
      </c>
      <c r="U294" s="15">
        <v>40200</v>
      </c>
      <c r="V294" s="13">
        <v>1.85</v>
      </c>
      <c r="W294" s="11">
        <v>73.7</v>
      </c>
      <c r="X294" s="15">
        <v>136345</v>
      </c>
      <c r="Y294" s="15">
        <v>73700</v>
      </c>
      <c r="Z294" s="13">
        <v>1.85</v>
      </c>
      <c r="AA294" s="11">
        <v>83.75</v>
      </c>
      <c r="AB294" s="12">
        <v>154937.5</v>
      </c>
      <c r="AC294" s="15">
        <v>83750</v>
      </c>
      <c r="AD294" s="13">
        <v>1.85</v>
      </c>
      <c r="AE294" s="11">
        <v>67</v>
      </c>
      <c r="AF294" s="15">
        <v>123950</v>
      </c>
      <c r="AG294" s="15">
        <v>67000</v>
      </c>
      <c r="AH294" s="13">
        <v>1.85</v>
      </c>
      <c r="AI294" s="11">
        <v>6.7</v>
      </c>
      <c r="AJ294" s="15">
        <v>12395</v>
      </c>
      <c r="AK294" s="15">
        <v>6700</v>
      </c>
      <c r="AL294" s="13">
        <v>1.85</v>
      </c>
      <c r="AM294" s="11">
        <v>6.7</v>
      </c>
      <c r="AN294" s="15">
        <v>12395</v>
      </c>
      <c r="AO294" s="15">
        <v>6700</v>
      </c>
      <c r="AP294" s="13">
        <v>1.85</v>
      </c>
      <c r="AQ294" s="11">
        <v>6.7</v>
      </c>
      <c r="AR294" s="15">
        <v>12395</v>
      </c>
      <c r="AS294" s="15">
        <v>6700</v>
      </c>
      <c r="AT294" s="13">
        <v>1.85</v>
      </c>
      <c r="AU294" s="11">
        <v>6.7</v>
      </c>
      <c r="AV294" s="15">
        <v>12395</v>
      </c>
      <c r="AW294" s="15">
        <v>6700</v>
      </c>
      <c r="AX294" s="13">
        <v>1.85</v>
      </c>
      <c r="AY294" s="11">
        <v>335</v>
      </c>
      <c r="AZ294" s="15">
        <v>619750</v>
      </c>
      <c r="BA294" s="15">
        <v>335000</v>
      </c>
      <c r="BB294" s="13">
        <v>1.85</v>
      </c>
    </row>
    <row r="295" spans="1:54" x14ac:dyDescent="0.25">
      <c r="A295" s="10" t="s">
        <v>30</v>
      </c>
      <c r="B295" s="10" t="s">
        <v>173</v>
      </c>
      <c r="C295" s="14"/>
      <c r="D295" s="14"/>
      <c r="E295" s="14"/>
      <c r="F295" s="14"/>
      <c r="G295" s="11">
        <v>75.599999999999994</v>
      </c>
      <c r="H295" s="12">
        <v>4170.1000000000004</v>
      </c>
      <c r="I295" s="12">
        <v>1965.6</v>
      </c>
      <c r="J295" s="13">
        <v>2.12</v>
      </c>
      <c r="K295" s="11">
        <v>108</v>
      </c>
      <c r="L295" s="16">
        <v>5957.28</v>
      </c>
      <c r="M295" s="15">
        <v>2808</v>
      </c>
      <c r="N295" s="13">
        <v>2.12</v>
      </c>
      <c r="O295" s="11">
        <v>32.4</v>
      </c>
      <c r="P295" s="16">
        <v>1787.18</v>
      </c>
      <c r="Q295" s="17">
        <v>842.4</v>
      </c>
      <c r="R295" s="13">
        <v>2.12</v>
      </c>
      <c r="S295" s="11">
        <v>54</v>
      </c>
      <c r="T295" s="16">
        <v>2978.64</v>
      </c>
      <c r="U295" s="15">
        <v>1404</v>
      </c>
      <c r="V295" s="13">
        <v>2.12</v>
      </c>
      <c r="W295" s="11">
        <v>183.6</v>
      </c>
      <c r="X295" s="16">
        <v>10127.379999999999</v>
      </c>
      <c r="Y295" s="12">
        <v>4773.6000000000004</v>
      </c>
      <c r="Z295" s="13">
        <v>2.12</v>
      </c>
      <c r="AA295" s="11">
        <v>248.4</v>
      </c>
      <c r="AB295" s="16">
        <v>13701.74</v>
      </c>
      <c r="AC295" s="12">
        <v>6458.4</v>
      </c>
      <c r="AD295" s="13">
        <v>2.12</v>
      </c>
      <c r="AE295" s="11">
        <v>162</v>
      </c>
      <c r="AF295" s="16">
        <v>8935.92</v>
      </c>
      <c r="AG295" s="15">
        <v>4212</v>
      </c>
      <c r="AH295" s="13">
        <v>2.12</v>
      </c>
      <c r="AI295" s="11">
        <v>86.4</v>
      </c>
      <c r="AJ295" s="16">
        <v>4765.82</v>
      </c>
      <c r="AK295" s="12">
        <v>2246.4</v>
      </c>
      <c r="AL295" s="13">
        <v>2.12</v>
      </c>
      <c r="AM295" s="11">
        <v>64.8</v>
      </c>
      <c r="AN295" s="16">
        <v>3574.37</v>
      </c>
      <c r="AO295" s="12">
        <v>1684.8</v>
      </c>
      <c r="AP295" s="13">
        <v>2.12</v>
      </c>
      <c r="AQ295" s="11">
        <v>64.8</v>
      </c>
      <c r="AR295" s="16">
        <v>3574.37</v>
      </c>
      <c r="AS295" s="12">
        <v>1684.8</v>
      </c>
      <c r="AT295" s="13">
        <v>2.12</v>
      </c>
      <c r="AU295" s="14"/>
      <c r="AV295" s="14"/>
      <c r="AW295" s="14"/>
      <c r="AX295" s="14"/>
      <c r="AY295" s="18">
        <v>1080</v>
      </c>
      <c r="AZ295" s="12">
        <v>59572.800000000003</v>
      </c>
      <c r="BA295" s="15">
        <v>28080</v>
      </c>
      <c r="BB295" s="13">
        <v>2.12</v>
      </c>
    </row>
    <row r="296" spans="1:54" x14ac:dyDescent="0.25">
      <c r="A296" s="10" t="s">
        <v>30</v>
      </c>
      <c r="B296" s="10" t="s">
        <v>168</v>
      </c>
      <c r="C296" s="14"/>
      <c r="D296" s="14"/>
      <c r="E296" s="14"/>
      <c r="F296" s="14"/>
      <c r="G296" s="14"/>
      <c r="H296" s="14"/>
      <c r="I296" s="14"/>
      <c r="J296" s="14"/>
      <c r="K296" s="11">
        <v>644</v>
      </c>
      <c r="L296" s="16">
        <v>14412.72</v>
      </c>
      <c r="M296" s="12">
        <v>9531.2000000000007</v>
      </c>
      <c r="N296" s="13">
        <v>1.51</v>
      </c>
      <c r="O296" s="18">
        <v>1288</v>
      </c>
      <c r="P296" s="16">
        <v>28825.439999999999</v>
      </c>
      <c r="Q296" s="12">
        <v>19062.400000000001</v>
      </c>
      <c r="R296" s="13">
        <v>1.51</v>
      </c>
      <c r="S296" s="18">
        <v>2254</v>
      </c>
      <c r="T296" s="16">
        <v>50444.52</v>
      </c>
      <c r="U296" s="12">
        <v>33359.199999999997</v>
      </c>
      <c r="V296" s="13">
        <v>1.51</v>
      </c>
      <c r="W296" s="18">
        <v>3220</v>
      </c>
      <c r="X296" s="12">
        <v>72063.600000000006</v>
      </c>
      <c r="Y296" s="15">
        <v>47656</v>
      </c>
      <c r="Z296" s="13">
        <v>1.51</v>
      </c>
      <c r="AA296" s="18">
        <v>3381</v>
      </c>
      <c r="AB296" s="16">
        <v>75666.78</v>
      </c>
      <c r="AC296" s="12">
        <v>50038.8</v>
      </c>
      <c r="AD296" s="13">
        <v>1.51</v>
      </c>
      <c r="AE296" s="18">
        <v>3542</v>
      </c>
      <c r="AF296" s="16">
        <v>79269.960000000006</v>
      </c>
      <c r="AG296" s="12">
        <v>52421.599999999999</v>
      </c>
      <c r="AH296" s="13">
        <v>1.51</v>
      </c>
      <c r="AI296" s="18">
        <v>1449</v>
      </c>
      <c r="AJ296" s="16">
        <v>32428.62</v>
      </c>
      <c r="AK296" s="12">
        <v>21445.200000000001</v>
      </c>
      <c r="AL296" s="13">
        <v>1.51</v>
      </c>
      <c r="AM296" s="11">
        <v>161</v>
      </c>
      <c r="AN296" s="16">
        <v>3603.18</v>
      </c>
      <c r="AO296" s="12">
        <v>2382.8000000000002</v>
      </c>
      <c r="AP296" s="13">
        <v>1.51</v>
      </c>
      <c r="AQ296" s="11">
        <v>161</v>
      </c>
      <c r="AR296" s="16">
        <v>3603.18</v>
      </c>
      <c r="AS296" s="12">
        <v>2382.8000000000002</v>
      </c>
      <c r="AT296" s="13">
        <v>1.51</v>
      </c>
      <c r="AU296" s="14"/>
      <c r="AV296" s="14"/>
      <c r="AW296" s="14"/>
      <c r="AX296" s="14"/>
      <c r="AY296" s="18">
        <v>16100</v>
      </c>
      <c r="AZ296" s="15">
        <v>360318</v>
      </c>
      <c r="BA296" s="15">
        <v>238280</v>
      </c>
      <c r="BB296" s="13">
        <v>1.51</v>
      </c>
    </row>
    <row r="297" spans="1:54" x14ac:dyDescent="0.25">
      <c r="A297" s="10" t="s">
        <v>30</v>
      </c>
      <c r="B297" s="10" t="s">
        <v>174</v>
      </c>
      <c r="C297" s="14"/>
      <c r="D297" s="14"/>
      <c r="E297" s="14"/>
      <c r="F297" s="14"/>
      <c r="G297" s="14"/>
      <c r="H297" s="14"/>
      <c r="I297" s="14"/>
      <c r="J297" s="14"/>
      <c r="K297" s="11">
        <v>271.64</v>
      </c>
      <c r="L297" s="16">
        <v>30200.94</v>
      </c>
      <c r="M297" s="16">
        <v>13853.64</v>
      </c>
      <c r="N297" s="13">
        <v>2.1800000000000002</v>
      </c>
      <c r="O297" s="11">
        <v>611.19000000000005</v>
      </c>
      <c r="P297" s="12">
        <v>67952.100000000006</v>
      </c>
      <c r="Q297" s="16">
        <v>31170.69</v>
      </c>
      <c r="R297" s="13">
        <v>2.1800000000000002</v>
      </c>
      <c r="S297" s="11">
        <v>814.92</v>
      </c>
      <c r="T297" s="16">
        <v>90602.81</v>
      </c>
      <c r="U297" s="16">
        <v>41560.92</v>
      </c>
      <c r="V297" s="13">
        <v>2.1800000000000002</v>
      </c>
      <c r="W297" s="18">
        <v>1494.02</v>
      </c>
      <c r="X297" s="16">
        <v>166105.14000000001</v>
      </c>
      <c r="Y297" s="16">
        <v>76195.02</v>
      </c>
      <c r="Z297" s="13">
        <v>2.1800000000000002</v>
      </c>
      <c r="AA297" s="18">
        <v>1697.75</v>
      </c>
      <c r="AB297" s="16">
        <v>188755.85</v>
      </c>
      <c r="AC297" s="16">
        <v>86585.25</v>
      </c>
      <c r="AD297" s="13">
        <v>2.1800000000000002</v>
      </c>
      <c r="AE297" s="18">
        <v>1358.2</v>
      </c>
      <c r="AF297" s="16">
        <v>151004.68</v>
      </c>
      <c r="AG297" s="12">
        <v>69268.2</v>
      </c>
      <c r="AH297" s="13">
        <v>2.1800000000000002</v>
      </c>
      <c r="AI297" s="11">
        <v>135.82</v>
      </c>
      <c r="AJ297" s="16">
        <v>15100.47</v>
      </c>
      <c r="AK297" s="16">
        <v>6926.82</v>
      </c>
      <c r="AL297" s="13">
        <v>2.1800000000000002</v>
      </c>
      <c r="AM297" s="11">
        <v>135.82</v>
      </c>
      <c r="AN297" s="16">
        <v>15100.47</v>
      </c>
      <c r="AO297" s="16">
        <v>6926.82</v>
      </c>
      <c r="AP297" s="13">
        <v>2.1800000000000002</v>
      </c>
      <c r="AQ297" s="11">
        <v>135.82</v>
      </c>
      <c r="AR297" s="16">
        <v>15100.47</v>
      </c>
      <c r="AS297" s="16">
        <v>6926.82</v>
      </c>
      <c r="AT297" s="13">
        <v>2.1800000000000002</v>
      </c>
      <c r="AU297" s="11">
        <v>135.82</v>
      </c>
      <c r="AV297" s="16">
        <v>15100.47</v>
      </c>
      <c r="AW297" s="16">
        <v>6926.82</v>
      </c>
      <c r="AX297" s="13">
        <v>2.1800000000000002</v>
      </c>
      <c r="AY297" s="18">
        <v>6791</v>
      </c>
      <c r="AZ297" s="12">
        <v>755023.4</v>
      </c>
      <c r="BA297" s="15">
        <v>346341</v>
      </c>
      <c r="BB297" s="13">
        <v>2.1800000000000002</v>
      </c>
    </row>
    <row r="298" spans="1:54" x14ac:dyDescent="0.25">
      <c r="A298" s="10" t="s">
        <v>30</v>
      </c>
      <c r="B298" s="10" t="s">
        <v>44</v>
      </c>
      <c r="C298" s="11">
        <v>103.021</v>
      </c>
      <c r="D298" s="16">
        <v>30682.74</v>
      </c>
      <c r="E298" s="16">
        <v>23887.48</v>
      </c>
      <c r="F298" s="13">
        <v>1.28</v>
      </c>
      <c r="G298" s="11">
        <v>171.7</v>
      </c>
      <c r="H298" s="16">
        <v>51137.41</v>
      </c>
      <c r="I298" s="16">
        <v>39812.080000000002</v>
      </c>
      <c r="J298" s="13">
        <v>1.28</v>
      </c>
      <c r="K298" s="11">
        <v>274.72000000000003</v>
      </c>
      <c r="L298" s="16">
        <v>81819.86</v>
      </c>
      <c r="M298" s="16">
        <v>63699.33</v>
      </c>
      <c r="N298" s="13">
        <v>1.28</v>
      </c>
      <c r="O298" s="11">
        <v>377.74099999999999</v>
      </c>
      <c r="P298" s="12">
        <v>112502.6</v>
      </c>
      <c r="Q298" s="16">
        <v>87586.81</v>
      </c>
      <c r="R298" s="13">
        <v>1.28</v>
      </c>
      <c r="S298" s="11">
        <v>412.07900000000001</v>
      </c>
      <c r="T298" s="16">
        <v>122729.49</v>
      </c>
      <c r="U298" s="16">
        <v>95548.76</v>
      </c>
      <c r="V298" s="13">
        <v>1.28</v>
      </c>
      <c r="W298" s="11">
        <v>515.09900000000005</v>
      </c>
      <c r="X298" s="16">
        <v>153411.94</v>
      </c>
      <c r="Y298" s="16">
        <v>119436.01</v>
      </c>
      <c r="Z298" s="13">
        <v>1.28</v>
      </c>
      <c r="AA298" s="11">
        <v>446.42</v>
      </c>
      <c r="AB298" s="16">
        <v>132957.26999999999</v>
      </c>
      <c r="AC298" s="16">
        <v>103511.41</v>
      </c>
      <c r="AD298" s="13">
        <v>1.28</v>
      </c>
      <c r="AE298" s="11">
        <v>274.72000000000003</v>
      </c>
      <c r="AF298" s="16">
        <v>81819.86</v>
      </c>
      <c r="AG298" s="16">
        <v>63699.33</v>
      </c>
      <c r="AH298" s="13">
        <v>1.28</v>
      </c>
      <c r="AI298" s="11">
        <v>240.381</v>
      </c>
      <c r="AJ298" s="16">
        <v>71592.67</v>
      </c>
      <c r="AK298" s="16">
        <v>55737.14</v>
      </c>
      <c r="AL298" s="13">
        <v>1.28</v>
      </c>
      <c r="AM298" s="11">
        <v>206.04</v>
      </c>
      <c r="AN298" s="16">
        <v>61364.89</v>
      </c>
      <c r="AO298" s="16">
        <v>47774.49</v>
      </c>
      <c r="AP298" s="13">
        <v>1.28</v>
      </c>
      <c r="AQ298" s="11">
        <v>206.04</v>
      </c>
      <c r="AR298" s="16">
        <v>61364.89</v>
      </c>
      <c r="AS298" s="16">
        <v>47774.49</v>
      </c>
      <c r="AT298" s="13">
        <v>1.28</v>
      </c>
      <c r="AU298" s="11">
        <v>206.04</v>
      </c>
      <c r="AV298" s="16">
        <v>61364.89</v>
      </c>
      <c r="AW298" s="16">
        <v>47774.49</v>
      </c>
      <c r="AX298" s="13">
        <v>1.28</v>
      </c>
      <c r="AY298" s="18">
        <v>3434.0010000000002</v>
      </c>
      <c r="AZ298" s="16">
        <v>1022748.51</v>
      </c>
      <c r="BA298" s="16">
        <v>796241.82</v>
      </c>
      <c r="BB298" s="13">
        <v>1.28</v>
      </c>
    </row>
    <row r="299" spans="1:54" x14ac:dyDescent="0.25">
      <c r="A299" s="10" t="s">
        <v>30</v>
      </c>
      <c r="B299" s="10" t="s">
        <v>45</v>
      </c>
      <c r="C299" s="11">
        <v>113.821</v>
      </c>
      <c r="D299" s="16">
        <v>22809.73</v>
      </c>
      <c r="E299" s="16">
        <v>18339.98</v>
      </c>
      <c r="F299" s="13">
        <v>1.24</v>
      </c>
      <c r="G299" s="11">
        <v>189.70099999999999</v>
      </c>
      <c r="H299" s="16">
        <v>38016.080000000002</v>
      </c>
      <c r="I299" s="16">
        <v>30566.52</v>
      </c>
      <c r="J299" s="13">
        <v>1.24</v>
      </c>
      <c r="K299" s="11">
        <v>303.52</v>
      </c>
      <c r="L299" s="16">
        <v>60825.41</v>
      </c>
      <c r="M299" s="16">
        <v>48906.18</v>
      </c>
      <c r="N299" s="13">
        <v>1.24</v>
      </c>
      <c r="O299" s="11">
        <v>417.34100000000001</v>
      </c>
      <c r="P299" s="16">
        <v>83635.14</v>
      </c>
      <c r="Q299" s="16">
        <v>67246.16</v>
      </c>
      <c r="R299" s="13">
        <v>1.24</v>
      </c>
      <c r="S299" s="11">
        <v>455.279</v>
      </c>
      <c r="T299" s="16">
        <v>91237.91</v>
      </c>
      <c r="U299" s="16">
        <v>73359.11</v>
      </c>
      <c r="V299" s="13">
        <v>1.24</v>
      </c>
      <c r="W299" s="11">
        <v>569.09900000000005</v>
      </c>
      <c r="X299" s="16">
        <v>114047.44</v>
      </c>
      <c r="Y299" s="16">
        <v>91698.92</v>
      </c>
      <c r="Z299" s="13">
        <v>1.24</v>
      </c>
      <c r="AA299" s="11">
        <v>493.21899999999999</v>
      </c>
      <c r="AB299" s="16">
        <v>98841.09</v>
      </c>
      <c r="AC299" s="16">
        <v>79472.38</v>
      </c>
      <c r="AD299" s="13">
        <v>1.24</v>
      </c>
      <c r="AE299" s="11">
        <v>303.52</v>
      </c>
      <c r="AF299" s="16">
        <v>60825.41</v>
      </c>
      <c r="AG299" s="16">
        <v>48906.18</v>
      </c>
      <c r="AH299" s="13">
        <v>1.24</v>
      </c>
      <c r="AI299" s="11">
        <v>265.58100000000002</v>
      </c>
      <c r="AJ299" s="16">
        <v>53222.43</v>
      </c>
      <c r="AK299" s="16">
        <v>42793.07</v>
      </c>
      <c r="AL299" s="13">
        <v>1.24</v>
      </c>
      <c r="AM299" s="11">
        <v>227.64</v>
      </c>
      <c r="AN299" s="16">
        <v>45619.06</v>
      </c>
      <c r="AO299" s="16">
        <v>36679.629999999997</v>
      </c>
      <c r="AP299" s="13">
        <v>1.24</v>
      </c>
      <c r="AQ299" s="11">
        <v>227.64</v>
      </c>
      <c r="AR299" s="16">
        <v>45619.06</v>
      </c>
      <c r="AS299" s="16">
        <v>36679.629999999997</v>
      </c>
      <c r="AT299" s="13">
        <v>1.24</v>
      </c>
      <c r="AU299" s="11">
        <v>227.64</v>
      </c>
      <c r="AV299" s="16">
        <v>45619.06</v>
      </c>
      <c r="AW299" s="16">
        <v>36679.629999999997</v>
      </c>
      <c r="AX299" s="13">
        <v>1.24</v>
      </c>
      <c r="AY299" s="18">
        <v>3794.0010000000002</v>
      </c>
      <c r="AZ299" s="16">
        <v>760317.82</v>
      </c>
      <c r="BA299" s="16">
        <v>611327.39</v>
      </c>
      <c r="BB299" s="13">
        <v>1.24</v>
      </c>
    </row>
    <row r="300" spans="1:54" x14ac:dyDescent="0.25">
      <c r="A300" s="10" t="s">
        <v>30</v>
      </c>
      <c r="B300" s="10" t="s">
        <v>46</v>
      </c>
      <c r="C300" s="11">
        <v>15.037000000000001</v>
      </c>
      <c r="D300" s="16">
        <v>12815.88</v>
      </c>
      <c r="E300" s="16">
        <v>6131.94</v>
      </c>
      <c r="F300" s="13">
        <v>2.09</v>
      </c>
      <c r="G300" s="11">
        <v>22.091999999999999</v>
      </c>
      <c r="H300" s="16">
        <v>18828.79</v>
      </c>
      <c r="I300" s="12">
        <v>9008.9</v>
      </c>
      <c r="J300" s="13">
        <v>2.09</v>
      </c>
      <c r="K300" s="11">
        <v>25.619</v>
      </c>
      <c r="L300" s="16">
        <v>21834.82</v>
      </c>
      <c r="M300" s="16">
        <v>10447.17</v>
      </c>
      <c r="N300" s="13">
        <v>2.09</v>
      </c>
      <c r="O300" s="11">
        <v>27.640999999999998</v>
      </c>
      <c r="P300" s="16">
        <v>23558.15</v>
      </c>
      <c r="Q300" s="16">
        <v>11271.72</v>
      </c>
      <c r="R300" s="13">
        <v>2.09</v>
      </c>
      <c r="S300" s="11">
        <v>27.640999999999998</v>
      </c>
      <c r="T300" s="16">
        <v>23558.15</v>
      </c>
      <c r="U300" s="16">
        <v>11271.72</v>
      </c>
      <c r="V300" s="13">
        <v>2.09</v>
      </c>
      <c r="W300" s="11">
        <v>27.640999999999998</v>
      </c>
      <c r="X300" s="16">
        <v>23558.15</v>
      </c>
      <c r="Y300" s="16">
        <v>11271.72</v>
      </c>
      <c r="Z300" s="13">
        <v>2.09</v>
      </c>
      <c r="AA300" s="11">
        <v>31.038</v>
      </c>
      <c r="AB300" s="16">
        <v>26453.38</v>
      </c>
      <c r="AC300" s="16">
        <v>12656.99</v>
      </c>
      <c r="AD300" s="13">
        <v>2.09</v>
      </c>
      <c r="AE300" s="11">
        <v>31.742999999999999</v>
      </c>
      <c r="AF300" s="16">
        <v>27054.240000000002</v>
      </c>
      <c r="AG300" s="16">
        <v>12944.48</v>
      </c>
      <c r="AH300" s="13">
        <v>2.09</v>
      </c>
      <c r="AI300" s="11">
        <v>35.270000000000003</v>
      </c>
      <c r="AJ300" s="16">
        <v>30060.27</v>
      </c>
      <c r="AK300" s="16">
        <v>14382.75</v>
      </c>
      <c r="AL300" s="13">
        <v>2.09</v>
      </c>
      <c r="AM300" s="11">
        <v>34.212000000000003</v>
      </c>
      <c r="AN300" s="16">
        <v>29158.55</v>
      </c>
      <c r="AO300" s="16">
        <v>13951.31</v>
      </c>
      <c r="AP300" s="13">
        <v>2.09</v>
      </c>
      <c r="AQ300" s="11">
        <v>35.270000000000003</v>
      </c>
      <c r="AR300" s="16">
        <v>30060.27</v>
      </c>
      <c r="AS300" s="16">
        <v>14382.75</v>
      </c>
      <c r="AT300" s="13">
        <v>2.09</v>
      </c>
      <c r="AU300" s="11">
        <v>38.796999999999997</v>
      </c>
      <c r="AV300" s="12">
        <v>33066.300000000003</v>
      </c>
      <c r="AW300" s="16">
        <v>15821.03</v>
      </c>
      <c r="AX300" s="13">
        <v>2.09</v>
      </c>
      <c r="AY300" s="11">
        <v>352.00099999999998</v>
      </c>
      <c r="AZ300" s="16">
        <v>300006.95</v>
      </c>
      <c r="BA300" s="16">
        <v>143542.48000000001</v>
      </c>
      <c r="BB300" s="13">
        <v>2.09</v>
      </c>
    </row>
    <row r="301" spans="1:54" x14ac:dyDescent="0.25">
      <c r="A301" s="10" t="s">
        <v>30</v>
      </c>
      <c r="B301" s="10" t="s">
        <v>47</v>
      </c>
      <c r="C301" s="11">
        <v>36</v>
      </c>
      <c r="D301" s="16">
        <v>45759.96</v>
      </c>
      <c r="E301" s="16">
        <v>29727.72</v>
      </c>
      <c r="F301" s="13">
        <v>1.54</v>
      </c>
      <c r="G301" s="11">
        <v>45</v>
      </c>
      <c r="H301" s="16">
        <v>57199.95</v>
      </c>
      <c r="I301" s="16">
        <v>37159.65</v>
      </c>
      <c r="J301" s="13">
        <v>1.54</v>
      </c>
      <c r="K301" s="11">
        <v>54</v>
      </c>
      <c r="L301" s="16">
        <v>68639.94</v>
      </c>
      <c r="M301" s="16">
        <v>44591.58</v>
      </c>
      <c r="N301" s="13">
        <v>1.54</v>
      </c>
      <c r="O301" s="11">
        <v>63</v>
      </c>
      <c r="P301" s="16">
        <v>80079.929999999993</v>
      </c>
      <c r="Q301" s="16">
        <v>52023.51</v>
      </c>
      <c r="R301" s="13">
        <v>1.54</v>
      </c>
      <c r="S301" s="11">
        <v>81</v>
      </c>
      <c r="T301" s="16">
        <v>102959.91</v>
      </c>
      <c r="U301" s="16">
        <v>66887.37</v>
      </c>
      <c r="V301" s="13">
        <v>1.54</v>
      </c>
      <c r="W301" s="11">
        <v>99</v>
      </c>
      <c r="X301" s="16">
        <v>125839.89</v>
      </c>
      <c r="Y301" s="16">
        <v>81751.23</v>
      </c>
      <c r="Z301" s="13">
        <v>1.54</v>
      </c>
      <c r="AA301" s="11">
        <v>108</v>
      </c>
      <c r="AB301" s="16">
        <v>137279.88</v>
      </c>
      <c r="AC301" s="16">
        <v>89183.16</v>
      </c>
      <c r="AD301" s="13">
        <v>1.54</v>
      </c>
      <c r="AE301" s="11">
        <v>90</v>
      </c>
      <c r="AF301" s="12">
        <v>114399.9</v>
      </c>
      <c r="AG301" s="12">
        <v>74319.3</v>
      </c>
      <c r="AH301" s="13">
        <v>1.54</v>
      </c>
      <c r="AI301" s="11">
        <v>90</v>
      </c>
      <c r="AJ301" s="12">
        <v>114399.9</v>
      </c>
      <c r="AK301" s="12">
        <v>74319.3</v>
      </c>
      <c r="AL301" s="13">
        <v>1.54</v>
      </c>
      <c r="AM301" s="11">
        <v>72</v>
      </c>
      <c r="AN301" s="16">
        <v>91519.92</v>
      </c>
      <c r="AO301" s="16">
        <v>59455.44</v>
      </c>
      <c r="AP301" s="13">
        <v>1.54</v>
      </c>
      <c r="AQ301" s="11">
        <v>81</v>
      </c>
      <c r="AR301" s="16">
        <v>102959.91</v>
      </c>
      <c r="AS301" s="16">
        <v>66887.37</v>
      </c>
      <c r="AT301" s="13">
        <v>1.54</v>
      </c>
      <c r="AU301" s="11">
        <v>81</v>
      </c>
      <c r="AV301" s="16">
        <v>102959.91</v>
      </c>
      <c r="AW301" s="16">
        <v>66887.37</v>
      </c>
      <c r="AX301" s="13">
        <v>1.54</v>
      </c>
      <c r="AY301" s="11">
        <v>900</v>
      </c>
      <c r="AZ301" s="15">
        <v>1143999</v>
      </c>
      <c r="BA301" s="15">
        <v>743193</v>
      </c>
      <c r="BB301" s="13">
        <v>1.54</v>
      </c>
    </row>
    <row r="302" spans="1:54" x14ac:dyDescent="0.25">
      <c r="A302" s="10" t="s">
        <v>30</v>
      </c>
      <c r="B302" s="10" t="s">
        <v>48</v>
      </c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1">
        <v>55.850999999999999</v>
      </c>
      <c r="P302" s="16">
        <v>59344.480000000003</v>
      </c>
      <c r="Q302" s="16">
        <v>35281.64</v>
      </c>
      <c r="R302" s="13">
        <v>1.68</v>
      </c>
      <c r="S302" s="11">
        <v>79.787000000000006</v>
      </c>
      <c r="T302" s="16">
        <v>84777.68</v>
      </c>
      <c r="U302" s="16">
        <v>50402.25</v>
      </c>
      <c r="V302" s="13">
        <v>1.68</v>
      </c>
      <c r="W302" s="11">
        <v>95.745000000000005</v>
      </c>
      <c r="X302" s="16">
        <v>101733.85</v>
      </c>
      <c r="Y302" s="16">
        <v>60483.07</v>
      </c>
      <c r="Z302" s="13">
        <v>1.68</v>
      </c>
      <c r="AA302" s="11">
        <v>95.745000000000005</v>
      </c>
      <c r="AB302" s="16">
        <v>101733.85</v>
      </c>
      <c r="AC302" s="16">
        <v>60483.07</v>
      </c>
      <c r="AD302" s="13">
        <v>1.68</v>
      </c>
      <c r="AE302" s="11">
        <v>95.745000000000005</v>
      </c>
      <c r="AF302" s="16">
        <v>101733.85</v>
      </c>
      <c r="AG302" s="16">
        <v>60483.07</v>
      </c>
      <c r="AH302" s="13">
        <v>1.68</v>
      </c>
      <c r="AI302" s="11">
        <v>87.766000000000005</v>
      </c>
      <c r="AJ302" s="16">
        <v>93255.76</v>
      </c>
      <c r="AK302" s="16">
        <v>55442.66</v>
      </c>
      <c r="AL302" s="13">
        <v>1.68</v>
      </c>
      <c r="AM302" s="11">
        <v>79.787000000000006</v>
      </c>
      <c r="AN302" s="16">
        <v>84777.68</v>
      </c>
      <c r="AO302" s="16">
        <v>50402.25</v>
      </c>
      <c r="AP302" s="13">
        <v>1.68</v>
      </c>
      <c r="AQ302" s="11">
        <v>79.787000000000006</v>
      </c>
      <c r="AR302" s="16">
        <v>84777.68</v>
      </c>
      <c r="AS302" s="16">
        <v>50402.25</v>
      </c>
      <c r="AT302" s="13">
        <v>1.68</v>
      </c>
      <c r="AU302" s="11">
        <v>79.787000000000006</v>
      </c>
      <c r="AV302" s="16">
        <v>84777.68</v>
      </c>
      <c r="AW302" s="16">
        <v>50402.25</v>
      </c>
      <c r="AX302" s="13">
        <v>1.68</v>
      </c>
      <c r="AY302" s="11">
        <v>750</v>
      </c>
      <c r="AZ302" s="16">
        <v>796912.51</v>
      </c>
      <c r="BA302" s="16">
        <v>473782.51</v>
      </c>
      <c r="BB302" s="13">
        <v>1.68</v>
      </c>
    </row>
    <row r="303" spans="1:54" x14ac:dyDescent="0.25">
      <c r="A303" s="10" t="s">
        <v>30</v>
      </c>
      <c r="B303" s="10" t="s">
        <v>155</v>
      </c>
      <c r="C303" s="11">
        <v>33.899000000000001</v>
      </c>
      <c r="D303" s="16">
        <v>10752.76</v>
      </c>
      <c r="E303" s="12">
        <v>7680.5</v>
      </c>
      <c r="F303" s="13">
        <v>1.4</v>
      </c>
      <c r="G303" s="11">
        <v>56.5</v>
      </c>
      <c r="H303" s="12">
        <v>17921.8</v>
      </c>
      <c r="I303" s="16">
        <v>12801.21</v>
      </c>
      <c r="J303" s="13">
        <v>1.4</v>
      </c>
      <c r="K303" s="11">
        <v>90.399000000000001</v>
      </c>
      <c r="L303" s="16">
        <v>28674.560000000001</v>
      </c>
      <c r="M303" s="12">
        <v>20481.7</v>
      </c>
      <c r="N303" s="13">
        <v>1.4</v>
      </c>
      <c r="O303" s="11">
        <v>124.3</v>
      </c>
      <c r="P303" s="16">
        <v>39427.96</v>
      </c>
      <c r="Q303" s="16">
        <v>28162.65</v>
      </c>
      <c r="R303" s="13">
        <v>1.4</v>
      </c>
      <c r="S303" s="11">
        <v>135.601</v>
      </c>
      <c r="T303" s="16">
        <v>43012.639999999999</v>
      </c>
      <c r="U303" s="16">
        <v>30723.119999999999</v>
      </c>
      <c r="V303" s="13">
        <v>1.4</v>
      </c>
      <c r="W303" s="11">
        <v>169.5</v>
      </c>
      <c r="X303" s="12">
        <v>53765.4</v>
      </c>
      <c r="Y303" s="16">
        <v>38403.620000000003</v>
      </c>
      <c r="Z303" s="13">
        <v>1.4</v>
      </c>
      <c r="AA303" s="11">
        <v>146.899</v>
      </c>
      <c r="AB303" s="16">
        <v>46596.36</v>
      </c>
      <c r="AC303" s="16">
        <v>33282.910000000003</v>
      </c>
      <c r="AD303" s="13">
        <v>1.4</v>
      </c>
      <c r="AE303" s="11">
        <v>90.399000000000001</v>
      </c>
      <c r="AF303" s="16">
        <v>28674.560000000001</v>
      </c>
      <c r="AG303" s="12">
        <v>20481.7</v>
      </c>
      <c r="AH303" s="13">
        <v>1.4</v>
      </c>
      <c r="AI303" s="11">
        <v>79.100999999999999</v>
      </c>
      <c r="AJ303" s="16">
        <v>25090.84</v>
      </c>
      <c r="AK303" s="16">
        <v>17921.91</v>
      </c>
      <c r="AL303" s="13">
        <v>1.4</v>
      </c>
      <c r="AM303" s="11">
        <v>67.8</v>
      </c>
      <c r="AN303" s="16">
        <v>21506.16</v>
      </c>
      <c r="AO303" s="16">
        <v>15361.45</v>
      </c>
      <c r="AP303" s="13">
        <v>1.4</v>
      </c>
      <c r="AQ303" s="11">
        <v>67.8</v>
      </c>
      <c r="AR303" s="16">
        <v>21506.16</v>
      </c>
      <c r="AS303" s="16">
        <v>15361.45</v>
      </c>
      <c r="AT303" s="13">
        <v>1.4</v>
      </c>
      <c r="AU303" s="11">
        <v>67.8</v>
      </c>
      <c r="AV303" s="16">
        <v>21506.16</v>
      </c>
      <c r="AW303" s="16">
        <v>15361.45</v>
      </c>
      <c r="AX303" s="13">
        <v>1.4</v>
      </c>
      <c r="AY303" s="18">
        <v>1129.998</v>
      </c>
      <c r="AZ303" s="16">
        <v>358435.36</v>
      </c>
      <c r="BA303" s="16">
        <v>256023.67</v>
      </c>
      <c r="BB303" s="13">
        <v>1.4</v>
      </c>
    </row>
    <row r="304" spans="1:54" x14ac:dyDescent="0.25">
      <c r="A304" s="10" t="s">
        <v>30</v>
      </c>
      <c r="B304" s="10" t="s">
        <v>49</v>
      </c>
      <c r="C304" s="11">
        <v>93</v>
      </c>
      <c r="D304" s="16">
        <v>32096.16</v>
      </c>
      <c r="E304" s="12">
        <v>20990.1</v>
      </c>
      <c r="F304" s="13">
        <v>1.53</v>
      </c>
      <c r="G304" s="11">
        <v>155</v>
      </c>
      <c r="H304" s="12">
        <v>53493.599999999999</v>
      </c>
      <c r="I304" s="12">
        <v>34983.5</v>
      </c>
      <c r="J304" s="13">
        <v>1.53</v>
      </c>
      <c r="K304" s="11">
        <v>248</v>
      </c>
      <c r="L304" s="16">
        <v>85589.759999999995</v>
      </c>
      <c r="M304" s="12">
        <v>55973.599999999999</v>
      </c>
      <c r="N304" s="13">
        <v>1.53</v>
      </c>
      <c r="O304" s="11">
        <v>341</v>
      </c>
      <c r="P304" s="16">
        <v>117685.92</v>
      </c>
      <c r="Q304" s="12">
        <v>76963.7</v>
      </c>
      <c r="R304" s="13">
        <v>1.53</v>
      </c>
      <c r="S304" s="11">
        <v>372</v>
      </c>
      <c r="T304" s="16">
        <v>128384.64</v>
      </c>
      <c r="U304" s="12">
        <v>83960.4</v>
      </c>
      <c r="V304" s="13">
        <v>1.53</v>
      </c>
      <c r="W304" s="11">
        <v>465</v>
      </c>
      <c r="X304" s="12">
        <v>160480.79999999999</v>
      </c>
      <c r="Y304" s="12">
        <v>104950.5</v>
      </c>
      <c r="Z304" s="13">
        <v>1.53</v>
      </c>
      <c r="AA304" s="11">
        <v>403</v>
      </c>
      <c r="AB304" s="16">
        <v>139083.35999999999</v>
      </c>
      <c r="AC304" s="12">
        <v>90957.1</v>
      </c>
      <c r="AD304" s="13">
        <v>1.53</v>
      </c>
      <c r="AE304" s="11">
        <v>248</v>
      </c>
      <c r="AF304" s="16">
        <v>85589.759999999995</v>
      </c>
      <c r="AG304" s="12">
        <v>55973.599999999999</v>
      </c>
      <c r="AH304" s="13">
        <v>1.53</v>
      </c>
      <c r="AI304" s="11">
        <v>217</v>
      </c>
      <c r="AJ304" s="16">
        <v>74891.039999999994</v>
      </c>
      <c r="AK304" s="12">
        <v>48976.9</v>
      </c>
      <c r="AL304" s="13">
        <v>1.53</v>
      </c>
      <c r="AM304" s="11">
        <v>186</v>
      </c>
      <c r="AN304" s="16">
        <v>64192.32</v>
      </c>
      <c r="AO304" s="12">
        <v>41980.2</v>
      </c>
      <c r="AP304" s="13">
        <v>1.53</v>
      </c>
      <c r="AQ304" s="11">
        <v>186</v>
      </c>
      <c r="AR304" s="16">
        <v>64192.32</v>
      </c>
      <c r="AS304" s="12">
        <v>41980.2</v>
      </c>
      <c r="AT304" s="13">
        <v>1.53</v>
      </c>
      <c r="AU304" s="11">
        <v>186</v>
      </c>
      <c r="AV304" s="16">
        <v>64192.32</v>
      </c>
      <c r="AW304" s="12">
        <v>41980.2</v>
      </c>
      <c r="AX304" s="13">
        <v>1.53</v>
      </c>
      <c r="AY304" s="18">
        <v>3100</v>
      </c>
      <c r="AZ304" s="15">
        <v>1069872</v>
      </c>
      <c r="BA304" s="15">
        <v>699670</v>
      </c>
      <c r="BB304" s="13">
        <v>1.53</v>
      </c>
    </row>
    <row r="305" spans="1:54" x14ac:dyDescent="0.25">
      <c r="A305" s="10" t="s">
        <v>30</v>
      </c>
      <c r="B305" s="10" t="s">
        <v>50</v>
      </c>
      <c r="C305" s="11">
        <v>11.19</v>
      </c>
      <c r="D305" s="16">
        <v>10739.27</v>
      </c>
      <c r="E305" s="16">
        <v>7023.18</v>
      </c>
      <c r="F305" s="13">
        <v>1.53</v>
      </c>
      <c r="G305" s="11">
        <v>18.649999999999999</v>
      </c>
      <c r="H305" s="16">
        <v>17898.78</v>
      </c>
      <c r="I305" s="12">
        <v>11705.3</v>
      </c>
      <c r="J305" s="13">
        <v>1.53</v>
      </c>
      <c r="K305" s="11">
        <v>29.84</v>
      </c>
      <c r="L305" s="16">
        <v>28638.04</v>
      </c>
      <c r="M305" s="16">
        <v>18728.48</v>
      </c>
      <c r="N305" s="13">
        <v>1.53</v>
      </c>
      <c r="O305" s="11">
        <v>41.03</v>
      </c>
      <c r="P305" s="16">
        <v>39377.31</v>
      </c>
      <c r="Q305" s="16">
        <v>25751.66</v>
      </c>
      <c r="R305" s="13">
        <v>1.53</v>
      </c>
      <c r="S305" s="11">
        <v>44.76</v>
      </c>
      <c r="T305" s="16">
        <v>42957.07</v>
      </c>
      <c r="U305" s="16">
        <v>28092.720000000001</v>
      </c>
      <c r="V305" s="13">
        <v>1.53</v>
      </c>
      <c r="W305" s="11">
        <v>55.95</v>
      </c>
      <c r="X305" s="16">
        <v>53696.33</v>
      </c>
      <c r="Y305" s="12">
        <v>35115.9</v>
      </c>
      <c r="Z305" s="13">
        <v>1.53</v>
      </c>
      <c r="AA305" s="11">
        <v>48.49</v>
      </c>
      <c r="AB305" s="16">
        <v>46536.82</v>
      </c>
      <c r="AC305" s="16">
        <v>30433.78</v>
      </c>
      <c r="AD305" s="13">
        <v>1.53</v>
      </c>
      <c r="AE305" s="11">
        <v>29.84</v>
      </c>
      <c r="AF305" s="16">
        <v>28638.04</v>
      </c>
      <c r="AG305" s="16">
        <v>18728.48</v>
      </c>
      <c r="AH305" s="13">
        <v>1.53</v>
      </c>
      <c r="AI305" s="11">
        <v>26.11</v>
      </c>
      <c r="AJ305" s="16">
        <v>25058.29</v>
      </c>
      <c r="AK305" s="16">
        <v>16387.419999999998</v>
      </c>
      <c r="AL305" s="13">
        <v>1.53</v>
      </c>
      <c r="AM305" s="11">
        <v>22.38</v>
      </c>
      <c r="AN305" s="16">
        <v>21478.53</v>
      </c>
      <c r="AO305" s="16">
        <v>14046.36</v>
      </c>
      <c r="AP305" s="13">
        <v>1.53</v>
      </c>
      <c r="AQ305" s="11">
        <v>22.38</v>
      </c>
      <c r="AR305" s="16">
        <v>21478.53</v>
      </c>
      <c r="AS305" s="16">
        <v>14046.36</v>
      </c>
      <c r="AT305" s="13">
        <v>1.53</v>
      </c>
      <c r="AU305" s="11">
        <v>22.38</v>
      </c>
      <c r="AV305" s="16">
        <v>21478.53</v>
      </c>
      <c r="AW305" s="16">
        <v>14046.36</v>
      </c>
      <c r="AX305" s="13">
        <v>1.53</v>
      </c>
      <c r="AY305" s="11">
        <v>373</v>
      </c>
      <c r="AZ305" s="16">
        <v>357975.54</v>
      </c>
      <c r="BA305" s="15">
        <v>234106</v>
      </c>
      <c r="BB305" s="13">
        <v>1.53</v>
      </c>
    </row>
    <row r="306" spans="1:54" x14ac:dyDescent="0.25">
      <c r="A306" s="10" t="s">
        <v>30</v>
      </c>
      <c r="B306" s="10" t="s">
        <v>51</v>
      </c>
      <c r="C306" s="11">
        <v>101.1</v>
      </c>
      <c r="D306" s="16">
        <v>37552.58</v>
      </c>
      <c r="E306" s="16">
        <v>24396.44</v>
      </c>
      <c r="F306" s="13">
        <v>1.54</v>
      </c>
      <c r="G306" s="11">
        <v>168.5</v>
      </c>
      <c r="H306" s="16">
        <v>62587.64</v>
      </c>
      <c r="I306" s="16">
        <v>40660.74</v>
      </c>
      <c r="J306" s="13">
        <v>1.54</v>
      </c>
      <c r="K306" s="11">
        <v>269.60000000000002</v>
      </c>
      <c r="L306" s="16">
        <v>100140.22</v>
      </c>
      <c r="M306" s="16">
        <v>65057.18</v>
      </c>
      <c r="N306" s="13">
        <v>1.54</v>
      </c>
      <c r="O306" s="11">
        <v>370.7</v>
      </c>
      <c r="P306" s="16">
        <v>137692.81</v>
      </c>
      <c r="Q306" s="16">
        <v>89453.62</v>
      </c>
      <c r="R306" s="13">
        <v>1.54</v>
      </c>
      <c r="S306" s="11">
        <v>404.4</v>
      </c>
      <c r="T306" s="16">
        <v>150210.34</v>
      </c>
      <c r="U306" s="16">
        <v>97585.76</v>
      </c>
      <c r="V306" s="13">
        <v>1.54</v>
      </c>
      <c r="W306" s="11">
        <v>505.50200000000001</v>
      </c>
      <c r="X306" s="16">
        <v>187763.66</v>
      </c>
      <c r="Y306" s="16">
        <v>121982.69</v>
      </c>
      <c r="Z306" s="13">
        <v>1.54</v>
      </c>
      <c r="AA306" s="11">
        <v>438.1</v>
      </c>
      <c r="AB306" s="16">
        <v>162727.85999999999</v>
      </c>
      <c r="AC306" s="16">
        <v>105717.91</v>
      </c>
      <c r="AD306" s="13">
        <v>1.54</v>
      </c>
      <c r="AE306" s="11">
        <v>269.60000000000002</v>
      </c>
      <c r="AF306" s="16">
        <v>100140.22</v>
      </c>
      <c r="AG306" s="16">
        <v>65057.18</v>
      </c>
      <c r="AH306" s="13">
        <v>1.54</v>
      </c>
      <c r="AI306" s="11">
        <v>235.9</v>
      </c>
      <c r="AJ306" s="12">
        <v>87622.7</v>
      </c>
      <c r="AK306" s="16">
        <v>56925.03</v>
      </c>
      <c r="AL306" s="13">
        <v>1.54</v>
      </c>
      <c r="AM306" s="11">
        <v>202.2</v>
      </c>
      <c r="AN306" s="16">
        <v>75105.17</v>
      </c>
      <c r="AO306" s="16">
        <v>48792.88</v>
      </c>
      <c r="AP306" s="13">
        <v>1.54</v>
      </c>
      <c r="AQ306" s="11">
        <v>202.2</v>
      </c>
      <c r="AR306" s="16">
        <v>75105.17</v>
      </c>
      <c r="AS306" s="16">
        <v>48792.88</v>
      </c>
      <c r="AT306" s="13">
        <v>1.54</v>
      </c>
      <c r="AU306" s="11">
        <v>202.2</v>
      </c>
      <c r="AV306" s="16">
        <v>75105.17</v>
      </c>
      <c r="AW306" s="16">
        <v>48792.88</v>
      </c>
      <c r="AX306" s="13">
        <v>1.54</v>
      </c>
      <c r="AY306" s="18">
        <v>3370.002</v>
      </c>
      <c r="AZ306" s="16">
        <v>1251753.54</v>
      </c>
      <c r="BA306" s="16">
        <v>813215.19</v>
      </c>
      <c r="BB306" s="13">
        <v>1.54</v>
      </c>
    </row>
    <row r="307" spans="1:54" x14ac:dyDescent="0.25">
      <c r="A307" s="10" t="s">
        <v>30</v>
      </c>
      <c r="B307" s="10" t="s">
        <v>52</v>
      </c>
      <c r="C307" s="11">
        <v>26.82</v>
      </c>
      <c r="D307" s="12">
        <v>12138.2</v>
      </c>
      <c r="E307" s="16">
        <v>5727.95</v>
      </c>
      <c r="F307" s="13">
        <v>2.12</v>
      </c>
      <c r="G307" s="11">
        <v>44.7</v>
      </c>
      <c r="H307" s="16">
        <v>20230.330000000002</v>
      </c>
      <c r="I307" s="16">
        <v>9546.58</v>
      </c>
      <c r="J307" s="13">
        <v>2.12</v>
      </c>
      <c r="K307" s="11">
        <v>71.52</v>
      </c>
      <c r="L307" s="16">
        <v>32368.52</v>
      </c>
      <c r="M307" s="16">
        <v>15274.53</v>
      </c>
      <c r="N307" s="13">
        <v>2.12</v>
      </c>
      <c r="O307" s="11">
        <v>98.34</v>
      </c>
      <c r="P307" s="16">
        <v>44506.720000000001</v>
      </c>
      <c r="Q307" s="16">
        <v>21002.47</v>
      </c>
      <c r="R307" s="13">
        <v>2.12</v>
      </c>
      <c r="S307" s="11">
        <v>107.28100000000001</v>
      </c>
      <c r="T307" s="16">
        <v>48553.23</v>
      </c>
      <c r="U307" s="15">
        <v>22912</v>
      </c>
      <c r="V307" s="13">
        <v>2.12</v>
      </c>
      <c r="W307" s="11">
        <v>134.1</v>
      </c>
      <c r="X307" s="16">
        <v>60690.98</v>
      </c>
      <c r="Y307" s="16">
        <v>28639.74</v>
      </c>
      <c r="Z307" s="13">
        <v>2.12</v>
      </c>
      <c r="AA307" s="11">
        <v>116.22</v>
      </c>
      <c r="AB307" s="16">
        <v>52598.85</v>
      </c>
      <c r="AC307" s="16">
        <v>24821.11</v>
      </c>
      <c r="AD307" s="13">
        <v>2.12</v>
      </c>
      <c r="AE307" s="11">
        <v>71.52</v>
      </c>
      <c r="AF307" s="16">
        <v>32368.52</v>
      </c>
      <c r="AG307" s="16">
        <v>15274.53</v>
      </c>
      <c r="AH307" s="13">
        <v>2.12</v>
      </c>
      <c r="AI307" s="11">
        <v>62.581000000000003</v>
      </c>
      <c r="AJ307" s="16">
        <v>28322.91</v>
      </c>
      <c r="AK307" s="16">
        <v>13365.42</v>
      </c>
      <c r="AL307" s="13">
        <v>2.12</v>
      </c>
      <c r="AM307" s="11">
        <v>53.64</v>
      </c>
      <c r="AN307" s="16">
        <v>24276.39</v>
      </c>
      <c r="AO307" s="16">
        <v>11455.89</v>
      </c>
      <c r="AP307" s="13">
        <v>2.12</v>
      </c>
      <c r="AQ307" s="11">
        <v>53.64</v>
      </c>
      <c r="AR307" s="16">
        <v>24276.39</v>
      </c>
      <c r="AS307" s="16">
        <v>11455.89</v>
      </c>
      <c r="AT307" s="13">
        <v>2.12</v>
      </c>
      <c r="AU307" s="11">
        <v>53.64</v>
      </c>
      <c r="AV307" s="16">
        <v>24276.39</v>
      </c>
      <c r="AW307" s="16">
        <v>11455.89</v>
      </c>
      <c r="AX307" s="13">
        <v>2.12</v>
      </c>
      <c r="AY307" s="11">
        <v>894.00199999999995</v>
      </c>
      <c r="AZ307" s="16">
        <v>404607.43</v>
      </c>
      <c r="BA307" s="15">
        <v>190932</v>
      </c>
      <c r="BB307" s="13">
        <v>2.12</v>
      </c>
    </row>
    <row r="308" spans="1:54" x14ac:dyDescent="0.25">
      <c r="A308" s="10" t="s">
        <v>30</v>
      </c>
      <c r="B308" s="10" t="s">
        <v>53</v>
      </c>
      <c r="C308" s="14"/>
      <c r="D308" s="14"/>
      <c r="E308" s="14"/>
      <c r="F308" s="14"/>
      <c r="G308" s="14"/>
      <c r="H308" s="14"/>
      <c r="I308" s="14"/>
      <c r="J308" s="14"/>
      <c r="K308" s="11">
        <v>210.56</v>
      </c>
      <c r="L308" s="16">
        <v>70221.759999999995</v>
      </c>
      <c r="M308" s="16">
        <v>54960.37</v>
      </c>
      <c r="N308" s="13">
        <v>1.28</v>
      </c>
      <c r="O308" s="11">
        <v>451.2</v>
      </c>
      <c r="P308" s="12">
        <v>150475.20000000001</v>
      </c>
      <c r="Q308" s="16">
        <v>117772.22</v>
      </c>
      <c r="R308" s="13">
        <v>1.28</v>
      </c>
      <c r="S308" s="11">
        <v>421.12</v>
      </c>
      <c r="T308" s="16">
        <v>140443.51999999999</v>
      </c>
      <c r="U308" s="16">
        <v>109920.74</v>
      </c>
      <c r="V308" s="13">
        <v>1.28</v>
      </c>
      <c r="W308" s="11">
        <v>511.36</v>
      </c>
      <c r="X308" s="16">
        <v>170538.56</v>
      </c>
      <c r="Y308" s="16">
        <v>133475.19</v>
      </c>
      <c r="Z308" s="13">
        <v>1.28</v>
      </c>
      <c r="AA308" s="11">
        <v>511.36</v>
      </c>
      <c r="AB308" s="16">
        <v>170538.56</v>
      </c>
      <c r="AC308" s="16">
        <v>133475.19</v>
      </c>
      <c r="AD308" s="13">
        <v>1.28</v>
      </c>
      <c r="AE308" s="11">
        <v>451.2</v>
      </c>
      <c r="AF308" s="12">
        <v>150475.20000000001</v>
      </c>
      <c r="AG308" s="16">
        <v>117772.22</v>
      </c>
      <c r="AH308" s="13">
        <v>1.28</v>
      </c>
      <c r="AI308" s="11">
        <v>180.48</v>
      </c>
      <c r="AJ308" s="16">
        <v>60190.080000000002</v>
      </c>
      <c r="AK308" s="16">
        <v>47108.89</v>
      </c>
      <c r="AL308" s="13">
        <v>1.28</v>
      </c>
      <c r="AM308" s="11">
        <v>180.48</v>
      </c>
      <c r="AN308" s="16">
        <v>60190.080000000002</v>
      </c>
      <c r="AO308" s="16">
        <v>47108.89</v>
      </c>
      <c r="AP308" s="13">
        <v>1.28</v>
      </c>
      <c r="AQ308" s="11">
        <v>90.24</v>
      </c>
      <c r="AR308" s="16">
        <v>30095.040000000001</v>
      </c>
      <c r="AS308" s="16">
        <v>23554.44</v>
      </c>
      <c r="AT308" s="13">
        <v>1.28</v>
      </c>
      <c r="AU308" s="14"/>
      <c r="AV308" s="14"/>
      <c r="AW308" s="14"/>
      <c r="AX308" s="14"/>
      <c r="AY308" s="18">
        <v>3008</v>
      </c>
      <c r="AZ308" s="15">
        <v>1003168</v>
      </c>
      <c r="BA308" s="16">
        <v>785148.15</v>
      </c>
      <c r="BB308" s="13">
        <v>1.28</v>
      </c>
    </row>
    <row r="309" spans="1:54" x14ac:dyDescent="0.25">
      <c r="A309" s="10" t="s">
        <v>30</v>
      </c>
      <c r="B309" s="10" t="s">
        <v>54</v>
      </c>
      <c r="C309" s="11">
        <v>11.73</v>
      </c>
      <c r="D309" s="16">
        <v>6945.68</v>
      </c>
      <c r="E309" s="16">
        <v>4258.46</v>
      </c>
      <c r="F309" s="13">
        <v>1.63</v>
      </c>
      <c r="G309" s="11">
        <v>19.55</v>
      </c>
      <c r="H309" s="16">
        <v>11576.14</v>
      </c>
      <c r="I309" s="16">
        <v>7097.43</v>
      </c>
      <c r="J309" s="13">
        <v>1.63</v>
      </c>
      <c r="K309" s="11">
        <v>31.28</v>
      </c>
      <c r="L309" s="16">
        <v>18521.830000000002</v>
      </c>
      <c r="M309" s="16">
        <v>11355.89</v>
      </c>
      <c r="N309" s="13">
        <v>1.63</v>
      </c>
      <c r="O309" s="11">
        <v>43.01</v>
      </c>
      <c r="P309" s="16">
        <v>25467.51</v>
      </c>
      <c r="Q309" s="16">
        <v>15614.35</v>
      </c>
      <c r="R309" s="13">
        <v>1.63</v>
      </c>
      <c r="S309" s="11">
        <v>46.92</v>
      </c>
      <c r="T309" s="16">
        <v>27782.74</v>
      </c>
      <c r="U309" s="16">
        <v>17033.84</v>
      </c>
      <c r="V309" s="13">
        <v>1.63</v>
      </c>
      <c r="W309" s="11">
        <v>58.65</v>
      </c>
      <c r="X309" s="16">
        <v>34728.42</v>
      </c>
      <c r="Y309" s="12">
        <v>21292.3</v>
      </c>
      <c r="Z309" s="13">
        <v>1.63</v>
      </c>
      <c r="AA309" s="11">
        <v>50.83</v>
      </c>
      <c r="AB309" s="16">
        <v>30097.97</v>
      </c>
      <c r="AC309" s="16">
        <v>18453.32</v>
      </c>
      <c r="AD309" s="13">
        <v>1.63</v>
      </c>
      <c r="AE309" s="11">
        <v>31.28</v>
      </c>
      <c r="AF309" s="16">
        <v>18521.830000000002</v>
      </c>
      <c r="AG309" s="16">
        <v>11355.89</v>
      </c>
      <c r="AH309" s="13">
        <v>1.63</v>
      </c>
      <c r="AI309" s="11">
        <v>27.37</v>
      </c>
      <c r="AJ309" s="12">
        <v>16206.6</v>
      </c>
      <c r="AK309" s="12">
        <v>9936.4</v>
      </c>
      <c r="AL309" s="13">
        <v>1.63</v>
      </c>
      <c r="AM309" s="11">
        <v>23.46</v>
      </c>
      <c r="AN309" s="16">
        <v>13891.37</v>
      </c>
      <c r="AO309" s="16">
        <v>8516.92</v>
      </c>
      <c r="AP309" s="13">
        <v>1.63</v>
      </c>
      <c r="AQ309" s="11">
        <v>23.46</v>
      </c>
      <c r="AR309" s="16">
        <v>13891.37</v>
      </c>
      <c r="AS309" s="16">
        <v>8516.92</v>
      </c>
      <c r="AT309" s="13">
        <v>1.63</v>
      </c>
      <c r="AU309" s="11">
        <v>23.46</v>
      </c>
      <c r="AV309" s="16">
        <v>13891.37</v>
      </c>
      <c r="AW309" s="16">
        <v>8516.92</v>
      </c>
      <c r="AX309" s="13">
        <v>1.63</v>
      </c>
      <c r="AY309" s="11">
        <v>391</v>
      </c>
      <c r="AZ309" s="16">
        <v>231522.83</v>
      </c>
      <c r="BA309" s="16">
        <v>141948.64000000001</v>
      </c>
      <c r="BB309" s="13">
        <v>1.63</v>
      </c>
    </row>
    <row r="310" spans="1:54" x14ac:dyDescent="0.25">
      <c r="A310" s="10" t="s">
        <v>30</v>
      </c>
      <c r="B310" s="10" t="s">
        <v>55</v>
      </c>
      <c r="C310" s="11">
        <v>7.59</v>
      </c>
      <c r="D310" s="16">
        <v>4209.57</v>
      </c>
      <c r="E310" s="16">
        <v>2647.09</v>
      </c>
      <c r="F310" s="13">
        <v>1.59</v>
      </c>
      <c r="G310" s="11">
        <v>12.65</v>
      </c>
      <c r="H310" s="16">
        <v>7015.94</v>
      </c>
      <c r="I310" s="16">
        <v>4411.8100000000004</v>
      </c>
      <c r="J310" s="13">
        <v>1.59</v>
      </c>
      <c r="K310" s="11">
        <v>20.239999999999998</v>
      </c>
      <c r="L310" s="16">
        <v>11225.51</v>
      </c>
      <c r="M310" s="12">
        <v>7058.9</v>
      </c>
      <c r="N310" s="13">
        <v>1.59</v>
      </c>
      <c r="O310" s="11">
        <v>27.83</v>
      </c>
      <c r="P310" s="16">
        <v>15435.07</v>
      </c>
      <c r="Q310" s="16">
        <v>9705.99</v>
      </c>
      <c r="R310" s="13">
        <v>1.59</v>
      </c>
      <c r="S310" s="11">
        <v>30.36</v>
      </c>
      <c r="T310" s="16">
        <v>16838.259999999998</v>
      </c>
      <c r="U310" s="16">
        <v>10588.35</v>
      </c>
      <c r="V310" s="13">
        <v>1.59</v>
      </c>
      <c r="W310" s="11">
        <v>37.950000000000003</v>
      </c>
      <c r="X310" s="16">
        <v>21047.83</v>
      </c>
      <c r="Y310" s="16">
        <v>13235.44</v>
      </c>
      <c r="Z310" s="13">
        <v>1.59</v>
      </c>
      <c r="AA310" s="11">
        <v>32.89</v>
      </c>
      <c r="AB310" s="16">
        <v>18241.45</v>
      </c>
      <c r="AC310" s="16">
        <v>11470.72</v>
      </c>
      <c r="AD310" s="13">
        <v>1.59</v>
      </c>
      <c r="AE310" s="11">
        <v>20.239999999999998</v>
      </c>
      <c r="AF310" s="16">
        <v>11225.51</v>
      </c>
      <c r="AG310" s="12">
        <v>7058.9</v>
      </c>
      <c r="AH310" s="13">
        <v>1.59</v>
      </c>
      <c r="AI310" s="11">
        <v>17.71</v>
      </c>
      <c r="AJ310" s="16">
        <v>9822.32</v>
      </c>
      <c r="AK310" s="16">
        <v>6176.54</v>
      </c>
      <c r="AL310" s="13">
        <v>1.59</v>
      </c>
      <c r="AM310" s="11">
        <v>15.18</v>
      </c>
      <c r="AN310" s="16">
        <v>8419.1299999999992</v>
      </c>
      <c r="AO310" s="16">
        <v>5294.18</v>
      </c>
      <c r="AP310" s="13">
        <v>1.59</v>
      </c>
      <c r="AQ310" s="11">
        <v>15.18</v>
      </c>
      <c r="AR310" s="16">
        <v>8419.1299999999992</v>
      </c>
      <c r="AS310" s="16">
        <v>5294.18</v>
      </c>
      <c r="AT310" s="13">
        <v>1.59</v>
      </c>
      <c r="AU310" s="11">
        <v>15.18</v>
      </c>
      <c r="AV310" s="16">
        <v>8419.1299999999992</v>
      </c>
      <c r="AW310" s="16">
        <v>5294.18</v>
      </c>
      <c r="AX310" s="13">
        <v>1.59</v>
      </c>
      <c r="AY310" s="11">
        <v>253</v>
      </c>
      <c r="AZ310" s="16">
        <v>140318.85</v>
      </c>
      <c r="BA310" s="16">
        <v>88236.28</v>
      </c>
      <c r="BB310" s="13">
        <v>1.59</v>
      </c>
    </row>
    <row r="311" spans="1:54" x14ac:dyDescent="0.25">
      <c r="A311" s="10" t="s">
        <v>30</v>
      </c>
      <c r="B311" s="10" t="s">
        <v>156</v>
      </c>
      <c r="C311" s="11">
        <v>71.998999999999995</v>
      </c>
      <c r="D311" s="16">
        <v>16941.36</v>
      </c>
      <c r="E311" s="16">
        <v>12100.87</v>
      </c>
      <c r="F311" s="13">
        <v>1.4</v>
      </c>
      <c r="G311" s="11">
        <v>120</v>
      </c>
      <c r="H311" s="15">
        <v>28236</v>
      </c>
      <c r="I311" s="12">
        <v>20168.400000000001</v>
      </c>
      <c r="J311" s="13">
        <v>1.4</v>
      </c>
      <c r="K311" s="11">
        <v>191.999</v>
      </c>
      <c r="L311" s="16">
        <v>45177.36</v>
      </c>
      <c r="M311" s="16">
        <v>32269.27</v>
      </c>
      <c r="N311" s="13">
        <v>1.4</v>
      </c>
      <c r="O311" s="11">
        <v>264.00099999999998</v>
      </c>
      <c r="P311" s="16">
        <v>62119.44</v>
      </c>
      <c r="Q311" s="16">
        <v>44370.65</v>
      </c>
      <c r="R311" s="13">
        <v>1.4</v>
      </c>
      <c r="S311" s="11">
        <v>288.00099999999998</v>
      </c>
      <c r="T311" s="16">
        <v>67766.64</v>
      </c>
      <c r="U311" s="16">
        <v>48404.33</v>
      </c>
      <c r="V311" s="13">
        <v>1.4</v>
      </c>
      <c r="W311" s="11">
        <v>360</v>
      </c>
      <c r="X311" s="15">
        <v>84708</v>
      </c>
      <c r="Y311" s="12">
        <v>60505.2</v>
      </c>
      <c r="Z311" s="13">
        <v>1.4</v>
      </c>
      <c r="AA311" s="11">
        <v>311.99900000000002</v>
      </c>
      <c r="AB311" s="16">
        <v>73413.36</v>
      </c>
      <c r="AC311" s="16">
        <v>52437.67</v>
      </c>
      <c r="AD311" s="13">
        <v>1.4</v>
      </c>
      <c r="AE311" s="11">
        <v>191.999</v>
      </c>
      <c r="AF311" s="16">
        <v>45177.36</v>
      </c>
      <c r="AG311" s="16">
        <v>32269.27</v>
      </c>
      <c r="AH311" s="13">
        <v>1.4</v>
      </c>
      <c r="AI311" s="11">
        <v>168.001</v>
      </c>
      <c r="AJ311" s="16">
        <v>39530.639999999999</v>
      </c>
      <c r="AK311" s="16">
        <v>28235.93</v>
      </c>
      <c r="AL311" s="13">
        <v>1.4</v>
      </c>
      <c r="AM311" s="11">
        <v>144.001</v>
      </c>
      <c r="AN311" s="16">
        <v>33883.440000000002</v>
      </c>
      <c r="AO311" s="16">
        <v>24202.25</v>
      </c>
      <c r="AP311" s="13">
        <v>1.4</v>
      </c>
      <c r="AQ311" s="11">
        <v>144.001</v>
      </c>
      <c r="AR311" s="16">
        <v>33883.440000000002</v>
      </c>
      <c r="AS311" s="16">
        <v>24202.25</v>
      </c>
      <c r="AT311" s="13">
        <v>1.4</v>
      </c>
      <c r="AU311" s="11">
        <v>144.001</v>
      </c>
      <c r="AV311" s="16">
        <v>33883.440000000002</v>
      </c>
      <c r="AW311" s="16">
        <v>24202.25</v>
      </c>
      <c r="AX311" s="13">
        <v>1.4</v>
      </c>
      <c r="AY311" s="18">
        <v>2400.002</v>
      </c>
      <c r="AZ311" s="16">
        <v>564720.48</v>
      </c>
      <c r="BA311" s="16">
        <v>403368.34</v>
      </c>
      <c r="BB311" s="13">
        <v>1.4</v>
      </c>
    </row>
    <row r="312" spans="1:54" x14ac:dyDescent="0.25">
      <c r="A312" s="10" t="s">
        <v>30</v>
      </c>
      <c r="B312" s="10" t="s">
        <v>56</v>
      </c>
      <c r="C312" s="14"/>
      <c r="D312" s="14"/>
      <c r="E312" s="14"/>
      <c r="F312" s="14"/>
      <c r="G312" s="14"/>
      <c r="H312" s="14"/>
      <c r="I312" s="14"/>
      <c r="J312" s="14"/>
      <c r="K312" s="11">
        <v>382.76</v>
      </c>
      <c r="L312" s="16">
        <v>111631.95</v>
      </c>
      <c r="M312" s="16">
        <v>75522.38</v>
      </c>
      <c r="N312" s="13">
        <v>1.48</v>
      </c>
      <c r="O312" s="11">
        <v>601.48</v>
      </c>
      <c r="P312" s="16">
        <v>175421.64</v>
      </c>
      <c r="Q312" s="16">
        <v>118678.02</v>
      </c>
      <c r="R312" s="13">
        <v>1.48</v>
      </c>
      <c r="S312" s="11">
        <v>710.84</v>
      </c>
      <c r="T312" s="16">
        <v>207316.49</v>
      </c>
      <c r="U312" s="16">
        <v>140255.84</v>
      </c>
      <c r="V312" s="13">
        <v>1.48</v>
      </c>
      <c r="W312" s="11">
        <v>929.56</v>
      </c>
      <c r="X312" s="16">
        <v>271106.17</v>
      </c>
      <c r="Y312" s="16">
        <v>183411.48</v>
      </c>
      <c r="Z312" s="13">
        <v>1.48</v>
      </c>
      <c r="AA312" s="11">
        <v>765.52</v>
      </c>
      <c r="AB312" s="16">
        <v>223263.91</v>
      </c>
      <c r="AC312" s="16">
        <v>151044.75</v>
      </c>
      <c r="AD312" s="13">
        <v>1.48</v>
      </c>
      <c r="AE312" s="11">
        <v>492.12</v>
      </c>
      <c r="AF312" s="12">
        <v>143526.79999999999</v>
      </c>
      <c r="AG312" s="12">
        <v>97100.2</v>
      </c>
      <c r="AH312" s="13">
        <v>1.48</v>
      </c>
      <c r="AI312" s="11">
        <v>437.44</v>
      </c>
      <c r="AJ312" s="16">
        <v>127579.38</v>
      </c>
      <c r="AK312" s="16">
        <v>86311.29</v>
      </c>
      <c r="AL312" s="13">
        <v>1.48</v>
      </c>
      <c r="AM312" s="11">
        <v>382.76</v>
      </c>
      <c r="AN312" s="16">
        <v>111631.95</v>
      </c>
      <c r="AO312" s="16">
        <v>75522.38</v>
      </c>
      <c r="AP312" s="13">
        <v>1.48</v>
      </c>
      <c r="AQ312" s="11">
        <v>382.76</v>
      </c>
      <c r="AR312" s="16">
        <v>111631.95</v>
      </c>
      <c r="AS312" s="16">
        <v>75522.38</v>
      </c>
      <c r="AT312" s="13">
        <v>1.48</v>
      </c>
      <c r="AU312" s="11">
        <v>382.76</v>
      </c>
      <c r="AV312" s="16">
        <v>111631.95</v>
      </c>
      <c r="AW312" s="16">
        <v>75522.38</v>
      </c>
      <c r="AX312" s="13">
        <v>1.48</v>
      </c>
      <c r="AY312" s="18">
        <v>5468</v>
      </c>
      <c r="AZ312" s="16">
        <v>1594742.19</v>
      </c>
      <c r="BA312" s="12">
        <v>1078891.1000000001</v>
      </c>
      <c r="BB312" s="13">
        <v>1.48</v>
      </c>
    </row>
    <row r="313" spans="1:54" x14ac:dyDescent="0.25">
      <c r="A313" s="10" t="s">
        <v>30</v>
      </c>
      <c r="B313" s="10" t="s">
        <v>57</v>
      </c>
      <c r="C313" s="14"/>
      <c r="D313" s="14"/>
      <c r="E313" s="14"/>
      <c r="F313" s="14"/>
      <c r="G313" s="14"/>
      <c r="H313" s="14"/>
      <c r="I313" s="14"/>
      <c r="J313" s="14"/>
      <c r="K313" s="11">
        <v>240.101</v>
      </c>
      <c r="L313" s="16">
        <v>57914.76</v>
      </c>
      <c r="M313" s="16">
        <v>44735.62</v>
      </c>
      <c r="N313" s="13">
        <v>1.29</v>
      </c>
      <c r="O313" s="11">
        <v>514.49900000000002</v>
      </c>
      <c r="P313" s="12">
        <v>124102.3</v>
      </c>
      <c r="Q313" s="16">
        <v>95861.45</v>
      </c>
      <c r="R313" s="13">
        <v>1.29</v>
      </c>
      <c r="S313" s="11">
        <v>480.2</v>
      </c>
      <c r="T313" s="16">
        <v>115829.04</v>
      </c>
      <c r="U313" s="16">
        <v>89470.86</v>
      </c>
      <c r="V313" s="13">
        <v>1.29</v>
      </c>
      <c r="W313" s="11">
        <v>583.1</v>
      </c>
      <c r="X313" s="16">
        <v>140649.54999999999</v>
      </c>
      <c r="Y313" s="16">
        <v>108643.19</v>
      </c>
      <c r="Z313" s="13">
        <v>1.29</v>
      </c>
      <c r="AA313" s="11">
        <v>583.1</v>
      </c>
      <c r="AB313" s="16">
        <v>140649.54999999999</v>
      </c>
      <c r="AC313" s="16">
        <v>108643.19</v>
      </c>
      <c r="AD313" s="13">
        <v>1.29</v>
      </c>
      <c r="AE313" s="11">
        <v>514.5</v>
      </c>
      <c r="AF313" s="16">
        <v>124102.55</v>
      </c>
      <c r="AG313" s="16">
        <v>95861.64</v>
      </c>
      <c r="AH313" s="13">
        <v>1.29</v>
      </c>
      <c r="AI313" s="11">
        <v>205.8</v>
      </c>
      <c r="AJ313" s="16">
        <v>49641.02</v>
      </c>
      <c r="AK313" s="16">
        <v>38344.660000000003</v>
      </c>
      <c r="AL313" s="13">
        <v>1.29</v>
      </c>
      <c r="AM313" s="11">
        <v>205.8</v>
      </c>
      <c r="AN313" s="16">
        <v>49641.02</v>
      </c>
      <c r="AO313" s="16">
        <v>38344.660000000003</v>
      </c>
      <c r="AP313" s="13">
        <v>1.29</v>
      </c>
      <c r="AQ313" s="11">
        <v>102.901</v>
      </c>
      <c r="AR313" s="16">
        <v>24820.75</v>
      </c>
      <c r="AS313" s="16">
        <v>19172.509999999998</v>
      </c>
      <c r="AT313" s="13">
        <v>1.29</v>
      </c>
      <c r="AU313" s="14"/>
      <c r="AV313" s="14"/>
      <c r="AW313" s="14"/>
      <c r="AX313" s="14"/>
      <c r="AY313" s="18">
        <v>3430.0010000000002</v>
      </c>
      <c r="AZ313" s="16">
        <v>827350.54</v>
      </c>
      <c r="BA313" s="16">
        <v>639077.78</v>
      </c>
      <c r="BB313" s="13">
        <v>1.29</v>
      </c>
    </row>
    <row r="314" spans="1:54" x14ac:dyDescent="0.25">
      <c r="A314" s="10" t="s">
        <v>30</v>
      </c>
      <c r="B314" s="10" t="s">
        <v>58</v>
      </c>
      <c r="C314" s="11">
        <v>165.45</v>
      </c>
      <c r="D314" s="16">
        <v>50553.25</v>
      </c>
      <c r="E314" s="16">
        <v>37285.81</v>
      </c>
      <c r="F314" s="13">
        <v>1.36</v>
      </c>
      <c r="G314" s="11">
        <v>275.75</v>
      </c>
      <c r="H314" s="16">
        <v>84255.41</v>
      </c>
      <c r="I314" s="16">
        <v>62143.02</v>
      </c>
      <c r="J314" s="13">
        <v>1.36</v>
      </c>
      <c r="K314" s="11">
        <v>441.2</v>
      </c>
      <c r="L314" s="16">
        <v>134808.66</v>
      </c>
      <c r="M314" s="16">
        <v>99428.83</v>
      </c>
      <c r="N314" s="13">
        <v>1.36</v>
      </c>
      <c r="O314" s="11">
        <v>606.65</v>
      </c>
      <c r="P314" s="16">
        <v>185361.91</v>
      </c>
      <c r="Q314" s="16">
        <v>136714.64000000001</v>
      </c>
      <c r="R314" s="13">
        <v>1.36</v>
      </c>
      <c r="S314" s="11">
        <v>661.8</v>
      </c>
      <c r="T314" s="16">
        <v>202212.99</v>
      </c>
      <c r="U314" s="16">
        <v>149143.25</v>
      </c>
      <c r="V314" s="13">
        <v>1.36</v>
      </c>
      <c r="W314" s="11">
        <v>827.25</v>
      </c>
      <c r="X314" s="16">
        <v>252766.24</v>
      </c>
      <c r="Y314" s="16">
        <v>186429.06</v>
      </c>
      <c r="Z314" s="13">
        <v>1.36</v>
      </c>
      <c r="AA314" s="11">
        <v>716.94899999999996</v>
      </c>
      <c r="AB314" s="16">
        <v>219063.77</v>
      </c>
      <c r="AC314" s="16">
        <v>161571.63</v>
      </c>
      <c r="AD314" s="13">
        <v>1.36</v>
      </c>
      <c r="AE314" s="11">
        <v>441.2</v>
      </c>
      <c r="AF314" s="16">
        <v>134808.66</v>
      </c>
      <c r="AG314" s="16">
        <v>99428.83</v>
      </c>
      <c r="AH314" s="13">
        <v>1.36</v>
      </c>
      <c r="AI314" s="11">
        <v>386.05</v>
      </c>
      <c r="AJ314" s="16">
        <v>117957.58</v>
      </c>
      <c r="AK314" s="16">
        <v>87000.23</v>
      </c>
      <c r="AL314" s="13">
        <v>1.36</v>
      </c>
      <c r="AM314" s="11">
        <v>330.9</v>
      </c>
      <c r="AN314" s="12">
        <v>101106.5</v>
      </c>
      <c r="AO314" s="16">
        <v>74571.62</v>
      </c>
      <c r="AP314" s="13">
        <v>1.36</v>
      </c>
      <c r="AQ314" s="11">
        <v>330.9</v>
      </c>
      <c r="AR314" s="12">
        <v>101106.5</v>
      </c>
      <c r="AS314" s="16">
        <v>74571.62</v>
      </c>
      <c r="AT314" s="13">
        <v>1.36</v>
      </c>
      <c r="AU314" s="11">
        <v>330.9</v>
      </c>
      <c r="AV314" s="12">
        <v>101106.5</v>
      </c>
      <c r="AW314" s="16">
        <v>74571.62</v>
      </c>
      <c r="AX314" s="13">
        <v>1.36</v>
      </c>
      <c r="AY314" s="18">
        <v>5514.9989999999998</v>
      </c>
      <c r="AZ314" s="16">
        <v>1685107.97</v>
      </c>
      <c r="BA314" s="16">
        <v>1242860.1599999999</v>
      </c>
      <c r="BB314" s="13">
        <v>1.36</v>
      </c>
    </row>
    <row r="315" spans="1:54" x14ac:dyDescent="0.25">
      <c r="A315" s="10" t="s">
        <v>30</v>
      </c>
      <c r="B315" s="10" t="s">
        <v>59</v>
      </c>
      <c r="C315" s="11">
        <v>67.41</v>
      </c>
      <c r="D315" s="16">
        <v>23748.54</v>
      </c>
      <c r="E315" s="16">
        <v>12557.81</v>
      </c>
      <c r="F315" s="13">
        <v>1.89</v>
      </c>
      <c r="G315" s="11">
        <v>112.35</v>
      </c>
      <c r="H315" s="16">
        <v>39580.910000000003</v>
      </c>
      <c r="I315" s="16">
        <v>20929.68</v>
      </c>
      <c r="J315" s="13">
        <v>1.89</v>
      </c>
      <c r="K315" s="11">
        <v>179.76</v>
      </c>
      <c r="L315" s="16">
        <v>63329.45</v>
      </c>
      <c r="M315" s="16">
        <v>33487.49</v>
      </c>
      <c r="N315" s="13">
        <v>1.89</v>
      </c>
      <c r="O315" s="11">
        <v>247.17</v>
      </c>
      <c r="P315" s="16">
        <v>87077.99</v>
      </c>
      <c r="Q315" s="12">
        <v>46045.3</v>
      </c>
      <c r="R315" s="13">
        <v>1.89</v>
      </c>
      <c r="S315" s="11">
        <v>269.64</v>
      </c>
      <c r="T315" s="16">
        <v>94994.17</v>
      </c>
      <c r="U315" s="16">
        <v>50231.24</v>
      </c>
      <c r="V315" s="13">
        <v>1.89</v>
      </c>
      <c r="W315" s="11">
        <v>337.05</v>
      </c>
      <c r="X315" s="16">
        <v>118742.72</v>
      </c>
      <c r="Y315" s="16">
        <v>62789.04</v>
      </c>
      <c r="Z315" s="13">
        <v>1.89</v>
      </c>
      <c r="AA315" s="11">
        <v>292.11</v>
      </c>
      <c r="AB315" s="16">
        <v>102910.35</v>
      </c>
      <c r="AC315" s="16">
        <v>54417.17</v>
      </c>
      <c r="AD315" s="13">
        <v>1.89</v>
      </c>
      <c r="AE315" s="11">
        <v>179.76</v>
      </c>
      <c r="AF315" s="16">
        <v>63329.45</v>
      </c>
      <c r="AG315" s="16">
        <v>33487.49</v>
      </c>
      <c r="AH315" s="13">
        <v>1.89</v>
      </c>
      <c r="AI315" s="11">
        <v>157.29</v>
      </c>
      <c r="AJ315" s="16">
        <v>55413.27</v>
      </c>
      <c r="AK315" s="16">
        <v>29301.55</v>
      </c>
      <c r="AL315" s="13">
        <v>1.89</v>
      </c>
      <c r="AM315" s="11">
        <v>134.82</v>
      </c>
      <c r="AN315" s="16">
        <v>47497.09</v>
      </c>
      <c r="AO315" s="16">
        <v>25115.62</v>
      </c>
      <c r="AP315" s="13">
        <v>1.89</v>
      </c>
      <c r="AQ315" s="11">
        <v>134.82</v>
      </c>
      <c r="AR315" s="16">
        <v>47497.09</v>
      </c>
      <c r="AS315" s="16">
        <v>25115.62</v>
      </c>
      <c r="AT315" s="13">
        <v>1.89</v>
      </c>
      <c r="AU315" s="11">
        <v>134.82</v>
      </c>
      <c r="AV315" s="16">
        <v>47497.09</v>
      </c>
      <c r="AW315" s="16">
        <v>25115.62</v>
      </c>
      <c r="AX315" s="13">
        <v>1.89</v>
      </c>
      <c r="AY315" s="18">
        <v>2247</v>
      </c>
      <c r="AZ315" s="16">
        <v>791618.12</v>
      </c>
      <c r="BA315" s="16">
        <v>418593.63</v>
      </c>
      <c r="BB315" s="13">
        <v>1.89</v>
      </c>
    </row>
    <row r="316" spans="1:54" x14ac:dyDescent="0.25">
      <c r="A316" s="10" t="s">
        <v>30</v>
      </c>
      <c r="B316" s="10" t="s">
        <v>60</v>
      </c>
      <c r="C316" s="11">
        <v>129</v>
      </c>
      <c r="D316" s="16">
        <v>233351.97</v>
      </c>
      <c r="E316" s="15">
        <v>135450</v>
      </c>
      <c r="F316" s="13">
        <v>1.72</v>
      </c>
      <c r="G316" s="11">
        <v>215</v>
      </c>
      <c r="H316" s="16">
        <v>388919.95</v>
      </c>
      <c r="I316" s="15">
        <v>225750</v>
      </c>
      <c r="J316" s="13">
        <v>1.72</v>
      </c>
      <c r="K316" s="11">
        <v>344</v>
      </c>
      <c r="L316" s="16">
        <v>622271.92000000004</v>
      </c>
      <c r="M316" s="15">
        <v>361200</v>
      </c>
      <c r="N316" s="13">
        <v>1.72</v>
      </c>
      <c r="O316" s="11">
        <v>473</v>
      </c>
      <c r="P316" s="16">
        <v>855623.89</v>
      </c>
      <c r="Q316" s="15">
        <v>496650</v>
      </c>
      <c r="R316" s="13">
        <v>1.72</v>
      </c>
      <c r="S316" s="11">
        <v>516</v>
      </c>
      <c r="T316" s="16">
        <v>933407.88</v>
      </c>
      <c r="U316" s="15">
        <v>541800</v>
      </c>
      <c r="V316" s="13">
        <v>1.72</v>
      </c>
      <c r="W316" s="11">
        <v>645</v>
      </c>
      <c r="X316" s="16">
        <v>1166759.8500000001</v>
      </c>
      <c r="Y316" s="15">
        <v>677250</v>
      </c>
      <c r="Z316" s="13">
        <v>1.72</v>
      </c>
      <c r="AA316" s="11">
        <v>559</v>
      </c>
      <c r="AB316" s="16">
        <v>1011191.87</v>
      </c>
      <c r="AC316" s="15">
        <v>586950</v>
      </c>
      <c r="AD316" s="13">
        <v>1.72</v>
      </c>
      <c r="AE316" s="11">
        <v>344</v>
      </c>
      <c r="AF316" s="16">
        <v>622271.92000000004</v>
      </c>
      <c r="AG316" s="15">
        <v>361200</v>
      </c>
      <c r="AH316" s="13">
        <v>1.72</v>
      </c>
      <c r="AI316" s="11">
        <v>301</v>
      </c>
      <c r="AJ316" s="16">
        <v>544487.93000000005</v>
      </c>
      <c r="AK316" s="15">
        <v>316050</v>
      </c>
      <c r="AL316" s="13">
        <v>1.72</v>
      </c>
      <c r="AM316" s="11">
        <v>258</v>
      </c>
      <c r="AN316" s="16">
        <v>466703.94</v>
      </c>
      <c r="AO316" s="15">
        <v>270900</v>
      </c>
      <c r="AP316" s="13">
        <v>1.72</v>
      </c>
      <c r="AQ316" s="11">
        <v>258</v>
      </c>
      <c r="AR316" s="16">
        <v>466703.94</v>
      </c>
      <c r="AS316" s="15">
        <v>270900</v>
      </c>
      <c r="AT316" s="13">
        <v>1.72</v>
      </c>
      <c r="AU316" s="11">
        <v>258</v>
      </c>
      <c r="AV316" s="16">
        <v>466703.94</v>
      </c>
      <c r="AW316" s="15">
        <v>270900</v>
      </c>
      <c r="AX316" s="13">
        <v>1.72</v>
      </c>
      <c r="AY316" s="18">
        <v>4300</v>
      </c>
      <c r="AZ316" s="15">
        <v>7778399</v>
      </c>
      <c r="BA316" s="15">
        <v>4515000</v>
      </c>
      <c r="BB316" s="13">
        <v>1.72</v>
      </c>
    </row>
    <row r="317" spans="1:54" x14ac:dyDescent="0.25">
      <c r="A317" s="10" t="s">
        <v>30</v>
      </c>
      <c r="B317" s="10" t="s">
        <v>61</v>
      </c>
      <c r="C317" s="14"/>
      <c r="D317" s="14"/>
      <c r="E317" s="14"/>
      <c r="F317" s="14"/>
      <c r="G317" s="14"/>
      <c r="H317" s="14"/>
      <c r="I317" s="14"/>
      <c r="J317" s="14"/>
      <c r="K317" s="11">
        <v>45.5</v>
      </c>
      <c r="L317" s="16">
        <v>21026.46</v>
      </c>
      <c r="M317" s="16">
        <v>17046.580000000002</v>
      </c>
      <c r="N317" s="13">
        <v>1.23</v>
      </c>
      <c r="O317" s="11">
        <v>97.5</v>
      </c>
      <c r="P317" s="12">
        <v>45056.7</v>
      </c>
      <c r="Q317" s="16">
        <v>36528.379999999997</v>
      </c>
      <c r="R317" s="13">
        <v>1.23</v>
      </c>
      <c r="S317" s="11">
        <v>91</v>
      </c>
      <c r="T317" s="16">
        <v>42052.92</v>
      </c>
      <c r="U317" s="16">
        <v>34093.15</v>
      </c>
      <c r="V317" s="13">
        <v>1.23</v>
      </c>
      <c r="W317" s="11">
        <v>110.5</v>
      </c>
      <c r="X317" s="16">
        <v>51064.26</v>
      </c>
      <c r="Y317" s="16">
        <v>41398.83</v>
      </c>
      <c r="Z317" s="13">
        <v>1.23</v>
      </c>
      <c r="AA317" s="11">
        <v>110.5</v>
      </c>
      <c r="AB317" s="16">
        <v>51064.26</v>
      </c>
      <c r="AC317" s="16">
        <v>41398.83</v>
      </c>
      <c r="AD317" s="13">
        <v>1.23</v>
      </c>
      <c r="AE317" s="11">
        <v>97.5</v>
      </c>
      <c r="AF317" s="12">
        <v>45056.7</v>
      </c>
      <c r="AG317" s="16">
        <v>36528.379999999997</v>
      </c>
      <c r="AH317" s="13">
        <v>1.23</v>
      </c>
      <c r="AI317" s="11">
        <v>39</v>
      </c>
      <c r="AJ317" s="16">
        <v>18022.68</v>
      </c>
      <c r="AK317" s="16">
        <v>14611.35</v>
      </c>
      <c r="AL317" s="13">
        <v>1.23</v>
      </c>
      <c r="AM317" s="11">
        <v>39</v>
      </c>
      <c r="AN317" s="16">
        <v>18022.68</v>
      </c>
      <c r="AO317" s="16">
        <v>14611.35</v>
      </c>
      <c r="AP317" s="13">
        <v>1.23</v>
      </c>
      <c r="AQ317" s="11">
        <v>19.5</v>
      </c>
      <c r="AR317" s="16">
        <v>9011.34</v>
      </c>
      <c r="AS317" s="16">
        <v>7305.68</v>
      </c>
      <c r="AT317" s="13">
        <v>1.23</v>
      </c>
      <c r="AU317" s="14"/>
      <c r="AV317" s="14"/>
      <c r="AW317" s="14"/>
      <c r="AX317" s="14"/>
      <c r="AY317" s="11">
        <v>650</v>
      </c>
      <c r="AZ317" s="15">
        <v>300378</v>
      </c>
      <c r="BA317" s="16">
        <v>243522.53</v>
      </c>
      <c r="BB317" s="13">
        <v>1.23</v>
      </c>
    </row>
    <row r="318" spans="1:54" x14ac:dyDescent="0.25">
      <c r="A318" s="10" t="s">
        <v>30</v>
      </c>
      <c r="B318" s="10" t="s">
        <v>62</v>
      </c>
      <c r="C318" s="14"/>
      <c r="D318" s="14"/>
      <c r="E318" s="14"/>
      <c r="F318" s="14"/>
      <c r="G318" s="14"/>
      <c r="H318" s="14"/>
      <c r="I318" s="14"/>
      <c r="J318" s="14"/>
      <c r="K318" s="11">
        <v>162.54</v>
      </c>
      <c r="L318" s="16">
        <v>23885.25</v>
      </c>
      <c r="M318" s="16">
        <v>19205.73</v>
      </c>
      <c r="N318" s="13">
        <v>1.24</v>
      </c>
      <c r="O318" s="11">
        <v>348.3</v>
      </c>
      <c r="P318" s="16">
        <v>51182.69</v>
      </c>
      <c r="Q318" s="16">
        <v>41155.129999999997</v>
      </c>
      <c r="R318" s="13">
        <v>1.24</v>
      </c>
      <c r="S318" s="11">
        <v>325.08</v>
      </c>
      <c r="T318" s="16">
        <v>47770.51</v>
      </c>
      <c r="U318" s="16">
        <v>38411.449999999997</v>
      </c>
      <c r="V318" s="13">
        <v>1.24</v>
      </c>
      <c r="W318" s="11">
        <v>394.74</v>
      </c>
      <c r="X318" s="16">
        <v>58007.040000000001</v>
      </c>
      <c r="Y318" s="16">
        <v>46642.48</v>
      </c>
      <c r="Z318" s="13">
        <v>1.24</v>
      </c>
      <c r="AA318" s="11">
        <v>394.74</v>
      </c>
      <c r="AB318" s="16">
        <v>58007.040000000001</v>
      </c>
      <c r="AC318" s="16">
        <v>46642.48</v>
      </c>
      <c r="AD318" s="13">
        <v>1.24</v>
      </c>
      <c r="AE318" s="11">
        <v>348.3</v>
      </c>
      <c r="AF318" s="16">
        <v>51182.69</v>
      </c>
      <c r="AG318" s="16">
        <v>41155.129999999997</v>
      </c>
      <c r="AH318" s="13">
        <v>1.24</v>
      </c>
      <c r="AI318" s="11">
        <v>139.32</v>
      </c>
      <c r="AJ318" s="16">
        <v>20473.07</v>
      </c>
      <c r="AK318" s="16">
        <v>16462.05</v>
      </c>
      <c r="AL318" s="13">
        <v>1.24</v>
      </c>
      <c r="AM318" s="11">
        <v>139.32</v>
      </c>
      <c r="AN318" s="16">
        <v>20473.07</v>
      </c>
      <c r="AO318" s="16">
        <v>16462.05</v>
      </c>
      <c r="AP318" s="13">
        <v>1.24</v>
      </c>
      <c r="AQ318" s="11">
        <v>69.66</v>
      </c>
      <c r="AR318" s="16">
        <v>10236.540000000001</v>
      </c>
      <c r="AS318" s="16">
        <v>8231.0300000000007</v>
      </c>
      <c r="AT318" s="13">
        <v>1.24</v>
      </c>
      <c r="AU318" s="14"/>
      <c r="AV318" s="14"/>
      <c r="AW318" s="14"/>
      <c r="AX318" s="14"/>
      <c r="AY318" s="18">
        <v>2322</v>
      </c>
      <c r="AZ318" s="12">
        <v>341217.9</v>
      </c>
      <c r="BA318" s="16">
        <v>274367.53000000003</v>
      </c>
      <c r="BB318" s="13">
        <v>1.24</v>
      </c>
    </row>
    <row r="319" spans="1:54" x14ac:dyDescent="0.25">
      <c r="A319" s="10" t="s">
        <v>30</v>
      </c>
      <c r="B319" s="10" t="s">
        <v>63</v>
      </c>
      <c r="C319" s="11">
        <v>3.3809999999999998</v>
      </c>
      <c r="D319" s="16">
        <v>4279.74</v>
      </c>
      <c r="E319" s="16">
        <v>2995.84</v>
      </c>
      <c r="F319" s="13">
        <v>1.43</v>
      </c>
      <c r="G319" s="11">
        <v>4.1740000000000004</v>
      </c>
      <c r="H319" s="16">
        <v>5283.53</v>
      </c>
      <c r="I319" s="12">
        <v>3698.5</v>
      </c>
      <c r="J319" s="13">
        <v>1.43</v>
      </c>
      <c r="K319" s="11">
        <v>4.9669999999999996</v>
      </c>
      <c r="L319" s="16">
        <v>6287.33</v>
      </c>
      <c r="M319" s="16">
        <v>4401.16</v>
      </c>
      <c r="N319" s="13">
        <v>1.43</v>
      </c>
      <c r="O319" s="11">
        <v>6.2960000000000003</v>
      </c>
      <c r="P319" s="12">
        <v>7969.6</v>
      </c>
      <c r="Q319" s="16">
        <v>5578.76</v>
      </c>
      <c r="R319" s="13">
        <v>1.43</v>
      </c>
      <c r="S319" s="11">
        <v>5.3440000000000003</v>
      </c>
      <c r="T319" s="16">
        <v>6764.54</v>
      </c>
      <c r="U319" s="16">
        <v>4735.21</v>
      </c>
      <c r="V319" s="13">
        <v>1.43</v>
      </c>
      <c r="W319" s="11">
        <v>6.1369999999999996</v>
      </c>
      <c r="X319" s="16">
        <v>7768.34</v>
      </c>
      <c r="Y319" s="16">
        <v>5437.87</v>
      </c>
      <c r="Z319" s="13">
        <v>1.43</v>
      </c>
      <c r="AA319" s="11">
        <v>6.3460000000000001</v>
      </c>
      <c r="AB319" s="16">
        <v>8032.89</v>
      </c>
      <c r="AC319" s="16">
        <v>5623.06</v>
      </c>
      <c r="AD319" s="13">
        <v>1.43</v>
      </c>
      <c r="AE319" s="11">
        <v>5.5519999999999996</v>
      </c>
      <c r="AF319" s="16">
        <v>7027.83</v>
      </c>
      <c r="AG319" s="16">
        <v>4919.5200000000004</v>
      </c>
      <c r="AH319" s="13">
        <v>1.43</v>
      </c>
      <c r="AI319" s="11">
        <v>6.3460000000000001</v>
      </c>
      <c r="AJ319" s="16">
        <v>8032.89</v>
      </c>
      <c r="AK319" s="16">
        <v>5623.06</v>
      </c>
      <c r="AL319" s="13">
        <v>1.43</v>
      </c>
      <c r="AM319" s="11">
        <v>8.4870000000000001</v>
      </c>
      <c r="AN319" s="16">
        <v>10743.01</v>
      </c>
      <c r="AO319" s="16">
        <v>7520.16</v>
      </c>
      <c r="AP319" s="13">
        <v>1.43</v>
      </c>
      <c r="AQ319" s="11">
        <v>8.4870000000000001</v>
      </c>
      <c r="AR319" s="16">
        <v>10743.01</v>
      </c>
      <c r="AS319" s="16">
        <v>7520.16</v>
      </c>
      <c r="AT319" s="13">
        <v>1.43</v>
      </c>
      <c r="AU319" s="11">
        <v>13.483000000000001</v>
      </c>
      <c r="AV319" s="16">
        <v>17067.05</v>
      </c>
      <c r="AW319" s="16">
        <v>11947.02</v>
      </c>
      <c r="AX319" s="13">
        <v>1.43</v>
      </c>
      <c r="AY319" s="11">
        <v>79</v>
      </c>
      <c r="AZ319" s="16">
        <v>99999.76</v>
      </c>
      <c r="BA319" s="16">
        <v>70000.320000000007</v>
      </c>
      <c r="BB319" s="13">
        <v>1.43</v>
      </c>
    </row>
    <row r="320" spans="1:54" x14ac:dyDescent="0.25">
      <c r="A320" s="10" t="s">
        <v>30</v>
      </c>
      <c r="B320" s="10" t="s">
        <v>64</v>
      </c>
      <c r="C320" s="11">
        <v>239.68100000000001</v>
      </c>
      <c r="D320" s="16">
        <v>69366.080000000002</v>
      </c>
      <c r="E320" s="16">
        <v>40803.29</v>
      </c>
      <c r="F320" s="13">
        <v>1.7</v>
      </c>
      <c r="G320" s="11">
        <v>295.90499999999997</v>
      </c>
      <c r="H320" s="16">
        <v>85637.87</v>
      </c>
      <c r="I320" s="16">
        <v>50374.87</v>
      </c>
      <c r="J320" s="13">
        <v>1.7</v>
      </c>
      <c r="K320" s="11">
        <v>352.13099999999997</v>
      </c>
      <c r="L320" s="16">
        <v>101910.23</v>
      </c>
      <c r="M320" s="16">
        <v>59946.78</v>
      </c>
      <c r="N320" s="13">
        <v>1.7</v>
      </c>
      <c r="O320" s="11">
        <v>446.26400000000001</v>
      </c>
      <c r="P320" s="16">
        <v>129153.26</v>
      </c>
      <c r="Q320" s="16">
        <v>75971.98</v>
      </c>
      <c r="R320" s="13">
        <v>1.7</v>
      </c>
      <c r="S320" s="11">
        <v>378.79399999999998</v>
      </c>
      <c r="T320" s="16">
        <v>109626.77</v>
      </c>
      <c r="U320" s="16">
        <v>64485.89</v>
      </c>
      <c r="V320" s="13">
        <v>1.7</v>
      </c>
      <c r="W320" s="11">
        <v>435.01799999999997</v>
      </c>
      <c r="X320" s="16">
        <v>125898.56</v>
      </c>
      <c r="Y320" s="16">
        <v>74057.460000000006</v>
      </c>
      <c r="Z320" s="13">
        <v>1.7</v>
      </c>
      <c r="AA320" s="11">
        <v>449.79899999999998</v>
      </c>
      <c r="AB320" s="16">
        <v>130176.33</v>
      </c>
      <c r="AC320" s="16">
        <v>76573.78</v>
      </c>
      <c r="AD320" s="13">
        <v>1.7</v>
      </c>
      <c r="AE320" s="11">
        <v>393.57499999999999</v>
      </c>
      <c r="AF320" s="16">
        <v>113904.54</v>
      </c>
      <c r="AG320" s="16">
        <v>67002.210000000006</v>
      </c>
      <c r="AH320" s="13">
        <v>1.7</v>
      </c>
      <c r="AI320" s="11">
        <v>449.79899999999998</v>
      </c>
      <c r="AJ320" s="16">
        <v>130176.33</v>
      </c>
      <c r="AK320" s="16">
        <v>76573.78</v>
      </c>
      <c r="AL320" s="13">
        <v>1.7</v>
      </c>
      <c r="AM320" s="11">
        <v>601.60599999999999</v>
      </c>
      <c r="AN320" s="16">
        <v>174110.79</v>
      </c>
      <c r="AO320" s="16">
        <v>102417.41</v>
      </c>
      <c r="AP320" s="13">
        <v>1.7</v>
      </c>
      <c r="AQ320" s="11">
        <v>601.60599999999999</v>
      </c>
      <c r="AR320" s="16">
        <v>174110.79</v>
      </c>
      <c r="AS320" s="16">
        <v>102417.41</v>
      </c>
      <c r="AT320" s="13">
        <v>1.7</v>
      </c>
      <c r="AU320" s="11">
        <v>955.822</v>
      </c>
      <c r="AV320" s="16">
        <v>276624.45</v>
      </c>
      <c r="AW320" s="16">
        <v>162719.14000000001</v>
      </c>
      <c r="AX320" s="13">
        <v>1.7</v>
      </c>
      <c r="AY320" s="18">
        <v>5600</v>
      </c>
      <c r="AZ320" s="15">
        <v>1620696</v>
      </c>
      <c r="BA320" s="15">
        <v>953344</v>
      </c>
      <c r="BB320" s="13">
        <v>1.7</v>
      </c>
    </row>
    <row r="321" spans="1:54" x14ac:dyDescent="0.25">
      <c r="A321" s="10" t="s">
        <v>30</v>
      </c>
      <c r="B321" s="10" t="s">
        <v>65</v>
      </c>
      <c r="C321" s="11">
        <v>184.041</v>
      </c>
      <c r="D321" s="12">
        <v>39495.199999999997</v>
      </c>
      <c r="E321" s="16">
        <v>24683.58</v>
      </c>
      <c r="F321" s="13">
        <v>1.6</v>
      </c>
      <c r="G321" s="11">
        <v>227.21299999999999</v>
      </c>
      <c r="H321" s="16">
        <v>48759.91</v>
      </c>
      <c r="I321" s="16">
        <v>30473.81</v>
      </c>
      <c r="J321" s="13">
        <v>1.6</v>
      </c>
      <c r="K321" s="11">
        <v>270.38499999999999</v>
      </c>
      <c r="L321" s="16">
        <v>58024.62</v>
      </c>
      <c r="M321" s="16">
        <v>36264.04</v>
      </c>
      <c r="N321" s="13">
        <v>1.6</v>
      </c>
      <c r="O321" s="11">
        <v>342.666</v>
      </c>
      <c r="P321" s="16">
        <v>73536.12</v>
      </c>
      <c r="Q321" s="16">
        <v>45958.36</v>
      </c>
      <c r="R321" s="13">
        <v>1.6</v>
      </c>
      <c r="S321" s="11">
        <v>290.85899999999998</v>
      </c>
      <c r="T321" s="16">
        <v>62418.34</v>
      </c>
      <c r="U321" s="16">
        <v>39010.01</v>
      </c>
      <c r="V321" s="13">
        <v>1.6</v>
      </c>
      <c r="W321" s="11">
        <v>334.03100000000001</v>
      </c>
      <c r="X321" s="16">
        <v>71683.05</v>
      </c>
      <c r="Y321" s="16">
        <v>44800.24</v>
      </c>
      <c r="Z321" s="13">
        <v>1.6</v>
      </c>
      <c r="AA321" s="11">
        <v>345.38099999999997</v>
      </c>
      <c r="AB321" s="16">
        <v>74118.759999999995</v>
      </c>
      <c r="AC321" s="12">
        <v>46322.5</v>
      </c>
      <c r="AD321" s="13">
        <v>1.6</v>
      </c>
      <c r="AE321" s="11">
        <v>302.209</v>
      </c>
      <c r="AF321" s="16">
        <v>64854.05</v>
      </c>
      <c r="AG321" s="16">
        <v>40532.269999999997</v>
      </c>
      <c r="AH321" s="13">
        <v>1.6</v>
      </c>
      <c r="AI321" s="11">
        <v>345.38099999999997</v>
      </c>
      <c r="AJ321" s="16">
        <v>74118.759999999995</v>
      </c>
      <c r="AK321" s="12">
        <v>46322.5</v>
      </c>
      <c r="AL321" s="13">
        <v>1.6</v>
      </c>
      <c r="AM321" s="11">
        <v>461.94799999999998</v>
      </c>
      <c r="AN321" s="16">
        <v>99134.04</v>
      </c>
      <c r="AO321" s="16">
        <v>61956.47</v>
      </c>
      <c r="AP321" s="13">
        <v>1.6</v>
      </c>
      <c r="AQ321" s="11">
        <v>461.94799999999998</v>
      </c>
      <c r="AR321" s="16">
        <v>99134.04</v>
      </c>
      <c r="AS321" s="16">
        <v>61956.47</v>
      </c>
      <c r="AT321" s="13">
        <v>1.6</v>
      </c>
      <c r="AU321" s="11">
        <v>733.93600000000004</v>
      </c>
      <c r="AV321" s="16">
        <v>157502.67000000001</v>
      </c>
      <c r="AW321" s="12">
        <v>98435.5</v>
      </c>
      <c r="AX321" s="13">
        <v>1.6</v>
      </c>
      <c r="AY321" s="18">
        <v>4299.9979999999996</v>
      </c>
      <c r="AZ321" s="16">
        <v>922779.56</v>
      </c>
      <c r="BA321" s="16">
        <v>576715.75</v>
      </c>
      <c r="BB321" s="13">
        <v>1.6</v>
      </c>
    </row>
    <row r="322" spans="1:54" x14ac:dyDescent="0.25">
      <c r="A322" s="10" t="s">
        <v>30</v>
      </c>
      <c r="B322" s="10" t="s">
        <v>66</v>
      </c>
      <c r="C322" s="11">
        <v>20</v>
      </c>
      <c r="D322" s="15">
        <v>4000</v>
      </c>
      <c r="E322" s="12">
        <v>2857.2</v>
      </c>
      <c r="F322" s="13">
        <v>1.4</v>
      </c>
      <c r="G322" s="11">
        <v>25</v>
      </c>
      <c r="H322" s="15">
        <v>5000</v>
      </c>
      <c r="I322" s="12">
        <v>3571.5</v>
      </c>
      <c r="J322" s="13">
        <v>1.4</v>
      </c>
      <c r="K322" s="11">
        <v>30</v>
      </c>
      <c r="L322" s="15">
        <v>6000</v>
      </c>
      <c r="M322" s="12">
        <v>4285.8</v>
      </c>
      <c r="N322" s="13">
        <v>1.4</v>
      </c>
      <c r="O322" s="11">
        <v>25</v>
      </c>
      <c r="P322" s="15">
        <v>5000</v>
      </c>
      <c r="Q322" s="12">
        <v>3571.5</v>
      </c>
      <c r="R322" s="13">
        <v>1.4</v>
      </c>
      <c r="S322" s="11">
        <v>30</v>
      </c>
      <c r="T322" s="15">
        <v>6000</v>
      </c>
      <c r="U322" s="12">
        <v>4285.8</v>
      </c>
      <c r="V322" s="13">
        <v>1.4</v>
      </c>
      <c r="W322" s="11">
        <v>40</v>
      </c>
      <c r="X322" s="15">
        <v>8000</v>
      </c>
      <c r="Y322" s="12">
        <v>5714.4</v>
      </c>
      <c r="Z322" s="13">
        <v>1.4</v>
      </c>
      <c r="AA322" s="11">
        <v>35</v>
      </c>
      <c r="AB322" s="15">
        <v>7000</v>
      </c>
      <c r="AC322" s="12">
        <v>5000.1000000000004</v>
      </c>
      <c r="AD322" s="13">
        <v>1.4</v>
      </c>
      <c r="AE322" s="11">
        <v>50</v>
      </c>
      <c r="AF322" s="15">
        <v>10000</v>
      </c>
      <c r="AG322" s="15">
        <v>7143</v>
      </c>
      <c r="AH322" s="13">
        <v>1.4</v>
      </c>
      <c r="AI322" s="11">
        <v>70</v>
      </c>
      <c r="AJ322" s="15">
        <v>14000</v>
      </c>
      <c r="AK322" s="12">
        <v>10000.200000000001</v>
      </c>
      <c r="AL322" s="13">
        <v>1.4</v>
      </c>
      <c r="AM322" s="11">
        <v>70</v>
      </c>
      <c r="AN322" s="15">
        <v>14000</v>
      </c>
      <c r="AO322" s="12">
        <v>10000.200000000001</v>
      </c>
      <c r="AP322" s="13">
        <v>1.4</v>
      </c>
      <c r="AQ322" s="11">
        <v>60</v>
      </c>
      <c r="AR322" s="15">
        <v>12000</v>
      </c>
      <c r="AS322" s="12">
        <v>8571.6</v>
      </c>
      <c r="AT322" s="13">
        <v>1.4</v>
      </c>
      <c r="AU322" s="11">
        <v>45</v>
      </c>
      <c r="AV322" s="15">
        <v>9000</v>
      </c>
      <c r="AW322" s="12">
        <v>6428.7</v>
      </c>
      <c r="AX322" s="13">
        <v>1.4</v>
      </c>
      <c r="AY322" s="11">
        <v>500</v>
      </c>
      <c r="AZ322" s="15">
        <v>100000</v>
      </c>
      <c r="BA322" s="15">
        <v>71430</v>
      </c>
      <c r="BB322" s="13">
        <v>1.4</v>
      </c>
    </row>
    <row r="323" spans="1:54" x14ac:dyDescent="0.25">
      <c r="A323" s="10" t="s">
        <v>30</v>
      </c>
      <c r="B323" s="10" t="s">
        <v>67</v>
      </c>
      <c r="C323" s="11">
        <v>81.015000000000001</v>
      </c>
      <c r="D323" s="16">
        <v>34799.99</v>
      </c>
      <c r="E323" s="16">
        <v>25778.16</v>
      </c>
      <c r="F323" s="13">
        <v>1.35</v>
      </c>
      <c r="G323" s="11">
        <v>101.26900000000001</v>
      </c>
      <c r="H323" s="12">
        <v>43500.1</v>
      </c>
      <c r="I323" s="16">
        <v>32222.78</v>
      </c>
      <c r="J323" s="13">
        <v>1.35</v>
      </c>
      <c r="K323" s="11">
        <v>121.523</v>
      </c>
      <c r="L323" s="12">
        <v>52200.2</v>
      </c>
      <c r="M323" s="12">
        <v>38667.4</v>
      </c>
      <c r="N323" s="13">
        <v>1.35</v>
      </c>
      <c r="O323" s="11">
        <v>101.26900000000001</v>
      </c>
      <c r="P323" s="12">
        <v>43500.1</v>
      </c>
      <c r="Q323" s="16">
        <v>32222.78</v>
      </c>
      <c r="R323" s="13">
        <v>1.35</v>
      </c>
      <c r="S323" s="11">
        <v>121.523</v>
      </c>
      <c r="T323" s="12">
        <v>52200.2</v>
      </c>
      <c r="U323" s="12">
        <v>38667.4</v>
      </c>
      <c r="V323" s="13">
        <v>1.35</v>
      </c>
      <c r="W323" s="11">
        <v>162.03</v>
      </c>
      <c r="X323" s="16">
        <v>69599.990000000005</v>
      </c>
      <c r="Y323" s="16">
        <v>51556.33</v>
      </c>
      <c r="Z323" s="13">
        <v>1.35</v>
      </c>
      <c r="AA323" s="11">
        <v>141.77600000000001</v>
      </c>
      <c r="AB323" s="16">
        <v>60899.88</v>
      </c>
      <c r="AC323" s="16">
        <v>45111.71</v>
      </c>
      <c r="AD323" s="13">
        <v>1.35</v>
      </c>
      <c r="AE323" s="11">
        <v>202.53800000000001</v>
      </c>
      <c r="AF323" s="12">
        <v>87000.2</v>
      </c>
      <c r="AG323" s="16">
        <v>64445.57</v>
      </c>
      <c r="AH323" s="13">
        <v>1.35</v>
      </c>
      <c r="AI323" s="11">
        <v>283.553</v>
      </c>
      <c r="AJ323" s="16">
        <v>121800.19</v>
      </c>
      <c r="AK323" s="16">
        <v>90223.73</v>
      </c>
      <c r="AL323" s="13">
        <v>1.35</v>
      </c>
      <c r="AM323" s="11">
        <v>283.553</v>
      </c>
      <c r="AN323" s="16">
        <v>121800.19</v>
      </c>
      <c r="AO323" s="16">
        <v>90223.73</v>
      </c>
      <c r="AP323" s="13">
        <v>1.35</v>
      </c>
      <c r="AQ323" s="11">
        <v>243.04499999999999</v>
      </c>
      <c r="AR323" s="16">
        <v>104399.98</v>
      </c>
      <c r="AS323" s="16">
        <v>77334.490000000005</v>
      </c>
      <c r="AT323" s="13">
        <v>1.35</v>
      </c>
      <c r="AU323" s="11">
        <v>182.28399999999999</v>
      </c>
      <c r="AV323" s="16">
        <v>78300.09</v>
      </c>
      <c r="AW323" s="16">
        <v>58000.95</v>
      </c>
      <c r="AX323" s="13">
        <v>1.35</v>
      </c>
      <c r="AY323" s="18">
        <v>2025.3779999999999</v>
      </c>
      <c r="AZ323" s="16">
        <v>870001.11</v>
      </c>
      <c r="BA323" s="16">
        <v>644455.03</v>
      </c>
      <c r="BB323" s="13">
        <v>1.35</v>
      </c>
    </row>
    <row r="324" spans="1:54" x14ac:dyDescent="0.25">
      <c r="A324" s="10" t="s">
        <v>30</v>
      </c>
      <c r="B324" s="10" t="s">
        <v>68</v>
      </c>
      <c r="C324" s="11">
        <v>4.0599999999999996</v>
      </c>
      <c r="D324" s="16">
        <v>27999.99</v>
      </c>
      <c r="E324" s="16">
        <v>20740.75</v>
      </c>
      <c r="F324" s="13">
        <v>1.35</v>
      </c>
      <c r="G324" s="11">
        <v>5.0750000000000002</v>
      </c>
      <c r="H324" s="16">
        <v>34999.99</v>
      </c>
      <c r="I324" s="16">
        <v>25925.94</v>
      </c>
      <c r="J324" s="13">
        <v>1.35</v>
      </c>
      <c r="K324" s="11">
        <v>6.09</v>
      </c>
      <c r="L324" s="16">
        <v>41999.99</v>
      </c>
      <c r="M324" s="16">
        <v>31111.13</v>
      </c>
      <c r="N324" s="13">
        <v>1.35</v>
      </c>
      <c r="O324" s="11">
        <v>5.0750000000000002</v>
      </c>
      <c r="P324" s="16">
        <v>34999.99</v>
      </c>
      <c r="Q324" s="16">
        <v>25925.94</v>
      </c>
      <c r="R324" s="13">
        <v>1.35</v>
      </c>
      <c r="S324" s="11">
        <v>6.09</v>
      </c>
      <c r="T324" s="16">
        <v>41999.99</v>
      </c>
      <c r="U324" s="16">
        <v>31111.13</v>
      </c>
      <c r="V324" s="13">
        <v>1.35</v>
      </c>
      <c r="W324" s="11">
        <v>8.1199999999999992</v>
      </c>
      <c r="X324" s="16">
        <v>55999.99</v>
      </c>
      <c r="Y324" s="16">
        <v>41481.51</v>
      </c>
      <c r="Z324" s="13">
        <v>1.35</v>
      </c>
      <c r="AA324" s="11">
        <v>7.1050000000000004</v>
      </c>
      <c r="AB324" s="16">
        <v>48999.99</v>
      </c>
      <c r="AC324" s="16">
        <v>36296.32</v>
      </c>
      <c r="AD324" s="13">
        <v>1.35</v>
      </c>
      <c r="AE324" s="11">
        <v>10.15</v>
      </c>
      <c r="AF324" s="16">
        <v>69999.98</v>
      </c>
      <c r="AG324" s="16">
        <v>51851.88</v>
      </c>
      <c r="AH324" s="13">
        <v>1.35</v>
      </c>
      <c r="AI324" s="11">
        <v>14.21</v>
      </c>
      <c r="AJ324" s="16">
        <v>97999.98</v>
      </c>
      <c r="AK324" s="16">
        <v>72592.639999999999</v>
      </c>
      <c r="AL324" s="13">
        <v>1.35</v>
      </c>
      <c r="AM324" s="11">
        <v>14.21</v>
      </c>
      <c r="AN324" s="16">
        <v>97999.98</v>
      </c>
      <c r="AO324" s="16">
        <v>72592.639999999999</v>
      </c>
      <c r="AP324" s="13">
        <v>1.35</v>
      </c>
      <c r="AQ324" s="11">
        <v>12.18</v>
      </c>
      <c r="AR324" s="16">
        <v>83999.98</v>
      </c>
      <c r="AS324" s="16">
        <v>62222.26</v>
      </c>
      <c r="AT324" s="13">
        <v>1.35</v>
      </c>
      <c r="AU324" s="11">
        <v>9.1349999999999998</v>
      </c>
      <c r="AV324" s="16">
        <v>62999.98</v>
      </c>
      <c r="AW324" s="12">
        <v>46666.7</v>
      </c>
      <c r="AX324" s="13">
        <v>1.35</v>
      </c>
      <c r="AY324" s="11">
        <v>101.5</v>
      </c>
      <c r="AZ324" s="16">
        <v>699999.83</v>
      </c>
      <c r="BA324" s="16">
        <v>518518.84</v>
      </c>
      <c r="BB324" s="13">
        <v>1.35</v>
      </c>
    </row>
    <row r="325" spans="1:54" x14ac:dyDescent="0.25">
      <c r="A325" s="10" t="s">
        <v>30</v>
      </c>
      <c r="B325" s="10" t="s">
        <v>69</v>
      </c>
      <c r="C325" s="11">
        <v>100</v>
      </c>
      <c r="D325" s="15">
        <v>12000</v>
      </c>
      <c r="E325" s="15">
        <v>8571</v>
      </c>
      <c r="F325" s="13">
        <v>1.4</v>
      </c>
      <c r="G325" s="11">
        <v>125</v>
      </c>
      <c r="H325" s="15">
        <v>15000</v>
      </c>
      <c r="I325" s="16">
        <v>10713.75</v>
      </c>
      <c r="J325" s="13">
        <v>1.4</v>
      </c>
      <c r="K325" s="11">
        <v>150</v>
      </c>
      <c r="L325" s="15">
        <v>18000</v>
      </c>
      <c r="M325" s="12">
        <v>12856.5</v>
      </c>
      <c r="N325" s="13">
        <v>1.4</v>
      </c>
      <c r="O325" s="11">
        <v>125</v>
      </c>
      <c r="P325" s="15">
        <v>15000</v>
      </c>
      <c r="Q325" s="16">
        <v>10713.75</v>
      </c>
      <c r="R325" s="13">
        <v>1.4</v>
      </c>
      <c r="S325" s="11">
        <v>150</v>
      </c>
      <c r="T325" s="15">
        <v>18000</v>
      </c>
      <c r="U325" s="12">
        <v>12856.5</v>
      </c>
      <c r="V325" s="13">
        <v>1.4</v>
      </c>
      <c r="W325" s="11">
        <v>200</v>
      </c>
      <c r="X325" s="15">
        <v>24000</v>
      </c>
      <c r="Y325" s="15">
        <v>17142</v>
      </c>
      <c r="Z325" s="13">
        <v>1.4</v>
      </c>
      <c r="AA325" s="11">
        <v>175</v>
      </c>
      <c r="AB325" s="15">
        <v>21000</v>
      </c>
      <c r="AC325" s="16">
        <v>14999.25</v>
      </c>
      <c r="AD325" s="13">
        <v>1.4</v>
      </c>
      <c r="AE325" s="11">
        <v>250</v>
      </c>
      <c r="AF325" s="15">
        <v>30000</v>
      </c>
      <c r="AG325" s="12">
        <v>21427.5</v>
      </c>
      <c r="AH325" s="13">
        <v>1.4</v>
      </c>
      <c r="AI325" s="11">
        <v>350</v>
      </c>
      <c r="AJ325" s="15">
        <v>42000</v>
      </c>
      <c r="AK325" s="12">
        <v>29998.5</v>
      </c>
      <c r="AL325" s="13">
        <v>1.4</v>
      </c>
      <c r="AM325" s="11">
        <v>350</v>
      </c>
      <c r="AN325" s="15">
        <v>42000</v>
      </c>
      <c r="AO325" s="12">
        <v>29998.5</v>
      </c>
      <c r="AP325" s="13">
        <v>1.4</v>
      </c>
      <c r="AQ325" s="11">
        <v>300</v>
      </c>
      <c r="AR325" s="15">
        <v>36000</v>
      </c>
      <c r="AS325" s="15">
        <v>25713</v>
      </c>
      <c r="AT325" s="13">
        <v>1.4</v>
      </c>
      <c r="AU325" s="11">
        <v>225</v>
      </c>
      <c r="AV325" s="15">
        <v>27000</v>
      </c>
      <c r="AW325" s="16">
        <v>19284.75</v>
      </c>
      <c r="AX325" s="13">
        <v>1.4</v>
      </c>
      <c r="AY325" s="18">
        <v>2500</v>
      </c>
      <c r="AZ325" s="15">
        <v>300000</v>
      </c>
      <c r="BA325" s="15">
        <v>214275</v>
      </c>
      <c r="BB325" s="13">
        <v>1.4</v>
      </c>
    </row>
    <row r="326" spans="1:54" x14ac:dyDescent="0.25">
      <c r="A326" s="10" t="s">
        <v>30</v>
      </c>
      <c r="B326" s="10" t="s">
        <v>70</v>
      </c>
      <c r="C326" s="11">
        <v>40</v>
      </c>
      <c r="D326" s="15">
        <v>4000</v>
      </c>
      <c r="E326" s="15">
        <v>2500</v>
      </c>
      <c r="F326" s="13">
        <v>1.6</v>
      </c>
      <c r="G326" s="11">
        <v>50</v>
      </c>
      <c r="H326" s="15">
        <v>5000</v>
      </c>
      <c r="I326" s="15">
        <v>3125</v>
      </c>
      <c r="J326" s="13">
        <v>1.6</v>
      </c>
      <c r="K326" s="11">
        <v>60</v>
      </c>
      <c r="L326" s="15">
        <v>6000</v>
      </c>
      <c r="M326" s="15">
        <v>3750</v>
      </c>
      <c r="N326" s="13">
        <v>1.6</v>
      </c>
      <c r="O326" s="11">
        <v>50</v>
      </c>
      <c r="P326" s="15">
        <v>5000</v>
      </c>
      <c r="Q326" s="15">
        <v>3125</v>
      </c>
      <c r="R326" s="13">
        <v>1.6</v>
      </c>
      <c r="S326" s="11">
        <v>60</v>
      </c>
      <c r="T326" s="15">
        <v>6000</v>
      </c>
      <c r="U326" s="15">
        <v>3750</v>
      </c>
      <c r="V326" s="13">
        <v>1.6</v>
      </c>
      <c r="W326" s="11">
        <v>80</v>
      </c>
      <c r="X326" s="15">
        <v>8000</v>
      </c>
      <c r="Y326" s="15">
        <v>5000</v>
      </c>
      <c r="Z326" s="13">
        <v>1.6</v>
      </c>
      <c r="AA326" s="11">
        <v>70</v>
      </c>
      <c r="AB326" s="15">
        <v>7000</v>
      </c>
      <c r="AC326" s="15">
        <v>4375</v>
      </c>
      <c r="AD326" s="13">
        <v>1.6</v>
      </c>
      <c r="AE326" s="11">
        <v>100</v>
      </c>
      <c r="AF326" s="15">
        <v>10000</v>
      </c>
      <c r="AG326" s="15">
        <v>6250</v>
      </c>
      <c r="AH326" s="13">
        <v>1.6</v>
      </c>
      <c r="AI326" s="11">
        <v>140</v>
      </c>
      <c r="AJ326" s="15">
        <v>14000</v>
      </c>
      <c r="AK326" s="15">
        <v>8750</v>
      </c>
      <c r="AL326" s="13">
        <v>1.6</v>
      </c>
      <c r="AM326" s="11">
        <v>140</v>
      </c>
      <c r="AN326" s="15">
        <v>14000</v>
      </c>
      <c r="AO326" s="15">
        <v>8750</v>
      </c>
      <c r="AP326" s="13">
        <v>1.6</v>
      </c>
      <c r="AQ326" s="11">
        <v>120</v>
      </c>
      <c r="AR326" s="15">
        <v>12000</v>
      </c>
      <c r="AS326" s="15">
        <v>7500</v>
      </c>
      <c r="AT326" s="13">
        <v>1.6</v>
      </c>
      <c r="AU326" s="11">
        <v>90</v>
      </c>
      <c r="AV326" s="15">
        <v>9000</v>
      </c>
      <c r="AW326" s="15">
        <v>5625</v>
      </c>
      <c r="AX326" s="13">
        <v>1.6</v>
      </c>
      <c r="AY326" s="18">
        <v>1000</v>
      </c>
      <c r="AZ326" s="15">
        <v>100000</v>
      </c>
      <c r="BA326" s="15">
        <v>62500</v>
      </c>
      <c r="BB326" s="13">
        <v>1.6</v>
      </c>
    </row>
    <row r="327" spans="1:54" x14ac:dyDescent="0.25">
      <c r="A327" s="10" t="s">
        <v>30</v>
      </c>
      <c r="B327" s="10" t="s">
        <v>71</v>
      </c>
      <c r="C327" s="11">
        <v>6.1630000000000003</v>
      </c>
      <c r="D327" s="16">
        <v>34002.75</v>
      </c>
      <c r="E327" s="12">
        <v>22668.5</v>
      </c>
      <c r="F327" s="13">
        <v>1.5</v>
      </c>
      <c r="G327" s="11">
        <v>7.7030000000000003</v>
      </c>
      <c r="H327" s="12">
        <v>42499.3</v>
      </c>
      <c r="I327" s="16">
        <v>28332.87</v>
      </c>
      <c r="J327" s="13">
        <v>1.5</v>
      </c>
      <c r="K327" s="11">
        <v>9.2439999999999998</v>
      </c>
      <c r="L327" s="16">
        <v>51001.37</v>
      </c>
      <c r="M327" s="16">
        <v>34000.910000000003</v>
      </c>
      <c r="N327" s="13">
        <v>1.5</v>
      </c>
      <c r="O327" s="11">
        <v>7.7030000000000003</v>
      </c>
      <c r="P327" s="12">
        <v>42499.3</v>
      </c>
      <c r="Q327" s="16">
        <v>28332.87</v>
      </c>
      <c r="R327" s="13">
        <v>1.5</v>
      </c>
      <c r="S327" s="11">
        <v>9.2439999999999998</v>
      </c>
      <c r="T327" s="16">
        <v>51001.37</v>
      </c>
      <c r="U327" s="16">
        <v>34000.910000000003</v>
      </c>
      <c r="V327" s="13">
        <v>1.5</v>
      </c>
      <c r="W327" s="11">
        <v>12.324999999999999</v>
      </c>
      <c r="X327" s="16">
        <v>67999.98</v>
      </c>
      <c r="Y327" s="16">
        <v>45333.32</v>
      </c>
      <c r="Z327" s="13">
        <v>1.5</v>
      </c>
      <c r="AA327" s="11">
        <v>10.784000000000001</v>
      </c>
      <c r="AB327" s="16">
        <v>59497.919999999998</v>
      </c>
      <c r="AC327" s="16">
        <v>39665.279999999999</v>
      </c>
      <c r="AD327" s="13">
        <v>1.5</v>
      </c>
      <c r="AE327" s="11">
        <v>15.406000000000001</v>
      </c>
      <c r="AF327" s="12">
        <v>84998.6</v>
      </c>
      <c r="AG327" s="16">
        <v>56665.73</v>
      </c>
      <c r="AH327" s="13">
        <v>1.5</v>
      </c>
      <c r="AI327" s="11">
        <v>21.568999999999999</v>
      </c>
      <c r="AJ327" s="16">
        <v>119001.35</v>
      </c>
      <c r="AK327" s="16">
        <v>79334.23</v>
      </c>
      <c r="AL327" s="13">
        <v>1.5</v>
      </c>
      <c r="AM327" s="11">
        <v>21.568999999999999</v>
      </c>
      <c r="AN327" s="16">
        <v>119001.35</v>
      </c>
      <c r="AO327" s="16">
        <v>79334.23</v>
      </c>
      <c r="AP327" s="13">
        <v>1.5</v>
      </c>
      <c r="AQ327" s="11">
        <v>18.488</v>
      </c>
      <c r="AR327" s="16">
        <v>102002.73</v>
      </c>
      <c r="AS327" s="16">
        <v>68001.820000000007</v>
      </c>
      <c r="AT327" s="13">
        <v>1.5</v>
      </c>
      <c r="AU327" s="11">
        <v>13.866</v>
      </c>
      <c r="AV327" s="16">
        <v>76502.05</v>
      </c>
      <c r="AW327" s="16">
        <v>51001.37</v>
      </c>
      <c r="AX327" s="13">
        <v>1.5</v>
      </c>
      <c r="AY327" s="11">
        <v>154.06399999999999</v>
      </c>
      <c r="AZ327" s="16">
        <v>850008.07</v>
      </c>
      <c r="BA327" s="16">
        <v>566672.04</v>
      </c>
      <c r="BB327" s="13">
        <v>1.5</v>
      </c>
    </row>
    <row r="328" spans="1:54" x14ac:dyDescent="0.25">
      <c r="A328" s="10" t="s">
        <v>30</v>
      </c>
      <c r="B328" s="10" t="s">
        <v>72</v>
      </c>
      <c r="C328" s="11">
        <v>319.74200000000002</v>
      </c>
      <c r="D328" s="16">
        <v>97000.13</v>
      </c>
      <c r="E328" s="16">
        <v>71852.42</v>
      </c>
      <c r="F328" s="13">
        <v>1.35</v>
      </c>
      <c r="G328" s="11">
        <v>399.67700000000002</v>
      </c>
      <c r="H328" s="16">
        <v>121250.01</v>
      </c>
      <c r="I328" s="16">
        <v>89815.42</v>
      </c>
      <c r="J328" s="13">
        <v>1.35</v>
      </c>
      <c r="K328" s="11">
        <v>479.61200000000002</v>
      </c>
      <c r="L328" s="16">
        <v>145499.89000000001</v>
      </c>
      <c r="M328" s="16">
        <v>107778.41</v>
      </c>
      <c r="N328" s="13">
        <v>1.35</v>
      </c>
      <c r="O328" s="11">
        <v>399.67700000000002</v>
      </c>
      <c r="P328" s="16">
        <v>121250.01</v>
      </c>
      <c r="Q328" s="16">
        <v>89815.42</v>
      </c>
      <c r="R328" s="13">
        <v>1.35</v>
      </c>
      <c r="S328" s="11">
        <v>479.61200000000002</v>
      </c>
      <c r="T328" s="16">
        <v>145499.89000000001</v>
      </c>
      <c r="U328" s="16">
        <v>107778.41</v>
      </c>
      <c r="V328" s="13">
        <v>1.35</v>
      </c>
      <c r="W328" s="11">
        <v>639.48299999999995</v>
      </c>
      <c r="X328" s="16">
        <v>193999.96</v>
      </c>
      <c r="Y328" s="16">
        <v>143704.62</v>
      </c>
      <c r="Z328" s="13">
        <v>1.35</v>
      </c>
      <c r="AA328" s="11">
        <v>559.548</v>
      </c>
      <c r="AB328" s="16">
        <v>169750.08</v>
      </c>
      <c r="AC328" s="16">
        <v>125741.63</v>
      </c>
      <c r="AD328" s="13">
        <v>1.35</v>
      </c>
      <c r="AE328" s="11">
        <v>799.35400000000004</v>
      </c>
      <c r="AF328" s="16">
        <v>242500.02</v>
      </c>
      <c r="AG328" s="16">
        <v>179630.83</v>
      </c>
      <c r="AH328" s="13">
        <v>1.35</v>
      </c>
      <c r="AI328" s="18">
        <v>1119.095</v>
      </c>
      <c r="AJ328" s="16">
        <v>339499.85</v>
      </c>
      <c r="AK328" s="16">
        <v>251483.03</v>
      </c>
      <c r="AL328" s="13">
        <v>1.35</v>
      </c>
      <c r="AM328" s="18">
        <v>1119.095</v>
      </c>
      <c r="AN328" s="16">
        <v>339499.85</v>
      </c>
      <c r="AO328" s="16">
        <v>251483.03</v>
      </c>
      <c r="AP328" s="13">
        <v>1.35</v>
      </c>
      <c r="AQ328" s="11">
        <v>959.22500000000002</v>
      </c>
      <c r="AR328" s="16">
        <v>291000.09000000003</v>
      </c>
      <c r="AS328" s="16">
        <v>215557.04</v>
      </c>
      <c r="AT328" s="13">
        <v>1.35</v>
      </c>
      <c r="AU328" s="11">
        <v>719.41899999999998</v>
      </c>
      <c r="AV328" s="16">
        <v>218250.14</v>
      </c>
      <c r="AW328" s="16">
        <v>161667.84</v>
      </c>
      <c r="AX328" s="13">
        <v>1.35</v>
      </c>
      <c r="AY328" s="18">
        <v>7993.5389999999998</v>
      </c>
      <c r="AZ328" s="16">
        <v>2424999.92</v>
      </c>
      <c r="BA328" s="12">
        <v>1796308.1</v>
      </c>
      <c r="BB328" s="13">
        <v>1.35</v>
      </c>
    </row>
    <row r="329" spans="1:54" x14ac:dyDescent="0.25">
      <c r="A329" s="10" t="s">
        <v>30</v>
      </c>
      <c r="B329" s="10" t="s">
        <v>73</v>
      </c>
      <c r="C329" s="11">
        <v>189.50800000000001</v>
      </c>
      <c r="D329" s="16">
        <v>85399.89</v>
      </c>
      <c r="E329" s="16">
        <v>65692.95</v>
      </c>
      <c r="F329" s="13">
        <v>1.3</v>
      </c>
      <c r="G329" s="11">
        <v>236.88499999999999</v>
      </c>
      <c r="H329" s="16">
        <v>106749.86</v>
      </c>
      <c r="I329" s="16">
        <v>82116.19</v>
      </c>
      <c r="J329" s="13">
        <v>1.3</v>
      </c>
      <c r="K329" s="11">
        <v>284.262</v>
      </c>
      <c r="L329" s="16">
        <v>128099.83</v>
      </c>
      <c r="M329" s="16">
        <v>98539.42</v>
      </c>
      <c r="N329" s="13">
        <v>1.3</v>
      </c>
      <c r="O329" s="11">
        <v>236.88499999999999</v>
      </c>
      <c r="P329" s="16">
        <v>106749.86</v>
      </c>
      <c r="Q329" s="16">
        <v>82116.19</v>
      </c>
      <c r="R329" s="13">
        <v>1.3</v>
      </c>
      <c r="S329" s="11">
        <v>284.262</v>
      </c>
      <c r="T329" s="16">
        <v>128099.83</v>
      </c>
      <c r="U329" s="16">
        <v>98539.42</v>
      </c>
      <c r="V329" s="13">
        <v>1.3</v>
      </c>
      <c r="W329" s="11">
        <v>379.017</v>
      </c>
      <c r="X329" s="16">
        <v>170800.22</v>
      </c>
      <c r="Y329" s="16">
        <v>131386.23999999999</v>
      </c>
      <c r="Z329" s="13">
        <v>1.3</v>
      </c>
      <c r="AA329" s="11">
        <v>331.64</v>
      </c>
      <c r="AB329" s="16">
        <v>149450.25</v>
      </c>
      <c r="AC329" s="16">
        <v>114963.01</v>
      </c>
      <c r="AD329" s="13">
        <v>1.3</v>
      </c>
      <c r="AE329" s="11">
        <v>473.77100000000002</v>
      </c>
      <c r="AF329" s="16">
        <v>213500.16</v>
      </c>
      <c r="AG329" s="16">
        <v>164232.72</v>
      </c>
      <c r="AH329" s="13">
        <v>1.3</v>
      </c>
      <c r="AI329" s="11">
        <v>663.279</v>
      </c>
      <c r="AJ329" s="16">
        <v>298900.05</v>
      </c>
      <c r="AK329" s="16">
        <v>229925.67</v>
      </c>
      <c r="AL329" s="13">
        <v>1.3</v>
      </c>
      <c r="AM329" s="11">
        <v>663.279</v>
      </c>
      <c r="AN329" s="16">
        <v>298900.05</v>
      </c>
      <c r="AO329" s="16">
        <v>229925.67</v>
      </c>
      <c r="AP329" s="13">
        <v>1.3</v>
      </c>
      <c r="AQ329" s="11">
        <v>568.52499999999998</v>
      </c>
      <c r="AR329" s="16">
        <v>256200.11</v>
      </c>
      <c r="AS329" s="16">
        <v>197079.19</v>
      </c>
      <c r="AT329" s="13">
        <v>1.3</v>
      </c>
      <c r="AU329" s="11">
        <v>426.39400000000001</v>
      </c>
      <c r="AV329" s="16">
        <v>192150.19</v>
      </c>
      <c r="AW329" s="16">
        <v>147809.48000000001</v>
      </c>
      <c r="AX329" s="13">
        <v>1.3</v>
      </c>
      <c r="AY329" s="18">
        <v>4737.7070000000003</v>
      </c>
      <c r="AZ329" s="12">
        <v>2135000.2999999998</v>
      </c>
      <c r="BA329" s="16">
        <v>1642326.15</v>
      </c>
      <c r="BB329" s="13">
        <v>1.3</v>
      </c>
    </row>
    <row r="330" spans="1:54" x14ac:dyDescent="0.25">
      <c r="A330" s="10" t="s">
        <v>30</v>
      </c>
      <c r="B330" s="10" t="s">
        <v>74</v>
      </c>
      <c r="C330" s="11">
        <v>157.66499999999999</v>
      </c>
      <c r="D330" s="16">
        <v>85999.95</v>
      </c>
      <c r="E330" s="16">
        <v>64904.37</v>
      </c>
      <c r="F330" s="13">
        <v>1.33</v>
      </c>
      <c r="G330" s="11">
        <v>197.08099999999999</v>
      </c>
      <c r="H330" s="12">
        <v>107499.8</v>
      </c>
      <c r="I330" s="16">
        <v>81130.36</v>
      </c>
      <c r="J330" s="13">
        <v>1.33</v>
      </c>
      <c r="K330" s="11">
        <v>236.49799999999999</v>
      </c>
      <c r="L330" s="12">
        <v>129000.2</v>
      </c>
      <c r="M330" s="16">
        <v>97356.77</v>
      </c>
      <c r="N330" s="13">
        <v>1.33</v>
      </c>
      <c r="O330" s="11">
        <v>197.08099999999999</v>
      </c>
      <c r="P330" s="12">
        <v>107499.8</v>
      </c>
      <c r="Q330" s="16">
        <v>81130.36</v>
      </c>
      <c r="R330" s="13">
        <v>1.33</v>
      </c>
      <c r="S330" s="11">
        <v>236.49799999999999</v>
      </c>
      <c r="T330" s="12">
        <v>129000.2</v>
      </c>
      <c r="U330" s="16">
        <v>97356.77</v>
      </c>
      <c r="V330" s="13">
        <v>1.33</v>
      </c>
      <c r="W330" s="11">
        <v>315.33</v>
      </c>
      <c r="X330" s="12">
        <v>171999.9</v>
      </c>
      <c r="Y330" s="16">
        <v>129808.75</v>
      </c>
      <c r="Z330" s="13">
        <v>1.33</v>
      </c>
      <c r="AA330" s="11">
        <v>275.91399999999999</v>
      </c>
      <c r="AB330" s="16">
        <v>150500.04999999999</v>
      </c>
      <c r="AC330" s="16">
        <v>113582.76</v>
      </c>
      <c r="AD330" s="13">
        <v>1.33</v>
      </c>
      <c r="AE330" s="11">
        <v>394.16300000000001</v>
      </c>
      <c r="AF330" s="16">
        <v>215000.15</v>
      </c>
      <c r="AG330" s="16">
        <v>162261.14000000001</v>
      </c>
      <c r="AH330" s="13">
        <v>1.33</v>
      </c>
      <c r="AI330" s="11">
        <v>551.82799999999997</v>
      </c>
      <c r="AJ330" s="12">
        <v>301000.09999999998</v>
      </c>
      <c r="AK330" s="16">
        <v>227165.51</v>
      </c>
      <c r="AL330" s="13">
        <v>1.33</v>
      </c>
      <c r="AM330" s="11">
        <v>551.82799999999997</v>
      </c>
      <c r="AN330" s="12">
        <v>301000.09999999998</v>
      </c>
      <c r="AO330" s="16">
        <v>227165.51</v>
      </c>
      <c r="AP330" s="13">
        <v>1.33</v>
      </c>
      <c r="AQ330" s="11">
        <v>472.995</v>
      </c>
      <c r="AR330" s="16">
        <v>257999.85</v>
      </c>
      <c r="AS330" s="16">
        <v>194713.12</v>
      </c>
      <c r="AT330" s="13">
        <v>1.33</v>
      </c>
      <c r="AU330" s="11">
        <v>354.74599999999998</v>
      </c>
      <c r="AV330" s="16">
        <v>193499.75</v>
      </c>
      <c r="AW330" s="16">
        <v>146034.74</v>
      </c>
      <c r="AX330" s="13">
        <v>1.33</v>
      </c>
      <c r="AY330" s="18">
        <v>3941.627</v>
      </c>
      <c r="AZ330" s="16">
        <v>2149999.85</v>
      </c>
      <c r="BA330" s="16">
        <v>1622610.16</v>
      </c>
      <c r="BB330" s="13">
        <v>1.33</v>
      </c>
    </row>
    <row r="331" spans="1:54" x14ac:dyDescent="0.25">
      <c r="A331" s="10" t="s">
        <v>30</v>
      </c>
      <c r="B331" s="10" t="s">
        <v>75</v>
      </c>
      <c r="C331" s="11">
        <v>0.29899999999999999</v>
      </c>
      <c r="D331" s="16">
        <v>8547.5499999999993</v>
      </c>
      <c r="E331" s="16">
        <v>5894.87</v>
      </c>
      <c r="F331" s="13">
        <v>1.45</v>
      </c>
      <c r="G331" s="11">
        <v>0.36899999999999999</v>
      </c>
      <c r="H331" s="16">
        <v>10548.65</v>
      </c>
      <c r="I331" s="16">
        <v>7274.94</v>
      </c>
      <c r="J331" s="13">
        <v>1.45</v>
      </c>
      <c r="K331" s="11">
        <v>0.44</v>
      </c>
      <c r="L331" s="16">
        <v>12578.34</v>
      </c>
      <c r="M331" s="16">
        <v>8674.73</v>
      </c>
      <c r="N331" s="13">
        <v>1.45</v>
      </c>
      <c r="O331" s="11">
        <v>0.55800000000000005</v>
      </c>
      <c r="P331" s="16">
        <v>15951.62</v>
      </c>
      <c r="Q331" s="16">
        <v>11001.13</v>
      </c>
      <c r="R331" s="13">
        <v>1.45</v>
      </c>
      <c r="S331" s="11">
        <v>0.47299999999999998</v>
      </c>
      <c r="T331" s="16">
        <v>13521.72</v>
      </c>
      <c r="U331" s="16">
        <v>9325.33</v>
      </c>
      <c r="V331" s="13">
        <v>1.45</v>
      </c>
      <c r="W331" s="11">
        <v>0.54300000000000004</v>
      </c>
      <c r="X331" s="16">
        <v>15522.82</v>
      </c>
      <c r="Y331" s="12">
        <v>10705.4</v>
      </c>
      <c r="Z331" s="13">
        <v>1.45</v>
      </c>
      <c r="AA331" s="11">
        <v>0.56200000000000006</v>
      </c>
      <c r="AB331" s="16">
        <v>16065.97</v>
      </c>
      <c r="AC331" s="16">
        <v>11079.99</v>
      </c>
      <c r="AD331" s="13">
        <v>1.45</v>
      </c>
      <c r="AE331" s="11">
        <v>0.49199999999999999</v>
      </c>
      <c r="AF331" s="16">
        <v>14064.87</v>
      </c>
      <c r="AG331" s="16">
        <v>9699.92</v>
      </c>
      <c r="AH331" s="13">
        <v>1.45</v>
      </c>
      <c r="AI331" s="11">
        <v>0.56200000000000006</v>
      </c>
      <c r="AJ331" s="16">
        <v>16065.97</v>
      </c>
      <c r="AK331" s="16">
        <v>11079.99</v>
      </c>
      <c r="AL331" s="13">
        <v>1.45</v>
      </c>
      <c r="AM331" s="11">
        <v>0.752</v>
      </c>
      <c r="AN331" s="16">
        <v>21497.53</v>
      </c>
      <c r="AO331" s="12">
        <v>14825.9</v>
      </c>
      <c r="AP331" s="13">
        <v>1.45</v>
      </c>
      <c r="AQ331" s="11">
        <v>0.752</v>
      </c>
      <c r="AR331" s="16">
        <v>21497.53</v>
      </c>
      <c r="AS331" s="12">
        <v>14825.9</v>
      </c>
      <c r="AT331" s="13">
        <v>1.45</v>
      </c>
      <c r="AU331" s="11">
        <v>1.1970000000000001</v>
      </c>
      <c r="AV331" s="16">
        <v>34218.81</v>
      </c>
      <c r="AW331" s="12">
        <v>23599.200000000001</v>
      </c>
      <c r="AX331" s="13">
        <v>1.45</v>
      </c>
      <c r="AY331" s="11">
        <v>6.9989999999999997</v>
      </c>
      <c r="AZ331" s="16">
        <v>200081.38</v>
      </c>
      <c r="BA331" s="12">
        <v>137987.29999999999</v>
      </c>
      <c r="BB331" s="13">
        <v>1.45</v>
      </c>
    </row>
    <row r="332" spans="1:54" x14ac:dyDescent="0.25">
      <c r="A332" s="10" t="s">
        <v>30</v>
      </c>
      <c r="B332" s="10" t="s">
        <v>76</v>
      </c>
      <c r="C332" s="11">
        <v>86.319000000000003</v>
      </c>
      <c r="D332" s="16">
        <v>110360.57</v>
      </c>
      <c r="E332" s="16">
        <v>65217.46</v>
      </c>
      <c r="F332" s="13">
        <v>1.69</v>
      </c>
      <c r="G332" s="11">
        <v>107.899</v>
      </c>
      <c r="H332" s="16">
        <v>137951.03</v>
      </c>
      <c r="I332" s="16">
        <v>81522.009999999995</v>
      </c>
      <c r="J332" s="13">
        <v>1.69</v>
      </c>
      <c r="K332" s="11">
        <v>129.47800000000001</v>
      </c>
      <c r="L332" s="16">
        <v>165540.21</v>
      </c>
      <c r="M332" s="16">
        <v>97825.81</v>
      </c>
      <c r="N332" s="13">
        <v>1.69</v>
      </c>
      <c r="O332" s="11">
        <v>136.48400000000001</v>
      </c>
      <c r="P332" s="16">
        <v>174497.52</v>
      </c>
      <c r="Q332" s="16">
        <v>103119.12</v>
      </c>
      <c r="R332" s="13">
        <v>1.69</v>
      </c>
      <c r="S332" s="11">
        <v>175.48</v>
      </c>
      <c r="T332" s="16">
        <v>224354.69</v>
      </c>
      <c r="U332" s="16">
        <v>132582.16</v>
      </c>
      <c r="V332" s="13">
        <v>1.69</v>
      </c>
      <c r="W332" s="11">
        <v>214.47399999999999</v>
      </c>
      <c r="X332" s="12">
        <v>274209.3</v>
      </c>
      <c r="Y332" s="16">
        <v>162043.69</v>
      </c>
      <c r="Z332" s="13">
        <v>1.69</v>
      </c>
      <c r="AA332" s="11">
        <v>233.971</v>
      </c>
      <c r="AB332" s="12">
        <v>299136.59999999998</v>
      </c>
      <c r="AC332" s="16">
        <v>176774.45</v>
      </c>
      <c r="AD332" s="13">
        <v>1.69</v>
      </c>
      <c r="AE332" s="11">
        <v>194.976</v>
      </c>
      <c r="AF332" s="16">
        <v>249280.72</v>
      </c>
      <c r="AG332" s="16">
        <v>147312.17000000001</v>
      </c>
      <c r="AH332" s="13">
        <v>1.69</v>
      </c>
      <c r="AI332" s="11">
        <v>194.977</v>
      </c>
      <c r="AJ332" s="16">
        <v>249281.99</v>
      </c>
      <c r="AK332" s="16">
        <v>147312.92000000001</v>
      </c>
      <c r="AL332" s="13">
        <v>1.69</v>
      </c>
      <c r="AM332" s="11">
        <v>155.982</v>
      </c>
      <c r="AN332" s="16">
        <v>199426.11</v>
      </c>
      <c r="AO332" s="16">
        <v>117850.64</v>
      </c>
      <c r="AP332" s="13">
        <v>1.69</v>
      </c>
      <c r="AQ332" s="11">
        <v>175.48</v>
      </c>
      <c r="AR332" s="16">
        <v>224354.69</v>
      </c>
      <c r="AS332" s="16">
        <v>132582.16</v>
      </c>
      <c r="AT332" s="13">
        <v>1.69</v>
      </c>
      <c r="AU332" s="11">
        <v>175.48</v>
      </c>
      <c r="AV332" s="16">
        <v>224354.69</v>
      </c>
      <c r="AW332" s="16">
        <v>132582.16</v>
      </c>
      <c r="AX332" s="13">
        <v>1.69</v>
      </c>
      <c r="AY332" s="18">
        <v>1981</v>
      </c>
      <c r="AZ332" s="16">
        <v>2532748.12</v>
      </c>
      <c r="BA332" s="16">
        <v>1496724.75</v>
      </c>
      <c r="BB332" s="13">
        <v>1.69</v>
      </c>
    </row>
    <row r="333" spans="1:54" x14ac:dyDescent="0.25">
      <c r="A333" s="10" t="s">
        <v>30</v>
      </c>
      <c r="B333" s="10" t="s">
        <v>77</v>
      </c>
      <c r="C333" s="11">
        <v>372.24700000000001</v>
      </c>
      <c r="D333" s="16">
        <v>398933.39</v>
      </c>
      <c r="E333" s="16">
        <v>241569.69</v>
      </c>
      <c r="F333" s="13">
        <v>1.65</v>
      </c>
      <c r="G333" s="11">
        <v>465.30799999999999</v>
      </c>
      <c r="H333" s="16">
        <v>498665.93</v>
      </c>
      <c r="I333" s="16">
        <v>301961.63</v>
      </c>
      <c r="J333" s="13">
        <v>1.65</v>
      </c>
      <c r="K333" s="11">
        <v>558.37</v>
      </c>
      <c r="L333" s="16">
        <v>598399.55000000005</v>
      </c>
      <c r="M333" s="16">
        <v>362354.21</v>
      </c>
      <c r="N333" s="13">
        <v>1.65</v>
      </c>
      <c r="O333" s="11">
        <v>588.58299999999997</v>
      </c>
      <c r="P333" s="16">
        <v>630778.52</v>
      </c>
      <c r="Q333" s="16">
        <v>381960.94</v>
      </c>
      <c r="R333" s="13">
        <v>1.65</v>
      </c>
      <c r="S333" s="11">
        <v>756.74900000000002</v>
      </c>
      <c r="T333" s="16">
        <v>811000.34</v>
      </c>
      <c r="U333" s="16">
        <v>491092.26</v>
      </c>
      <c r="V333" s="13">
        <v>1.65</v>
      </c>
      <c r="W333" s="11">
        <v>924.91600000000005</v>
      </c>
      <c r="X333" s="16">
        <v>991223.23</v>
      </c>
      <c r="Y333" s="16">
        <v>600224.24</v>
      </c>
      <c r="Z333" s="13">
        <v>1.65</v>
      </c>
      <c r="AA333" s="18">
        <v>1008.999</v>
      </c>
      <c r="AB333" s="16">
        <v>1081334.1399999999</v>
      </c>
      <c r="AC333" s="12">
        <v>654789.9</v>
      </c>
      <c r="AD333" s="13">
        <v>1.65</v>
      </c>
      <c r="AE333" s="11">
        <v>840.83199999999999</v>
      </c>
      <c r="AF333" s="16">
        <v>901111.25</v>
      </c>
      <c r="AG333" s="16">
        <v>545657.93000000005</v>
      </c>
      <c r="AH333" s="13">
        <v>1.65</v>
      </c>
      <c r="AI333" s="11">
        <v>840.83199999999999</v>
      </c>
      <c r="AJ333" s="16">
        <v>901111.25</v>
      </c>
      <c r="AK333" s="16">
        <v>545657.93000000005</v>
      </c>
      <c r="AL333" s="13">
        <v>1.65</v>
      </c>
      <c r="AM333" s="11">
        <v>672.66600000000005</v>
      </c>
      <c r="AN333" s="16">
        <v>720889.43</v>
      </c>
      <c r="AO333" s="12">
        <v>436526.6</v>
      </c>
      <c r="AP333" s="13">
        <v>1.65</v>
      </c>
      <c r="AQ333" s="11">
        <v>756.74900000000002</v>
      </c>
      <c r="AR333" s="16">
        <v>811000.34</v>
      </c>
      <c r="AS333" s="16">
        <v>491092.26</v>
      </c>
      <c r="AT333" s="13">
        <v>1.65</v>
      </c>
      <c r="AU333" s="11">
        <v>756.74900000000002</v>
      </c>
      <c r="AV333" s="16">
        <v>811000.34</v>
      </c>
      <c r="AW333" s="16">
        <v>491092.26</v>
      </c>
      <c r="AX333" s="13">
        <v>1.65</v>
      </c>
      <c r="AY333" s="18">
        <v>8543</v>
      </c>
      <c r="AZ333" s="16">
        <v>9155447.7100000009</v>
      </c>
      <c r="BA333" s="16">
        <v>5543979.8499999996</v>
      </c>
      <c r="BB333" s="13">
        <v>1.65</v>
      </c>
    </row>
    <row r="334" spans="1:54" x14ac:dyDescent="0.25">
      <c r="A334" s="10" t="s">
        <v>30</v>
      </c>
      <c r="B334" s="10" t="s">
        <v>78</v>
      </c>
      <c r="C334" s="11">
        <v>24</v>
      </c>
      <c r="D334" s="16">
        <v>160475.04</v>
      </c>
      <c r="E334" s="16">
        <v>95988.24</v>
      </c>
      <c r="F334" s="13">
        <v>1.67</v>
      </c>
      <c r="G334" s="11">
        <v>30</v>
      </c>
      <c r="H334" s="12">
        <v>200593.8</v>
      </c>
      <c r="I334" s="12">
        <v>119985.3</v>
      </c>
      <c r="J334" s="13">
        <v>1.67</v>
      </c>
      <c r="K334" s="11">
        <v>36</v>
      </c>
      <c r="L334" s="16">
        <v>240712.56</v>
      </c>
      <c r="M334" s="16">
        <v>143982.35999999999</v>
      </c>
      <c r="N334" s="13">
        <v>1.67</v>
      </c>
      <c r="O334" s="11">
        <v>42</v>
      </c>
      <c r="P334" s="16">
        <v>280831.32</v>
      </c>
      <c r="Q334" s="16">
        <v>167979.42</v>
      </c>
      <c r="R334" s="13">
        <v>1.67</v>
      </c>
      <c r="S334" s="11">
        <v>54</v>
      </c>
      <c r="T334" s="16">
        <v>361068.84</v>
      </c>
      <c r="U334" s="16">
        <v>215973.54</v>
      </c>
      <c r="V334" s="13">
        <v>1.67</v>
      </c>
      <c r="W334" s="11">
        <v>66</v>
      </c>
      <c r="X334" s="16">
        <v>441306.36</v>
      </c>
      <c r="Y334" s="16">
        <v>263967.65999999997</v>
      </c>
      <c r="Z334" s="13">
        <v>1.67</v>
      </c>
      <c r="AA334" s="11">
        <v>72</v>
      </c>
      <c r="AB334" s="16">
        <v>481425.12</v>
      </c>
      <c r="AC334" s="16">
        <v>287964.71999999997</v>
      </c>
      <c r="AD334" s="13">
        <v>1.67</v>
      </c>
      <c r="AE334" s="11">
        <v>60</v>
      </c>
      <c r="AF334" s="12">
        <v>401187.6</v>
      </c>
      <c r="AG334" s="12">
        <v>239970.6</v>
      </c>
      <c r="AH334" s="13">
        <v>1.67</v>
      </c>
      <c r="AI334" s="11">
        <v>60</v>
      </c>
      <c r="AJ334" s="12">
        <v>401187.6</v>
      </c>
      <c r="AK334" s="12">
        <v>239970.6</v>
      </c>
      <c r="AL334" s="13">
        <v>1.67</v>
      </c>
      <c r="AM334" s="11">
        <v>48</v>
      </c>
      <c r="AN334" s="16">
        <v>320950.08</v>
      </c>
      <c r="AO334" s="16">
        <v>191976.48</v>
      </c>
      <c r="AP334" s="13">
        <v>1.67</v>
      </c>
      <c r="AQ334" s="11">
        <v>54</v>
      </c>
      <c r="AR334" s="16">
        <v>361068.84</v>
      </c>
      <c r="AS334" s="16">
        <v>215973.54</v>
      </c>
      <c r="AT334" s="13">
        <v>1.67</v>
      </c>
      <c r="AU334" s="11">
        <v>54</v>
      </c>
      <c r="AV334" s="16">
        <v>361068.84</v>
      </c>
      <c r="AW334" s="16">
        <v>215973.54</v>
      </c>
      <c r="AX334" s="13">
        <v>1.67</v>
      </c>
      <c r="AY334" s="11">
        <v>600</v>
      </c>
      <c r="AZ334" s="15">
        <v>4011876</v>
      </c>
      <c r="BA334" s="15">
        <v>2399706</v>
      </c>
      <c r="BB334" s="13">
        <v>1.67</v>
      </c>
    </row>
    <row r="335" spans="1:54" x14ac:dyDescent="0.25">
      <c r="A335" s="10" t="s">
        <v>30</v>
      </c>
      <c r="B335" s="10" t="s">
        <v>79</v>
      </c>
      <c r="C335" s="11">
        <v>27.51</v>
      </c>
      <c r="D335" s="16">
        <v>6766.91</v>
      </c>
      <c r="E335" s="16">
        <v>5310.53</v>
      </c>
      <c r="F335" s="13">
        <v>1.27</v>
      </c>
      <c r="G335" s="11">
        <v>45.85</v>
      </c>
      <c r="H335" s="16">
        <v>11278.18</v>
      </c>
      <c r="I335" s="16">
        <v>8850.8799999999992</v>
      </c>
      <c r="J335" s="13">
        <v>1.27</v>
      </c>
      <c r="K335" s="11">
        <v>73.36</v>
      </c>
      <c r="L335" s="16">
        <v>18045.09</v>
      </c>
      <c r="M335" s="16">
        <v>14161.41</v>
      </c>
      <c r="N335" s="13">
        <v>1.27</v>
      </c>
      <c r="O335" s="11">
        <v>100.87</v>
      </c>
      <c r="P335" s="15">
        <v>24812</v>
      </c>
      <c r="Q335" s="16">
        <v>19471.939999999999</v>
      </c>
      <c r="R335" s="13">
        <v>1.27</v>
      </c>
      <c r="S335" s="11">
        <v>110.04</v>
      </c>
      <c r="T335" s="16">
        <v>27067.64</v>
      </c>
      <c r="U335" s="16">
        <v>21242.12</v>
      </c>
      <c r="V335" s="13">
        <v>1.27</v>
      </c>
      <c r="W335" s="11">
        <v>137.55000000000001</v>
      </c>
      <c r="X335" s="16">
        <v>33834.550000000003</v>
      </c>
      <c r="Y335" s="16">
        <v>26552.65</v>
      </c>
      <c r="Z335" s="13">
        <v>1.27</v>
      </c>
      <c r="AA335" s="11">
        <v>119.21</v>
      </c>
      <c r="AB335" s="16">
        <v>29323.279999999999</v>
      </c>
      <c r="AC335" s="12">
        <v>23012.3</v>
      </c>
      <c r="AD335" s="13">
        <v>1.27</v>
      </c>
      <c r="AE335" s="11">
        <v>73.36</v>
      </c>
      <c r="AF335" s="16">
        <v>18045.09</v>
      </c>
      <c r="AG335" s="16">
        <v>14161.41</v>
      </c>
      <c r="AH335" s="13">
        <v>1.27</v>
      </c>
      <c r="AI335" s="11">
        <v>64.19</v>
      </c>
      <c r="AJ335" s="16">
        <v>15789.46</v>
      </c>
      <c r="AK335" s="16">
        <v>12391.24</v>
      </c>
      <c r="AL335" s="13">
        <v>1.27</v>
      </c>
      <c r="AM335" s="11">
        <v>55.02</v>
      </c>
      <c r="AN335" s="16">
        <v>13533.82</v>
      </c>
      <c r="AO335" s="16">
        <v>10621.06</v>
      </c>
      <c r="AP335" s="13">
        <v>1.27</v>
      </c>
      <c r="AQ335" s="11">
        <v>55.02</v>
      </c>
      <c r="AR335" s="16">
        <v>13533.82</v>
      </c>
      <c r="AS335" s="16">
        <v>10621.06</v>
      </c>
      <c r="AT335" s="13">
        <v>1.27</v>
      </c>
      <c r="AU335" s="11">
        <v>55.02</v>
      </c>
      <c r="AV335" s="16">
        <v>13533.82</v>
      </c>
      <c r="AW335" s="16">
        <v>10621.06</v>
      </c>
      <c r="AX335" s="13">
        <v>1.27</v>
      </c>
      <c r="AY335" s="11">
        <v>917</v>
      </c>
      <c r="AZ335" s="16">
        <v>225563.66</v>
      </c>
      <c r="BA335" s="16">
        <v>177017.66</v>
      </c>
      <c r="BB335" s="13">
        <v>1.27</v>
      </c>
    </row>
    <row r="336" spans="1:54" x14ac:dyDescent="0.25">
      <c r="A336" s="10" t="s">
        <v>30</v>
      </c>
      <c r="B336" s="10" t="s">
        <v>80</v>
      </c>
      <c r="C336" s="11">
        <v>127.59</v>
      </c>
      <c r="D336" s="16">
        <v>36231.730000000003</v>
      </c>
      <c r="E336" s="16">
        <v>28433.43</v>
      </c>
      <c r="F336" s="13">
        <v>1.27</v>
      </c>
      <c r="G336" s="11">
        <v>212.65</v>
      </c>
      <c r="H336" s="16">
        <v>60386.22</v>
      </c>
      <c r="I336" s="16">
        <v>47389.05</v>
      </c>
      <c r="J336" s="13">
        <v>1.27</v>
      </c>
      <c r="K336" s="11">
        <v>340.24</v>
      </c>
      <c r="L336" s="16">
        <v>96617.95</v>
      </c>
      <c r="M336" s="16">
        <v>75822.48</v>
      </c>
      <c r="N336" s="13">
        <v>1.27</v>
      </c>
      <c r="O336" s="11">
        <v>467.83</v>
      </c>
      <c r="P336" s="16">
        <v>132849.69</v>
      </c>
      <c r="Q336" s="16">
        <v>104255.92</v>
      </c>
      <c r="R336" s="13">
        <v>1.27</v>
      </c>
      <c r="S336" s="11">
        <v>510.36</v>
      </c>
      <c r="T336" s="16">
        <v>144926.93</v>
      </c>
      <c r="U336" s="16">
        <v>113733.73</v>
      </c>
      <c r="V336" s="13">
        <v>1.27</v>
      </c>
      <c r="W336" s="11">
        <v>637.95000000000005</v>
      </c>
      <c r="X336" s="16">
        <v>181158.66</v>
      </c>
      <c r="Y336" s="16">
        <v>142167.16</v>
      </c>
      <c r="Z336" s="13">
        <v>1.27</v>
      </c>
      <c r="AA336" s="11">
        <v>552.89</v>
      </c>
      <c r="AB336" s="16">
        <v>157004.17000000001</v>
      </c>
      <c r="AC336" s="16">
        <v>123211.54</v>
      </c>
      <c r="AD336" s="13">
        <v>1.27</v>
      </c>
      <c r="AE336" s="11">
        <v>340.24</v>
      </c>
      <c r="AF336" s="16">
        <v>96617.95</v>
      </c>
      <c r="AG336" s="16">
        <v>75822.48</v>
      </c>
      <c r="AH336" s="13">
        <v>1.27</v>
      </c>
      <c r="AI336" s="11">
        <v>297.70999999999998</v>
      </c>
      <c r="AJ336" s="16">
        <v>84540.71</v>
      </c>
      <c r="AK336" s="16">
        <v>66344.67</v>
      </c>
      <c r="AL336" s="13">
        <v>1.27</v>
      </c>
      <c r="AM336" s="11">
        <v>255.18</v>
      </c>
      <c r="AN336" s="16">
        <v>72463.460000000006</v>
      </c>
      <c r="AO336" s="16">
        <v>56866.86</v>
      </c>
      <c r="AP336" s="13">
        <v>1.27</v>
      </c>
      <c r="AQ336" s="11">
        <v>255.18</v>
      </c>
      <c r="AR336" s="16">
        <v>72463.460000000006</v>
      </c>
      <c r="AS336" s="16">
        <v>56866.86</v>
      </c>
      <c r="AT336" s="13">
        <v>1.27</v>
      </c>
      <c r="AU336" s="11">
        <v>255.18</v>
      </c>
      <c r="AV336" s="16">
        <v>72463.460000000006</v>
      </c>
      <c r="AW336" s="16">
        <v>56866.86</v>
      </c>
      <c r="AX336" s="13">
        <v>1.27</v>
      </c>
      <c r="AY336" s="18">
        <v>4253</v>
      </c>
      <c r="AZ336" s="16">
        <v>1207724.3899999999</v>
      </c>
      <c r="BA336" s="16">
        <v>947781.04</v>
      </c>
      <c r="BB336" s="13">
        <v>1.27</v>
      </c>
    </row>
    <row r="337" spans="1:54" x14ac:dyDescent="0.25">
      <c r="A337" s="10" t="s">
        <v>30</v>
      </c>
      <c r="B337" s="10" t="s">
        <v>81</v>
      </c>
      <c r="C337" s="11">
        <v>299.7</v>
      </c>
      <c r="D337" s="16">
        <v>124807.07</v>
      </c>
      <c r="E337" s="16">
        <v>74199.73</v>
      </c>
      <c r="F337" s="13">
        <v>1.68</v>
      </c>
      <c r="G337" s="11">
        <v>499.5</v>
      </c>
      <c r="H337" s="16">
        <v>208011.78</v>
      </c>
      <c r="I337" s="16">
        <v>123666.21</v>
      </c>
      <c r="J337" s="13">
        <v>1.68</v>
      </c>
      <c r="K337" s="11">
        <v>799.2</v>
      </c>
      <c r="L337" s="16">
        <v>332818.84999999998</v>
      </c>
      <c r="M337" s="16">
        <v>197865.94</v>
      </c>
      <c r="N337" s="13">
        <v>1.68</v>
      </c>
      <c r="O337" s="18">
        <v>1098.9000000000001</v>
      </c>
      <c r="P337" s="16">
        <v>457625.92</v>
      </c>
      <c r="Q337" s="16">
        <v>272065.65999999997</v>
      </c>
      <c r="R337" s="13">
        <v>1.68</v>
      </c>
      <c r="S337" s="18">
        <v>1198.8</v>
      </c>
      <c r="T337" s="16">
        <v>499228.27</v>
      </c>
      <c r="U337" s="12">
        <v>296798.90000000002</v>
      </c>
      <c r="V337" s="13">
        <v>1.68</v>
      </c>
      <c r="W337" s="18">
        <v>1498.5</v>
      </c>
      <c r="X337" s="16">
        <v>624035.34</v>
      </c>
      <c r="Y337" s="16">
        <v>370998.63</v>
      </c>
      <c r="Z337" s="13">
        <v>1.68</v>
      </c>
      <c r="AA337" s="18">
        <v>1298.7</v>
      </c>
      <c r="AB337" s="16">
        <v>540830.63</v>
      </c>
      <c r="AC337" s="16">
        <v>321532.15000000002</v>
      </c>
      <c r="AD337" s="13">
        <v>1.68</v>
      </c>
      <c r="AE337" s="11">
        <v>799.2</v>
      </c>
      <c r="AF337" s="16">
        <v>332818.84999999998</v>
      </c>
      <c r="AG337" s="16">
        <v>197865.94</v>
      </c>
      <c r="AH337" s="13">
        <v>1.68</v>
      </c>
      <c r="AI337" s="11">
        <v>699.3</v>
      </c>
      <c r="AJ337" s="16">
        <v>291216.49</v>
      </c>
      <c r="AK337" s="16">
        <v>173132.69</v>
      </c>
      <c r="AL337" s="13">
        <v>1.68</v>
      </c>
      <c r="AM337" s="11">
        <v>599.4</v>
      </c>
      <c r="AN337" s="16">
        <v>249614.14</v>
      </c>
      <c r="AO337" s="16">
        <v>148399.45000000001</v>
      </c>
      <c r="AP337" s="13">
        <v>1.68</v>
      </c>
      <c r="AQ337" s="11">
        <v>599.4</v>
      </c>
      <c r="AR337" s="16">
        <v>249614.14</v>
      </c>
      <c r="AS337" s="16">
        <v>148399.45000000001</v>
      </c>
      <c r="AT337" s="13">
        <v>1.68</v>
      </c>
      <c r="AU337" s="11">
        <v>599.4</v>
      </c>
      <c r="AV337" s="16">
        <v>249614.14</v>
      </c>
      <c r="AW337" s="16">
        <v>148399.45000000001</v>
      </c>
      <c r="AX337" s="13">
        <v>1.68</v>
      </c>
      <c r="AY337" s="18">
        <v>9990</v>
      </c>
      <c r="AZ337" s="16">
        <v>4160235.62</v>
      </c>
      <c r="BA337" s="12">
        <v>2473324.2000000002</v>
      </c>
      <c r="BB337" s="13">
        <v>1.68</v>
      </c>
    </row>
    <row r="338" spans="1:54" x14ac:dyDescent="0.25">
      <c r="A338" s="10" t="s">
        <v>30</v>
      </c>
      <c r="B338" s="10" t="s">
        <v>82</v>
      </c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8">
        <v>3153</v>
      </c>
      <c r="P338" s="16">
        <v>1153966.47</v>
      </c>
      <c r="Q338" s="16">
        <v>720996.51</v>
      </c>
      <c r="R338" s="13">
        <v>1.6</v>
      </c>
      <c r="S338" s="18">
        <v>5360.1</v>
      </c>
      <c r="T338" s="15">
        <v>1961743</v>
      </c>
      <c r="U338" s="16">
        <v>1225694.07</v>
      </c>
      <c r="V338" s="13">
        <v>1.6</v>
      </c>
      <c r="W338" s="18">
        <v>6306</v>
      </c>
      <c r="X338" s="16">
        <v>2307932.94</v>
      </c>
      <c r="Y338" s="16">
        <v>1441993.02</v>
      </c>
      <c r="Z338" s="13">
        <v>1.6</v>
      </c>
      <c r="AA338" s="18">
        <v>6306</v>
      </c>
      <c r="AB338" s="16">
        <v>2307932.94</v>
      </c>
      <c r="AC338" s="16">
        <v>1441993.02</v>
      </c>
      <c r="AD338" s="13">
        <v>1.6</v>
      </c>
      <c r="AE338" s="18">
        <v>2522.4</v>
      </c>
      <c r="AF338" s="16">
        <v>923173.18</v>
      </c>
      <c r="AG338" s="16">
        <v>576797.21</v>
      </c>
      <c r="AH338" s="13">
        <v>1.6</v>
      </c>
      <c r="AI338" s="18">
        <v>2207.1</v>
      </c>
      <c r="AJ338" s="16">
        <v>807776.53</v>
      </c>
      <c r="AK338" s="16">
        <v>504697.56</v>
      </c>
      <c r="AL338" s="13">
        <v>1.6</v>
      </c>
      <c r="AM338" s="18">
        <v>1891.8</v>
      </c>
      <c r="AN338" s="16">
        <v>692379.88</v>
      </c>
      <c r="AO338" s="16">
        <v>432597.91</v>
      </c>
      <c r="AP338" s="13">
        <v>1.6</v>
      </c>
      <c r="AQ338" s="18">
        <v>1891.8</v>
      </c>
      <c r="AR338" s="16">
        <v>692379.88</v>
      </c>
      <c r="AS338" s="16">
        <v>432597.91</v>
      </c>
      <c r="AT338" s="13">
        <v>1.6</v>
      </c>
      <c r="AU338" s="18">
        <v>1891.8</v>
      </c>
      <c r="AV338" s="16">
        <v>692379.88</v>
      </c>
      <c r="AW338" s="16">
        <v>432597.91</v>
      </c>
      <c r="AX338" s="13">
        <v>1.6</v>
      </c>
      <c r="AY338" s="18">
        <v>31530</v>
      </c>
      <c r="AZ338" s="12">
        <v>11539664.699999999</v>
      </c>
      <c r="BA338" s="16">
        <v>7209965.1200000001</v>
      </c>
      <c r="BB338" s="13">
        <v>1.6</v>
      </c>
    </row>
    <row r="339" spans="1:54" x14ac:dyDescent="0.25">
      <c r="A339" s="10" t="s">
        <v>30</v>
      </c>
      <c r="B339" s="10" t="s">
        <v>83</v>
      </c>
      <c r="C339" s="11">
        <v>20.88</v>
      </c>
      <c r="D339" s="16">
        <v>12254.47</v>
      </c>
      <c r="E339" s="16">
        <v>6908.77</v>
      </c>
      <c r="F339" s="13">
        <v>1.77</v>
      </c>
      <c r="G339" s="11">
        <v>34.799999999999997</v>
      </c>
      <c r="H339" s="16">
        <v>20424.12</v>
      </c>
      <c r="I339" s="16">
        <v>11514.62</v>
      </c>
      <c r="J339" s="13">
        <v>1.77</v>
      </c>
      <c r="K339" s="11">
        <v>55.68</v>
      </c>
      <c r="L339" s="16">
        <v>32678.59</v>
      </c>
      <c r="M339" s="12">
        <v>18423.400000000001</v>
      </c>
      <c r="N339" s="13">
        <v>1.77</v>
      </c>
      <c r="O339" s="11">
        <v>76.56</v>
      </c>
      <c r="P339" s="16">
        <v>44933.06</v>
      </c>
      <c r="Q339" s="16">
        <v>25332.17</v>
      </c>
      <c r="R339" s="13">
        <v>1.77</v>
      </c>
      <c r="S339" s="11">
        <v>83.52</v>
      </c>
      <c r="T339" s="16">
        <v>49017.89</v>
      </c>
      <c r="U339" s="12">
        <v>27635.1</v>
      </c>
      <c r="V339" s="13">
        <v>1.77</v>
      </c>
      <c r="W339" s="11">
        <v>104.402</v>
      </c>
      <c r="X339" s="16">
        <v>61273.53</v>
      </c>
      <c r="Y339" s="16">
        <v>34544.53</v>
      </c>
      <c r="Z339" s="13">
        <v>1.77</v>
      </c>
      <c r="AA339" s="11">
        <v>90.48</v>
      </c>
      <c r="AB339" s="16">
        <v>53102.71</v>
      </c>
      <c r="AC339" s="16">
        <v>29938.02</v>
      </c>
      <c r="AD339" s="13">
        <v>1.77</v>
      </c>
      <c r="AE339" s="11">
        <v>55.68</v>
      </c>
      <c r="AF339" s="16">
        <v>32678.59</v>
      </c>
      <c r="AG339" s="12">
        <v>18423.400000000001</v>
      </c>
      <c r="AH339" s="13">
        <v>1.77</v>
      </c>
      <c r="AI339" s="11">
        <v>48.72</v>
      </c>
      <c r="AJ339" s="16">
        <v>28593.77</v>
      </c>
      <c r="AK339" s="16">
        <v>16120.47</v>
      </c>
      <c r="AL339" s="13">
        <v>1.77</v>
      </c>
      <c r="AM339" s="11">
        <v>41.76</v>
      </c>
      <c r="AN339" s="16">
        <v>24508.94</v>
      </c>
      <c r="AO339" s="16">
        <v>13817.55</v>
      </c>
      <c r="AP339" s="13">
        <v>1.77</v>
      </c>
      <c r="AQ339" s="11">
        <v>41.76</v>
      </c>
      <c r="AR339" s="16">
        <v>24508.94</v>
      </c>
      <c r="AS339" s="16">
        <v>13817.55</v>
      </c>
      <c r="AT339" s="13">
        <v>1.77</v>
      </c>
      <c r="AU339" s="11">
        <v>41.76</v>
      </c>
      <c r="AV339" s="16">
        <v>24508.94</v>
      </c>
      <c r="AW339" s="16">
        <v>13817.55</v>
      </c>
      <c r="AX339" s="13">
        <v>1.77</v>
      </c>
      <c r="AY339" s="11">
        <v>696.00199999999995</v>
      </c>
      <c r="AZ339" s="16">
        <v>408483.55</v>
      </c>
      <c r="BA339" s="16">
        <v>230293.13</v>
      </c>
      <c r="BB339" s="13">
        <v>1.77</v>
      </c>
    </row>
    <row r="340" spans="1:54" x14ac:dyDescent="0.25">
      <c r="A340" s="10" t="s">
        <v>30</v>
      </c>
      <c r="B340" s="10" t="s">
        <v>84</v>
      </c>
      <c r="C340" s="11">
        <v>19.95</v>
      </c>
      <c r="D340" s="16">
        <v>11128.11</v>
      </c>
      <c r="E340" s="16">
        <v>7042.75</v>
      </c>
      <c r="F340" s="13">
        <v>1.58</v>
      </c>
      <c r="G340" s="11">
        <v>33.25</v>
      </c>
      <c r="H340" s="16">
        <v>18546.849999999999</v>
      </c>
      <c r="I340" s="16">
        <v>11737.92</v>
      </c>
      <c r="J340" s="13">
        <v>1.58</v>
      </c>
      <c r="K340" s="11">
        <v>53.2</v>
      </c>
      <c r="L340" s="16">
        <v>29674.959999999999</v>
      </c>
      <c r="M340" s="16">
        <v>18780.66</v>
      </c>
      <c r="N340" s="13">
        <v>1.58</v>
      </c>
      <c r="O340" s="11">
        <v>73.150000000000006</v>
      </c>
      <c r="P340" s="16">
        <v>40803.07</v>
      </c>
      <c r="Q340" s="16">
        <v>25823.41</v>
      </c>
      <c r="R340" s="13">
        <v>1.58</v>
      </c>
      <c r="S340" s="11">
        <v>79.8</v>
      </c>
      <c r="T340" s="16">
        <v>44512.44</v>
      </c>
      <c r="U340" s="15">
        <v>28171</v>
      </c>
      <c r="V340" s="13">
        <v>1.58</v>
      </c>
      <c r="W340" s="11">
        <v>99.75</v>
      </c>
      <c r="X340" s="16">
        <v>55640.55</v>
      </c>
      <c r="Y340" s="16">
        <v>35213.75</v>
      </c>
      <c r="Z340" s="13">
        <v>1.58</v>
      </c>
      <c r="AA340" s="11">
        <v>86.45</v>
      </c>
      <c r="AB340" s="16">
        <v>48221.81</v>
      </c>
      <c r="AC340" s="16">
        <v>30518.58</v>
      </c>
      <c r="AD340" s="13">
        <v>1.58</v>
      </c>
      <c r="AE340" s="11">
        <v>53.2</v>
      </c>
      <c r="AF340" s="16">
        <v>29674.959999999999</v>
      </c>
      <c r="AG340" s="16">
        <v>18780.66</v>
      </c>
      <c r="AH340" s="13">
        <v>1.58</v>
      </c>
      <c r="AI340" s="11">
        <v>46.55</v>
      </c>
      <c r="AJ340" s="16">
        <v>25965.59</v>
      </c>
      <c r="AK340" s="16">
        <v>16433.080000000002</v>
      </c>
      <c r="AL340" s="13">
        <v>1.58</v>
      </c>
      <c r="AM340" s="11">
        <v>39.9</v>
      </c>
      <c r="AN340" s="16">
        <v>22256.22</v>
      </c>
      <c r="AO340" s="12">
        <v>14085.5</v>
      </c>
      <c r="AP340" s="13">
        <v>1.58</v>
      </c>
      <c r="AQ340" s="11">
        <v>39.9</v>
      </c>
      <c r="AR340" s="16">
        <v>22256.22</v>
      </c>
      <c r="AS340" s="12">
        <v>14085.5</v>
      </c>
      <c r="AT340" s="13">
        <v>1.58</v>
      </c>
      <c r="AU340" s="11">
        <v>39.9</v>
      </c>
      <c r="AV340" s="16">
        <v>22256.22</v>
      </c>
      <c r="AW340" s="12">
        <v>14085.5</v>
      </c>
      <c r="AX340" s="13">
        <v>1.58</v>
      </c>
      <c r="AY340" s="11">
        <v>665</v>
      </c>
      <c r="AZ340" s="15">
        <v>370937</v>
      </c>
      <c r="BA340" s="16">
        <v>234758.31</v>
      </c>
      <c r="BB340" s="13">
        <v>1.58</v>
      </c>
    </row>
    <row r="341" spans="1:54" x14ac:dyDescent="0.25">
      <c r="A341" s="10" t="s">
        <v>30</v>
      </c>
      <c r="B341" s="10" t="s">
        <v>85</v>
      </c>
      <c r="C341" s="11">
        <v>20.399999999999999</v>
      </c>
      <c r="D341" s="16">
        <v>10303.219999999999</v>
      </c>
      <c r="E341" s="16">
        <v>6052.27</v>
      </c>
      <c r="F341" s="13">
        <v>1.7</v>
      </c>
      <c r="G341" s="11">
        <v>34</v>
      </c>
      <c r="H341" s="16">
        <v>17172.04</v>
      </c>
      <c r="I341" s="16">
        <v>10087.120000000001</v>
      </c>
      <c r="J341" s="13">
        <v>1.7</v>
      </c>
      <c r="K341" s="11">
        <v>54.4</v>
      </c>
      <c r="L341" s="16">
        <v>27475.26</v>
      </c>
      <c r="M341" s="16">
        <v>16139.39</v>
      </c>
      <c r="N341" s="13">
        <v>1.7</v>
      </c>
      <c r="O341" s="11">
        <v>74.8</v>
      </c>
      <c r="P341" s="16">
        <v>37778.49</v>
      </c>
      <c r="Q341" s="16">
        <v>22191.66</v>
      </c>
      <c r="R341" s="13">
        <v>1.7</v>
      </c>
      <c r="S341" s="11">
        <v>81.599999999999994</v>
      </c>
      <c r="T341" s="12">
        <v>41212.9</v>
      </c>
      <c r="U341" s="16">
        <v>24209.09</v>
      </c>
      <c r="V341" s="13">
        <v>1.7</v>
      </c>
      <c r="W341" s="11">
        <v>102</v>
      </c>
      <c r="X341" s="16">
        <v>51516.12</v>
      </c>
      <c r="Y341" s="16">
        <v>30261.360000000001</v>
      </c>
      <c r="Z341" s="13">
        <v>1.7</v>
      </c>
      <c r="AA341" s="11">
        <v>88.4</v>
      </c>
      <c r="AB341" s="12">
        <v>44647.3</v>
      </c>
      <c r="AC341" s="16">
        <v>26226.51</v>
      </c>
      <c r="AD341" s="13">
        <v>1.7</v>
      </c>
      <c r="AE341" s="11">
        <v>54.4</v>
      </c>
      <c r="AF341" s="16">
        <v>27475.26</v>
      </c>
      <c r="AG341" s="16">
        <v>16139.39</v>
      </c>
      <c r="AH341" s="13">
        <v>1.7</v>
      </c>
      <c r="AI341" s="11">
        <v>47.6</v>
      </c>
      <c r="AJ341" s="16">
        <v>24040.86</v>
      </c>
      <c r="AK341" s="16">
        <v>14121.97</v>
      </c>
      <c r="AL341" s="13">
        <v>1.7</v>
      </c>
      <c r="AM341" s="11">
        <v>40.799999999999997</v>
      </c>
      <c r="AN341" s="16">
        <v>20606.45</v>
      </c>
      <c r="AO341" s="16">
        <v>12104.54</v>
      </c>
      <c r="AP341" s="13">
        <v>1.7</v>
      </c>
      <c r="AQ341" s="11">
        <v>40.799999999999997</v>
      </c>
      <c r="AR341" s="16">
        <v>20606.45</v>
      </c>
      <c r="AS341" s="16">
        <v>12104.54</v>
      </c>
      <c r="AT341" s="13">
        <v>1.7</v>
      </c>
      <c r="AU341" s="11">
        <v>40.799999999999997</v>
      </c>
      <c r="AV341" s="16">
        <v>20606.45</v>
      </c>
      <c r="AW341" s="16">
        <v>12104.54</v>
      </c>
      <c r="AX341" s="13">
        <v>1.7</v>
      </c>
      <c r="AY341" s="11">
        <v>680</v>
      </c>
      <c r="AZ341" s="12">
        <v>343440.8</v>
      </c>
      <c r="BA341" s="16">
        <v>201742.38</v>
      </c>
      <c r="BB341" s="13">
        <v>1.7</v>
      </c>
    </row>
    <row r="342" spans="1:54" x14ac:dyDescent="0.25">
      <c r="A342" s="10" t="s">
        <v>30</v>
      </c>
      <c r="B342" s="10" t="s">
        <v>86</v>
      </c>
      <c r="C342" s="11">
        <v>15.78</v>
      </c>
      <c r="D342" s="16">
        <v>9219.15</v>
      </c>
      <c r="E342" s="16">
        <v>5760.33</v>
      </c>
      <c r="F342" s="13">
        <v>1.6</v>
      </c>
      <c r="G342" s="11">
        <v>26.3</v>
      </c>
      <c r="H342" s="16">
        <v>15365.25</v>
      </c>
      <c r="I342" s="16">
        <v>9600.5499999999993</v>
      </c>
      <c r="J342" s="13">
        <v>1.6</v>
      </c>
      <c r="K342" s="11">
        <v>42.08</v>
      </c>
      <c r="L342" s="12">
        <v>24584.400000000001</v>
      </c>
      <c r="M342" s="16">
        <v>15360.88</v>
      </c>
      <c r="N342" s="13">
        <v>1.6</v>
      </c>
      <c r="O342" s="11">
        <v>57.86</v>
      </c>
      <c r="P342" s="16">
        <v>33803.550000000003</v>
      </c>
      <c r="Q342" s="16">
        <v>21121.21</v>
      </c>
      <c r="R342" s="13">
        <v>1.6</v>
      </c>
      <c r="S342" s="11">
        <v>63.12</v>
      </c>
      <c r="T342" s="12">
        <v>36876.6</v>
      </c>
      <c r="U342" s="16">
        <v>23041.32</v>
      </c>
      <c r="V342" s="13">
        <v>1.6</v>
      </c>
      <c r="W342" s="11">
        <v>78.900000000000006</v>
      </c>
      <c r="X342" s="16">
        <v>46095.75</v>
      </c>
      <c r="Y342" s="16">
        <v>28801.66</v>
      </c>
      <c r="Z342" s="13">
        <v>1.6</v>
      </c>
      <c r="AA342" s="11">
        <v>68.38</v>
      </c>
      <c r="AB342" s="16">
        <v>39949.65</v>
      </c>
      <c r="AC342" s="16">
        <v>24961.439999999999</v>
      </c>
      <c r="AD342" s="13">
        <v>1.6</v>
      </c>
      <c r="AE342" s="11">
        <v>42.08</v>
      </c>
      <c r="AF342" s="12">
        <v>24584.400000000001</v>
      </c>
      <c r="AG342" s="16">
        <v>15360.88</v>
      </c>
      <c r="AH342" s="13">
        <v>1.6</v>
      </c>
      <c r="AI342" s="11">
        <v>36.82</v>
      </c>
      <c r="AJ342" s="16">
        <v>21511.35</v>
      </c>
      <c r="AK342" s="16">
        <v>13440.77</v>
      </c>
      <c r="AL342" s="13">
        <v>1.6</v>
      </c>
      <c r="AM342" s="11">
        <v>31.56</v>
      </c>
      <c r="AN342" s="12">
        <v>18438.3</v>
      </c>
      <c r="AO342" s="16">
        <v>11520.66</v>
      </c>
      <c r="AP342" s="13">
        <v>1.6</v>
      </c>
      <c r="AQ342" s="11">
        <v>31.56</v>
      </c>
      <c r="AR342" s="12">
        <v>18438.3</v>
      </c>
      <c r="AS342" s="16">
        <v>11520.66</v>
      </c>
      <c r="AT342" s="13">
        <v>1.6</v>
      </c>
      <c r="AU342" s="11">
        <v>31.56</v>
      </c>
      <c r="AV342" s="12">
        <v>18438.3</v>
      </c>
      <c r="AW342" s="16">
        <v>11520.66</v>
      </c>
      <c r="AX342" s="13">
        <v>1.6</v>
      </c>
      <c r="AY342" s="11">
        <v>526</v>
      </c>
      <c r="AZ342" s="15">
        <v>307305</v>
      </c>
      <c r="BA342" s="16">
        <v>192011.02</v>
      </c>
      <c r="BB342" s="13">
        <v>1.6</v>
      </c>
    </row>
    <row r="343" spans="1:54" x14ac:dyDescent="0.25">
      <c r="A343" s="10" t="s">
        <v>30</v>
      </c>
      <c r="B343" s="10" t="s">
        <v>87</v>
      </c>
      <c r="C343" s="11">
        <v>43.83</v>
      </c>
      <c r="D343" s="16">
        <v>18683.41</v>
      </c>
      <c r="E343" s="16">
        <v>11673.68</v>
      </c>
      <c r="F343" s="13">
        <v>1.6</v>
      </c>
      <c r="G343" s="11">
        <v>73.05</v>
      </c>
      <c r="H343" s="16">
        <v>31139.02</v>
      </c>
      <c r="I343" s="16">
        <v>19456.14</v>
      </c>
      <c r="J343" s="13">
        <v>1.6</v>
      </c>
      <c r="K343" s="11">
        <v>116.88</v>
      </c>
      <c r="L343" s="16">
        <v>49822.44</v>
      </c>
      <c r="M343" s="16">
        <v>31129.82</v>
      </c>
      <c r="N343" s="13">
        <v>1.6</v>
      </c>
      <c r="O343" s="11">
        <v>160.71</v>
      </c>
      <c r="P343" s="16">
        <v>68505.850000000006</v>
      </c>
      <c r="Q343" s="12">
        <v>42803.5</v>
      </c>
      <c r="R343" s="13">
        <v>1.6</v>
      </c>
      <c r="S343" s="11">
        <v>175.31899999999999</v>
      </c>
      <c r="T343" s="16">
        <v>74733.23</v>
      </c>
      <c r="U343" s="16">
        <v>46694.46</v>
      </c>
      <c r="V343" s="13">
        <v>1.6</v>
      </c>
      <c r="W343" s="11">
        <v>219.15</v>
      </c>
      <c r="X343" s="16">
        <v>93417.07</v>
      </c>
      <c r="Y343" s="16">
        <v>58368.41</v>
      </c>
      <c r="Z343" s="13">
        <v>1.6</v>
      </c>
      <c r="AA343" s="11">
        <v>189.93</v>
      </c>
      <c r="AB343" s="16">
        <v>80961.460000000006</v>
      </c>
      <c r="AC343" s="16">
        <v>50585.96</v>
      </c>
      <c r="AD343" s="13">
        <v>1.6</v>
      </c>
      <c r="AE343" s="11">
        <v>116.88</v>
      </c>
      <c r="AF343" s="16">
        <v>49822.44</v>
      </c>
      <c r="AG343" s="16">
        <v>31129.82</v>
      </c>
      <c r="AH343" s="13">
        <v>1.6</v>
      </c>
      <c r="AI343" s="11">
        <v>102.27</v>
      </c>
      <c r="AJ343" s="16">
        <v>43594.63</v>
      </c>
      <c r="AK343" s="16">
        <v>27238.59</v>
      </c>
      <c r="AL343" s="13">
        <v>1.6</v>
      </c>
      <c r="AM343" s="11">
        <v>87.66</v>
      </c>
      <c r="AN343" s="16">
        <v>37366.83</v>
      </c>
      <c r="AO343" s="16">
        <v>23347.360000000001</v>
      </c>
      <c r="AP343" s="13">
        <v>1.6</v>
      </c>
      <c r="AQ343" s="11">
        <v>87.66</v>
      </c>
      <c r="AR343" s="16">
        <v>37366.83</v>
      </c>
      <c r="AS343" s="16">
        <v>23347.360000000001</v>
      </c>
      <c r="AT343" s="13">
        <v>1.6</v>
      </c>
      <c r="AU343" s="11">
        <v>87.66</v>
      </c>
      <c r="AV343" s="16">
        <v>37366.83</v>
      </c>
      <c r="AW343" s="16">
        <v>23347.360000000001</v>
      </c>
      <c r="AX343" s="13">
        <v>1.6</v>
      </c>
      <c r="AY343" s="18">
        <v>1460.999</v>
      </c>
      <c r="AZ343" s="16">
        <v>622780.04</v>
      </c>
      <c r="BA343" s="16">
        <v>389122.46</v>
      </c>
      <c r="BB343" s="13">
        <v>1.6</v>
      </c>
    </row>
    <row r="344" spans="1:54" x14ac:dyDescent="0.25">
      <c r="A344" s="10" t="s">
        <v>30</v>
      </c>
      <c r="B344" s="10" t="s">
        <v>88</v>
      </c>
      <c r="C344" s="11">
        <v>16.079999999999998</v>
      </c>
      <c r="D344" s="16">
        <v>15099.76</v>
      </c>
      <c r="E344" s="16">
        <v>10008.35</v>
      </c>
      <c r="F344" s="13">
        <v>1.51</v>
      </c>
      <c r="G344" s="11">
        <v>26.8</v>
      </c>
      <c r="H344" s="16">
        <v>25166.27</v>
      </c>
      <c r="I344" s="16">
        <v>16680.59</v>
      </c>
      <c r="J344" s="13">
        <v>1.51</v>
      </c>
      <c r="K344" s="11">
        <v>42.88</v>
      </c>
      <c r="L344" s="16">
        <v>40266.04</v>
      </c>
      <c r="M344" s="16">
        <v>26688.94</v>
      </c>
      <c r="N344" s="13">
        <v>1.51</v>
      </c>
      <c r="O344" s="11">
        <v>58.96</v>
      </c>
      <c r="P344" s="12">
        <v>55365.8</v>
      </c>
      <c r="Q344" s="16">
        <v>36697.29</v>
      </c>
      <c r="R344" s="13">
        <v>1.51</v>
      </c>
      <c r="S344" s="11">
        <v>64.319999999999993</v>
      </c>
      <c r="T344" s="16">
        <v>60399.05</v>
      </c>
      <c r="U344" s="16">
        <v>40033.410000000003</v>
      </c>
      <c r="V344" s="13">
        <v>1.51</v>
      </c>
      <c r="W344" s="11">
        <v>80.399000000000001</v>
      </c>
      <c r="X344" s="16">
        <v>75497.88</v>
      </c>
      <c r="Y344" s="16">
        <v>50041.14</v>
      </c>
      <c r="Z344" s="13">
        <v>1.51</v>
      </c>
      <c r="AA344" s="11">
        <v>69.679000000000002</v>
      </c>
      <c r="AB344" s="16">
        <v>65431.37</v>
      </c>
      <c r="AC344" s="16">
        <v>43368.91</v>
      </c>
      <c r="AD344" s="13">
        <v>1.51</v>
      </c>
      <c r="AE344" s="11">
        <v>42.88</v>
      </c>
      <c r="AF344" s="16">
        <v>40266.04</v>
      </c>
      <c r="AG344" s="16">
        <v>26688.94</v>
      </c>
      <c r="AH344" s="13">
        <v>1.51</v>
      </c>
      <c r="AI344" s="11">
        <v>37.520000000000003</v>
      </c>
      <c r="AJ344" s="16">
        <v>35232.78</v>
      </c>
      <c r="AK344" s="16">
        <v>23352.82</v>
      </c>
      <c r="AL344" s="13">
        <v>1.51</v>
      </c>
      <c r="AM344" s="11">
        <v>32.159999999999997</v>
      </c>
      <c r="AN344" s="16">
        <v>30199.53</v>
      </c>
      <c r="AO344" s="16">
        <v>20016.71</v>
      </c>
      <c r="AP344" s="13">
        <v>1.51</v>
      </c>
      <c r="AQ344" s="11">
        <v>32.159999999999997</v>
      </c>
      <c r="AR344" s="16">
        <v>30199.53</v>
      </c>
      <c r="AS344" s="16">
        <v>20016.71</v>
      </c>
      <c r="AT344" s="13">
        <v>1.51</v>
      </c>
      <c r="AU344" s="11">
        <v>32.159999999999997</v>
      </c>
      <c r="AV344" s="16">
        <v>30199.53</v>
      </c>
      <c r="AW344" s="16">
        <v>20016.71</v>
      </c>
      <c r="AX344" s="13">
        <v>1.51</v>
      </c>
      <c r="AY344" s="11">
        <v>535.99800000000005</v>
      </c>
      <c r="AZ344" s="16">
        <v>503323.58</v>
      </c>
      <c r="BA344" s="16">
        <v>333610.52</v>
      </c>
      <c r="BB344" s="13">
        <v>1.51</v>
      </c>
    </row>
    <row r="345" spans="1:54" x14ac:dyDescent="0.25">
      <c r="A345" s="10" t="s">
        <v>30</v>
      </c>
      <c r="B345" s="10" t="s">
        <v>89</v>
      </c>
      <c r="C345" s="18">
        <v>1064</v>
      </c>
      <c r="D345" s="16">
        <v>372974.56</v>
      </c>
      <c r="E345" s="12">
        <v>233069.2</v>
      </c>
      <c r="F345" s="13">
        <v>1.6</v>
      </c>
      <c r="G345" s="18">
        <v>1824</v>
      </c>
      <c r="H345" s="16">
        <v>639384.96</v>
      </c>
      <c r="I345" s="12">
        <v>399547.2</v>
      </c>
      <c r="J345" s="13">
        <v>1.6</v>
      </c>
      <c r="K345" s="18">
        <v>2432</v>
      </c>
      <c r="L345" s="16">
        <v>852513.28000000003</v>
      </c>
      <c r="M345" s="12">
        <v>532729.59999999998</v>
      </c>
      <c r="N345" s="13">
        <v>1.6</v>
      </c>
      <c r="O345" s="18">
        <v>2584</v>
      </c>
      <c r="P345" s="16">
        <v>905795.36</v>
      </c>
      <c r="Q345" s="12">
        <v>566025.19999999995</v>
      </c>
      <c r="R345" s="13">
        <v>1.6</v>
      </c>
      <c r="S345" s="18">
        <v>1824</v>
      </c>
      <c r="T345" s="16">
        <v>639384.96</v>
      </c>
      <c r="U345" s="12">
        <v>399547.2</v>
      </c>
      <c r="V345" s="13">
        <v>1.6</v>
      </c>
      <c r="W345" s="18">
        <v>1824</v>
      </c>
      <c r="X345" s="16">
        <v>639384.96</v>
      </c>
      <c r="Y345" s="12">
        <v>399547.2</v>
      </c>
      <c r="Z345" s="13">
        <v>1.6</v>
      </c>
      <c r="AA345" s="18">
        <v>1520</v>
      </c>
      <c r="AB345" s="12">
        <v>532820.80000000005</v>
      </c>
      <c r="AC345" s="15">
        <v>332956</v>
      </c>
      <c r="AD345" s="13">
        <v>1.6</v>
      </c>
      <c r="AE345" s="18">
        <v>1216</v>
      </c>
      <c r="AF345" s="16">
        <v>426256.64000000001</v>
      </c>
      <c r="AG345" s="12">
        <v>266364.79999999999</v>
      </c>
      <c r="AH345" s="13">
        <v>1.6</v>
      </c>
      <c r="AI345" s="11">
        <v>760</v>
      </c>
      <c r="AJ345" s="12">
        <v>266410.40000000002</v>
      </c>
      <c r="AK345" s="15">
        <v>166478</v>
      </c>
      <c r="AL345" s="13">
        <v>1.6</v>
      </c>
      <c r="AM345" s="11">
        <v>152</v>
      </c>
      <c r="AN345" s="16">
        <v>53282.080000000002</v>
      </c>
      <c r="AO345" s="12">
        <v>33295.599999999999</v>
      </c>
      <c r="AP345" s="13">
        <v>1.6</v>
      </c>
      <c r="AQ345" s="14"/>
      <c r="AR345" s="14"/>
      <c r="AS345" s="14"/>
      <c r="AT345" s="14"/>
      <c r="AU345" s="14"/>
      <c r="AV345" s="14"/>
      <c r="AW345" s="14"/>
      <c r="AX345" s="14"/>
      <c r="AY345" s="18">
        <v>15200</v>
      </c>
      <c r="AZ345" s="15">
        <v>5328208</v>
      </c>
      <c r="BA345" s="15">
        <v>3329560</v>
      </c>
      <c r="BB345" s="13">
        <v>1.6</v>
      </c>
    </row>
    <row r="346" spans="1:54" x14ac:dyDescent="0.25">
      <c r="A346" s="10" t="s">
        <v>30</v>
      </c>
      <c r="B346" s="10" t="s">
        <v>90</v>
      </c>
      <c r="C346" s="11">
        <v>46.92</v>
      </c>
      <c r="D346" s="16">
        <v>9269.98</v>
      </c>
      <c r="E346" s="16">
        <v>7274.95</v>
      </c>
      <c r="F346" s="13">
        <v>1.27</v>
      </c>
      <c r="G346" s="11">
        <v>78.2</v>
      </c>
      <c r="H346" s="16">
        <v>15449.97</v>
      </c>
      <c r="I346" s="16">
        <v>12124.91</v>
      </c>
      <c r="J346" s="13">
        <v>1.27</v>
      </c>
      <c r="K346" s="11">
        <v>125.12</v>
      </c>
      <c r="L346" s="16">
        <v>24719.96</v>
      </c>
      <c r="M346" s="16">
        <v>19399.86</v>
      </c>
      <c r="N346" s="13">
        <v>1.27</v>
      </c>
      <c r="O346" s="11">
        <v>172.04</v>
      </c>
      <c r="P346" s="16">
        <v>33989.94</v>
      </c>
      <c r="Q346" s="12">
        <v>26674.799999999999</v>
      </c>
      <c r="R346" s="13">
        <v>1.27</v>
      </c>
      <c r="S346" s="11">
        <v>187.68</v>
      </c>
      <c r="T346" s="16">
        <v>37079.94</v>
      </c>
      <c r="U346" s="16">
        <v>29099.78</v>
      </c>
      <c r="V346" s="13">
        <v>1.27</v>
      </c>
      <c r="W346" s="11">
        <v>234.6</v>
      </c>
      <c r="X346" s="16">
        <v>46349.919999999998</v>
      </c>
      <c r="Y346" s="16">
        <v>36374.730000000003</v>
      </c>
      <c r="Z346" s="13">
        <v>1.27</v>
      </c>
      <c r="AA346" s="11">
        <v>203.32</v>
      </c>
      <c r="AB346" s="16">
        <v>40169.93</v>
      </c>
      <c r="AC346" s="16">
        <v>31524.77</v>
      </c>
      <c r="AD346" s="13">
        <v>1.27</v>
      </c>
      <c r="AE346" s="11">
        <v>125.12</v>
      </c>
      <c r="AF346" s="16">
        <v>24719.96</v>
      </c>
      <c r="AG346" s="16">
        <v>19399.86</v>
      </c>
      <c r="AH346" s="13">
        <v>1.27</v>
      </c>
      <c r="AI346" s="11">
        <v>109.48</v>
      </c>
      <c r="AJ346" s="16">
        <v>21629.96</v>
      </c>
      <c r="AK346" s="16">
        <v>16974.87</v>
      </c>
      <c r="AL346" s="13">
        <v>1.27</v>
      </c>
      <c r="AM346" s="11">
        <v>93.84</v>
      </c>
      <c r="AN346" s="16">
        <v>18539.97</v>
      </c>
      <c r="AO346" s="16">
        <v>14549.89</v>
      </c>
      <c r="AP346" s="13">
        <v>1.27</v>
      </c>
      <c r="AQ346" s="11">
        <v>93.84</v>
      </c>
      <c r="AR346" s="16">
        <v>18539.97</v>
      </c>
      <c r="AS346" s="16">
        <v>14549.89</v>
      </c>
      <c r="AT346" s="13">
        <v>1.27</v>
      </c>
      <c r="AU346" s="11">
        <v>93.84</v>
      </c>
      <c r="AV346" s="16">
        <v>18539.97</v>
      </c>
      <c r="AW346" s="16">
        <v>14549.89</v>
      </c>
      <c r="AX346" s="13">
        <v>1.27</v>
      </c>
      <c r="AY346" s="18">
        <v>1564</v>
      </c>
      <c r="AZ346" s="16">
        <v>308999.46999999997</v>
      </c>
      <c r="BA346" s="12">
        <v>242498.2</v>
      </c>
      <c r="BB346" s="13">
        <v>1.27</v>
      </c>
    </row>
    <row r="347" spans="1:54" x14ac:dyDescent="0.25">
      <c r="A347" s="10" t="s">
        <v>30</v>
      </c>
      <c r="B347" s="10" t="s">
        <v>91</v>
      </c>
      <c r="C347" s="11">
        <v>232.26</v>
      </c>
      <c r="D347" s="12">
        <v>45002.7</v>
      </c>
      <c r="E347" s="16">
        <v>35315.129999999997</v>
      </c>
      <c r="F347" s="13">
        <v>1.27</v>
      </c>
      <c r="G347" s="11">
        <v>387.1</v>
      </c>
      <c r="H347" s="12">
        <v>75004.5</v>
      </c>
      <c r="I347" s="16">
        <v>58858.559999999998</v>
      </c>
      <c r="J347" s="13">
        <v>1.27</v>
      </c>
      <c r="K347" s="11">
        <v>619.36</v>
      </c>
      <c r="L347" s="16">
        <v>120007.19</v>
      </c>
      <c r="M347" s="16">
        <v>94173.69</v>
      </c>
      <c r="N347" s="13">
        <v>1.27</v>
      </c>
      <c r="O347" s="11">
        <v>851.62</v>
      </c>
      <c r="P347" s="16">
        <v>165009.89000000001</v>
      </c>
      <c r="Q347" s="16">
        <v>129488.82</v>
      </c>
      <c r="R347" s="13">
        <v>1.27</v>
      </c>
      <c r="S347" s="11">
        <v>929.04</v>
      </c>
      <c r="T347" s="16">
        <v>180010.79</v>
      </c>
      <c r="U347" s="16">
        <v>141260.53</v>
      </c>
      <c r="V347" s="13">
        <v>1.27</v>
      </c>
      <c r="W347" s="18">
        <v>1161.3</v>
      </c>
      <c r="X347" s="16">
        <v>225013.49</v>
      </c>
      <c r="Y347" s="16">
        <v>176575.67</v>
      </c>
      <c r="Z347" s="13">
        <v>1.27</v>
      </c>
      <c r="AA347" s="18">
        <v>1006.46</v>
      </c>
      <c r="AB347" s="16">
        <v>195011.69</v>
      </c>
      <c r="AC347" s="16">
        <v>153032.24</v>
      </c>
      <c r="AD347" s="13">
        <v>1.27</v>
      </c>
      <c r="AE347" s="11">
        <v>619.36</v>
      </c>
      <c r="AF347" s="16">
        <v>120007.19</v>
      </c>
      <c r="AG347" s="16">
        <v>94173.69</v>
      </c>
      <c r="AH347" s="13">
        <v>1.27</v>
      </c>
      <c r="AI347" s="11">
        <v>541.94000000000005</v>
      </c>
      <c r="AJ347" s="16">
        <v>105006.29</v>
      </c>
      <c r="AK347" s="16">
        <v>82401.98</v>
      </c>
      <c r="AL347" s="13">
        <v>1.27</v>
      </c>
      <c r="AM347" s="11">
        <v>464.52</v>
      </c>
      <c r="AN347" s="12">
        <v>90005.4</v>
      </c>
      <c r="AO347" s="16">
        <v>70630.27</v>
      </c>
      <c r="AP347" s="13">
        <v>1.27</v>
      </c>
      <c r="AQ347" s="11">
        <v>464.52</v>
      </c>
      <c r="AR347" s="12">
        <v>90005.4</v>
      </c>
      <c r="AS347" s="16">
        <v>70630.27</v>
      </c>
      <c r="AT347" s="13">
        <v>1.27</v>
      </c>
      <c r="AU347" s="11">
        <v>464.52</v>
      </c>
      <c r="AV347" s="12">
        <v>90005.4</v>
      </c>
      <c r="AW347" s="16">
        <v>70630.27</v>
      </c>
      <c r="AX347" s="13">
        <v>1.27</v>
      </c>
      <c r="AY347" s="18">
        <v>7742</v>
      </c>
      <c r="AZ347" s="16">
        <v>1500089.93</v>
      </c>
      <c r="BA347" s="16">
        <v>1177171.1200000001</v>
      </c>
      <c r="BB347" s="13">
        <v>1.27</v>
      </c>
    </row>
    <row r="348" spans="1:54" x14ac:dyDescent="0.25">
      <c r="A348" s="10" t="s">
        <v>30</v>
      </c>
      <c r="B348" s="10" t="s">
        <v>92</v>
      </c>
      <c r="C348" s="11">
        <v>572.79999999999995</v>
      </c>
      <c r="D348" s="12">
        <v>164863.29999999999</v>
      </c>
      <c r="E348" s="16">
        <v>105017.15</v>
      </c>
      <c r="F348" s="13">
        <v>1.57</v>
      </c>
      <c r="G348" s="18">
        <v>1145.5999999999999</v>
      </c>
      <c r="H348" s="16">
        <v>329726.59000000003</v>
      </c>
      <c r="I348" s="12">
        <v>210034.3</v>
      </c>
      <c r="J348" s="13">
        <v>1.57</v>
      </c>
      <c r="K348" s="18">
        <v>1718.4</v>
      </c>
      <c r="L348" s="16">
        <v>494589.89</v>
      </c>
      <c r="M348" s="16">
        <v>315051.46000000002</v>
      </c>
      <c r="N348" s="13">
        <v>1.57</v>
      </c>
      <c r="O348" s="18">
        <v>1432</v>
      </c>
      <c r="P348" s="16">
        <v>412158.24</v>
      </c>
      <c r="Q348" s="16">
        <v>262542.88</v>
      </c>
      <c r="R348" s="13">
        <v>1.57</v>
      </c>
      <c r="S348" s="11">
        <v>716</v>
      </c>
      <c r="T348" s="16">
        <v>206079.12</v>
      </c>
      <c r="U348" s="16">
        <v>131271.44</v>
      </c>
      <c r="V348" s="13">
        <v>1.57</v>
      </c>
      <c r="W348" s="11">
        <v>716</v>
      </c>
      <c r="X348" s="16">
        <v>206079.12</v>
      </c>
      <c r="Y348" s="16">
        <v>131271.44</v>
      </c>
      <c r="Z348" s="13">
        <v>1.57</v>
      </c>
      <c r="AA348" s="11">
        <v>572.79999999999995</v>
      </c>
      <c r="AB348" s="12">
        <v>164863.29999999999</v>
      </c>
      <c r="AC348" s="16">
        <v>105017.15</v>
      </c>
      <c r="AD348" s="13">
        <v>1.57</v>
      </c>
      <c r="AE348" s="11">
        <v>143.19999999999999</v>
      </c>
      <c r="AF348" s="16">
        <v>41215.82</v>
      </c>
      <c r="AG348" s="16">
        <v>26254.29</v>
      </c>
      <c r="AH348" s="13">
        <v>1.57</v>
      </c>
      <c r="AI348" s="11">
        <v>143.19999999999999</v>
      </c>
      <c r="AJ348" s="16">
        <v>41215.82</v>
      </c>
      <c r="AK348" s="16">
        <v>26254.29</v>
      </c>
      <c r="AL348" s="13">
        <v>1.57</v>
      </c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8">
        <v>7160</v>
      </c>
      <c r="AZ348" s="12">
        <v>2060791.2</v>
      </c>
      <c r="BA348" s="12">
        <v>1312714.3999999999</v>
      </c>
      <c r="BB348" s="13">
        <v>1.57</v>
      </c>
    </row>
    <row r="349" spans="1:54" x14ac:dyDescent="0.25">
      <c r="A349" s="10" t="s">
        <v>30</v>
      </c>
      <c r="B349" s="10" t="s">
        <v>93</v>
      </c>
      <c r="C349" s="11">
        <v>531</v>
      </c>
      <c r="D349" s="12">
        <v>158291.1</v>
      </c>
      <c r="E349" s="16">
        <v>102153.78</v>
      </c>
      <c r="F349" s="13">
        <v>1.55</v>
      </c>
      <c r="G349" s="11">
        <v>885</v>
      </c>
      <c r="H349" s="12">
        <v>263818.5</v>
      </c>
      <c r="I349" s="12">
        <v>170256.3</v>
      </c>
      <c r="J349" s="13">
        <v>1.55</v>
      </c>
      <c r="K349" s="18">
        <v>1416</v>
      </c>
      <c r="L349" s="12">
        <v>422109.6</v>
      </c>
      <c r="M349" s="16">
        <v>272410.08</v>
      </c>
      <c r="N349" s="13">
        <v>1.55</v>
      </c>
      <c r="O349" s="18">
        <v>1947</v>
      </c>
      <c r="P349" s="12">
        <v>580400.69999999995</v>
      </c>
      <c r="Q349" s="16">
        <v>374563.86</v>
      </c>
      <c r="R349" s="13">
        <v>1.55</v>
      </c>
      <c r="S349" s="18">
        <v>2124</v>
      </c>
      <c r="T349" s="12">
        <v>633164.4</v>
      </c>
      <c r="U349" s="16">
        <v>408615.12</v>
      </c>
      <c r="V349" s="13">
        <v>1.55</v>
      </c>
      <c r="W349" s="18">
        <v>2655</v>
      </c>
      <c r="X349" s="12">
        <v>791455.5</v>
      </c>
      <c r="Y349" s="12">
        <v>510768.9</v>
      </c>
      <c r="Z349" s="13">
        <v>1.55</v>
      </c>
      <c r="AA349" s="18">
        <v>2301</v>
      </c>
      <c r="AB349" s="12">
        <v>685928.1</v>
      </c>
      <c r="AC349" s="16">
        <v>442666.38</v>
      </c>
      <c r="AD349" s="13">
        <v>1.55</v>
      </c>
      <c r="AE349" s="18">
        <v>1416</v>
      </c>
      <c r="AF349" s="12">
        <v>422109.6</v>
      </c>
      <c r="AG349" s="16">
        <v>272410.08</v>
      </c>
      <c r="AH349" s="13">
        <v>1.55</v>
      </c>
      <c r="AI349" s="18">
        <v>1239</v>
      </c>
      <c r="AJ349" s="12">
        <v>369345.9</v>
      </c>
      <c r="AK349" s="16">
        <v>238358.82</v>
      </c>
      <c r="AL349" s="13">
        <v>1.55</v>
      </c>
      <c r="AM349" s="18">
        <v>1062</v>
      </c>
      <c r="AN349" s="12">
        <v>316582.2</v>
      </c>
      <c r="AO349" s="16">
        <v>204307.56</v>
      </c>
      <c r="AP349" s="13">
        <v>1.55</v>
      </c>
      <c r="AQ349" s="18">
        <v>1062</v>
      </c>
      <c r="AR349" s="12">
        <v>316582.2</v>
      </c>
      <c r="AS349" s="16">
        <v>204307.56</v>
      </c>
      <c r="AT349" s="13">
        <v>1.55</v>
      </c>
      <c r="AU349" s="18">
        <v>1062</v>
      </c>
      <c r="AV349" s="12">
        <v>316582.2</v>
      </c>
      <c r="AW349" s="16">
        <v>204307.56</v>
      </c>
      <c r="AX349" s="13">
        <v>1.55</v>
      </c>
      <c r="AY349" s="18">
        <v>17700</v>
      </c>
      <c r="AZ349" s="15">
        <v>5276370</v>
      </c>
      <c r="BA349" s="15">
        <v>3405126</v>
      </c>
      <c r="BB349" s="13">
        <v>1.55</v>
      </c>
    </row>
    <row r="350" spans="1:54" x14ac:dyDescent="0.25">
      <c r="A350" s="10" t="s">
        <v>30</v>
      </c>
      <c r="B350" s="10" t="s">
        <v>94</v>
      </c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8">
        <v>4548.7</v>
      </c>
      <c r="P350" s="16">
        <v>1358150.85</v>
      </c>
      <c r="Q350" s="16">
        <v>865117.25</v>
      </c>
      <c r="R350" s="13">
        <v>1.57</v>
      </c>
      <c r="S350" s="18">
        <v>5598.4</v>
      </c>
      <c r="T350" s="16">
        <v>1671570.27</v>
      </c>
      <c r="U350" s="12">
        <v>1064759.7</v>
      </c>
      <c r="V350" s="13">
        <v>1.57</v>
      </c>
      <c r="W350" s="18">
        <v>6648.1</v>
      </c>
      <c r="X350" s="12">
        <v>1984989.7</v>
      </c>
      <c r="Y350" s="16">
        <v>1264402.1399999999</v>
      </c>
      <c r="Z350" s="13">
        <v>1.57</v>
      </c>
      <c r="AA350" s="18">
        <v>4898.6000000000004</v>
      </c>
      <c r="AB350" s="16">
        <v>1462623.99</v>
      </c>
      <c r="AC350" s="16">
        <v>931664.73</v>
      </c>
      <c r="AD350" s="13">
        <v>1.57</v>
      </c>
      <c r="AE350" s="18">
        <v>3149.1</v>
      </c>
      <c r="AF350" s="16">
        <v>940258.28</v>
      </c>
      <c r="AG350" s="16">
        <v>598927.32999999996</v>
      </c>
      <c r="AH350" s="13">
        <v>1.57</v>
      </c>
      <c r="AI350" s="18">
        <v>2799.2</v>
      </c>
      <c r="AJ350" s="16">
        <v>835785.14</v>
      </c>
      <c r="AK350" s="16">
        <v>532379.85</v>
      </c>
      <c r="AL350" s="13">
        <v>1.57</v>
      </c>
      <c r="AM350" s="18">
        <v>2449.3000000000002</v>
      </c>
      <c r="AN350" s="16">
        <v>731311.99</v>
      </c>
      <c r="AO350" s="16">
        <v>465832.37</v>
      </c>
      <c r="AP350" s="13">
        <v>1.57</v>
      </c>
      <c r="AQ350" s="18">
        <v>2449.3000000000002</v>
      </c>
      <c r="AR350" s="16">
        <v>731311.99</v>
      </c>
      <c r="AS350" s="16">
        <v>465832.37</v>
      </c>
      <c r="AT350" s="13">
        <v>1.57</v>
      </c>
      <c r="AU350" s="18">
        <v>2449.3000000000002</v>
      </c>
      <c r="AV350" s="16">
        <v>731311.99</v>
      </c>
      <c r="AW350" s="16">
        <v>465832.37</v>
      </c>
      <c r="AX350" s="13">
        <v>1.57</v>
      </c>
      <c r="AY350" s="18">
        <v>34990</v>
      </c>
      <c r="AZ350" s="12">
        <v>10447314.199999999</v>
      </c>
      <c r="BA350" s="16">
        <v>6654748.1100000003</v>
      </c>
      <c r="BB350" s="13">
        <v>1.57</v>
      </c>
    </row>
    <row r="351" spans="1:54" x14ac:dyDescent="0.25">
      <c r="A351" s="10" t="s">
        <v>30</v>
      </c>
      <c r="B351" s="10" t="s">
        <v>95</v>
      </c>
      <c r="C351" s="11">
        <v>27</v>
      </c>
      <c r="D351" s="16">
        <v>35100.54</v>
      </c>
      <c r="E351" s="16">
        <v>20995.47</v>
      </c>
      <c r="F351" s="13">
        <v>1.67</v>
      </c>
      <c r="G351" s="11">
        <v>45</v>
      </c>
      <c r="H351" s="12">
        <v>58500.9</v>
      </c>
      <c r="I351" s="16">
        <v>34992.449999999997</v>
      </c>
      <c r="J351" s="13">
        <v>1.67</v>
      </c>
      <c r="K351" s="11">
        <v>72</v>
      </c>
      <c r="L351" s="16">
        <v>93601.44</v>
      </c>
      <c r="M351" s="16">
        <v>55987.92</v>
      </c>
      <c r="N351" s="13">
        <v>1.67</v>
      </c>
      <c r="O351" s="11">
        <v>99</v>
      </c>
      <c r="P351" s="16">
        <v>128701.98</v>
      </c>
      <c r="Q351" s="16">
        <v>76983.39</v>
      </c>
      <c r="R351" s="13">
        <v>1.67</v>
      </c>
      <c r="S351" s="11">
        <v>108</v>
      </c>
      <c r="T351" s="16">
        <v>140402.16</v>
      </c>
      <c r="U351" s="16">
        <v>83981.88</v>
      </c>
      <c r="V351" s="13">
        <v>1.67</v>
      </c>
      <c r="W351" s="11">
        <v>135</v>
      </c>
      <c r="X351" s="12">
        <v>175502.7</v>
      </c>
      <c r="Y351" s="16">
        <v>104977.35</v>
      </c>
      <c r="Z351" s="13">
        <v>1.67</v>
      </c>
      <c r="AA351" s="11">
        <v>117</v>
      </c>
      <c r="AB351" s="16">
        <v>152102.34</v>
      </c>
      <c r="AC351" s="16">
        <v>90980.37</v>
      </c>
      <c r="AD351" s="13">
        <v>1.67</v>
      </c>
      <c r="AE351" s="11">
        <v>72</v>
      </c>
      <c r="AF351" s="16">
        <v>93601.44</v>
      </c>
      <c r="AG351" s="16">
        <v>55987.92</v>
      </c>
      <c r="AH351" s="13">
        <v>1.67</v>
      </c>
      <c r="AI351" s="11">
        <v>63</v>
      </c>
      <c r="AJ351" s="16">
        <v>81901.259999999995</v>
      </c>
      <c r="AK351" s="16">
        <v>48989.43</v>
      </c>
      <c r="AL351" s="13">
        <v>1.67</v>
      </c>
      <c r="AM351" s="11">
        <v>54</v>
      </c>
      <c r="AN351" s="16">
        <v>70201.08</v>
      </c>
      <c r="AO351" s="16">
        <v>41990.94</v>
      </c>
      <c r="AP351" s="13">
        <v>1.67</v>
      </c>
      <c r="AQ351" s="11">
        <v>54</v>
      </c>
      <c r="AR351" s="16">
        <v>70201.08</v>
      </c>
      <c r="AS351" s="16">
        <v>41990.94</v>
      </c>
      <c r="AT351" s="13">
        <v>1.67</v>
      </c>
      <c r="AU351" s="11">
        <v>54</v>
      </c>
      <c r="AV351" s="16">
        <v>70201.08</v>
      </c>
      <c r="AW351" s="16">
        <v>41990.94</v>
      </c>
      <c r="AX351" s="13">
        <v>1.67</v>
      </c>
      <c r="AY351" s="11">
        <v>900</v>
      </c>
      <c r="AZ351" s="15">
        <v>1170018</v>
      </c>
      <c r="BA351" s="15">
        <v>699849</v>
      </c>
      <c r="BB351" s="13">
        <v>1.67</v>
      </c>
    </row>
    <row r="352" spans="1:54" x14ac:dyDescent="0.25">
      <c r="A352" s="10" t="s">
        <v>30</v>
      </c>
      <c r="B352" s="10" t="s">
        <v>96</v>
      </c>
      <c r="C352" s="11">
        <v>99.930999999999997</v>
      </c>
      <c r="D352" s="12">
        <v>28814.1</v>
      </c>
      <c r="E352" s="16">
        <v>21093.439999999999</v>
      </c>
      <c r="F352" s="13">
        <v>1.37</v>
      </c>
      <c r="G352" s="11">
        <v>166.55099999999999</v>
      </c>
      <c r="H352" s="16">
        <v>48023.32</v>
      </c>
      <c r="I352" s="16">
        <v>35155.589999999997</v>
      </c>
      <c r="J352" s="13">
        <v>1.37</v>
      </c>
      <c r="K352" s="11">
        <v>266.48</v>
      </c>
      <c r="L352" s="16">
        <v>76836.84</v>
      </c>
      <c r="M352" s="12">
        <v>56248.6</v>
      </c>
      <c r="N352" s="13">
        <v>1.37</v>
      </c>
      <c r="O352" s="11">
        <v>366.411</v>
      </c>
      <c r="P352" s="16">
        <v>105650.95</v>
      </c>
      <c r="Q352" s="16">
        <v>77342.03</v>
      </c>
      <c r="R352" s="13">
        <v>1.37</v>
      </c>
      <c r="S352" s="11">
        <v>399.71899999999999</v>
      </c>
      <c r="T352" s="16">
        <v>115254.98</v>
      </c>
      <c r="U352" s="16">
        <v>84372.69</v>
      </c>
      <c r="V352" s="13">
        <v>1.37</v>
      </c>
      <c r="W352" s="11">
        <v>499.65</v>
      </c>
      <c r="X352" s="16">
        <v>144069.07999999999</v>
      </c>
      <c r="Y352" s="16">
        <v>105466.12</v>
      </c>
      <c r="Z352" s="13">
        <v>1.37</v>
      </c>
      <c r="AA352" s="11">
        <v>433.03</v>
      </c>
      <c r="AB352" s="16">
        <v>124859.87</v>
      </c>
      <c r="AC352" s="16">
        <v>91403.97</v>
      </c>
      <c r="AD352" s="13">
        <v>1.37</v>
      </c>
      <c r="AE352" s="11">
        <v>266.48</v>
      </c>
      <c r="AF352" s="16">
        <v>76836.84</v>
      </c>
      <c r="AG352" s="12">
        <v>56248.6</v>
      </c>
      <c r="AH352" s="13">
        <v>1.37</v>
      </c>
      <c r="AI352" s="11">
        <v>233.17099999999999</v>
      </c>
      <c r="AJ352" s="16">
        <v>67232.53</v>
      </c>
      <c r="AK352" s="16">
        <v>49217.73</v>
      </c>
      <c r="AL352" s="13">
        <v>1.37</v>
      </c>
      <c r="AM352" s="11">
        <v>199.86</v>
      </c>
      <c r="AN352" s="16">
        <v>57627.63</v>
      </c>
      <c r="AO352" s="16">
        <v>42186.45</v>
      </c>
      <c r="AP352" s="13">
        <v>1.37</v>
      </c>
      <c r="AQ352" s="11">
        <v>199.86</v>
      </c>
      <c r="AR352" s="16">
        <v>57627.63</v>
      </c>
      <c r="AS352" s="16">
        <v>42186.45</v>
      </c>
      <c r="AT352" s="13">
        <v>1.37</v>
      </c>
      <c r="AU352" s="11">
        <v>199.86</v>
      </c>
      <c r="AV352" s="16">
        <v>57627.63</v>
      </c>
      <c r="AW352" s="16">
        <v>42186.45</v>
      </c>
      <c r="AX352" s="13">
        <v>1.37</v>
      </c>
      <c r="AY352" s="18">
        <v>3331.0030000000002</v>
      </c>
      <c r="AZ352" s="12">
        <v>960461.4</v>
      </c>
      <c r="BA352" s="16">
        <v>703108.12</v>
      </c>
      <c r="BB352" s="13">
        <v>1.37</v>
      </c>
    </row>
    <row r="353" spans="1:54" x14ac:dyDescent="0.25">
      <c r="A353" s="10" t="s">
        <v>30</v>
      </c>
      <c r="B353" s="10" t="s">
        <v>97</v>
      </c>
      <c r="C353" s="11">
        <v>30.8</v>
      </c>
      <c r="D353" s="16">
        <v>193021.75</v>
      </c>
      <c r="E353" s="16">
        <v>106375.19</v>
      </c>
      <c r="F353" s="13">
        <v>1.81</v>
      </c>
      <c r="G353" s="11">
        <v>38.5</v>
      </c>
      <c r="H353" s="16">
        <v>241277.19</v>
      </c>
      <c r="I353" s="16">
        <v>132968.99</v>
      </c>
      <c r="J353" s="13">
        <v>1.81</v>
      </c>
      <c r="K353" s="11">
        <v>46.2</v>
      </c>
      <c r="L353" s="16">
        <v>289532.63</v>
      </c>
      <c r="M353" s="16">
        <v>159562.79</v>
      </c>
      <c r="N353" s="13">
        <v>1.81</v>
      </c>
      <c r="O353" s="11">
        <v>53.9</v>
      </c>
      <c r="P353" s="16">
        <v>337788.07</v>
      </c>
      <c r="Q353" s="16">
        <v>186156.59</v>
      </c>
      <c r="R353" s="13">
        <v>1.81</v>
      </c>
      <c r="S353" s="11">
        <v>69.3</v>
      </c>
      <c r="T353" s="16">
        <v>434298.94</v>
      </c>
      <c r="U353" s="16">
        <v>239344.18</v>
      </c>
      <c r="V353" s="13">
        <v>1.81</v>
      </c>
      <c r="W353" s="11">
        <v>84.7</v>
      </c>
      <c r="X353" s="16">
        <v>530809.81999999995</v>
      </c>
      <c r="Y353" s="16">
        <v>292531.78000000003</v>
      </c>
      <c r="Z353" s="13">
        <v>1.81</v>
      </c>
      <c r="AA353" s="11">
        <v>92.4</v>
      </c>
      <c r="AB353" s="16">
        <v>579065.26</v>
      </c>
      <c r="AC353" s="16">
        <v>319125.58</v>
      </c>
      <c r="AD353" s="13">
        <v>1.81</v>
      </c>
      <c r="AE353" s="11">
        <v>77</v>
      </c>
      <c r="AF353" s="16">
        <v>482554.38</v>
      </c>
      <c r="AG353" s="16">
        <v>265937.98</v>
      </c>
      <c r="AH353" s="13">
        <v>1.81</v>
      </c>
      <c r="AI353" s="11">
        <v>77</v>
      </c>
      <c r="AJ353" s="16">
        <v>482554.38</v>
      </c>
      <c r="AK353" s="16">
        <v>265937.98</v>
      </c>
      <c r="AL353" s="13">
        <v>1.81</v>
      </c>
      <c r="AM353" s="11">
        <v>61.6</v>
      </c>
      <c r="AN353" s="12">
        <v>386043.5</v>
      </c>
      <c r="AO353" s="16">
        <v>212750.38</v>
      </c>
      <c r="AP353" s="13">
        <v>1.81</v>
      </c>
      <c r="AQ353" s="11">
        <v>69.3</v>
      </c>
      <c r="AR353" s="16">
        <v>434298.94</v>
      </c>
      <c r="AS353" s="16">
        <v>239344.18</v>
      </c>
      <c r="AT353" s="13">
        <v>1.81</v>
      </c>
      <c r="AU353" s="11">
        <v>69.3</v>
      </c>
      <c r="AV353" s="16">
        <v>434298.94</v>
      </c>
      <c r="AW353" s="16">
        <v>239344.18</v>
      </c>
      <c r="AX353" s="13">
        <v>1.81</v>
      </c>
      <c r="AY353" s="11">
        <v>770</v>
      </c>
      <c r="AZ353" s="12">
        <v>4825543.8</v>
      </c>
      <c r="BA353" s="12">
        <v>2659379.7999999998</v>
      </c>
      <c r="BB353" s="13">
        <v>1.81</v>
      </c>
    </row>
    <row r="354" spans="1:54" x14ac:dyDescent="0.25">
      <c r="A354" s="10" t="s">
        <v>30</v>
      </c>
      <c r="B354" s="10" t="s">
        <v>98</v>
      </c>
      <c r="C354" s="11">
        <v>57.603999999999999</v>
      </c>
      <c r="D354" s="16">
        <v>75479.67</v>
      </c>
      <c r="E354" s="16">
        <v>42799.77</v>
      </c>
      <c r="F354" s="13">
        <v>1.76</v>
      </c>
      <c r="G354" s="11">
        <v>72.004999999999995</v>
      </c>
      <c r="H354" s="16">
        <v>94349.59</v>
      </c>
      <c r="I354" s="16">
        <v>53499.72</v>
      </c>
      <c r="J354" s="13">
        <v>1.76</v>
      </c>
      <c r="K354" s="11">
        <v>86.405000000000001</v>
      </c>
      <c r="L354" s="12">
        <v>113218.2</v>
      </c>
      <c r="M354" s="16">
        <v>64198.92</v>
      </c>
      <c r="N354" s="13">
        <v>1.76</v>
      </c>
      <c r="O354" s="11">
        <v>91.081000000000003</v>
      </c>
      <c r="P354" s="16">
        <v>119345.26</v>
      </c>
      <c r="Q354" s="16">
        <v>67673.179999999993</v>
      </c>
      <c r="R354" s="13">
        <v>1.76</v>
      </c>
      <c r="S354" s="11">
        <v>117.104</v>
      </c>
      <c r="T354" s="16">
        <v>153443.71</v>
      </c>
      <c r="U354" s="16">
        <v>87008.27</v>
      </c>
      <c r="V354" s="13">
        <v>1.76</v>
      </c>
      <c r="W354" s="11">
        <v>143.12799999999999</v>
      </c>
      <c r="X354" s="16">
        <v>187543.48</v>
      </c>
      <c r="Y354" s="12">
        <v>106344.1</v>
      </c>
      <c r="Z354" s="13">
        <v>1.76</v>
      </c>
      <c r="AA354" s="11">
        <v>156.13900000000001</v>
      </c>
      <c r="AB354" s="16">
        <v>204592.05</v>
      </c>
      <c r="AC354" s="16">
        <v>116011.28</v>
      </c>
      <c r="AD354" s="13">
        <v>1.76</v>
      </c>
      <c r="AE354" s="11">
        <v>130.11600000000001</v>
      </c>
      <c r="AF354" s="12">
        <v>170493.6</v>
      </c>
      <c r="AG354" s="16">
        <v>96676.19</v>
      </c>
      <c r="AH354" s="13">
        <v>1.76</v>
      </c>
      <c r="AI354" s="11">
        <v>130.11600000000001</v>
      </c>
      <c r="AJ354" s="12">
        <v>170493.6</v>
      </c>
      <c r="AK354" s="16">
        <v>96676.19</v>
      </c>
      <c r="AL354" s="13">
        <v>1.76</v>
      </c>
      <c r="AM354" s="11">
        <v>104.093</v>
      </c>
      <c r="AN354" s="16">
        <v>136395.14000000001</v>
      </c>
      <c r="AO354" s="12">
        <v>77341.100000000006</v>
      </c>
      <c r="AP354" s="13">
        <v>1.76</v>
      </c>
      <c r="AQ354" s="11">
        <v>117.104</v>
      </c>
      <c r="AR354" s="16">
        <v>153443.71</v>
      </c>
      <c r="AS354" s="16">
        <v>87008.27</v>
      </c>
      <c r="AT354" s="13">
        <v>1.76</v>
      </c>
      <c r="AU354" s="11">
        <v>117.104</v>
      </c>
      <c r="AV354" s="16">
        <v>153443.71</v>
      </c>
      <c r="AW354" s="16">
        <v>87008.27</v>
      </c>
      <c r="AX354" s="13">
        <v>1.76</v>
      </c>
      <c r="AY354" s="18">
        <v>1321.999</v>
      </c>
      <c r="AZ354" s="16">
        <v>1732241.72</v>
      </c>
      <c r="BA354" s="16">
        <v>982245.26</v>
      </c>
      <c r="BB354" s="13">
        <v>1.76</v>
      </c>
    </row>
    <row r="355" spans="1:54" x14ac:dyDescent="0.25">
      <c r="A355" s="10" t="s">
        <v>30</v>
      </c>
      <c r="B355" s="10" t="s">
        <v>99</v>
      </c>
      <c r="C355" s="11">
        <v>117.996</v>
      </c>
      <c r="D355" s="16">
        <v>132667.62</v>
      </c>
      <c r="E355" s="16">
        <v>77929.279999999999</v>
      </c>
      <c r="F355" s="13">
        <v>1.7</v>
      </c>
      <c r="G355" s="11">
        <v>147.49600000000001</v>
      </c>
      <c r="H355" s="16">
        <v>165835.65</v>
      </c>
      <c r="I355" s="16">
        <v>97412.26</v>
      </c>
      <c r="J355" s="13">
        <v>1.7</v>
      </c>
      <c r="K355" s="11">
        <v>176.995</v>
      </c>
      <c r="L355" s="16">
        <v>199002.56</v>
      </c>
      <c r="M355" s="16">
        <v>116894.58</v>
      </c>
      <c r="N355" s="13">
        <v>1.7</v>
      </c>
      <c r="O355" s="11">
        <v>186.572</v>
      </c>
      <c r="P355" s="16">
        <v>209770.36</v>
      </c>
      <c r="Q355" s="16">
        <v>123219.61</v>
      </c>
      <c r="R355" s="13">
        <v>1.7</v>
      </c>
      <c r="S355" s="11">
        <v>239.87799999999999</v>
      </c>
      <c r="T355" s="16">
        <v>269704.43</v>
      </c>
      <c r="U355" s="16">
        <v>158425.03</v>
      </c>
      <c r="V355" s="13">
        <v>1.7</v>
      </c>
      <c r="W355" s="11">
        <v>293.18400000000003</v>
      </c>
      <c r="X355" s="12">
        <v>329638.5</v>
      </c>
      <c r="Y355" s="16">
        <v>193630.44</v>
      </c>
      <c r="Z355" s="13">
        <v>1.7</v>
      </c>
      <c r="AA355" s="11">
        <v>319.83600000000001</v>
      </c>
      <c r="AB355" s="16">
        <v>359604.41</v>
      </c>
      <c r="AC355" s="16">
        <v>211232.49</v>
      </c>
      <c r="AD355" s="13">
        <v>1.7</v>
      </c>
      <c r="AE355" s="11">
        <v>266.52999999999997</v>
      </c>
      <c r="AF355" s="16">
        <v>299670.34000000003</v>
      </c>
      <c r="AG355" s="16">
        <v>176027.07</v>
      </c>
      <c r="AH355" s="13">
        <v>1.7</v>
      </c>
      <c r="AI355" s="11">
        <v>266.53100000000001</v>
      </c>
      <c r="AJ355" s="16">
        <v>299671.46000000002</v>
      </c>
      <c r="AK355" s="16">
        <v>176027.73</v>
      </c>
      <c r="AL355" s="13">
        <v>1.7</v>
      </c>
      <c r="AM355" s="11">
        <v>213.22499999999999</v>
      </c>
      <c r="AN355" s="12">
        <v>239737.4</v>
      </c>
      <c r="AO355" s="16">
        <v>140822.32</v>
      </c>
      <c r="AP355" s="13">
        <v>1.7</v>
      </c>
      <c r="AQ355" s="11">
        <v>239.87799999999999</v>
      </c>
      <c r="AR355" s="16">
        <v>269704.43</v>
      </c>
      <c r="AS355" s="16">
        <v>158425.03</v>
      </c>
      <c r="AT355" s="13">
        <v>1.7</v>
      </c>
      <c r="AU355" s="11">
        <v>239.87799999999999</v>
      </c>
      <c r="AV355" s="16">
        <v>269704.43</v>
      </c>
      <c r="AW355" s="16">
        <v>158425.03</v>
      </c>
      <c r="AX355" s="13">
        <v>1.7</v>
      </c>
      <c r="AY355" s="18">
        <v>2707.9989999999998</v>
      </c>
      <c r="AZ355" s="16">
        <v>3044711.59</v>
      </c>
      <c r="BA355" s="16">
        <v>1788470.87</v>
      </c>
      <c r="BB355" s="13">
        <v>1.7</v>
      </c>
    </row>
    <row r="356" spans="1:54" x14ac:dyDescent="0.25">
      <c r="A356" s="10" t="s">
        <v>30</v>
      </c>
      <c r="B356" s="10" t="s">
        <v>100</v>
      </c>
      <c r="C356" s="11">
        <v>10</v>
      </c>
      <c r="D356" s="12">
        <v>65542.5</v>
      </c>
      <c r="E356" s="15">
        <v>38500</v>
      </c>
      <c r="F356" s="13">
        <v>1.7</v>
      </c>
      <c r="G356" s="11">
        <v>12.5</v>
      </c>
      <c r="H356" s="16">
        <v>81928.13</v>
      </c>
      <c r="I356" s="15">
        <v>48125</v>
      </c>
      <c r="J356" s="13">
        <v>1.7</v>
      </c>
      <c r="K356" s="11">
        <v>15</v>
      </c>
      <c r="L356" s="16">
        <v>98313.75</v>
      </c>
      <c r="M356" s="15">
        <v>57750</v>
      </c>
      <c r="N356" s="13">
        <v>1.7</v>
      </c>
      <c r="O356" s="11">
        <v>17.5</v>
      </c>
      <c r="P356" s="16">
        <v>114699.38</v>
      </c>
      <c r="Q356" s="15">
        <v>67375</v>
      </c>
      <c r="R356" s="13">
        <v>1.7</v>
      </c>
      <c r="S356" s="11">
        <v>22.5</v>
      </c>
      <c r="T356" s="16">
        <v>147470.63</v>
      </c>
      <c r="U356" s="15">
        <v>86625</v>
      </c>
      <c r="V356" s="13">
        <v>1.7</v>
      </c>
      <c r="W356" s="11">
        <v>27.5</v>
      </c>
      <c r="X356" s="16">
        <v>180241.88</v>
      </c>
      <c r="Y356" s="15">
        <v>105875</v>
      </c>
      <c r="Z356" s="13">
        <v>1.7</v>
      </c>
      <c r="AA356" s="11">
        <v>30</v>
      </c>
      <c r="AB356" s="12">
        <v>196627.5</v>
      </c>
      <c r="AC356" s="15">
        <v>115500</v>
      </c>
      <c r="AD356" s="13">
        <v>1.7</v>
      </c>
      <c r="AE356" s="11">
        <v>25</v>
      </c>
      <c r="AF356" s="16">
        <v>163856.25</v>
      </c>
      <c r="AG356" s="15">
        <v>96250</v>
      </c>
      <c r="AH356" s="13">
        <v>1.7</v>
      </c>
      <c r="AI356" s="11">
        <v>25</v>
      </c>
      <c r="AJ356" s="16">
        <v>163856.25</v>
      </c>
      <c r="AK356" s="15">
        <v>96250</v>
      </c>
      <c r="AL356" s="13">
        <v>1.7</v>
      </c>
      <c r="AM356" s="11">
        <v>20</v>
      </c>
      <c r="AN356" s="15">
        <v>131085</v>
      </c>
      <c r="AO356" s="15">
        <v>77000</v>
      </c>
      <c r="AP356" s="13">
        <v>1.7</v>
      </c>
      <c r="AQ356" s="11">
        <v>22.5</v>
      </c>
      <c r="AR356" s="16">
        <v>147470.63</v>
      </c>
      <c r="AS356" s="15">
        <v>86625</v>
      </c>
      <c r="AT356" s="13">
        <v>1.7</v>
      </c>
      <c r="AU356" s="11">
        <v>22.5</v>
      </c>
      <c r="AV356" s="16">
        <v>147470.63</v>
      </c>
      <c r="AW356" s="15">
        <v>86625</v>
      </c>
      <c r="AX356" s="13">
        <v>1.7</v>
      </c>
      <c r="AY356" s="11">
        <v>250</v>
      </c>
      <c r="AZ356" s="16">
        <v>1638562.53</v>
      </c>
      <c r="BA356" s="15">
        <v>962500</v>
      </c>
      <c r="BB356" s="13">
        <v>1.7</v>
      </c>
    </row>
    <row r="357" spans="1:54" x14ac:dyDescent="0.25">
      <c r="A357" s="10" t="s">
        <v>30</v>
      </c>
      <c r="B357" s="10" t="s">
        <v>101</v>
      </c>
      <c r="C357" s="11">
        <v>90</v>
      </c>
      <c r="D357" s="12">
        <v>40888.800000000003</v>
      </c>
      <c r="E357" s="12">
        <v>28049.4</v>
      </c>
      <c r="F357" s="13">
        <v>1.46</v>
      </c>
      <c r="G357" s="11">
        <v>150</v>
      </c>
      <c r="H357" s="15">
        <v>68148</v>
      </c>
      <c r="I357" s="15">
        <v>46749</v>
      </c>
      <c r="J357" s="13">
        <v>1.46</v>
      </c>
      <c r="K357" s="11">
        <v>240</v>
      </c>
      <c r="L357" s="12">
        <v>109036.8</v>
      </c>
      <c r="M357" s="12">
        <v>74798.399999999994</v>
      </c>
      <c r="N357" s="13">
        <v>1.46</v>
      </c>
      <c r="O357" s="11">
        <v>330</v>
      </c>
      <c r="P357" s="12">
        <v>149925.6</v>
      </c>
      <c r="Q357" s="12">
        <v>102847.8</v>
      </c>
      <c r="R357" s="13">
        <v>1.46</v>
      </c>
      <c r="S357" s="11">
        <v>360</v>
      </c>
      <c r="T357" s="12">
        <v>163555.20000000001</v>
      </c>
      <c r="U357" s="12">
        <v>112197.6</v>
      </c>
      <c r="V357" s="13">
        <v>1.46</v>
      </c>
      <c r="W357" s="11">
        <v>450</v>
      </c>
      <c r="X357" s="15">
        <v>204444</v>
      </c>
      <c r="Y357" s="15">
        <v>140247</v>
      </c>
      <c r="Z357" s="13">
        <v>1.46</v>
      </c>
      <c r="AA357" s="11">
        <v>390</v>
      </c>
      <c r="AB357" s="12">
        <v>177184.8</v>
      </c>
      <c r="AC357" s="12">
        <v>121547.4</v>
      </c>
      <c r="AD357" s="13">
        <v>1.46</v>
      </c>
      <c r="AE357" s="11">
        <v>240</v>
      </c>
      <c r="AF357" s="12">
        <v>109036.8</v>
      </c>
      <c r="AG357" s="12">
        <v>74798.399999999994</v>
      </c>
      <c r="AH357" s="13">
        <v>1.46</v>
      </c>
      <c r="AI357" s="11">
        <v>210</v>
      </c>
      <c r="AJ357" s="12">
        <v>95407.2</v>
      </c>
      <c r="AK357" s="12">
        <v>65448.6</v>
      </c>
      <c r="AL357" s="13">
        <v>1.46</v>
      </c>
      <c r="AM357" s="11">
        <v>180</v>
      </c>
      <c r="AN357" s="12">
        <v>81777.600000000006</v>
      </c>
      <c r="AO357" s="12">
        <v>56098.8</v>
      </c>
      <c r="AP357" s="13">
        <v>1.46</v>
      </c>
      <c r="AQ357" s="11">
        <v>180</v>
      </c>
      <c r="AR357" s="12">
        <v>81777.600000000006</v>
      </c>
      <c r="AS357" s="12">
        <v>56098.8</v>
      </c>
      <c r="AT357" s="13">
        <v>1.46</v>
      </c>
      <c r="AU357" s="11">
        <v>180</v>
      </c>
      <c r="AV357" s="12">
        <v>81777.600000000006</v>
      </c>
      <c r="AW357" s="12">
        <v>56098.8</v>
      </c>
      <c r="AX357" s="13">
        <v>1.46</v>
      </c>
      <c r="AY357" s="18">
        <v>3000</v>
      </c>
      <c r="AZ357" s="15">
        <v>1362960</v>
      </c>
      <c r="BA357" s="15">
        <v>934980</v>
      </c>
      <c r="BB357" s="13">
        <v>1.46</v>
      </c>
    </row>
    <row r="358" spans="1:54" x14ac:dyDescent="0.25">
      <c r="A358" s="10" t="s">
        <v>30</v>
      </c>
      <c r="B358" s="10" t="s">
        <v>102</v>
      </c>
      <c r="C358" s="11">
        <v>13.5</v>
      </c>
      <c r="D358" s="16">
        <v>7204.55</v>
      </c>
      <c r="E358" s="16">
        <v>4530.33</v>
      </c>
      <c r="F358" s="13">
        <v>1.59</v>
      </c>
      <c r="G358" s="11">
        <v>22.5</v>
      </c>
      <c r="H358" s="16">
        <v>12007.58</v>
      </c>
      <c r="I358" s="16">
        <v>7550.55</v>
      </c>
      <c r="J358" s="13">
        <v>1.59</v>
      </c>
      <c r="K358" s="11">
        <v>36</v>
      </c>
      <c r="L358" s="16">
        <v>19212.12</v>
      </c>
      <c r="M358" s="16">
        <v>12080.88</v>
      </c>
      <c r="N358" s="13">
        <v>1.59</v>
      </c>
      <c r="O358" s="11">
        <v>49.5</v>
      </c>
      <c r="P358" s="16">
        <v>26416.67</v>
      </c>
      <c r="Q358" s="16">
        <v>16611.21</v>
      </c>
      <c r="R358" s="13">
        <v>1.59</v>
      </c>
      <c r="S358" s="11">
        <v>54</v>
      </c>
      <c r="T358" s="16">
        <v>28818.18</v>
      </c>
      <c r="U358" s="16">
        <v>18121.32</v>
      </c>
      <c r="V358" s="13">
        <v>1.59</v>
      </c>
      <c r="W358" s="11">
        <v>67.5</v>
      </c>
      <c r="X358" s="16">
        <v>36022.730000000003</v>
      </c>
      <c r="Y358" s="16">
        <v>22651.65</v>
      </c>
      <c r="Z358" s="13">
        <v>1.59</v>
      </c>
      <c r="AA358" s="11">
        <v>58.5</v>
      </c>
      <c r="AB358" s="12">
        <v>31219.7</v>
      </c>
      <c r="AC358" s="16">
        <v>19631.43</v>
      </c>
      <c r="AD358" s="13">
        <v>1.59</v>
      </c>
      <c r="AE358" s="11">
        <v>36</v>
      </c>
      <c r="AF358" s="16">
        <v>19212.12</v>
      </c>
      <c r="AG358" s="16">
        <v>12080.88</v>
      </c>
      <c r="AH358" s="13">
        <v>1.59</v>
      </c>
      <c r="AI358" s="11">
        <v>31.5</v>
      </c>
      <c r="AJ358" s="16">
        <v>16810.61</v>
      </c>
      <c r="AK358" s="16">
        <v>10570.77</v>
      </c>
      <c r="AL358" s="13">
        <v>1.59</v>
      </c>
      <c r="AM358" s="11">
        <v>27</v>
      </c>
      <c r="AN358" s="16">
        <v>14409.09</v>
      </c>
      <c r="AO358" s="16">
        <v>9060.66</v>
      </c>
      <c r="AP358" s="13">
        <v>1.59</v>
      </c>
      <c r="AQ358" s="11">
        <v>27</v>
      </c>
      <c r="AR358" s="16">
        <v>14409.09</v>
      </c>
      <c r="AS358" s="16">
        <v>9060.66</v>
      </c>
      <c r="AT358" s="13">
        <v>1.59</v>
      </c>
      <c r="AU358" s="11">
        <v>27</v>
      </c>
      <c r="AV358" s="16">
        <v>14409.09</v>
      </c>
      <c r="AW358" s="16">
        <v>9060.66</v>
      </c>
      <c r="AX358" s="13">
        <v>1.59</v>
      </c>
      <c r="AY358" s="11">
        <v>450</v>
      </c>
      <c r="AZ358" s="16">
        <v>240151.53</v>
      </c>
      <c r="BA358" s="15">
        <v>151011</v>
      </c>
      <c r="BB358" s="13">
        <v>1.59</v>
      </c>
    </row>
    <row r="359" spans="1:54" x14ac:dyDescent="0.25">
      <c r="A359" s="10" t="s">
        <v>30</v>
      </c>
      <c r="B359" s="10" t="s">
        <v>103</v>
      </c>
      <c r="C359" s="11">
        <v>450</v>
      </c>
      <c r="D359" s="12">
        <v>152932.5</v>
      </c>
      <c r="E359" s="15">
        <v>95553</v>
      </c>
      <c r="F359" s="13">
        <v>1.6</v>
      </c>
      <c r="G359" s="11">
        <v>450</v>
      </c>
      <c r="H359" s="12">
        <v>152932.5</v>
      </c>
      <c r="I359" s="15">
        <v>95553</v>
      </c>
      <c r="J359" s="13">
        <v>1.6</v>
      </c>
      <c r="K359" s="11">
        <v>300</v>
      </c>
      <c r="L359" s="15">
        <v>101955</v>
      </c>
      <c r="M359" s="15">
        <v>63702</v>
      </c>
      <c r="N359" s="13">
        <v>1.6</v>
      </c>
      <c r="O359" s="18">
        <v>2250</v>
      </c>
      <c r="P359" s="12">
        <v>764662.5</v>
      </c>
      <c r="Q359" s="15">
        <v>477765</v>
      </c>
      <c r="R359" s="13">
        <v>1.6</v>
      </c>
      <c r="S359" s="18">
        <v>2250</v>
      </c>
      <c r="T359" s="12">
        <v>764662.5</v>
      </c>
      <c r="U359" s="15">
        <v>477765</v>
      </c>
      <c r="V359" s="13">
        <v>1.6</v>
      </c>
      <c r="W359" s="18">
        <v>2400</v>
      </c>
      <c r="X359" s="15">
        <v>815640</v>
      </c>
      <c r="Y359" s="15">
        <v>509616</v>
      </c>
      <c r="Z359" s="13">
        <v>1.6</v>
      </c>
      <c r="AA359" s="18">
        <v>1950</v>
      </c>
      <c r="AB359" s="12">
        <v>662707.5</v>
      </c>
      <c r="AC359" s="15">
        <v>414063</v>
      </c>
      <c r="AD359" s="13">
        <v>1.6</v>
      </c>
      <c r="AE359" s="18">
        <v>1200</v>
      </c>
      <c r="AF359" s="15">
        <v>407820</v>
      </c>
      <c r="AG359" s="15">
        <v>254808</v>
      </c>
      <c r="AH359" s="13">
        <v>1.6</v>
      </c>
      <c r="AI359" s="18">
        <v>1050</v>
      </c>
      <c r="AJ359" s="12">
        <v>356842.5</v>
      </c>
      <c r="AK359" s="15">
        <v>222957</v>
      </c>
      <c r="AL359" s="13">
        <v>1.6</v>
      </c>
      <c r="AM359" s="11">
        <v>900</v>
      </c>
      <c r="AN359" s="15">
        <v>305865</v>
      </c>
      <c r="AO359" s="15">
        <v>191106</v>
      </c>
      <c r="AP359" s="13">
        <v>1.6</v>
      </c>
      <c r="AQ359" s="11">
        <v>900</v>
      </c>
      <c r="AR359" s="15">
        <v>305865</v>
      </c>
      <c r="AS359" s="15">
        <v>191106</v>
      </c>
      <c r="AT359" s="13">
        <v>1.6</v>
      </c>
      <c r="AU359" s="11">
        <v>900</v>
      </c>
      <c r="AV359" s="15">
        <v>305865</v>
      </c>
      <c r="AW359" s="15">
        <v>191106</v>
      </c>
      <c r="AX359" s="13">
        <v>1.6</v>
      </c>
      <c r="AY359" s="18">
        <v>15000</v>
      </c>
      <c r="AZ359" s="15">
        <v>5097750</v>
      </c>
      <c r="BA359" s="15">
        <v>3185100</v>
      </c>
      <c r="BB359" s="13">
        <v>1.6</v>
      </c>
    </row>
    <row r="360" spans="1:54" x14ac:dyDescent="0.25">
      <c r="A360" s="10" t="s">
        <v>30</v>
      </c>
      <c r="B360" s="10" t="s">
        <v>104</v>
      </c>
      <c r="C360" s="11">
        <v>8.67</v>
      </c>
      <c r="D360" s="16">
        <v>5771.19</v>
      </c>
      <c r="E360" s="16">
        <v>3494.62</v>
      </c>
      <c r="F360" s="13">
        <v>1.65</v>
      </c>
      <c r="G360" s="11">
        <v>14.45</v>
      </c>
      <c r="H360" s="16">
        <v>9618.64</v>
      </c>
      <c r="I360" s="16">
        <v>5824.36</v>
      </c>
      <c r="J360" s="13">
        <v>1.65</v>
      </c>
      <c r="K360" s="11">
        <v>23.12</v>
      </c>
      <c r="L360" s="16">
        <v>15389.83</v>
      </c>
      <c r="M360" s="16">
        <v>9318.98</v>
      </c>
      <c r="N360" s="13">
        <v>1.65</v>
      </c>
      <c r="O360" s="11">
        <v>31.79</v>
      </c>
      <c r="P360" s="16">
        <v>21161.01</v>
      </c>
      <c r="Q360" s="12">
        <v>12813.6</v>
      </c>
      <c r="R360" s="13">
        <v>1.65</v>
      </c>
      <c r="S360" s="11">
        <v>34.68</v>
      </c>
      <c r="T360" s="16">
        <v>23084.74</v>
      </c>
      <c r="U360" s="16">
        <v>13978.47</v>
      </c>
      <c r="V360" s="13">
        <v>1.65</v>
      </c>
      <c r="W360" s="11">
        <v>43.348999999999997</v>
      </c>
      <c r="X360" s="16">
        <v>28855.26</v>
      </c>
      <c r="Y360" s="16">
        <v>17472.68</v>
      </c>
      <c r="Z360" s="13">
        <v>1.65</v>
      </c>
      <c r="AA360" s="11">
        <v>37.569000000000003</v>
      </c>
      <c r="AB360" s="12">
        <v>25007.8</v>
      </c>
      <c r="AC360" s="16">
        <v>15142.94</v>
      </c>
      <c r="AD360" s="13">
        <v>1.65</v>
      </c>
      <c r="AE360" s="11">
        <v>23.12</v>
      </c>
      <c r="AF360" s="16">
        <v>15389.83</v>
      </c>
      <c r="AG360" s="16">
        <v>9318.98</v>
      </c>
      <c r="AH360" s="13">
        <v>1.65</v>
      </c>
      <c r="AI360" s="11">
        <v>20.23</v>
      </c>
      <c r="AJ360" s="12">
        <v>13466.1</v>
      </c>
      <c r="AK360" s="16">
        <v>8154.11</v>
      </c>
      <c r="AL360" s="13">
        <v>1.65</v>
      </c>
      <c r="AM360" s="11">
        <v>17.34</v>
      </c>
      <c r="AN360" s="16">
        <v>11542.37</v>
      </c>
      <c r="AO360" s="16">
        <v>6989.23</v>
      </c>
      <c r="AP360" s="13">
        <v>1.65</v>
      </c>
      <c r="AQ360" s="11">
        <v>17.34</v>
      </c>
      <c r="AR360" s="16">
        <v>11542.37</v>
      </c>
      <c r="AS360" s="16">
        <v>6989.23</v>
      </c>
      <c r="AT360" s="13">
        <v>1.65</v>
      </c>
      <c r="AU360" s="11">
        <v>17.34</v>
      </c>
      <c r="AV360" s="16">
        <v>11542.37</v>
      </c>
      <c r="AW360" s="16">
        <v>6989.23</v>
      </c>
      <c r="AX360" s="13">
        <v>1.65</v>
      </c>
      <c r="AY360" s="11">
        <v>288.99799999999999</v>
      </c>
      <c r="AZ360" s="16">
        <v>192371.51</v>
      </c>
      <c r="BA360" s="16">
        <v>116486.43</v>
      </c>
      <c r="BB360" s="13">
        <v>1.65</v>
      </c>
    </row>
    <row r="361" spans="1:54" x14ac:dyDescent="0.25">
      <c r="A361" s="10" t="s">
        <v>30</v>
      </c>
      <c r="B361" s="10" t="s">
        <v>105</v>
      </c>
      <c r="C361" s="11">
        <v>21.6</v>
      </c>
      <c r="D361" s="12">
        <v>15169.9</v>
      </c>
      <c r="E361" s="16">
        <v>8313.41</v>
      </c>
      <c r="F361" s="13">
        <v>1.82</v>
      </c>
      <c r="G361" s="11">
        <v>36</v>
      </c>
      <c r="H361" s="16">
        <v>25283.16</v>
      </c>
      <c r="I361" s="16">
        <v>13855.68</v>
      </c>
      <c r="J361" s="13">
        <v>1.82</v>
      </c>
      <c r="K361" s="11">
        <v>57.6</v>
      </c>
      <c r="L361" s="16">
        <v>40453.06</v>
      </c>
      <c r="M361" s="16">
        <v>22169.09</v>
      </c>
      <c r="N361" s="13">
        <v>1.82</v>
      </c>
      <c r="O361" s="11">
        <v>79.2</v>
      </c>
      <c r="P361" s="16">
        <v>55622.95</v>
      </c>
      <c r="Q361" s="12">
        <v>30482.5</v>
      </c>
      <c r="R361" s="13">
        <v>1.82</v>
      </c>
      <c r="S361" s="11">
        <v>86.4</v>
      </c>
      <c r="T361" s="16">
        <v>60679.58</v>
      </c>
      <c r="U361" s="16">
        <v>33253.629999999997</v>
      </c>
      <c r="V361" s="13">
        <v>1.82</v>
      </c>
      <c r="W361" s="11">
        <v>108</v>
      </c>
      <c r="X361" s="16">
        <v>75849.48</v>
      </c>
      <c r="Y361" s="16">
        <v>41567.040000000001</v>
      </c>
      <c r="Z361" s="13">
        <v>1.82</v>
      </c>
      <c r="AA361" s="11">
        <v>93.6</v>
      </c>
      <c r="AB361" s="16">
        <v>65736.22</v>
      </c>
      <c r="AC361" s="16">
        <v>36024.769999999997</v>
      </c>
      <c r="AD361" s="13">
        <v>1.82</v>
      </c>
      <c r="AE361" s="11">
        <v>57.6</v>
      </c>
      <c r="AF361" s="16">
        <v>40453.06</v>
      </c>
      <c r="AG361" s="16">
        <v>22169.09</v>
      </c>
      <c r="AH361" s="13">
        <v>1.82</v>
      </c>
      <c r="AI361" s="11">
        <v>50.4</v>
      </c>
      <c r="AJ361" s="16">
        <v>35396.42</v>
      </c>
      <c r="AK361" s="16">
        <v>19397.95</v>
      </c>
      <c r="AL361" s="13">
        <v>1.82</v>
      </c>
      <c r="AM361" s="11">
        <v>43.2</v>
      </c>
      <c r="AN361" s="16">
        <v>30339.79</v>
      </c>
      <c r="AO361" s="16">
        <v>16626.82</v>
      </c>
      <c r="AP361" s="13">
        <v>1.82</v>
      </c>
      <c r="AQ361" s="11">
        <v>43.2</v>
      </c>
      <c r="AR361" s="16">
        <v>30339.79</v>
      </c>
      <c r="AS361" s="16">
        <v>16626.82</v>
      </c>
      <c r="AT361" s="13">
        <v>1.82</v>
      </c>
      <c r="AU361" s="11">
        <v>43.2</v>
      </c>
      <c r="AV361" s="16">
        <v>30339.79</v>
      </c>
      <c r="AW361" s="16">
        <v>16626.82</v>
      </c>
      <c r="AX361" s="13">
        <v>1.82</v>
      </c>
      <c r="AY361" s="11">
        <v>720</v>
      </c>
      <c r="AZ361" s="12">
        <v>505663.2</v>
      </c>
      <c r="BA361" s="16">
        <v>277113.62</v>
      </c>
      <c r="BB361" s="13">
        <v>1.82</v>
      </c>
    </row>
    <row r="362" spans="1:54" x14ac:dyDescent="0.25">
      <c r="A362" s="10" t="s">
        <v>30</v>
      </c>
      <c r="B362" s="10" t="s">
        <v>106</v>
      </c>
      <c r="C362" s="11">
        <v>33</v>
      </c>
      <c r="D362" s="16">
        <v>16630.68</v>
      </c>
      <c r="E362" s="12">
        <v>9596.4</v>
      </c>
      <c r="F362" s="13">
        <v>1.73</v>
      </c>
      <c r="G362" s="11">
        <v>55</v>
      </c>
      <c r="H362" s="12">
        <v>27717.8</v>
      </c>
      <c r="I362" s="15">
        <v>15994</v>
      </c>
      <c r="J362" s="13">
        <v>1.73</v>
      </c>
      <c r="K362" s="11">
        <v>88</v>
      </c>
      <c r="L362" s="16">
        <v>44348.480000000003</v>
      </c>
      <c r="M362" s="12">
        <v>25590.400000000001</v>
      </c>
      <c r="N362" s="13">
        <v>1.73</v>
      </c>
      <c r="O362" s="11">
        <v>121</v>
      </c>
      <c r="P362" s="16">
        <v>60979.16</v>
      </c>
      <c r="Q362" s="12">
        <v>35186.800000000003</v>
      </c>
      <c r="R362" s="13">
        <v>1.73</v>
      </c>
      <c r="S362" s="11">
        <v>132</v>
      </c>
      <c r="T362" s="16">
        <v>66522.720000000001</v>
      </c>
      <c r="U362" s="12">
        <v>38385.599999999999</v>
      </c>
      <c r="V362" s="13">
        <v>1.73</v>
      </c>
      <c r="W362" s="11">
        <v>165</v>
      </c>
      <c r="X362" s="12">
        <v>83153.399999999994</v>
      </c>
      <c r="Y362" s="15">
        <v>47982</v>
      </c>
      <c r="Z362" s="13">
        <v>1.73</v>
      </c>
      <c r="AA362" s="11">
        <v>143</v>
      </c>
      <c r="AB362" s="16">
        <v>72066.28</v>
      </c>
      <c r="AC362" s="12">
        <v>41584.400000000001</v>
      </c>
      <c r="AD362" s="13">
        <v>1.73</v>
      </c>
      <c r="AE362" s="11">
        <v>88</v>
      </c>
      <c r="AF362" s="16">
        <v>44348.480000000003</v>
      </c>
      <c r="AG362" s="12">
        <v>25590.400000000001</v>
      </c>
      <c r="AH362" s="13">
        <v>1.73</v>
      </c>
      <c r="AI362" s="11">
        <v>77</v>
      </c>
      <c r="AJ362" s="16">
        <v>38804.92</v>
      </c>
      <c r="AK362" s="12">
        <v>22391.599999999999</v>
      </c>
      <c r="AL362" s="13">
        <v>1.73</v>
      </c>
      <c r="AM362" s="11">
        <v>66</v>
      </c>
      <c r="AN362" s="16">
        <v>33261.360000000001</v>
      </c>
      <c r="AO362" s="12">
        <v>19192.8</v>
      </c>
      <c r="AP362" s="13">
        <v>1.73</v>
      </c>
      <c r="AQ362" s="11">
        <v>66</v>
      </c>
      <c r="AR362" s="16">
        <v>33261.360000000001</v>
      </c>
      <c r="AS362" s="12">
        <v>19192.8</v>
      </c>
      <c r="AT362" s="13">
        <v>1.73</v>
      </c>
      <c r="AU362" s="11">
        <v>66</v>
      </c>
      <c r="AV362" s="16">
        <v>33261.360000000001</v>
      </c>
      <c r="AW362" s="12">
        <v>19192.8</v>
      </c>
      <c r="AX362" s="13">
        <v>1.73</v>
      </c>
      <c r="AY362" s="18">
        <v>1100</v>
      </c>
      <c r="AZ362" s="15">
        <v>554356</v>
      </c>
      <c r="BA362" s="15">
        <v>319880</v>
      </c>
      <c r="BB362" s="13">
        <v>1.73</v>
      </c>
    </row>
    <row r="363" spans="1:54" x14ac:dyDescent="0.25">
      <c r="A363" s="10" t="s">
        <v>30</v>
      </c>
      <c r="B363" s="10" t="s">
        <v>107</v>
      </c>
      <c r="C363" s="11">
        <v>214.482</v>
      </c>
      <c r="D363" s="16">
        <v>81981.45</v>
      </c>
      <c r="E363" s="16">
        <v>50261.71</v>
      </c>
      <c r="F363" s="13">
        <v>1.63</v>
      </c>
      <c r="G363" s="11">
        <v>357.47</v>
      </c>
      <c r="H363" s="16">
        <v>136635.76</v>
      </c>
      <c r="I363" s="16">
        <v>83769.52</v>
      </c>
      <c r="J363" s="13">
        <v>1.63</v>
      </c>
      <c r="K363" s="11">
        <v>571.952</v>
      </c>
      <c r="L363" s="16">
        <v>218617.21</v>
      </c>
      <c r="M363" s="16">
        <v>134031.23000000001</v>
      </c>
      <c r="N363" s="13">
        <v>1.63</v>
      </c>
      <c r="O363" s="11">
        <v>710.56</v>
      </c>
      <c r="P363" s="16">
        <v>271597.34999999998</v>
      </c>
      <c r="Q363" s="16">
        <v>166512.63</v>
      </c>
      <c r="R363" s="13">
        <v>1.63</v>
      </c>
      <c r="S363" s="11">
        <v>775.15700000000004</v>
      </c>
      <c r="T363" s="16">
        <v>296288.26</v>
      </c>
      <c r="U363" s="16">
        <v>181650.29</v>
      </c>
      <c r="V363" s="13">
        <v>1.63</v>
      </c>
      <c r="W363" s="11">
        <v>968.94600000000003</v>
      </c>
      <c r="X363" s="16">
        <v>370360.23</v>
      </c>
      <c r="Y363" s="16">
        <v>227062.81</v>
      </c>
      <c r="Z363" s="13">
        <v>1.63</v>
      </c>
      <c r="AA363" s="11">
        <v>839.75300000000004</v>
      </c>
      <c r="AB363" s="16">
        <v>320978.78999999998</v>
      </c>
      <c r="AC363" s="16">
        <v>196787.72</v>
      </c>
      <c r="AD363" s="13">
        <v>1.63</v>
      </c>
      <c r="AE363" s="11">
        <v>516.77099999999996</v>
      </c>
      <c r="AF363" s="16">
        <v>197525.38</v>
      </c>
      <c r="AG363" s="16">
        <v>121100.12</v>
      </c>
      <c r="AH363" s="13">
        <v>1.63</v>
      </c>
      <c r="AI363" s="11">
        <v>452.17500000000001</v>
      </c>
      <c r="AJ363" s="16">
        <v>172834.85</v>
      </c>
      <c r="AK363" s="16">
        <v>105962.69</v>
      </c>
      <c r="AL363" s="13">
        <v>1.63</v>
      </c>
      <c r="AM363" s="11">
        <v>387.57799999999997</v>
      </c>
      <c r="AN363" s="16">
        <v>148143.94</v>
      </c>
      <c r="AO363" s="16">
        <v>90825.03</v>
      </c>
      <c r="AP363" s="13">
        <v>1.63</v>
      </c>
      <c r="AQ363" s="11">
        <v>387.57799999999997</v>
      </c>
      <c r="AR363" s="16">
        <v>148143.94</v>
      </c>
      <c r="AS363" s="16">
        <v>90825.03</v>
      </c>
      <c r="AT363" s="13">
        <v>1.63</v>
      </c>
      <c r="AU363" s="11">
        <v>387.57799999999997</v>
      </c>
      <c r="AV363" s="16">
        <v>148143.94</v>
      </c>
      <c r="AW363" s="16">
        <v>90825.03</v>
      </c>
      <c r="AX363" s="13">
        <v>1.63</v>
      </c>
      <c r="AY363" s="18">
        <v>6570</v>
      </c>
      <c r="AZ363" s="12">
        <v>2511251.1</v>
      </c>
      <c r="BA363" s="16">
        <v>1539613.81</v>
      </c>
      <c r="BB363" s="13">
        <v>1.63</v>
      </c>
    </row>
    <row r="364" spans="1:54" x14ac:dyDescent="0.25">
      <c r="A364" s="10" t="s">
        <v>30</v>
      </c>
      <c r="B364" s="10" t="s">
        <v>108</v>
      </c>
      <c r="C364" s="14"/>
      <c r="D364" s="14"/>
      <c r="E364" s="14"/>
      <c r="F364" s="14"/>
      <c r="G364" s="14"/>
      <c r="H364" s="14"/>
      <c r="I364" s="14"/>
      <c r="J364" s="14"/>
      <c r="K364" s="11">
        <v>716.59</v>
      </c>
      <c r="L364" s="16">
        <v>225553.87</v>
      </c>
      <c r="M364" s="16">
        <v>167617.57</v>
      </c>
      <c r="N364" s="13">
        <v>1.35</v>
      </c>
      <c r="O364" s="18">
        <v>1535.55</v>
      </c>
      <c r="P364" s="16">
        <v>483329.72</v>
      </c>
      <c r="Q364" s="12">
        <v>359180.5</v>
      </c>
      <c r="R364" s="13">
        <v>1.35</v>
      </c>
      <c r="S364" s="18">
        <v>1433.18</v>
      </c>
      <c r="T364" s="16">
        <v>451107.74</v>
      </c>
      <c r="U364" s="16">
        <v>335235.13</v>
      </c>
      <c r="V364" s="13">
        <v>1.35</v>
      </c>
      <c r="W364" s="18">
        <v>1740.29</v>
      </c>
      <c r="X364" s="16">
        <v>547773.68000000005</v>
      </c>
      <c r="Y364" s="16">
        <v>407071.23</v>
      </c>
      <c r="Z364" s="13">
        <v>1.35</v>
      </c>
      <c r="AA364" s="18">
        <v>1740.29</v>
      </c>
      <c r="AB364" s="16">
        <v>547773.68000000005</v>
      </c>
      <c r="AC364" s="16">
        <v>407071.23</v>
      </c>
      <c r="AD364" s="13">
        <v>1.35</v>
      </c>
      <c r="AE364" s="18">
        <v>1535.55</v>
      </c>
      <c r="AF364" s="16">
        <v>483329.72</v>
      </c>
      <c r="AG364" s="12">
        <v>359180.5</v>
      </c>
      <c r="AH364" s="13">
        <v>1.35</v>
      </c>
      <c r="AI364" s="11">
        <v>614.22</v>
      </c>
      <c r="AJ364" s="16">
        <v>193331.89</v>
      </c>
      <c r="AK364" s="12">
        <v>143672.20000000001</v>
      </c>
      <c r="AL364" s="13">
        <v>1.35</v>
      </c>
      <c r="AM364" s="11">
        <v>614.22</v>
      </c>
      <c r="AN364" s="16">
        <v>193331.89</v>
      </c>
      <c r="AO364" s="12">
        <v>143672.20000000001</v>
      </c>
      <c r="AP364" s="13">
        <v>1.35</v>
      </c>
      <c r="AQ364" s="11">
        <v>307.11</v>
      </c>
      <c r="AR364" s="16">
        <v>96665.94</v>
      </c>
      <c r="AS364" s="12">
        <v>71836.100000000006</v>
      </c>
      <c r="AT364" s="13">
        <v>1.35</v>
      </c>
      <c r="AU364" s="14"/>
      <c r="AV364" s="14"/>
      <c r="AW364" s="14"/>
      <c r="AX364" s="14"/>
      <c r="AY364" s="18">
        <v>10237</v>
      </c>
      <c r="AZ364" s="16">
        <v>3222198.13</v>
      </c>
      <c r="BA364" s="16">
        <v>2394536.66</v>
      </c>
      <c r="BB364" s="13">
        <v>1.35</v>
      </c>
    </row>
    <row r="365" spans="1:54" x14ac:dyDescent="0.25">
      <c r="A365" s="10" t="s">
        <v>30</v>
      </c>
      <c r="B365" s="10" t="s">
        <v>109</v>
      </c>
      <c r="C365" s="11">
        <v>166.00299999999999</v>
      </c>
      <c r="D365" s="16">
        <v>61680.07</v>
      </c>
      <c r="E365" s="16">
        <v>39289.589999999997</v>
      </c>
      <c r="F365" s="13">
        <v>1.57</v>
      </c>
      <c r="G365" s="11">
        <v>276.67200000000003</v>
      </c>
      <c r="H365" s="16">
        <v>102800.25</v>
      </c>
      <c r="I365" s="16">
        <v>65482.73</v>
      </c>
      <c r="J365" s="13">
        <v>1.57</v>
      </c>
      <c r="K365" s="11">
        <v>442.67500000000001</v>
      </c>
      <c r="L365" s="16">
        <v>164480.32000000001</v>
      </c>
      <c r="M365" s="16">
        <v>104772.32</v>
      </c>
      <c r="N365" s="13">
        <v>1.57</v>
      </c>
      <c r="O365" s="11">
        <v>549.95399999999995</v>
      </c>
      <c r="P365" s="16">
        <v>204340.91</v>
      </c>
      <c r="Q365" s="16">
        <v>130163.11</v>
      </c>
      <c r="R365" s="13">
        <v>1.57</v>
      </c>
      <c r="S365" s="11">
        <v>599.95000000000005</v>
      </c>
      <c r="T365" s="16">
        <v>222917.42</v>
      </c>
      <c r="U365" s="16">
        <v>141996.17000000001</v>
      </c>
      <c r="V365" s="13">
        <v>1.57</v>
      </c>
      <c r="W365" s="11">
        <v>749.93700000000001</v>
      </c>
      <c r="X365" s="16">
        <v>278646.59000000003</v>
      </c>
      <c r="Y365" s="16">
        <v>177495.09</v>
      </c>
      <c r="Z365" s="13">
        <v>1.57</v>
      </c>
      <c r="AA365" s="11">
        <v>649.94600000000003</v>
      </c>
      <c r="AB365" s="16">
        <v>241493.94</v>
      </c>
      <c r="AC365" s="16">
        <v>153829.22</v>
      </c>
      <c r="AD365" s="13">
        <v>1.57</v>
      </c>
      <c r="AE365" s="11">
        <v>399.96699999999998</v>
      </c>
      <c r="AF365" s="16">
        <v>148611.74</v>
      </c>
      <c r="AG365" s="16">
        <v>94664.19</v>
      </c>
      <c r="AH365" s="13">
        <v>1.57</v>
      </c>
      <c r="AI365" s="11">
        <v>349.971</v>
      </c>
      <c r="AJ365" s="16">
        <v>130035.22</v>
      </c>
      <c r="AK365" s="16">
        <v>82831.14</v>
      </c>
      <c r="AL365" s="13">
        <v>1.57</v>
      </c>
      <c r="AM365" s="11">
        <v>299.97500000000002</v>
      </c>
      <c r="AN365" s="16">
        <v>111458.71</v>
      </c>
      <c r="AO365" s="16">
        <v>70998.080000000002</v>
      </c>
      <c r="AP365" s="13">
        <v>1.57</v>
      </c>
      <c r="AQ365" s="11">
        <v>299.97500000000002</v>
      </c>
      <c r="AR365" s="16">
        <v>111458.71</v>
      </c>
      <c r="AS365" s="16">
        <v>70998.080000000002</v>
      </c>
      <c r="AT365" s="13">
        <v>1.57</v>
      </c>
      <c r="AU365" s="11">
        <v>299.97500000000002</v>
      </c>
      <c r="AV365" s="16">
        <v>111458.71</v>
      </c>
      <c r="AW365" s="16">
        <v>70998.080000000002</v>
      </c>
      <c r="AX365" s="13">
        <v>1.57</v>
      </c>
      <c r="AY365" s="18">
        <v>5085</v>
      </c>
      <c r="AZ365" s="16">
        <v>1889382.59</v>
      </c>
      <c r="BA365" s="12">
        <v>1203517.8</v>
      </c>
      <c r="BB365" s="13">
        <v>1.57</v>
      </c>
    </row>
    <row r="366" spans="1:54" x14ac:dyDescent="0.25">
      <c r="A366" s="10" t="s">
        <v>30</v>
      </c>
      <c r="B366" s="10" t="s">
        <v>110</v>
      </c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8">
        <v>1300</v>
      </c>
      <c r="P366" s="15">
        <v>382785</v>
      </c>
      <c r="Q366" s="15">
        <v>252018</v>
      </c>
      <c r="R366" s="13">
        <v>1.52</v>
      </c>
      <c r="S366" s="18">
        <v>1600</v>
      </c>
      <c r="T366" s="15">
        <v>471120</v>
      </c>
      <c r="U366" s="15">
        <v>310176</v>
      </c>
      <c r="V366" s="13">
        <v>1.52</v>
      </c>
      <c r="W366" s="18">
        <v>1900</v>
      </c>
      <c r="X366" s="15">
        <v>559455</v>
      </c>
      <c r="Y366" s="15">
        <v>368334</v>
      </c>
      <c r="Z366" s="13">
        <v>1.52</v>
      </c>
      <c r="AA366" s="18">
        <v>1400</v>
      </c>
      <c r="AB366" s="15">
        <v>412230</v>
      </c>
      <c r="AC366" s="15">
        <v>271404</v>
      </c>
      <c r="AD366" s="13">
        <v>1.52</v>
      </c>
      <c r="AE366" s="11">
        <v>900</v>
      </c>
      <c r="AF366" s="15">
        <v>265005</v>
      </c>
      <c r="AG366" s="15">
        <v>174474</v>
      </c>
      <c r="AH366" s="13">
        <v>1.52</v>
      </c>
      <c r="AI366" s="11">
        <v>800</v>
      </c>
      <c r="AJ366" s="15">
        <v>235560</v>
      </c>
      <c r="AK366" s="15">
        <v>155088</v>
      </c>
      <c r="AL366" s="13">
        <v>1.52</v>
      </c>
      <c r="AM366" s="11">
        <v>700</v>
      </c>
      <c r="AN366" s="15">
        <v>206115</v>
      </c>
      <c r="AO366" s="15">
        <v>135702</v>
      </c>
      <c r="AP366" s="13">
        <v>1.52</v>
      </c>
      <c r="AQ366" s="11">
        <v>700</v>
      </c>
      <c r="AR366" s="15">
        <v>206115</v>
      </c>
      <c r="AS366" s="15">
        <v>135702</v>
      </c>
      <c r="AT366" s="13">
        <v>1.52</v>
      </c>
      <c r="AU366" s="11">
        <v>700</v>
      </c>
      <c r="AV366" s="15">
        <v>206115</v>
      </c>
      <c r="AW366" s="15">
        <v>135702</v>
      </c>
      <c r="AX366" s="13">
        <v>1.52</v>
      </c>
      <c r="AY366" s="18">
        <v>10000</v>
      </c>
      <c r="AZ366" s="15">
        <v>2944500</v>
      </c>
      <c r="BA366" s="15">
        <v>1938600</v>
      </c>
      <c r="BB366" s="13">
        <v>1.52</v>
      </c>
    </row>
    <row r="367" spans="1:54" x14ac:dyDescent="0.25">
      <c r="A367" s="10" t="s">
        <v>30</v>
      </c>
      <c r="B367" s="10" t="s">
        <v>111</v>
      </c>
      <c r="C367" s="11">
        <v>33.450000000000003</v>
      </c>
      <c r="D367" s="16">
        <v>12676.88</v>
      </c>
      <c r="E367" s="16">
        <v>7446.64</v>
      </c>
      <c r="F367" s="13">
        <v>1.7</v>
      </c>
      <c r="G367" s="11">
        <v>55.75</v>
      </c>
      <c r="H367" s="16">
        <v>21128.14</v>
      </c>
      <c r="I367" s="16">
        <v>12411.07</v>
      </c>
      <c r="J367" s="13">
        <v>1.7</v>
      </c>
      <c r="K367" s="11">
        <v>89.2</v>
      </c>
      <c r="L367" s="16">
        <v>33805.019999999997</v>
      </c>
      <c r="M367" s="12">
        <v>19857.7</v>
      </c>
      <c r="N367" s="13">
        <v>1.7</v>
      </c>
      <c r="O367" s="11">
        <v>122.65</v>
      </c>
      <c r="P367" s="12">
        <v>46481.9</v>
      </c>
      <c r="Q367" s="16">
        <v>27304.34</v>
      </c>
      <c r="R367" s="13">
        <v>1.7</v>
      </c>
      <c r="S367" s="11">
        <v>133.80000000000001</v>
      </c>
      <c r="T367" s="16">
        <v>50707.519999999997</v>
      </c>
      <c r="U367" s="16">
        <v>29786.560000000001</v>
      </c>
      <c r="V367" s="13">
        <v>1.7</v>
      </c>
      <c r="W367" s="11">
        <v>167.25</v>
      </c>
      <c r="X367" s="16">
        <v>63384.41</v>
      </c>
      <c r="Y367" s="12">
        <v>37233.199999999997</v>
      </c>
      <c r="Z367" s="13">
        <v>1.7</v>
      </c>
      <c r="AA367" s="11">
        <v>144.94999999999999</v>
      </c>
      <c r="AB367" s="16">
        <v>54933.15</v>
      </c>
      <c r="AC367" s="16">
        <v>32268.77</v>
      </c>
      <c r="AD367" s="13">
        <v>1.7</v>
      </c>
      <c r="AE367" s="11">
        <v>89.2</v>
      </c>
      <c r="AF367" s="16">
        <v>33805.019999999997</v>
      </c>
      <c r="AG367" s="12">
        <v>19857.7</v>
      </c>
      <c r="AH367" s="13">
        <v>1.7</v>
      </c>
      <c r="AI367" s="11">
        <v>78.05</v>
      </c>
      <c r="AJ367" s="16">
        <v>29579.39</v>
      </c>
      <c r="AK367" s="16">
        <v>17375.490000000002</v>
      </c>
      <c r="AL367" s="13">
        <v>1.7</v>
      </c>
      <c r="AM367" s="11">
        <v>66.900000000000006</v>
      </c>
      <c r="AN367" s="16">
        <v>25353.759999999998</v>
      </c>
      <c r="AO367" s="16">
        <v>14893.28</v>
      </c>
      <c r="AP367" s="13">
        <v>1.7</v>
      </c>
      <c r="AQ367" s="11">
        <v>66.900000000000006</v>
      </c>
      <c r="AR367" s="16">
        <v>25353.759999999998</v>
      </c>
      <c r="AS367" s="16">
        <v>14893.28</v>
      </c>
      <c r="AT367" s="13">
        <v>1.7</v>
      </c>
      <c r="AU367" s="11">
        <v>66.900000000000006</v>
      </c>
      <c r="AV367" s="16">
        <v>25353.759999999998</v>
      </c>
      <c r="AW367" s="16">
        <v>14893.28</v>
      </c>
      <c r="AX367" s="13">
        <v>1.7</v>
      </c>
      <c r="AY367" s="18">
        <v>1115</v>
      </c>
      <c r="AZ367" s="16">
        <v>422562.71</v>
      </c>
      <c r="BA367" s="16">
        <v>248221.31</v>
      </c>
      <c r="BB367" s="13">
        <v>1.7</v>
      </c>
    </row>
    <row r="368" spans="1:54" x14ac:dyDescent="0.25">
      <c r="A368" s="10" t="s">
        <v>30</v>
      </c>
      <c r="B368" s="10" t="s">
        <v>112</v>
      </c>
      <c r="C368" s="11">
        <v>305.661</v>
      </c>
      <c r="D368" s="16">
        <v>96827.29</v>
      </c>
      <c r="E368" s="16">
        <v>63323.79</v>
      </c>
      <c r="F368" s="13">
        <v>1.53</v>
      </c>
      <c r="G368" s="11">
        <v>509.43599999999998</v>
      </c>
      <c r="H368" s="16">
        <v>161379.14000000001</v>
      </c>
      <c r="I368" s="16">
        <v>105539.86</v>
      </c>
      <c r="J368" s="13">
        <v>1.53</v>
      </c>
      <c r="K368" s="11">
        <v>815.09699999999998</v>
      </c>
      <c r="L368" s="16">
        <v>258206.43</v>
      </c>
      <c r="M368" s="16">
        <v>168863.65</v>
      </c>
      <c r="N368" s="13">
        <v>1.53</v>
      </c>
      <c r="O368" s="18">
        <v>1012.629</v>
      </c>
      <c r="P368" s="16">
        <v>320780.61</v>
      </c>
      <c r="Q368" s="16">
        <v>209786.35</v>
      </c>
      <c r="R368" s="13">
        <v>1.53</v>
      </c>
      <c r="S368" s="18">
        <v>1104.6869999999999</v>
      </c>
      <c r="T368" s="16">
        <v>349942.75</v>
      </c>
      <c r="U368" s="16">
        <v>228858.01</v>
      </c>
      <c r="V368" s="13">
        <v>1.53</v>
      </c>
      <c r="W368" s="18">
        <v>1380.86</v>
      </c>
      <c r="X368" s="16">
        <v>437428.83</v>
      </c>
      <c r="Y368" s="16">
        <v>286072.77</v>
      </c>
      <c r="Z368" s="13">
        <v>1.53</v>
      </c>
      <c r="AA368" s="18">
        <v>1196.7439999999999</v>
      </c>
      <c r="AB368" s="16">
        <v>379104.56</v>
      </c>
      <c r="AC368" s="16">
        <v>247929.45</v>
      </c>
      <c r="AD368" s="13">
        <v>1.53</v>
      </c>
      <c r="AE368" s="11">
        <v>736.45799999999997</v>
      </c>
      <c r="AF368" s="16">
        <v>233295.17</v>
      </c>
      <c r="AG368" s="15">
        <v>152572</v>
      </c>
      <c r="AH368" s="13">
        <v>1.53</v>
      </c>
      <c r="AI368" s="11">
        <v>644.40099999999995</v>
      </c>
      <c r="AJ368" s="16">
        <v>204133.35</v>
      </c>
      <c r="AK368" s="16">
        <v>133500.56</v>
      </c>
      <c r="AL368" s="13">
        <v>1.53</v>
      </c>
      <c r="AM368" s="11">
        <v>552.34299999999996</v>
      </c>
      <c r="AN368" s="16">
        <v>174971.22</v>
      </c>
      <c r="AO368" s="12">
        <v>114428.9</v>
      </c>
      <c r="AP368" s="13">
        <v>1.53</v>
      </c>
      <c r="AQ368" s="11">
        <v>552.34299999999996</v>
      </c>
      <c r="AR368" s="16">
        <v>174971.22</v>
      </c>
      <c r="AS368" s="12">
        <v>114428.9</v>
      </c>
      <c r="AT368" s="13">
        <v>1.53</v>
      </c>
      <c r="AU368" s="11">
        <v>552.34299999999996</v>
      </c>
      <c r="AV368" s="16">
        <v>174971.22</v>
      </c>
      <c r="AW368" s="12">
        <v>114428.9</v>
      </c>
      <c r="AX368" s="13">
        <v>1.53</v>
      </c>
      <c r="AY368" s="18">
        <v>9363.0020000000004</v>
      </c>
      <c r="AZ368" s="16">
        <v>2966011.79</v>
      </c>
      <c r="BA368" s="16">
        <v>1939733.14</v>
      </c>
      <c r="BB368" s="13">
        <v>1.53</v>
      </c>
    </row>
    <row r="369" spans="1:54" x14ac:dyDescent="0.25">
      <c r="A369" s="10" t="s">
        <v>30</v>
      </c>
      <c r="B369" s="10" t="s">
        <v>113</v>
      </c>
      <c r="C369" s="11">
        <v>422.58</v>
      </c>
      <c r="D369" s="16">
        <v>101584.01</v>
      </c>
      <c r="E369" s="16">
        <v>77851.91</v>
      </c>
      <c r="F369" s="13">
        <v>1.3</v>
      </c>
      <c r="G369" s="11">
        <v>704.3</v>
      </c>
      <c r="H369" s="16">
        <v>169306.68</v>
      </c>
      <c r="I369" s="16">
        <v>129753.19</v>
      </c>
      <c r="J369" s="13">
        <v>1.3</v>
      </c>
      <c r="K369" s="18">
        <v>1126.8800000000001</v>
      </c>
      <c r="L369" s="16">
        <v>270890.68</v>
      </c>
      <c r="M369" s="12">
        <v>207605.1</v>
      </c>
      <c r="N369" s="13">
        <v>1.3</v>
      </c>
      <c r="O369" s="18">
        <v>1549.46</v>
      </c>
      <c r="P369" s="16">
        <v>372474.69</v>
      </c>
      <c r="Q369" s="16">
        <v>285457.02</v>
      </c>
      <c r="R369" s="13">
        <v>1.3</v>
      </c>
      <c r="S369" s="18">
        <v>1690.32</v>
      </c>
      <c r="T369" s="16">
        <v>406336.02</v>
      </c>
      <c r="U369" s="16">
        <v>311407.65000000002</v>
      </c>
      <c r="V369" s="13">
        <v>1.3</v>
      </c>
      <c r="W369" s="18">
        <v>2112.9</v>
      </c>
      <c r="X369" s="16">
        <v>507920.03</v>
      </c>
      <c r="Y369" s="16">
        <v>389259.57</v>
      </c>
      <c r="Z369" s="13">
        <v>1.3</v>
      </c>
      <c r="AA369" s="18">
        <v>1831.18</v>
      </c>
      <c r="AB369" s="16">
        <v>440197.36</v>
      </c>
      <c r="AC369" s="16">
        <v>337358.29</v>
      </c>
      <c r="AD369" s="13">
        <v>1.3</v>
      </c>
      <c r="AE369" s="18">
        <v>1126.8800000000001</v>
      </c>
      <c r="AF369" s="16">
        <v>270890.68</v>
      </c>
      <c r="AG369" s="12">
        <v>207605.1</v>
      </c>
      <c r="AH369" s="13">
        <v>1.3</v>
      </c>
      <c r="AI369" s="11">
        <v>986.02</v>
      </c>
      <c r="AJ369" s="16">
        <v>237029.35</v>
      </c>
      <c r="AK369" s="16">
        <v>181654.46</v>
      </c>
      <c r="AL369" s="13">
        <v>1.3</v>
      </c>
      <c r="AM369" s="11">
        <v>845.16</v>
      </c>
      <c r="AN369" s="16">
        <v>203168.01</v>
      </c>
      <c r="AO369" s="16">
        <v>155703.82999999999</v>
      </c>
      <c r="AP369" s="13">
        <v>1.3</v>
      </c>
      <c r="AQ369" s="11">
        <v>845.16</v>
      </c>
      <c r="AR369" s="16">
        <v>203168.01</v>
      </c>
      <c r="AS369" s="16">
        <v>155703.82999999999</v>
      </c>
      <c r="AT369" s="13">
        <v>1.3</v>
      </c>
      <c r="AU369" s="11">
        <v>845.16</v>
      </c>
      <c r="AV369" s="16">
        <v>203168.01</v>
      </c>
      <c r="AW369" s="16">
        <v>155703.82999999999</v>
      </c>
      <c r="AX369" s="13">
        <v>1.3</v>
      </c>
      <c r="AY369" s="18">
        <v>14086</v>
      </c>
      <c r="AZ369" s="16">
        <v>3386133.53</v>
      </c>
      <c r="BA369" s="16">
        <v>2595063.7799999998</v>
      </c>
      <c r="BB369" s="13">
        <v>1.3</v>
      </c>
    </row>
    <row r="370" spans="1:54" x14ac:dyDescent="0.25">
      <c r="A370" s="10" t="s">
        <v>30</v>
      </c>
      <c r="B370" s="10" t="s">
        <v>114</v>
      </c>
      <c r="C370" s="11">
        <v>274.48500000000001</v>
      </c>
      <c r="D370" s="16">
        <v>84143.38</v>
      </c>
      <c r="E370" s="16">
        <v>54304.11</v>
      </c>
      <c r="F370" s="13">
        <v>1.55</v>
      </c>
      <c r="G370" s="11">
        <v>457.47500000000002</v>
      </c>
      <c r="H370" s="16">
        <v>140238.96</v>
      </c>
      <c r="I370" s="16">
        <v>90506.85</v>
      </c>
      <c r="J370" s="13">
        <v>1.55</v>
      </c>
      <c r="K370" s="11">
        <v>731.95899999999995</v>
      </c>
      <c r="L370" s="16">
        <v>224382.03</v>
      </c>
      <c r="M370" s="16">
        <v>144810.76999999999</v>
      </c>
      <c r="N370" s="13">
        <v>1.55</v>
      </c>
      <c r="O370" s="11">
        <v>909.34400000000005</v>
      </c>
      <c r="P370" s="12">
        <v>278759.40000000002</v>
      </c>
      <c r="Q370" s="16">
        <v>179904.62</v>
      </c>
      <c r="R370" s="13">
        <v>1.55</v>
      </c>
      <c r="S370" s="11">
        <v>992.01099999999997</v>
      </c>
      <c r="T370" s="16">
        <v>304100.96999999997</v>
      </c>
      <c r="U370" s="16">
        <v>196259.46</v>
      </c>
      <c r="V370" s="13">
        <v>1.55</v>
      </c>
      <c r="W370" s="18">
        <v>1240.0139999999999</v>
      </c>
      <c r="X370" s="16">
        <v>380126.29</v>
      </c>
      <c r="Y370" s="16">
        <v>245324.37</v>
      </c>
      <c r="Z370" s="13">
        <v>1.55</v>
      </c>
      <c r="AA370" s="18">
        <v>1074.6790000000001</v>
      </c>
      <c r="AB370" s="16">
        <v>329442.84999999998</v>
      </c>
      <c r="AC370" s="16">
        <v>212614.49</v>
      </c>
      <c r="AD370" s="13">
        <v>1.55</v>
      </c>
      <c r="AE370" s="11">
        <v>661.34100000000001</v>
      </c>
      <c r="AF370" s="16">
        <v>202734.07999999999</v>
      </c>
      <c r="AG370" s="12">
        <v>130839.7</v>
      </c>
      <c r="AH370" s="13">
        <v>1.55</v>
      </c>
      <c r="AI370" s="11">
        <v>578.67399999999998</v>
      </c>
      <c r="AJ370" s="16">
        <v>177392.51</v>
      </c>
      <c r="AK370" s="16">
        <v>114484.86</v>
      </c>
      <c r="AL370" s="13">
        <v>1.55</v>
      </c>
      <c r="AM370" s="11">
        <v>496.00599999999997</v>
      </c>
      <c r="AN370" s="16">
        <v>152050.64000000001</v>
      </c>
      <c r="AO370" s="16">
        <v>98129.83</v>
      </c>
      <c r="AP370" s="13">
        <v>1.55</v>
      </c>
      <c r="AQ370" s="11">
        <v>496.00599999999997</v>
      </c>
      <c r="AR370" s="16">
        <v>152050.64000000001</v>
      </c>
      <c r="AS370" s="16">
        <v>98129.83</v>
      </c>
      <c r="AT370" s="13">
        <v>1.55</v>
      </c>
      <c r="AU370" s="11">
        <v>496.00599999999997</v>
      </c>
      <c r="AV370" s="16">
        <v>152050.64000000001</v>
      </c>
      <c r="AW370" s="16">
        <v>98129.83</v>
      </c>
      <c r="AX370" s="13">
        <v>1.55</v>
      </c>
      <c r="AY370" s="18">
        <v>8408</v>
      </c>
      <c r="AZ370" s="16">
        <v>2577472.39</v>
      </c>
      <c r="BA370" s="16">
        <v>1663438.72</v>
      </c>
      <c r="BB370" s="13">
        <v>1.55</v>
      </c>
    </row>
    <row r="371" spans="1:54" x14ac:dyDescent="0.25">
      <c r="A371" s="10" t="s">
        <v>30</v>
      </c>
      <c r="B371" s="10" t="s">
        <v>115</v>
      </c>
      <c r="C371" s="14"/>
      <c r="D371" s="14"/>
      <c r="E371" s="14"/>
      <c r="F371" s="14"/>
      <c r="G371" s="11">
        <v>1.71</v>
      </c>
      <c r="H371" s="17">
        <v>825.3</v>
      </c>
      <c r="I371" s="13">
        <v>452.28</v>
      </c>
      <c r="J371" s="13">
        <v>1.82</v>
      </c>
      <c r="K371" s="11">
        <v>1.71</v>
      </c>
      <c r="L371" s="17">
        <v>825.3</v>
      </c>
      <c r="M371" s="13">
        <v>452.28</v>
      </c>
      <c r="N371" s="13">
        <v>1.82</v>
      </c>
      <c r="O371" s="11">
        <v>11.4</v>
      </c>
      <c r="P371" s="16">
        <v>5501.98</v>
      </c>
      <c r="Q371" s="16">
        <v>3015.19</v>
      </c>
      <c r="R371" s="13">
        <v>1.82</v>
      </c>
      <c r="S371" s="11">
        <v>11.4</v>
      </c>
      <c r="T371" s="16">
        <v>5501.98</v>
      </c>
      <c r="U371" s="16">
        <v>3015.19</v>
      </c>
      <c r="V371" s="13">
        <v>1.82</v>
      </c>
      <c r="W371" s="11">
        <v>11.4</v>
      </c>
      <c r="X371" s="16">
        <v>5501.98</v>
      </c>
      <c r="Y371" s="16">
        <v>3015.19</v>
      </c>
      <c r="Z371" s="13">
        <v>1.82</v>
      </c>
      <c r="AA371" s="11">
        <v>11.4</v>
      </c>
      <c r="AB371" s="16">
        <v>5501.98</v>
      </c>
      <c r="AC371" s="16">
        <v>3015.19</v>
      </c>
      <c r="AD371" s="13">
        <v>1.82</v>
      </c>
      <c r="AE371" s="11">
        <v>3.42</v>
      </c>
      <c r="AF371" s="16">
        <v>1650.59</v>
      </c>
      <c r="AG371" s="13">
        <v>904.56</v>
      </c>
      <c r="AH371" s="13">
        <v>1.82</v>
      </c>
      <c r="AI371" s="11">
        <v>1.71</v>
      </c>
      <c r="AJ371" s="17">
        <v>825.3</v>
      </c>
      <c r="AK371" s="13">
        <v>452.28</v>
      </c>
      <c r="AL371" s="13">
        <v>1.82</v>
      </c>
      <c r="AM371" s="11">
        <v>0.56999999999999995</v>
      </c>
      <c r="AN371" s="17">
        <v>275.10000000000002</v>
      </c>
      <c r="AO371" s="13">
        <v>150.76</v>
      </c>
      <c r="AP371" s="13">
        <v>1.82</v>
      </c>
      <c r="AQ371" s="11">
        <v>1.1399999999999999</v>
      </c>
      <c r="AR371" s="17">
        <v>550.20000000000005</v>
      </c>
      <c r="AS371" s="13">
        <v>301.52</v>
      </c>
      <c r="AT371" s="13">
        <v>1.82</v>
      </c>
      <c r="AU371" s="11">
        <v>1.1399999999999999</v>
      </c>
      <c r="AV371" s="17">
        <v>550.20000000000005</v>
      </c>
      <c r="AW371" s="13">
        <v>301.52</v>
      </c>
      <c r="AX371" s="13">
        <v>1.82</v>
      </c>
      <c r="AY371" s="11">
        <v>57</v>
      </c>
      <c r="AZ371" s="16">
        <v>27509.91</v>
      </c>
      <c r="BA371" s="16">
        <v>15075.96</v>
      </c>
      <c r="BB371" s="13">
        <v>1.82</v>
      </c>
    </row>
    <row r="372" spans="1:54" x14ac:dyDescent="0.25">
      <c r="A372" s="10" t="s">
        <v>30</v>
      </c>
      <c r="B372" s="10" t="s">
        <v>116</v>
      </c>
      <c r="C372" s="14"/>
      <c r="D372" s="14"/>
      <c r="E372" s="14"/>
      <c r="F372" s="14"/>
      <c r="G372" s="11">
        <v>90</v>
      </c>
      <c r="H372" s="12">
        <v>18575.099999999999</v>
      </c>
      <c r="I372" s="12">
        <v>14016.6</v>
      </c>
      <c r="J372" s="13">
        <v>1.33</v>
      </c>
      <c r="K372" s="11">
        <v>90</v>
      </c>
      <c r="L372" s="12">
        <v>18575.099999999999</v>
      </c>
      <c r="M372" s="12">
        <v>14016.6</v>
      </c>
      <c r="N372" s="13">
        <v>1.33</v>
      </c>
      <c r="O372" s="11">
        <v>600</v>
      </c>
      <c r="P372" s="15">
        <v>123834</v>
      </c>
      <c r="Q372" s="15">
        <v>93444</v>
      </c>
      <c r="R372" s="13">
        <v>1.33</v>
      </c>
      <c r="S372" s="11">
        <v>600</v>
      </c>
      <c r="T372" s="15">
        <v>123834</v>
      </c>
      <c r="U372" s="15">
        <v>93444</v>
      </c>
      <c r="V372" s="13">
        <v>1.33</v>
      </c>
      <c r="W372" s="11">
        <v>600</v>
      </c>
      <c r="X372" s="15">
        <v>123834</v>
      </c>
      <c r="Y372" s="15">
        <v>93444</v>
      </c>
      <c r="Z372" s="13">
        <v>1.33</v>
      </c>
      <c r="AA372" s="11">
        <v>600</v>
      </c>
      <c r="AB372" s="15">
        <v>123834</v>
      </c>
      <c r="AC372" s="15">
        <v>93444</v>
      </c>
      <c r="AD372" s="13">
        <v>1.33</v>
      </c>
      <c r="AE372" s="11">
        <v>180</v>
      </c>
      <c r="AF372" s="12">
        <v>37150.199999999997</v>
      </c>
      <c r="AG372" s="12">
        <v>28033.200000000001</v>
      </c>
      <c r="AH372" s="13">
        <v>1.33</v>
      </c>
      <c r="AI372" s="11">
        <v>90</v>
      </c>
      <c r="AJ372" s="12">
        <v>18575.099999999999</v>
      </c>
      <c r="AK372" s="12">
        <v>14016.6</v>
      </c>
      <c r="AL372" s="13">
        <v>1.33</v>
      </c>
      <c r="AM372" s="11">
        <v>30</v>
      </c>
      <c r="AN372" s="12">
        <v>6191.7</v>
      </c>
      <c r="AO372" s="12">
        <v>4672.2</v>
      </c>
      <c r="AP372" s="13">
        <v>1.33</v>
      </c>
      <c r="AQ372" s="11">
        <v>60</v>
      </c>
      <c r="AR372" s="12">
        <v>12383.4</v>
      </c>
      <c r="AS372" s="12">
        <v>9344.4</v>
      </c>
      <c r="AT372" s="13">
        <v>1.33</v>
      </c>
      <c r="AU372" s="11">
        <v>60</v>
      </c>
      <c r="AV372" s="12">
        <v>12383.4</v>
      </c>
      <c r="AW372" s="12">
        <v>9344.4</v>
      </c>
      <c r="AX372" s="13">
        <v>1.33</v>
      </c>
      <c r="AY372" s="18">
        <v>3000</v>
      </c>
      <c r="AZ372" s="15">
        <v>619170</v>
      </c>
      <c r="BA372" s="15">
        <v>467220</v>
      </c>
      <c r="BB372" s="13">
        <v>1.33</v>
      </c>
    </row>
    <row r="373" spans="1:54" x14ac:dyDescent="0.25">
      <c r="A373" s="10" t="s">
        <v>30</v>
      </c>
      <c r="B373" s="10" t="s">
        <v>117</v>
      </c>
      <c r="C373" s="11">
        <v>17.579999999999998</v>
      </c>
      <c r="D373" s="16">
        <v>14103.03</v>
      </c>
      <c r="E373" s="12">
        <v>9042.1</v>
      </c>
      <c r="F373" s="13">
        <v>1.56</v>
      </c>
      <c r="G373" s="11">
        <v>23.44</v>
      </c>
      <c r="H373" s="16">
        <v>18804.04</v>
      </c>
      <c r="I373" s="16">
        <v>12056.13</v>
      </c>
      <c r="J373" s="13">
        <v>1.56</v>
      </c>
      <c r="K373" s="11">
        <v>46.88</v>
      </c>
      <c r="L373" s="16">
        <v>37608.07</v>
      </c>
      <c r="M373" s="16">
        <v>24112.26</v>
      </c>
      <c r="N373" s="13">
        <v>1.56</v>
      </c>
      <c r="O373" s="11">
        <v>58.6</v>
      </c>
      <c r="P373" s="16">
        <v>47010.09</v>
      </c>
      <c r="Q373" s="16">
        <v>30140.32</v>
      </c>
      <c r="R373" s="13">
        <v>1.56</v>
      </c>
      <c r="S373" s="11">
        <v>58.6</v>
      </c>
      <c r="T373" s="16">
        <v>47010.09</v>
      </c>
      <c r="U373" s="16">
        <v>30140.32</v>
      </c>
      <c r="V373" s="13">
        <v>1.56</v>
      </c>
      <c r="W373" s="11">
        <v>58.6</v>
      </c>
      <c r="X373" s="16">
        <v>47010.09</v>
      </c>
      <c r="Y373" s="16">
        <v>30140.32</v>
      </c>
      <c r="Z373" s="13">
        <v>1.56</v>
      </c>
      <c r="AA373" s="11">
        <v>64.459999999999994</v>
      </c>
      <c r="AB373" s="12">
        <v>51711.1</v>
      </c>
      <c r="AC373" s="16">
        <v>33154.36</v>
      </c>
      <c r="AD373" s="13">
        <v>1.56</v>
      </c>
      <c r="AE373" s="11">
        <v>58.6</v>
      </c>
      <c r="AF373" s="16">
        <v>47010.09</v>
      </c>
      <c r="AG373" s="16">
        <v>30140.32</v>
      </c>
      <c r="AH373" s="13">
        <v>1.56</v>
      </c>
      <c r="AI373" s="11">
        <v>52.74</v>
      </c>
      <c r="AJ373" s="16">
        <v>42309.08</v>
      </c>
      <c r="AK373" s="16">
        <v>27126.29</v>
      </c>
      <c r="AL373" s="13">
        <v>1.56</v>
      </c>
      <c r="AM373" s="11">
        <v>46.88</v>
      </c>
      <c r="AN373" s="16">
        <v>37608.07</v>
      </c>
      <c r="AO373" s="16">
        <v>24112.26</v>
      </c>
      <c r="AP373" s="13">
        <v>1.56</v>
      </c>
      <c r="AQ373" s="11">
        <v>46.88</v>
      </c>
      <c r="AR373" s="16">
        <v>37608.07</v>
      </c>
      <c r="AS373" s="16">
        <v>24112.26</v>
      </c>
      <c r="AT373" s="13">
        <v>1.56</v>
      </c>
      <c r="AU373" s="11">
        <v>52.74</v>
      </c>
      <c r="AV373" s="16">
        <v>42309.08</v>
      </c>
      <c r="AW373" s="16">
        <v>27126.29</v>
      </c>
      <c r="AX373" s="13">
        <v>1.56</v>
      </c>
      <c r="AY373" s="11">
        <v>586</v>
      </c>
      <c r="AZ373" s="12">
        <v>470100.9</v>
      </c>
      <c r="BA373" s="16">
        <v>301403.23</v>
      </c>
      <c r="BB373" s="13">
        <v>1.56</v>
      </c>
    </row>
    <row r="374" spans="1:54" x14ac:dyDescent="0.25">
      <c r="A374" s="10" t="s">
        <v>30</v>
      </c>
      <c r="B374" s="10" t="s">
        <v>118</v>
      </c>
      <c r="C374" s="11">
        <v>32.700000000000003</v>
      </c>
      <c r="D374" s="16">
        <v>25385.66</v>
      </c>
      <c r="E374" s="16">
        <v>18045.169999999998</v>
      </c>
      <c r="F374" s="13">
        <v>1.41</v>
      </c>
      <c r="G374" s="11">
        <v>43.6</v>
      </c>
      <c r="H374" s="16">
        <v>33847.550000000003</v>
      </c>
      <c r="I374" s="16">
        <v>24060.22</v>
      </c>
      <c r="J374" s="13">
        <v>1.41</v>
      </c>
      <c r="K374" s="11">
        <v>87.2</v>
      </c>
      <c r="L374" s="12">
        <v>67695.100000000006</v>
      </c>
      <c r="M374" s="16">
        <v>48120.45</v>
      </c>
      <c r="N374" s="13">
        <v>1.41</v>
      </c>
      <c r="O374" s="11">
        <v>109</v>
      </c>
      <c r="P374" s="16">
        <v>84618.880000000005</v>
      </c>
      <c r="Q374" s="16">
        <v>60150.559999999998</v>
      </c>
      <c r="R374" s="13">
        <v>1.41</v>
      </c>
      <c r="S374" s="11">
        <v>109</v>
      </c>
      <c r="T374" s="16">
        <v>84618.880000000005</v>
      </c>
      <c r="U374" s="16">
        <v>60150.559999999998</v>
      </c>
      <c r="V374" s="13">
        <v>1.41</v>
      </c>
      <c r="W374" s="11">
        <v>109</v>
      </c>
      <c r="X374" s="16">
        <v>84618.880000000005</v>
      </c>
      <c r="Y374" s="16">
        <v>60150.559999999998</v>
      </c>
      <c r="Z374" s="13">
        <v>1.41</v>
      </c>
      <c r="AA374" s="11">
        <v>119.902</v>
      </c>
      <c r="AB374" s="16">
        <v>93082.32</v>
      </c>
      <c r="AC374" s="16">
        <v>66166.720000000001</v>
      </c>
      <c r="AD374" s="13">
        <v>1.41</v>
      </c>
      <c r="AE374" s="11">
        <v>109</v>
      </c>
      <c r="AF374" s="16">
        <v>84618.880000000005</v>
      </c>
      <c r="AG374" s="16">
        <v>60150.559999999998</v>
      </c>
      <c r="AH374" s="13">
        <v>1.41</v>
      </c>
      <c r="AI374" s="11">
        <v>98.1</v>
      </c>
      <c r="AJ374" s="16">
        <v>76156.990000000005</v>
      </c>
      <c r="AK374" s="12">
        <v>54135.5</v>
      </c>
      <c r="AL374" s="13">
        <v>1.41</v>
      </c>
      <c r="AM374" s="11">
        <v>87.2</v>
      </c>
      <c r="AN374" s="12">
        <v>67695.100000000006</v>
      </c>
      <c r="AO374" s="16">
        <v>48120.45</v>
      </c>
      <c r="AP374" s="13">
        <v>1.41</v>
      </c>
      <c r="AQ374" s="11">
        <v>87.2</v>
      </c>
      <c r="AR374" s="12">
        <v>67695.100000000006</v>
      </c>
      <c r="AS374" s="16">
        <v>48120.45</v>
      </c>
      <c r="AT374" s="13">
        <v>1.41</v>
      </c>
      <c r="AU374" s="11">
        <v>98.1</v>
      </c>
      <c r="AV374" s="16">
        <v>76156.990000000005</v>
      </c>
      <c r="AW374" s="12">
        <v>54135.5</v>
      </c>
      <c r="AX374" s="13">
        <v>1.41</v>
      </c>
      <c r="AY374" s="18">
        <v>1090.002</v>
      </c>
      <c r="AZ374" s="16">
        <v>846190.33</v>
      </c>
      <c r="BA374" s="12">
        <v>601506.69999999995</v>
      </c>
      <c r="BB374" s="13">
        <v>1.41</v>
      </c>
    </row>
    <row r="375" spans="1:54" x14ac:dyDescent="0.25">
      <c r="A375" s="10" t="s">
        <v>30</v>
      </c>
      <c r="B375" s="10" t="s">
        <v>119</v>
      </c>
      <c r="C375" s="11">
        <v>16.8</v>
      </c>
      <c r="D375" s="16">
        <v>48978.05</v>
      </c>
      <c r="E375" s="12">
        <v>26111.9</v>
      </c>
      <c r="F375" s="13">
        <v>1.88</v>
      </c>
      <c r="G375" s="11">
        <v>22.4</v>
      </c>
      <c r="H375" s="16">
        <v>65304.06</v>
      </c>
      <c r="I375" s="16">
        <v>34815.870000000003</v>
      </c>
      <c r="J375" s="13">
        <v>1.88</v>
      </c>
      <c r="K375" s="11">
        <v>44.8</v>
      </c>
      <c r="L375" s="16">
        <v>130608.13</v>
      </c>
      <c r="M375" s="16">
        <v>69631.740000000005</v>
      </c>
      <c r="N375" s="13">
        <v>1.88</v>
      </c>
      <c r="O375" s="11">
        <v>56</v>
      </c>
      <c r="P375" s="16">
        <v>163260.16</v>
      </c>
      <c r="Q375" s="16">
        <v>87039.679999999993</v>
      </c>
      <c r="R375" s="13">
        <v>1.88</v>
      </c>
      <c r="S375" s="11">
        <v>56</v>
      </c>
      <c r="T375" s="16">
        <v>163260.16</v>
      </c>
      <c r="U375" s="16">
        <v>87039.679999999993</v>
      </c>
      <c r="V375" s="13">
        <v>1.88</v>
      </c>
      <c r="W375" s="11">
        <v>56</v>
      </c>
      <c r="X375" s="16">
        <v>163260.16</v>
      </c>
      <c r="Y375" s="16">
        <v>87039.679999999993</v>
      </c>
      <c r="Z375" s="13">
        <v>1.88</v>
      </c>
      <c r="AA375" s="11">
        <v>61.6</v>
      </c>
      <c r="AB375" s="16">
        <v>179586.18</v>
      </c>
      <c r="AC375" s="16">
        <v>95743.65</v>
      </c>
      <c r="AD375" s="13">
        <v>1.88</v>
      </c>
      <c r="AE375" s="11">
        <v>56</v>
      </c>
      <c r="AF375" s="16">
        <v>163260.16</v>
      </c>
      <c r="AG375" s="16">
        <v>87039.679999999993</v>
      </c>
      <c r="AH375" s="13">
        <v>1.88</v>
      </c>
      <c r="AI375" s="11">
        <v>50.4</v>
      </c>
      <c r="AJ375" s="16">
        <v>146934.14000000001</v>
      </c>
      <c r="AK375" s="16">
        <v>78335.710000000006</v>
      </c>
      <c r="AL375" s="13">
        <v>1.88</v>
      </c>
      <c r="AM375" s="11">
        <v>44.8</v>
      </c>
      <c r="AN375" s="16">
        <v>130608.13</v>
      </c>
      <c r="AO375" s="16">
        <v>69631.740000000005</v>
      </c>
      <c r="AP375" s="13">
        <v>1.88</v>
      </c>
      <c r="AQ375" s="11">
        <v>44.8</v>
      </c>
      <c r="AR375" s="16">
        <v>130608.13</v>
      </c>
      <c r="AS375" s="16">
        <v>69631.740000000005</v>
      </c>
      <c r="AT375" s="13">
        <v>1.88</v>
      </c>
      <c r="AU375" s="11">
        <v>50.4</v>
      </c>
      <c r="AV375" s="16">
        <v>146934.14000000001</v>
      </c>
      <c r="AW375" s="16">
        <v>78335.710000000006</v>
      </c>
      <c r="AX375" s="13">
        <v>1.88</v>
      </c>
      <c r="AY375" s="11">
        <v>560</v>
      </c>
      <c r="AZ375" s="12">
        <v>1632601.6</v>
      </c>
      <c r="BA375" s="16">
        <v>870396.78</v>
      </c>
      <c r="BB375" s="13">
        <v>1.88</v>
      </c>
    </row>
    <row r="376" spans="1:54" x14ac:dyDescent="0.25">
      <c r="A376" s="10" t="s">
        <v>30</v>
      </c>
      <c r="B376" s="10" t="s">
        <v>120</v>
      </c>
      <c r="C376" s="11">
        <v>116.31</v>
      </c>
      <c r="D376" s="12">
        <v>151811.29999999999</v>
      </c>
      <c r="E376" s="16">
        <v>88119.95</v>
      </c>
      <c r="F376" s="13">
        <v>1.72</v>
      </c>
      <c r="G376" s="11">
        <v>155.08000000000001</v>
      </c>
      <c r="H376" s="16">
        <v>202415.07</v>
      </c>
      <c r="I376" s="16">
        <v>117493.26</v>
      </c>
      <c r="J376" s="13">
        <v>1.72</v>
      </c>
      <c r="K376" s="11">
        <v>310.16000000000003</v>
      </c>
      <c r="L376" s="16">
        <v>404830.14</v>
      </c>
      <c r="M376" s="16">
        <v>234986.52</v>
      </c>
      <c r="N376" s="13">
        <v>1.72</v>
      </c>
      <c r="O376" s="11">
        <v>387.7</v>
      </c>
      <c r="P376" s="16">
        <v>506037.67</v>
      </c>
      <c r="Q376" s="16">
        <v>293733.15000000002</v>
      </c>
      <c r="R376" s="13">
        <v>1.72</v>
      </c>
      <c r="S376" s="11">
        <v>387.7</v>
      </c>
      <c r="T376" s="16">
        <v>506037.67</v>
      </c>
      <c r="U376" s="16">
        <v>293733.15000000002</v>
      </c>
      <c r="V376" s="13">
        <v>1.72</v>
      </c>
      <c r="W376" s="11">
        <v>387.7</v>
      </c>
      <c r="X376" s="16">
        <v>506037.67</v>
      </c>
      <c r="Y376" s="16">
        <v>293733.15000000002</v>
      </c>
      <c r="Z376" s="13">
        <v>1.72</v>
      </c>
      <c r="AA376" s="11">
        <v>426.47</v>
      </c>
      <c r="AB376" s="16">
        <v>556641.43999999994</v>
      </c>
      <c r="AC376" s="16">
        <v>323106.46999999997</v>
      </c>
      <c r="AD376" s="13">
        <v>1.72</v>
      </c>
      <c r="AE376" s="11">
        <v>387.7</v>
      </c>
      <c r="AF376" s="16">
        <v>506037.67</v>
      </c>
      <c r="AG376" s="16">
        <v>293733.15000000002</v>
      </c>
      <c r="AH376" s="13">
        <v>1.72</v>
      </c>
      <c r="AI376" s="11">
        <v>348.93</v>
      </c>
      <c r="AJ376" s="12">
        <v>455433.9</v>
      </c>
      <c r="AK376" s="16">
        <v>264359.84000000003</v>
      </c>
      <c r="AL376" s="13">
        <v>1.72</v>
      </c>
      <c r="AM376" s="11">
        <v>310.16000000000003</v>
      </c>
      <c r="AN376" s="16">
        <v>404830.14</v>
      </c>
      <c r="AO376" s="16">
        <v>234986.52</v>
      </c>
      <c r="AP376" s="13">
        <v>1.72</v>
      </c>
      <c r="AQ376" s="11">
        <v>310.16000000000003</v>
      </c>
      <c r="AR376" s="16">
        <v>404830.14</v>
      </c>
      <c r="AS376" s="16">
        <v>234986.52</v>
      </c>
      <c r="AT376" s="13">
        <v>1.72</v>
      </c>
      <c r="AU376" s="11">
        <v>348.93</v>
      </c>
      <c r="AV376" s="12">
        <v>455433.9</v>
      </c>
      <c r="AW376" s="16">
        <v>264359.84000000003</v>
      </c>
      <c r="AX376" s="13">
        <v>1.72</v>
      </c>
      <c r="AY376" s="18">
        <v>3877</v>
      </c>
      <c r="AZ376" s="16">
        <v>5060376.71</v>
      </c>
      <c r="BA376" s="16">
        <v>2937331.52</v>
      </c>
      <c r="BB376" s="13">
        <v>1.72</v>
      </c>
    </row>
    <row r="377" spans="1:54" x14ac:dyDescent="0.25">
      <c r="A377" s="10" t="s">
        <v>30</v>
      </c>
      <c r="B377" s="10" t="s">
        <v>121</v>
      </c>
      <c r="C377" s="11">
        <v>30.6</v>
      </c>
      <c r="D377" s="12">
        <v>40901.800000000003</v>
      </c>
      <c r="E377" s="16">
        <v>22927.66</v>
      </c>
      <c r="F377" s="13">
        <v>1.78</v>
      </c>
      <c r="G377" s="11">
        <v>40.799999999999997</v>
      </c>
      <c r="H377" s="16">
        <v>54535.73</v>
      </c>
      <c r="I377" s="16">
        <v>30570.22</v>
      </c>
      <c r="J377" s="13">
        <v>1.78</v>
      </c>
      <c r="K377" s="11">
        <v>81.599999999999994</v>
      </c>
      <c r="L377" s="16">
        <v>109071.46</v>
      </c>
      <c r="M377" s="16">
        <v>61140.43</v>
      </c>
      <c r="N377" s="13">
        <v>1.78</v>
      </c>
      <c r="O377" s="11">
        <v>102</v>
      </c>
      <c r="P377" s="16">
        <v>136339.32</v>
      </c>
      <c r="Q377" s="16">
        <v>76425.539999999994</v>
      </c>
      <c r="R377" s="13">
        <v>1.78</v>
      </c>
      <c r="S377" s="11">
        <v>102</v>
      </c>
      <c r="T377" s="16">
        <v>136339.32</v>
      </c>
      <c r="U377" s="16">
        <v>76425.539999999994</v>
      </c>
      <c r="V377" s="13">
        <v>1.78</v>
      </c>
      <c r="W377" s="11">
        <v>102</v>
      </c>
      <c r="X377" s="16">
        <v>136339.32</v>
      </c>
      <c r="Y377" s="16">
        <v>76425.539999999994</v>
      </c>
      <c r="Z377" s="13">
        <v>1.78</v>
      </c>
      <c r="AA377" s="11">
        <v>112.2</v>
      </c>
      <c r="AB377" s="16">
        <v>149973.25</v>
      </c>
      <c r="AC377" s="16">
        <v>84068.09</v>
      </c>
      <c r="AD377" s="13">
        <v>1.78</v>
      </c>
      <c r="AE377" s="11">
        <v>102</v>
      </c>
      <c r="AF377" s="16">
        <v>136339.32</v>
      </c>
      <c r="AG377" s="16">
        <v>76425.539999999994</v>
      </c>
      <c r="AH377" s="13">
        <v>1.78</v>
      </c>
      <c r="AI377" s="11">
        <v>91.8</v>
      </c>
      <c r="AJ377" s="16">
        <v>122705.39</v>
      </c>
      <c r="AK377" s="16">
        <v>68782.990000000005</v>
      </c>
      <c r="AL377" s="13">
        <v>1.78</v>
      </c>
      <c r="AM377" s="11">
        <v>81.599999999999994</v>
      </c>
      <c r="AN377" s="16">
        <v>109071.46</v>
      </c>
      <c r="AO377" s="16">
        <v>61140.43</v>
      </c>
      <c r="AP377" s="13">
        <v>1.78</v>
      </c>
      <c r="AQ377" s="11">
        <v>81.599999999999994</v>
      </c>
      <c r="AR377" s="16">
        <v>109071.46</v>
      </c>
      <c r="AS377" s="16">
        <v>61140.43</v>
      </c>
      <c r="AT377" s="13">
        <v>1.78</v>
      </c>
      <c r="AU377" s="11">
        <v>91.8</v>
      </c>
      <c r="AV377" s="16">
        <v>122705.39</v>
      </c>
      <c r="AW377" s="16">
        <v>68782.990000000005</v>
      </c>
      <c r="AX377" s="13">
        <v>1.78</v>
      </c>
      <c r="AY377" s="18">
        <v>1020</v>
      </c>
      <c r="AZ377" s="16">
        <v>1363393.22</v>
      </c>
      <c r="BA377" s="12">
        <v>764255.4</v>
      </c>
      <c r="BB377" s="13">
        <v>1.78</v>
      </c>
    </row>
    <row r="378" spans="1:54" x14ac:dyDescent="0.25">
      <c r="A378" s="10" t="s">
        <v>30</v>
      </c>
      <c r="B378" s="10" t="s">
        <v>122</v>
      </c>
      <c r="C378" s="11">
        <v>0.81299999999999994</v>
      </c>
      <c r="D378" s="12">
        <v>4158.5</v>
      </c>
      <c r="E378" s="12">
        <v>2682.9</v>
      </c>
      <c r="F378" s="13">
        <v>1.55</v>
      </c>
      <c r="G378" s="11">
        <v>1.0029999999999999</v>
      </c>
      <c r="H378" s="16">
        <v>5130.3500000000004</v>
      </c>
      <c r="I378" s="12">
        <v>3309.9</v>
      </c>
      <c r="J378" s="13">
        <v>1.55</v>
      </c>
      <c r="K378" s="11">
        <v>1.1950000000000001</v>
      </c>
      <c r="L378" s="16">
        <v>6112.43</v>
      </c>
      <c r="M378" s="12">
        <v>3943.5</v>
      </c>
      <c r="N378" s="13">
        <v>1.55</v>
      </c>
      <c r="O378" s="11">
        <v>1.514</v>
      </c>
      <c r="P378" s="16">
        <v>7744.11</v>
      </c>
      <c r="Q378" s="12">
        <v>4996.2</v>
      </c>
      <c r="R378" s="13">
        <v>1.55</v>
      </c>
      <c r="S378" s="11">
        <v>1.2849999999999999</v>
      </c>
      <c r="T378" s="16">
        <v>6572.78</v>
      </c>
      <c r="U378" s="12">
        <v>4240.5</v>
      </c>
      <c r="V378" s="13">
        <v>1.55</v>
      </c>
      <c r="W378" s="11">
        <v>1.476</v>
      </c>
      <c r="X378" s="16">
        <v>7549.74</v>
      </c>
      <c r="Y378" s="12">
        <v>4870.8</v>
      </c>
      <c r="Z378" s="13">
        <v>1.55</v>
      </c>
      <c r="AA378" s="11">
        <v>1.526</v>
      </c>
      <c r="AB378" s="16">
        <v>7805.49</v>
      </c>
      <c r="AC378" s="12">
        <v>5035.8</v>
      </c>
      <c r="AD378" s="13">
        <v>1.55</v>
      </c>
      <c r="AE378" s="11">
        <v>1.335</v>
      </c>
      <c r="AF378" s="16">
        <v>6828.53</v>
      </c>
      <c r="AG378" s="12">
        <v>4405.5</v>
      </c>
      <c r="AH378" s="13">
        <v>1.55</v>
      </c>
      <c r="AI378" s="11">
        <v>1.526</v>
      </c>
      <c r="AJ378" s="16">
        <v>7805.49</v>
      </c>
      <c r="AK378" s="12">
        <v>5035.8</v>
      </c>
      <c r="AL378" s="13">
        <v>1.55</v>
      </c>
      <c r="AM378" s="11">
        <v>2.0419999999999998</v>
      </c>
      <c r="AN378" s="16">
        <v>10444.83</v>
      </c>
      <c r="AO378" s="12">
        <v>6738.6</v>
      </c>
      <c r="AP378" s="13">
        <v>1.55</v>
      </c>
      <c r="AQ378" s="11">
        <v>2.0419999999999998</v>
      </c>
      <c r="AR378" s="16">
        <v>10444.83</v>
      </c>
      <c r="AS378" s="12">
        <v>6738.6</v>
      </c>
      <c r="AT378" s="13">
        <v>1.55</v>
      </c>
      <c r="AU378" s="11">
        <v>3.2429999999999999</v>
      </c>
      <c r="AV378" s="16">
        <v>16587.95</v>
      </c>
      <c r="AW378" s="12">
        <v>10701.9</v>
      </c>
      <c r="AX378" s="13">
        <v>1.55</v>
      </c>
      <c r="AY378" s="11">
        <v>19</v>
      </c>
      <c r="AZ378" s="16">
        <v>97185.03</v>
      </c>
      <c r="BA378" s="15">
        <v>62700</v>
      </c>
      <c r="BB378" s="13">
        <v>1.55</v>
      </c>
    </row>
    <row r="379" spans="1:54" x14ac:dyDescent="0.25">
      <c r="A379" s="10" t="s">
        <v>30</v>
      </c>
      <c r="B379" s="10" t="s">
        <v>123</v>
      </c>
      <c r="C379" s="11">
        <v>16.649999999999999</v>
      </c>
      <c r="D379" s="16">
        <v>42829.79</v>
      </c>
      <c r="E379" s="16">
        <v>25957.52</v>
      </c>
      <c r="F379" s="13">
        <v>1.65</v>
      </c>
      <c r="G379" s="11">
        <v>20.553999999999998</v>
      </c>
      <c r="H379" s="16">
        <v>52872.29</v>
      </c>
      <c r="I379" s="16">
        <v>32043.89</v>
      </c>
      <c r="J379" s="13">
        <v>1.65</v>
      </c>
      <c r="K379" s="11">
        <v>24.46</v>
      </c>
      <c r="L379" s="16">
        <v>62919.93</v>
      </c>
      <c r="M379" s="16">
        <v>38133.379999999997</v>
      </c>
      <c r="N379" s="13">
        <v>1.65</v>
      </c>
      <c r="O379" s="11">
        <v>30.998999999999999</v>
      </c>
      <c r="P379" s="16">
        <v>79740.59</v>
      </c>
      <c r="Q379" s="16">
        <v>48327.75</v>
      </c>
      <c r="R379" s="13">
        <v>1.65</v>
      </c>
      <c r="S379" s="11">
        <v>26.312000000000001</v>
      </c>
      <c r="T379" s="16">
        <v>67683.94</v>
      </c>
      <c r="U379" s="16">
        <v>41020.67</v>
      </c>
      <c r="V379" s="13">
        <v>1.65</v>
      </c>
      <c r="W379" s="11">
        <v>30.218</v>
      </c>
      <c r="X379" s="16">
        <v>77731.570000000007</v>
      </c>
      <c r="Y379" s="16">
        <v>47110.16</v>
      </c>
      <c r="Z379" s="13">
        <v>1.65</v>
      </c>
      <c r="AA379" s="11">
        <v>31.245000000000001</v>
      </c>
      <c r="AB379" s="16">
        <v>80373.39</v>
      </c>
      <c r="AC379" s="16">
        <v>48711.27</v>
      </c>
      <c r="AD379" s="13">
        <v>1.65</v>
      </c>
      <c r="AE379" s="11">
        <v>27.338999999999999</v>
      </c>
      <c r="AF379" s="16">
        <v>70325.75</v>
      </c>
      <c r="AG379" s="16">
        <v>42621.77</v>
      </c>
      <c r="AH379" s="13">
        <v>1.65</v>
      </c>
      <c r="AI379" s="11">
        <v>31.245000000000001</v>
      </c>
      <c r="AJ379" s="16">
        <v>80373.39</v>
      </c>
      <c r="AK379" s="16">
        <v>48711.27</v>
      </c>
      <c r="AL379" s="13">
        <v>1.65</v>
      </c>
      <c r="AM379" s="11">
        <v>41.790999999999997</v>
      </c>
      <c r="AN379" s="12">
        <v>107501.5</v>
      </c>
      <c r="AO379" s="16">
        <v>65152.59</v>
      </c>
      <c r="AP379" s="13">
        <v>1.65</v>
      </c>
      <c r="AQ379" s="11">
        <v>41.790999999999997</v>
      </c>
      <c r="AR379" s="12">
        <v>107501.5</v>
      </c>
      <c r="AS379" s="16">
        <v>65152.59</v>
      </c>
      <c r="AT379" s="13">
        <v>1.65</v>
      </c>
      <c r="AU379" s="11">
        <v>66.397000000000006</v>
      </c>
      <c r="AV379" s="16">
        <v>170796.99</v>
      </c>
      <c r="AW379" s="16">
        <v>103513.59</v>
      </c>
      <c r="AX379" s="13">
        <v>1.65</v>
      </c>
      <c r="AY379" s="11">
        <v>389.00099999999998</v>
      </c>
      <c r="AZ379" s="16">
        <v>1000650.63</v>
      </c>
      <c r="BA379" s="16">
        <v>606456.44999999995</v>
      </c>
      <c r="BB379" s="13">
        <v>1.65</v>
      </c>
    </row>
    <row r="380" spans="1:54" x14ac:dyDescent="0.25">
      <c r="A380" s="10" t="s">
        <v>30</v>
      </c>
      <c r="B380" s="10" t="s">
        <v>124</v>
      </c>
      <c r="C380" s="11">
        <v>23.969000000000001</v>
      </c>
      <c r="D380" s="16">
        <v>72762.929999999993</v>
      </c>
      <c r="E380" s="16">
        <v>44098.89</v>
      </c>
      <c r="F380" s="13">
        <v>1.65</v>
      </c>
      <c r="G380" s="11">
        <v>29.59</v>
      </c>
      <c r="H380" s="16">
        <v>89826.66</v>
      </c>
      <c r="I380" s="16">
        <v>54440.57</v>
      </c>
      <c r="J380" s="13">
        <v>1.65</v>
      </c>
      <c r="K380" s="11">
        <v>35.213000000000001</v>
      </c>
      <c r="L380" s="16">
        <v>106896.46</v>
      </c>
      <c r="M380" s="16">
        <v>64785.93</v>
      </c>
      <c r="N380" s="13">
        <v>1.65</v>
      </c>
      <c r="O380" s="11">
        <v>44.627000000000002</v>
      </c>
      <c r="P380" s="16">
        <v>135474.63</v>
      </c>
      <c r="Q380" s="16">
        <v>82106.09</v>
      </c>
      <c r="R380" s="13">
        <v>1.65</v>
      </c>
      <c r="S380" s="11">
        <v>37.878999999999998</v>
      </c>
      <c r="T380" s="16">
        <v>114989.66</v>
      </c>
      <c r="U380" s="16">
        <v>69690.92</v>
      </c>
      <c r="V380" s="13">
        <v>1.65</v>
      </c>
      <c r="W380" s="11">
        <v>43.502000000000002</v>
      </c>
      <c r="X380" s="16">
        <v>132059.46</v>
      </c>
      <c r="Y380" s="16">
        <v>80036.28</v>
      </c>
      <c r="Z380" s="13">
        <v>1.65</v>
      </c>
      <c r="AA380" s="11">
        <v>44.98</v>
      </c>
      <c r="AB380" s="16">
        <v>136546.23999999999</v>
      </c>
      <c r="AC380" s="16">
        <v>82755.55</v>
      </c>
      <c r="AD380" s="13">
        <v>1.65</v>
      </c>
      <c r="AE380" s="11">
        <v>39.356999999999999</v>
      </c>
      <c r="AF380" s="16">
        <v>119476.44</v>
      </c>
      <c r="AG380" s="16">
        <v>72410.19</v>
      </c>
      <c r="AH380" s="13">
        <v>1.65</v>
      </c>
      <c r="AI380" s="11">
        <v>44.98</v>
      </c>
      <c r="AJ380" s="16">
        <v>136546.23999999999</v>
      </c>
      <c r="AK380" s="16">
        <v>82755.55</v>
      </c>
      <c r="AL380" s="13">
        <v>1.65</v>
      </c>
      <c r="AM380" s="11">
        <v>60.161000000000001</v>
      </c>
      <c r="AN380" s="16">
        <v>182631.35</v>
      </c>
      <c r="AO380" s="16">
        <v>110686.01</v>
      </c>
      <c r="AP380" s="13">
        <v>1.65</v>
      </c>
      <c r="AQ380" s="11">
        <v>60.161000000000001</v>
      </c>
      <c r="AR380" s="16">
        <v>182631.35</v>
      </c>
      <c r="AS380" s="16">
        <v>110686.01</v>
      </c>
      <c r="AT380" s="13">
        <v>1.65</v>
      </c>
      <c r="AU380" s="11">
        <v>95.582999999999998</v>
      </c>
      <c r="AV380" s="16">
        <v>290162.27</v>
      </c>
      <c r="AW380" s="16">
        <v>175856.47</v>
      </c>
      <c r="AX380" s="13">
        <v>1.65</v>
      </c>
      <c r="AY380" s="11">
        <v>560.00199999999995</v>
      </c>
      <c r="AZ380" s="16">
        <v>1700003.69</v>
      </c>
      <c r="BA380" s="16">
        <v>1030308.46</v>
      </c>
      <c r="BB380" s="13">
        <v>1.65</v>
      </c>
    </row>
    <row r="381" spans="1:54" x14ac:dyDescent="0.25">
      <c r="A381" s="10" t="s">
        <v>30</v>
      </c>
      <c r="B381" s="10" t="s">
        <v>28</v>
      </c>
      <c r="C381" s="11">
        <v>5.3929999999999998</v>
      </c>
      <c r="D381" s="16">
        <v>8560.42</v>
      </c>
      <c r="E381" s="16">
        <v>5595.02</v>
      </c>
      <c r="F381" s="13">
        <v>1.53</v>
      </c>
      <c r="G381" s="11">
        <v>6.6580000000000004</v>
      </c>
      <c r="H381" s="16">
        <v>10568.38</v>
      </c>
      <c r="I381" s="16">
        <v>6907.41</v>
      </c>
      <c r="J381" s="13">
        <v>1.53</v>
      </c>
      <c r="K381" s="11">
        <v>7.923</v>
      </c>
      <c r="L381" s="16">
        <v>12576.34</v>
      </c>
      <c r="M381" s="12">
        <v>8219.7999999999993</v>
      </c>
      <c r="N381" s="13">
        <v>1.53</v>
      </c>
      <c r="O381" s="11">
        <v>10.041</v>
      </c>
      <c r="P381" s="16">
        <v>15938.28</v>
      </c>
      <c r="Q381" s="16">
        <v>10417.14</v>
      </c>
      <c r="R381" s="13">
        <v>1.53</v>
      </c>
      <c r="S381" s="11">
        <v>8.5229999999999997</v>
      </c>
      <c r="T381" s="16">
        <v>13528.73</v>
      </c>
      <c r="U381" s="16">
        <v>8842.27</v>
      </c>
      <c r="V381" s="13">
        <v>1.53</v>
      </c>
      <c r="W381" s="11">
        <v>9.7880000000000003</v>
      </c>
      <c r="X381" s="16">
        <v>15536.69</v>
      </c>
      <c r="Y381" s="16">
        <v>10154.66</v>
      </c>
      <c r="Z381" s="13">
        <v>1.53</v>
      </c>
      <c r="AA381" s="11">
        <v>10.119999999999999</v>
      </c>
      <c r="AB381" s="16">
        <v>16063.68</v>
      </c>
      <c r="AC381" s="12">
        <v>10499.1</v>
      </c>
      <c r="AD381" s="13">
        <v>1.53</v>
      </c>
      <c r="AE381" s="11">
        <v>8.8550000000000004</v>
      </c>
      <c r="AF381" s="16">
        <v>14055.72</v>
      </c>
      <c r="AG381" s="16">
        <v>9186.7099999999991</v>
      </c>
      <c r="AH381" s="13">
        <v>1.53</v>
      </c>
      <c r="AI381" s="11">
        <v>10.119999999999999</v>
      </c>
      <c r="AJ381" s="16">
        <v>16063.68</v>
      </c>
      <c r="AK381" s="12">
        <v>10499.1</v>
      </c>
      <c r="AL381" s="13">
        <v>1.53</v>
      </c>
      <c r="AM381" s="11">
        <v>13.536</v>
      </c>
      <c r="AN381" s="16">
        <v>21485.96</v>
      </c>
      <c r="AO381" s="16">
        <v>14043.06</v>
      </c>
      <c r="AP381" s="13">
        <v>1.53</v>
      </c>
      <c r="AQ381" s="11">
        <v>13.536</v>
      </c>
      <c r="AR381" s="16">
        <v>21485.96</v>
      </c>
      <c r="AS381" s="16">
        <v>14043.06</v>
      </c>
      <c r="AT381" s="13">
        <v>1.53</v>
      </c>
      <c r="AU381" s="11">
        <v>21.506</v>
      </c>
      <c r="AV381" s="12">
        <v>34136.9</v>
      </c>
      <c r="AW381" s="16">
        <v>22311.61</v>
      </c>
      <c r="AX381" s="13">
        <v>1.53</v>
      </c>
      <c r="AY381" s="11">
        <v>125.999</v>
      </c>
      <c r="AZ381" s="16">
        <v>200000.74</v>
      </c>
      <c r="BA381" s="16">
        <v>130718.94</v>
      </c>
      <c r="BB381" s="13">
        <v>1.53</v>
      </c>
    </row>
    <row r="382" spans="1:54" x14ac:dyDescent="0.25">
      <c r="A382" s="10" t="s">
        <v>30</v>
      </c>
      <c r="B382" s="10" t="s">
        <v>125</v>
      </c>
      <c r="C382" s="11">
        <v>0.59899999999999998</v>
      </c>
      <c r="D382" s="16">
        <v>11570.03</v>
      </c>
      <c r="E382" s="12">
        <v>8205.7000000000007</v>
      </c>
      <c r="F382" s="13">
        <v>1.41</v>
      </c>
      <c r="G382" s="11">
        <v>0.74</v>
      </c>
      <c r="H382" s="16">
        <v>14293.52</v>
      </c>
      <c r="I382" s="16">
        <v>10137.26</v>
      </c>
      <c r="J382" s="13">
        <v>1.41</v>
      </c>
      <c r="K382" s="11">
        <v>0.88</v>
      </c>
      <c r="L382" s="12">
        <v>16997.7</v>
      </c>
      <c r="M382" s="16">
        <v>12055.12</v>
      </c>
      <c r="N382" s="13">
        <v>1.41</v>
      </c>
      <c r="O382" s="11">
        <v>1.1160000000000001</v>
      </c>
      <c r="P382" s="16">
        <v>21556.18</v>
      </c>
      <c r="Q382" s="16">
        <v>15288.08</v>
      </c>
      <c r="R382" s="13">
        <v>1.41</v>
      </c>
      <c r="S382" s="11">
        <v>0.94699999999999995</v>
      </c>
      <c r="T382" s="16">
        <v>18291.84</v>
      </c>
      <c r="U382" s="16">
        <v>12972.95</v>
      </c>
      <c r="V382" s="13">
        <v>1.41</v>
      </c>
      <c r="W382" s="11">
        <v>1.0880000000000001</v>
      </c>
      <c r="X382" s="16">
        <v>21015.34</v>
      </c>
      <c r="Y382" s="16">
        <v>14904.51</v>
      </c>
      <c r="Z382" s="13">
        <v>1.41</v>
      </c>
      <c r="AA382" s="11">
        <v>1.125</v>
      </c>
      <c r="AB382" s="16">
        <v>21730.02</v>
      </c>
      <c r="AC382" s="16">
        <v>15411.38</v>
      </c>
      <c r="AD382" s="13">
        <v>1.41</v>
      </c>
      <c r="AE382" s="11">
        <v>0.98399999999999999</v>
      </c>
      <c r="AF382" s="16">
        <v>19006.52</v>
      </c>
      <c r="AG382" s="16">
        <v>13479.82</v>
      </c>
      <c r="AH382" s="13">
        <v>1.41</v>
      </c>
      <c r="AI382" s="11">
        <v>1.125</v>
      </c>
      <c r="AJ382" s="16">
        <v>21730.02</v>
      </c>
      <c r="AK382" s="16">
        <v>15411.38</v>
      </c>
      <c r="AL382" s="13">
        <v>1.41</v>
      </c>
      <c r="AM382" s="11">
        <v>1.504</v>
      </c>
      <c r="AN382" s="16">
        <v>29050.62</v>
      </c>
      <c r="AO382" s="12">
        <v>20603.3</v>
      </c>
      <c r="AP382" s="13">
        <v>1.41</v>
      </c>
      <c r="AQ382" s="11">
        <v>1.504</v>
      </c>
      <c r="AR382" s="16">
        <v>29050.62</v>
      </c>
      <c r="AS382" s="12">
        <v>20603.3</v>
      </c>
      <c r="AT382" s="13">
        <v>1.41</v>
      </c>
      <c r="AU382" s="11">
        <v>2.3889999999999998</v>
      </c>
      <c r="AV382" s="12">
        <v>46144.9</v>
      </c>
      <c r="AW382" s="16">
        <v>32726.91</v>
      </c>
      <c r="AX382" s="13">
        <v>1.41</v>
      </c>
      <c r="AY382" s="11">
        <v>14.000999999999999</v>
      </c>
      <c r="AZ382" s="16">
        <v>270437.31</v>
      </c>
      <c r="BA382" s="16">
        <v>191799.71</v>
      </c>
      <c r="BB382" s="13">
        <v>1.41</v>
      </c>
    </row>
    <row r="383" spans="1:54" x14ac:dyDescent="0.25">
      <c r="A383" s="10" t="s">
        <v>30</v>
      </c>
      <c r="B383" s="10" t="s">
        <v>164</v>
      </c>
      <c r="C383" s="11">
        <v>0.59899999999999998</v>
      </c>
      <c r="D383" s="16">
        <v>5660.93</v>
      </c>
      <c r="E383" s="12">
        <v>4193.3</v>
      </c>
      <c r="F383" s="13">
        <v>1.35</v>
      </c>
      <c r="G383" s="11">
        <v>0.74</v>
      </c>
      <c r="H383" s="16">
        <v>6993.47</v>
      </c>
      <c r="I383" s="16">
        <v>5180.37</v>
      </c>
      <c r="J383" s="13">
        <v>1.35</v>
      </c>
      <c r="K383" s="11">
        <v>0.88</v>
      </c>
      <c r="L383" s="16">
        <v>8316.56</v>
      </c>
      <c r="M383" s="16">
        <v>6160.44</v>
      </c>
      <c r="N383" s="13">
        <v>1.35</v>
      </c>
      <c r="O383" s="11">
        <v>1.1160000000000001</v>
      </c>
      <c r="P383" s="16">
        <v>10546.91</v>
      </c>
      <c r="Q383" s="16">
        <v>7812.56</v>
      </c>
      <c r="R383" s="13">
        <v>1.35</v>
      </c>
      <c r="S383" s="11">
        <v>0.94699999999999995</v>
      </c>
      <c r="T383" s="16">
        <v>8949.76</v>
      </c>
      <c r="U383" s="16">
        <v>6629.47</v>
      </c>
      <c r="V383" s="13">
        <v>1.35</v>
      </c>
      <c r="W383" s="11">
        <v>1.0880000000000001</v>
      </c>
      <c r="X383" s="12">
        <v>10282.299999999999</v>
      </c>
      <c r="Y383" s="16">
        <v>7616.54</v>
      </c>
      <c r="Z383" s="13">
        <v>1.35</v>
      </c>
      <c r="AA383" s="11">
        <v>1.125</v>
      </c>
      <c r="AB383" s="16">
        <v>10631.97</v>
      </c>
      <c r="AC383" s="16">
        <v>7875.56</v>
      </c>
      <c r="AD383" s="13">
        <v>1.35</v>
      </c>
      <c r="AE383" s="11">
        <v>0.98399999999999999</v>
      </c>
      <c r="AF383" s="16">
        <v>9299.43</v>
      </c>
      <c r="AG383" s="16">
        <v>6888.49</v>
      </c>
      <c r="AH383" s="13">
        <v>1.35</v>
      </c>
      <c r="AI383" s="11">
        <v>1.125</v>
      </c>
      <c r="AJ383" s="16">
        <v>10631.97</v>
      </c>
      <c r="AK383" s="16">
        <v>7875.56</v>
      </c>
      <c r="AL383" s="13">
        <v>1.35</v>
      </c>
      <c r="AM383" s="11">
        <v>1.504</v>
      </c>
      <c r="AN383" s="16">
        <v>14213.76</v>
      </c>
      <c r="AO383" s="16">
        <v>10528.75</v>
      </c>
      <c r="AP383" s="13">
        <v>1.35</v>
      </c>
      <c r="AQ383" s="11">
        <v>1.504</v>
      </c>
      <c r="AR383" s="16">
        <v>14213.76</v>
      </c>
      <c r="AS383" s="16">
        <v>10528.75</v>
      </c>
      <c r="AT383" s="13">
        <v>1.35</v>
      </c>
      <c r="AU383" s="11">
        <v>2.3889999999999998</v>
      </c>
      <c r="AV383" s="16">
        <v>22577.58</v>
      </c>
      <c r="AW383" s="16">
        <v>16724.189999999999</v>
      </c>
      <c r="AX383" s="13">
        <v>1.35</v>
      </c>
      <c r="AY383" s="11">
        <v>14.000999999999999</v>
      </c>
      <c r="AZ383" s="12">
        <v>132318.39999999999</v>
      </c>
      <c r="BA383" s="16">
        <v>98013.98</v>
      </c>
      <c r="BB383" s="13">
        <v>1.35</v>
      </c>
    </row>
    <row r="384" spans="1:54" x14ac:dyDescent="0.25">
      <c r="A384" s="10" t="s">
        <v>30</v>
      </c>
      <c r="B384" s="10" t="s">
        <v>165</v>
      </c>
      <c r="C384" s="11">
        <v>0.81299999999999994</v>
      </c>
      <c r="D384" s="16">
        <v>6438.62</v>
      </c>
      <c r="E384" s="16">
        <v>6503.66</v>
      </c>
      <c r="F384" s="13">
        <v>0.99</v>
      </c>
      <c r="G384" s="11">
        <v>1.004</v>
      </c>
      <c r="H384" s="16">
        <v>7951.26</v>
      </c>
      <c r="I384" s="16">
        <v>8031.58</v>
      </c>
      <c r="J384" s="13">
        <v>0.99</v>
      </c>
      <c r="K384" s="11">
        <v>1.1950000000000001</v>
      </c>
      <c r="L384" s="12">
        <v>9463.9</v>
      </c>
      <c r="M384" s="12">
        <v>9559.5</v>
      </c>
      <c r="N384" s="13">
        <v>0.99</v>
      </c>
      <c r="O384" s="11">
        <v>1.514</v>
      </c>
      <c r="P384" s="16">
        <v>11990.24</v>
      </c>
      <c r="Q384" s="16">
        <v>12111.36</v>
      </c>
      <c r="R384" s="13">
        <v>0.99</v>
      </c>
      <c r="S384" s="11">
        <v>1.2849999999999999</v>
      </c>
      <c r="T384" s="16">
        <v>10176.66</v>
      </c>
      <c r="U384" s="16">
        <v>10279.459999999999</v>
      </c>
      <c r="V384" s="13">
        <v>0.99</v>
      </c>
      <c r="W384" s="11">
        <v>1.476</v>
      </c>
      <c r="X384" s="12">
        <v>11689.3</v>
      </c>
      <c r="Y384" s="16">
        <v>11807.38</v>
      </c>
      <c r="Z384" s="13">
        <v>0.99</v>
      </c>
      <c r="AA384" s="11">
        <v>1.526</v>
      </c>
      <c r="AB384" s="16">
        <v>12085.28</v>
      </c>
      <c r="AC384" s="16">
        <v>12207.36</v>
      </c>
      <c r="AD384" s="13">
        <v>0.99</v>
      </c>
      <c r="AE384" s="11">
        <v>1.335</v>
      </c>
      <c r="AF384" s="16">
        <v>10572.64</v>
      </c>
      <c r="AG384" s="16">
        <v>10679.44</v>
      </c>
      <c r="AH384" s="13">
        <v>0.99</v>
      </c>
      <c r="AI384" s="11">
        <v>1.526</v>
      </c>
      <c r="AJ384" s="16">
        <v>12085.28</v>
      </c>
      <c r="AK384" s="16">
        <v>12207.36</v>
      </c>
      <c r="AL384" s="13">
        <v>0.99</v>
      </c>
      <c r="AM384" s="11">
        <v>2.0409999999999999</v>
      </c>
      <c r="AN384" s="16">
        <v>16163.86</v>
      </c>
      <c r="AO384" s="16">
        <v>16327.14</v>
      </c>
      <c r="AP384" s="13">
        <v>0.99</v>
      </c>
      <c r="AQ384" s="11">
        <v>2.0409999999999999</v>
      </c>
      <c r="AR384" s="16">
        <v>16163.86</v>
      </c>
      <c r="AS384" s="16">
        <v>16327.14</v>
      </c>
      <c r="AT384" s="13">
        <v>0.99</v>
      </c>
      <c r="AU384" s="11">
        <v>3.2429999999999999</v>
      </c>
      <c r="AV384" s="12">
        <v>25683.200000000001</v>
      </c>
      <c r="AW384" s="16">
        <v>25942.639999999999</v>
      </c>
      <c r="AX384" s="13">
        <v>0.99</v>
      </c>
      <c r="AY384" s="11">
        <v>18.998999999999999</v>
      </c>
      <c r="AZ384" s="12">
        <v>150464.1</v>
      </c>
      <c r="BA384" s="16">
        <v>151984.01999999999</v>
      </c>
      <c r="BB384" s="13">
        <v>0.99</v>
      </c>
    </row>
    <row r="385" spans="1:54" x14ac:dyDescent="0.25">
      <c r="A385" s="10" t="s">
        <v>30</v>
      </c>
      <c r="B385" s="10" t="s">
        <v>126</v>
      </c>
      <c r="C385" s="11">
        <v>0.42799999999999999</v>
      </c>
      <c r="D385" s="16">
        <v>12838.72</v>
      </c>
      <c r="E385" s="16">
        <v>8559.14</v>
      </c>
      <c r="F385" s="13">
        <v>1.5</v>
      </c>
      <c r="G385" s="11">
        <v>0.52800000000000002</v>
      </c>
      <c r="H385" s="16">
        <v>15838.42</v>
      </c>
      <c r="I385" s="16">
        <v>10558.94</v>
      </c>
      <c r="J385" s="13">
        <v>1.5</v>
      </c>
      <c r="K385" s="11">
        <v>0.628</v>
      </c>
      <c r="L385" s="16">
        <v>18838.12</v>
      </c>
      <c r="M385" s="16">
        <v>12558.74</v>
      </c>
      <c r="N385" s="13">
        <v>1.5</v>
      </c>
      <c r="O385" s="11">
        <v>0.79700000000000004</v>
      </c>
      <c r="P385" s="16">
        <v>23907.61</v>
      </c>
      <c r="Q385" s="16">
        <v>15938.41</v>
      </c>
      <c r="R385" s="13">
        <v>1.5</v>
      </c>
      <c r="S385" s="11">
        <v>0.67700000000000005</v>
      </c>
      <c r="T385" s="16">
        <v>20307.97</v>
      </c>
      <c r="U385" s="16">
        <v>13538.65</v>
      </c>
      <c r="V385" s="13">
        <v>1.5</v>
      </c>
      <c r="W385" s="11">
        <v>0.77700000000000002</v>
      </c>
      <c r="X385" s="16">
        <v>23307.67</v>
      </c>
      <c r="Y385" s="16">
        <v>15538.45</v>
      </c>
      <c r="Z385" s="13">
        <v>1.5</v>
      </c>
      <c r="AA385" s="11">
        <v>0.80300000000000005</v>
      </c>
      <c r="AB385" s="16">
        <v>24087.59</v>
      </c>
      <c r="AC385" s="16">
        <v>16058.39</v>
      </c>
      <c r="AD385" s="13">
        <v>1.5</v>
      </c>
      <c r="AE385" s="11">
        <v>0.70299999999999996</v>
      </c>
      <c r="AF385" s="16">
        <v>21087.89</v>
      </c>
      <c r="AG385" s="16">
        <v>14058.59</v>
      </c>
      <c r="AH385" s="13">
        <v>1.5</v>
      </c>
      <c r="AI385" s="11">
        <v>0.80300000000000005</v>
      </c>
      <c r="AJ385" s="16">
        <v>24087.59</v>
      </c>
      <c r="AK385" s="16">
        <v>16058.39</v>
      </c>
      <c r="AL385" s="13">
        <v>1.5</v>
      </c>
      <c r="AM385" s="11">
        <v>1.0740000000000001</v>
      </c>
      <c r="AN385" s="16">
        <v>32216.78</v>
      </c>
      <c r="AO385" s="16">
        <v>21477.85</v>
      </c>
      <c r="AP385" s="13">
        <v>1.5</v>
      </c>
      <c r="AQ385" s="11">
        <v>1.0740000000000001</v>
      </c>
      <c r="AR385" s="16">
        <v>32216.78</v>
      </c>
      <c r="AS385" s="16">
        <v>21477.85</v>
      </c>
      <c r="AT385" s="13">
        <v>1.5</v>
      </c>
      <c r="AU385" s="11">
        <v>1.7070000000000001</v>
      </c>
      <c r="AV385" s="16">
        <v>51204.88</v>
      </c>
      <c r="AW385" s="16">
        <v>34136.589999999997</v>
      </c>
      <c r="AX385" s="13">
        <v>1.5</v>
      </c>
      <c r="AY385" s="11">
        <v>9.9990000000000006</v>
      </c>
      <c r="AZ385" s="16">
        <v>299940.02</v>
      </c>
      <c r="BA385" s="16">
        <v>199959.99</v>
      </c>
      <c r="BB385" s="13">
        <v>1.5</v>
      </c>
    </row>
    <row r="386" spans="1:54" x14ac:dyDescent="0.25">
      <c r="A386" s="10" t="s">
        <v>30</v>
      </c>
      <c r="B386" s="10" t="s">
        <v>127</v>
      </c>
      <c r="C386" s="20"/>
      <c r="D386" s="12">
        <v>25000.799999999999</v>
      </c>
      <c r="E386" s="16">
        <v>12499.15</v>
      </c>
      <c r="F386" s="13">
        <v>2</v>
      </c>
      <c r="G386" s="20"/>
      <c r="H386" s="16">
        <v>31251.119999999999</v>
      </c>
      <c r="I386" s="15">
        <v>15624</v>
      </c>
      <c r="J386" s="13">
        <v>2</v>
      </c>
      <c r="K386" s="20"/>
      <c r="L386" s="16">
        <v>37501.35</v>
      </c>
      <c r="M386" s="12">
        <v>18748.8</v>
      </c>
      <c r="N386" s="13">
        <v>2</v>
      </c>
      <c r="O386" s="20"/>
      <c r="P386" s="16">
        <v>43751.57</v>
      </c>
      <c r="Q386" s="12">
        <v>21873.599999999999</v>
      </c>
      <c r="R386" s="13">
        <v>2</v>
      </c>
      <c r="S386" s="20"/>
      <c r="T386" s="16">
        <v>56252.02</v>
      </c>
      <c r="U386" s="12">
        <v>28123.200000000001</v>
      </c>
      <c r="V386" s="13">
        <v>2</v>
      </c>
      <c r="W386" s="20"/>
      <c r="X386" s="16">
        <v>68752.47</v>
      </c>
      <c r="Y386" s="12">
        <v>34372.800000000003</v>
      </c>
      <c r="Z386" s="13">
        <v>2</v>
      </c>
      <c r="AA386" s="20"/>
      <c r="AB386" s="12">
        <v>75002.8</v>
      </c>
      <c r="AC386" s="16">
        <v>37497.65</v>
      </c>
      <c r="AD386" s="13">
        <v>2</v>
      </c>
      <c r="AE386" s="20"/>
      <c r="AF386" s="16">
        <v>62502.25</v>
      </c>
      <c r="AG386" s="15">
        <v>31248</v>
      </c>
      <c r="AH386" s="13">
        <v>2</v>
      </c>
      <c r="AI386" s="20"/>
      <c r="AJ386" s="16">
        <v>62502.25</v>
      </c>
      <c r="AK386" s="15">
        <v>31248</v>
      </c>
      <c r="AL386" s="13">
        <v>2</v>
      </c>
      <c r="AM386" s="20"/>
      <c r="AN386" s="12">
        <v>50001.8</v>
      </c>
      <c r="AO386" s="12">
        <v>24998.400000000001</v>
      </c>
      <c r="AP386" s="13">
        <v>2</v>
      </c>
      <c r="AQ386" s="20"/>
      <c r="AR386" s="16">
        <v>56252.02</v>
      </c>
      <c r="AS386" s="12">
        <v>28123.200000000001</v>
      </c>
      <c r="AT386" s="13">
        <v>2</v>
      </c>
      <c r="AU386" s="20"/>
      <c r="AV386" s="16">
        <v>56252.02</v>
      </c>
      <c r="AW386" s="12">
        <v>28123.200000000001</v>
      </c>
      <c r="AX386" s="13">
        <v>2</v>
      </c>
      <c r="AY386" s="20"/>
      <c r="AZ386" s="16">
        <v>625022.47</v>
      </c>
      <c r="BA386" s="15">
        <v>312480</v>
      </c>
      <c r="BB386" s="13">
        <v>2</v>
      </c>
    </row>
    <row r="387" spans="1:54" x14ac:dyDescent="0.25">
      <c r="A387" s="10" t="s">
        <v>30</v>
      </c>
      <c r="B387" s="10" t="s">
        <v>29</v>
      </c>
      <c r="C387" s="11">
        <v>22.727</v>
      </c>
      <c r="D387" s="16">
        <v>160361.48000000001</v>
      </c>
      <c r="E387" s="16">
        <v>109089.37</v>
      </c>
      <c r="F387" s="13">
        <v>1.47</v>
      </c>
      <c r="G387" s="11">
        <v>33.387999999999998</v>
      </c>
      <c r="H387" s="16">
        <v>235585.39</v>
      </c>
      <c r="I387" s="16">
        <v>160262.07</v>
      </c>
      <c r="J387" s="13">
        <v>1.47</v>
      </c>
      <c r="K387" s="11">
        <v>38.719000000000001</v>
      </c>
      <c r="L387" s="16">
        <v>273200.88</v>
      </c>
      <c r="M387" s="16">
        <v>185850.81</v>
      </c>
      <c r="N387" s="13">
        <v>1.47</v>
      </c>
      <c r="O387" s="11">
        <v>41.774000000000001</v>
      </c>
      <c r="P387" s="16">
        <v>294756.93</v>
      </c>
      <c r="Q387" s="16">
        <v>200514.78</v>
      </c>
      <c r="R387" s="13">
        <v>1.47</v>
      </c>
      <c r="S387" s="11">
        <v>41.774000000000001</v>
      </c>
      <c r="T387" s="16">
        <v>294756.93</v>
      </c>
      <c r="U387" s="16">
        <v>200514.78</v>
      </c>
      <c r="V387" s="13">
        <v>1.47</v>
      </c>
      <c r="W387" s="11">
        <v>41.774000000000001</v>
      </c>
      <c r="X387" s="16">
        <v>294756.93</v>
      </c>
      <c r="Y387" s="16">
        <v>200514.78</v>
      </c>
      <c r="Z387" s="13">
        <v>1.47</v>
      </c>
      <c r="AA387" s="11">
        <v>46.91</v>
      </c>
      <c r="AB387" s="16">
        <v>330996.49</v>
      </c>
      <c r="AC387" s="16">
        <v>225167.53</v>
      </c>
      <c r="AD387" s="13">
        <v>1.47</v>
      </c>
      <c r="AE387" s="11">
        <v>47.975999999999999</v>
      </c>
      <c r="AF387" s="16">
        <v>338518.18</v>
      </c>
      <c r="AG387" s="16">
        <v>230284.32</v>
      </c>
      <c r="AH387" s="13">
        <v>1.47</v>
      </c>
      <c r="AI387" s="11">
        <v>53.305999999999997</v>
      </c>
      <c r="AJ387" s="12">
        <v>376126.6</v>
      </c>
      <c r="AK387" s="16">
        <v>255868.27</v>
      </c>
      <c r="AL387" s="13">
        <v>1.47</v>
      </c>
      <c r="AM387" s="11">
        <v>51.707999999999998</v>
      </c>
      <c r="AN387" s="16">
        <v>364851.13</v>
      </c>
      <c r="AO387" s="16">
        <v>248197.88</v>
      </c>
      <c r="AP387" s="13">
        <v>1.47</v>
      </c>
      <c r="AQ387" s="11">
        <v>53.305999999999997</v>
      </c>
      <c r="AR387" s="12">
        <v>376126.6</v>
      </c>
      <c r="AS387" s="16">
        <v>255868.27</v>
      </c>
      <c r="AT387" s="13">
        <v>1.47</v>
      </c>
      <c r="AU387" s="11">
        <v>58.637</v>
      </c>
      <c r="AV387" s="16">
        <v>413742.09</v>
      </c>
      <c r="AW387" s="16">
        <v>281457.01</v>
      </c>
      <c r="AX387" s="13">
        <v>1.47</v>
      </c>
      <c r="AY387" s="11">
        <v>531.99900000000002</v>
      </c>
      <c r="AZ387" s="16">
        <v>3753779.63</v>
      </c>
      <c r="BA387" s="16">
        <v>2553589.87</v>
      </c>
      <c r="BB387" s="13">
        <v>1.47</v>
      </c>
    </row>
    <row r="388" spans="1:54" x14ac:dyDescent="0.25">
      <c r="A388" s="10" t="s">
        <v>30</v>
      </c>
      <c r="B388" s="10" t="s">
        <v>129</v>
      </c>
      <c r="C388" s="11">
        <v>27.254999999999999</v>
      </c>
      <c r="D388" s="12">
        <v>555356.6</v>
      </c>
      <c r="E388" s="16">
        <v>253587.61</v>
      </c>
      <c r="F388" s="13">
        <v>2.19</v>
      </c>
      <c r="G388" s="11">
        <v>40.040999999999997</v>
      </c>
      <c r="H388" s="16">
        <v>815888.23</v>
      </c>
      <c r="I388" s="16">
        <v>372551.87</v>
      </c>
      <c r="J388" s="13">
        <v>2.19</v>
      </c>
      <c r="K388" s="11">
        <v>46.433999999999997</v>
      </c>
      <c r="L388" s="16">
        <v>946154.04</v>
      </c>
      <c r="M388" s="16">
        <v>432034.01</v>
      </c>
      <c r="N388" s="13">
        <v>2.19</v>
      </c>
      <c r="O388" s="11">
        <v>50.097999999999999</v>
      </c>
      <c r="P388" s="16">
        <v>1020812.88</v>
      </c>
      <c r="Q388" s="16">
        <v>466124.82</v>
      </c>
      <c r="R388" s="13">
        <v>2.19</v>
      </c>
      <c r="S388" s="11">
        <v>50.097999999999999</v>
      </c>
      <c r="T388" s="16">
        <v>1020812.88</v>
      </c>
      <c r="U388" s="16">
        <v>466124.82</v>
      </c>
      <c r="V388" s="13">
        <v>2.19</v>
      </c>
      <c r="W388" s="11">
        <v>50.097999999999999</v>
      </c>
      <c r="X388" s="16">
        <v>1020812.88</v>
      </c>
      <c r="Y388" s="16">
        <v>466124.82</v>
      </c>
      <c r="Z388" s="13">
        <v>2.19</v>
      </c>
      <c r="AA388" s="11">
        <v>56.256</v>
      </c>
      <c r="AB388" s="16">
        <v>1146290.26</v>
      </c>
      <c r="AC388" s="16">
        <v>523420.45</v>
      </c>
      <c r="AD388" s="13">
        <v>2.19</v>
      </c>
      <c r="AE388" s="11">
        <v>57.534999999999997</v>
      </c>
      <c r="AF388" s="16">
        <v>1172351.57</v>
      </c>
      <c r="AG388" s="12">
        <v>535320.6</v>
      </c>
      <c r="AH388" s="13">
        <v>2.19</v>
      </c>
      <c r="AI388" s="11">
        <v>63.927999999999997</v>
      </c>
      <c r="AJ388" s="16">
        <v>1302617.3799999999</v>
      </c>
      <c r="AK388" s="16">
        <v>594802.73</v>
      </c>
      <c r="AL388" s="13">
        <v>2.19</v>
      </c>
      <c r="AM388" s="11">
        <v>62.01</v>
      </c>
      <c r="AN388" s="12">
        <v>1263535.6000000001</v>
      </c>
      <c r="AO388" s="16">
        <v>576957.16</v>
      </c>
      <c r="AP388" s="13">
        <v>2.19</v>
      </c>
      <c r="AQ388" s="11">
        <v>63.927999999999997</v>
      </c>
      <c r="AR388" s="16">
        <v>1302617.3799999999</v>
      </c>
      <c r="AS388" s="16">
        <v>594802.73</v>
      </c>
      <c r="AT388" s="13">
        <v>2.19</v>
      </c>
      <c r="AU388" s="11">
        <v>70.319999999999993</v>
      </c>
      <c r="AV388" s="16">
        <v>1432862.82</v>
      </c>
      <c r="AW388" s="16">
        <v>654275.56000000006</v>
      </c>
      <c r="AX388" s="13">
        <v>2.19</v>
      </c>
      <c r="AY388" s="11">
        <v>638.00099999999998</v>
      </c>
      <c r="AZ388" s="16">
        <v>13000112.52</v>
      </c>
      <c r="BA388" s="16">
        <v>5936127.1799999997</v>
      </c>
      <c r="BB388" s="13">
        <v>2.19</v>
      </c>
    </row>
    <row r="389" spans="1:54" x14ac:dyDescent="0.25">
      <c r="A389" s="10" t="s">
        <v>30</v>
      </c>
      <c r="B389" s="10" t="s">
        <v>130</v>
      </c>
      <c r="C389" s="11">
        <v>2.734</v>
      </c>
      <c r="D389" s="16">
        <v>15377.63</v>
      </c>
      <c r="E389" s="16">
        <v>21968.05</v>
      </c>
      <c r="F389" s="13">
        <v>0.7</v>
      </c>
      <c r="G389" s="11">
        <v>4.016</v>
      </c>
      <c r="H389" s="16">
        <v>22588.35</v>
      </c>
      <c r="I389" s="16">
        <v>32269.08</v>
      </c>
      <c r="J389" s="13">
        <v>0.7</v>
      </c>
      <c r="K389" s="11">
        <v>4.6580000000000004</v>
      </c>
      <c r="L389" s="16">
        <v>26199.34</v>
      </c>
      <c r="M389" s="16">
        <v>37427.64</v>
      </c>
      <c r="N389" s="13">
        <v>0.7</v>
      </c>
      <c r="O389" s="11">
        <v>5.0250000000000004</v>
      </c>
      <c r="P389" s="16">
        <v>28263.56</v>
      </c>
      <c r="Q389" s="16">
        <v>40376.53</v>
      </c>
      <c r="R389" s="13">
        <v>0.7</v>
      </c>
      <c r="S389" s="11">
        <v>5.0250000000000004</v>
      </c>
      <c r="T389" s="16">
        <v>28263.56</v>
      </c>
      <c r="U389" s="16">
        <v>40376.53</v>
      </c>
      <c r="V389" s="13">
        <v>0.7</v>
      </c>
      <c r="W389" s="11">
        <v>5.0250000000000004</v>
      </c>
      <c r="X389" s="16">
        <v>28263.56</v>
      </c>
      <c r="Y389" s="16">
        <v>40376.53</v>
      </c>
      <c r="Z389" s="13">
        <v>0.7</v>
      </c>
      <c r="AA389" s="11">
        <v>5.6429999999999998</v>
      </c>
      <c r="AB389" s="16">
        <v>31739.56</v>
      </c>
      <c r="AC389" s="16">
        <v>45342.239999999998</v>
      </c>
      <c r="AD389" s="13">
        <v>0.7</v>
      </c>
      <c r="AE389" s="11">
        <v>5.7720000000000002</v>
      </c>
      <c r="AF389" s="16">
        <v>32465.13</v>
      </c>
      <c r="AG389" s="16">
        <v>46378.77</v>
      </c>
      <c r="AH389" s="13">
        <v>0.7</v>
      </c>
      <c r="AI389" s="11">
        <v>6.4130000000000003</v>
      </c>
      <c r="AJ389" s="12">
        <v>36070.5</v>
      </c>
      <c r="AK389" s="16">
        <v>51529.29</v>
      </c>
      <c r="AL389" s="13">
        <v>0.7</v>
      </c>
      <c r="AM389" s="11">
        <v>6.22</v>
      </c>
      <c r="AN389" s="16">
        <v>34984.949999999997</v>
      </c>
      <c r="AO389" s="16">
        <v>49978.51</v>
      </c>
      <c r="AP389" s="13">
        <v>0.7</v>
      </c>
      <c r="AQ389" s="11">
        <v>6.4130000000000003</v>
      </c>
      <c r="AR389" s="12">
        <v>36070.5</v>
      </c>
      <c r="AS389" s="16">
        <v>51529.29</v>
      </c>
      <c r="AT389" s="13">
        <v>0.7</v>
      </c>
      <c r="AU389" s="11">
        <v>7.056</v>
      </c>
      <c r="AV389" s="16">
        <v>39687.11</v>
      </c>
      <c r="AW389" s="16">
        <v>56695.88</v>
      </c>
      <c r="AX389" s="13">
        <v>0.7</v>
      </c>
      <c r="AY389" s="11">
        <v>64</v>
      </c>
      <c r="AZ389" s="16">
        <v>359973.75</v>
      </c>
      <c r="BA389" s="16">
        <v>514248.34</v>
      </c>
      <c r="BB389" s="13">
        <v>0.7</v>
      </c>
    </row>
    <row r="390" spans="1:54" x14ac:dyDescent="0.25">
      <c r="A390" s="10" t="s">
        <v>30</v>
      </c>
      <c r="B390" s="10" t="s">
        <v>131</v>
      </c>
      <c r="C390" s="11">
        <v>0.59799999999999998</v>
      </c>
      <c r="D390" s="16">
        <v>5620.98</v>
      </c>
      <c r="E390" s="16">
        <v>5620.98</v>
      </c>
      <c r="F390" s="13">
        <v>1</v>
      </c>
      <c r="G390" s="11">
        <v>0.879</v>
      </c>
      <c r="H390" s="16">
        <v>8262.2800000000007</v>
      </c>
      <c r="I390" s="16">
        <v>8262.2800000000007</v>
      </c>
      <c r="J390" s="13">
        <v>1</v>
      </c>
      <c r="K390" s="11">
        <v>1.018</v>
      </c>
      <c r="L390" s="16">
        <v>9568.83</v>
      </c>
      <c r="M390" s="16">
        <v>9568.83</v>
      </c>
      <c r="N390" s="13">
        <v>1</v>
      </c>
      <c r="O390" s="11">
        <v>1.099</v>
      </c>
      <c r="P390" s="12">
        <v>10330.200000000001</v>
      </c>
      <c r="Q390" s="12">
        <v>10330.200000000001</v>
      </c>
      <c r="R390" s="13">
        <v>1</v>
      </c>
      <c r="S390" s="11">
        <v>1.099</v>
      </c>
      <c r="T390" s="12">
        <v>10330.200000000001</v>
      </c>
      <c r="U390" s="12">
        <v>10330.200000000001</v>
      </c>
      <c r="V390" s="13">
        <v>1</v>
      </c>
      <c r="W390" s="11">
        <v>1.099</v>
      </c>
      <c r="X390" s="12">
        <v>10330.200000000001</v>
      </c>
      <c r="Y390" s="12">
        <v>10330.200000000001</v>
      </c>
      <c r="Z390" s="13">
        <v>1</v>
      </c>
      <c r="AA390" s="11">
        <v>1.234</v>
      </c>
      <c r="AB390" s="16">
        <v>11599.16</v>
      </c>
      <c r="AC390" s="16">
        <v>11599.16</v>
      </c>
      <c r="AD390" s="13">
        <v>1</v>
      </c>
      <c r="AE390" s="11">
        <v>1.262</v>
      </c>
      <c r="AF390" s="16">
        <v>11862.35</v>
      </c>
      <c r="AG390" s="16">
        <v>11862.35</v>
      </c>
      <c r="AH390" s="13">
        <v>1</v>
      </c>
      <c r="AI390" s="11">
        <v>1.403</v>
      </c>
      <c r="AJ390" s="16">
        <v>13187.69</v>
      </c>
      <c r="AK390" s="16">
        <v>13187.69</v>
      </c>
      <c r="AL390" s="13">
        <v>1</v>
      </c>
      <c r="AM390" s="11">
        <v>1.361</v>
      </c>
      <c r="AN390" s="16">
        <v>12792.91</v>
      </c>
      <c r="AO390" s="16">
        <v>12792.91</v>
      </c>
      <c r="AP390" s="13">
        <v>1</v>
      </c>
      <c r="AQ390" s="11">
        <v>1.403</v>
      </c>
      <c r="AR390" s="16">
        <v>13187.69</v>
      </c>
      <c r="AS390" s="16">
        <v>13187.69</v>
      </c>
      <c r="AT390" s="13">
        <v>1</v>
      </c>
      <c r="AU390" s="11">
        <v>1.544</v>
      </c>
      <c r="AV390" s="16">
        <v>14513.04</v>
      </c>
      <c r="AW390" s="16">
        <v>14513.04</v>
      </c>
      <c r="AX390" s="13">
        <v>1</v>
      </c>
      <c r="AY390" s="11">
        <v>13.999000000000001</v>
      </c>
      <c r="AZ390" s="16">
        <v>131585.53</v>
      </c>
      <c r="BA390" s="16">
        <v>131585.53</v>
      </c>
      <c r="BB390" s="13">
        <v>1</v>
      </c>
    </row>
    <row r="391" spans="1:54" x14ac:dyDescent="0.25">
      <c r="A391" s="10" t="s">
        <v>30</v>
      </c>
      <c r="B391" s="10" t="s">
        <v>132</v>
      </c>
      <c r="C391" s="11">
        <v>47.930999999999997</v>
      </c>
      <c r="D391" s="12">
        <v>431462.40000000002</v>
      </c>
      <c r="E391" s="16">
        <v>239701.49</v>
      </c>
      <c r="F391" s="13">
        <v>1.8</v>
      </c>
      <c r="G391" s="11">
        <v>70.417000000000002</v>
      </c>
      <c r="H391" s="16">
        <v>633875.53</v>
      </c>
      <c r="I391" s="12">
        <v>352153.3</v>
      </c>
      <c r="J391" s="13">
        <v>1.8</v>
      </c>
      <c r="K391" s="11">
        <v>81.659000000000006</v>
      </c>
      <c r="L391" s="16">
        <v>735073.09</v>
      </c>
      <c r="M391" s="16">
        <v>408374.21</v>
      </c>
      <c r="N391" s="13">
        <v>1.8</v>
      </c>
      <c r="O391" s="11">
        <v>88.102000000000004</v>
      </c>
      <c r="P391" s="12">
        <v>793071.3</v>
      </c>
      <c r="Q391" s="16">
        <v>440595.46</v>
      </c>
      <c r="R391" s="13">
        <v>1.8</v>
      </c>
      <c r="S391" s="11">
        <v>88.102000000000004</v>
      </c>
      <c r="T391" s="12">
        <v>793071.3</v>
      </c>
      <c r="U391" s="16">
        <v>440595.46</v>
      </c>
      <c r="V391" s="13">
        <v>1.8</v>
      </c>
      <c r="W391" s="11">
        <v>88.102000000000004</v>
      </c>
      <c r="X391" s="12">
        <v>793071.3</v>
      </c>
      <c r="Y391" s="16">
        <v>440595.46</v>
      </c>
      <c r="Z391" s="13">
        <v>1.8</v>
      </c>
      <c r="AA391" s="11">
        <v>98.933999999999997</v>
      </c>
      <c r="AB391" s="16">
        <v>890578.15</v>
      </c>
      <c r="AC391" s="16">
        <v>494765.97</v>
      </c>
      <c r="AD391" s="13">
        <v>1.8</v>
      </c>
      <c r="AE391" s="11">
        <v>101.18300000000001</v>
      </c>
      <c r="AF391" s="16">
        <v>910823.06</v>
      </c>
      <c r="AG391" s="16">
        <v>506013.15</v>
      </c>
      <c r="AH391" s="13">
        <v>1.8</v>
      </c>
      <c r="AI391" s="11">
        <v>112.425</v>
      </c>
      <c r="AJ391" s="16">
        <v>1012020.62</v>
      </c>
      <c r="AK391" s="16">
        <v>562234.05000000005</v>
      </c>
      <c r="AL391" s="13">
        <v>1.8</v>
      </c>
      <c r="AM391" s="11">
        <v>109.05200000000001</v>
      </c>
      <c r="AN391" s="16">
        <v>981657.75</v>
      </c>
      <c r="AO391" s="16">
        <v>545365.78</v>
      </c>
      <c r="AP391" s="13">
        <v>1.8</v>
      </c>
      <c r="AQ391" s="11">
        <v>112.425</v>
      </c>
      <c r="AR391" s="16">
        <v>1012020.62</v>
      </c>
      <c r="AS391" s="16">
        <v>562234.05000000005</v>
      </c>
      <c r="AT391" s="13">
        <v>1.8</v>
      </c>
      <c r="AU391" s="11">
        <v>123.66800000000001</v>
      </c>
      <c r="AV391" s="16">
        <v>1113227.18</v>
      </c>
      <c r="AW391" s="16">
        <v>618459.96</v>
      </c>
      <c r="AX391" s="13">
        <v>1.8</v>
      </c>
      <c r="AY391" s="18">
        <v>1122</v>
      </c>
      <c r="AZ391" s="12">
        <v>10099952.300000001</v>
      </c>
      <c r="BA391" s="16">
        <v>5611088.3399999999</v>
      </c>
      <c r="BB391" s="13">
        <v>1.8</v>
      </c>
    </row>
    <row r="392" spans="1:54" x14ac:dyDescent="0.25">
      <c r="A392" s="10" t="s">
        <v>30</v>
      </c>
      <c r="B392" s="10" t="s">
        <v>133</v>
      </c>
      <c r="C392" s="11">
        <v>2.649</v>
      </c>
      <c r="D392" s="16">
        <v>10660.77</v>
      </c>
      <c r="E392" s="16">
        <v>13325.95</v>
      </c>
      <c r="F392" s="13">
        <v>0.8</v>
      </c>
      <c r="G392" s="11">
        <v>3.891</v>
      </c>
      <c r="H392" s="16">
        <v>15659.13</v>
      </c>
      <c r="I392" s="16">
        <v>19573.91</v>
      </c>
      <c r="J392" s="13">
        <v>0.8</v>
      </c>
      <c r="K392" s="11">
        <v>4.5129999999999999</v>
      </c>
      <c r="L392" s="16">
        <v>18162.34</v>
      </c>
      <c r="M392" s="16">
        <v>22702.92</v>
      </c>
      <c r="N392" s="13">
        <v>0.8</v>
      </c>
      <c r="O392" s="11">
        <v>4.8680000000000003</v>
      </c>
      <c r="P392" s="16">
        <v>19591.02</v>
      </c>
      <c r="Q392" s="16">
        <v>24488.77</v>
      </c>
      <c r="R392" s="13">
        <v>0.8</v>
      </c>
      <c r="S392" s="11">
        <v>4.8680000000000003</v>
      </c>
      <c r="T392" s="16">
        <v>19591.02</v>
      </c>
      <c r="U392" s="16">
        <v>24488.77</v>
      </c>
      <c r="V392" s="13">
        <v>0.8</v>
      </c>
      <c r="W392" s="11">
        <v>4.8680000000000003</v>
      </c>
      <c r="X392" s="16">
        <v>19591.02</v>
      </c>
      <c r="Y392" s="16">
        <v>24488.77</v>
      </c>
      <c r="Z392" s="13">
        <v>0.8</v>
      </c>
      <c r="AA392" s="11">
        <v>5.4669999999999996</v>
      </c>
      <c r="AB392" s="16">
        <v>22001.67</v>
      </c>
      <c r="AC392" s="16">
        <v>27502.07</v>
      </c>
      <c r="AD392" s="13">
        <v>0.8</v>
      </c>
      <c r="AE392" s="11">
        <v>5.5910000000000002</v>
      </c>
      <c r="AF392" s="12">
        <v>22500.7</v>
      </c>
      <c r="AG392" s="16">
        <v>28125.86</v>
      </c>
      <c r="AH392" s="13">
        <v>0.8</v>
      </c>
      <c r="AI392" s="11">
        <v>6.2119999999999997</v>
      </c>
      <c r="AJ392" s="16">
        <v>24999.88</v>
      </c>
      <c r="AK392" s="16">
        <v>31249.84</v>
      </c>
      <c r="AL392" s="13">
        <v>0.8</v>
      </c>
      <c r="AM392" s="11">
        <v>6.0259999999999998</v>
      </c>
      <c r="AN392" s="16">
        <v>24251.34</v>
      </c>
      <c r="AO392" s="16">
        <v>30314.15</v>
      </c>
      <c r="AP392" s="13">
        <v>0.8</v>
      </c>
      <c r="AQ392" s="11">
        <v>6.2119999999999997</v>
      </c>
      <c r="AR392" s="16">
        <v>24999.88</v>
      </c>
      <c r="AS392" s="16">
        <v>31249.84</v>
      </c>
      <c r="AT392" s="13">
        <v>0.8</v>
      </c>
      <c r="AU392" s="11">
        <v>6.835</v>
      </c>
      <c r="AV392" s="16">
        <v>27507.119999999999</v>
      </c>
      <c r="AW392" s="16">
        <v>34383.879999999997</v>
      </c>
      <c r="AX392" s="13">
        <v>0.8</v>
      </c>
      <c r="AY392" s="11">
        <v>62</v>
      </c>
      <c r="AZ392" s="16">
        <v>249515.89</v>
      </c>
      <c r="BA392" s="16">
        <v>311894.73</v>
      </c>
      <c r="BB392" s="13">
        <v>0.8</v>
      </c>
    </row>
    <row r="393" spans="1:54" x14ac:dyDescent="0.25">
      <c r="A393" s="10" t="s">
        <v>30</v>
      </c>
      <c r="B393" s="10" t="s">
        <v>134</v>
      </c>
      <c r="C393" s="11">
        <v>80.867999999999995</v>
      </c>
      <c r="D393" s="16">
        <v>713413.45</v>
      </c>
      <c r="E393" s="16">
        <v>396340.54</v>
      </c>
      <c r="F393" s="13">
        <v>1.8</v>
      </c>
      <c r="G393" s="11">
        <v>118.804</v>
      </c>
      <c r="H393" s="16">
        <v>1048082.95</v>
      </c>
      <c r="I393" s="16">
        <v>582267.91</v>
      </c>
      <c r="J393" s="13">
        <v>1.8</v>
      </c>
      <c r="K393" s="11">
        <v>137.77199999999999</v>
      </c>
      <c r="L393" s="12">
        <v>1215417.7</v>
      </c>
      <c r="M393" s="16">
        <v>675231.59</v>
      </c>
      <c r="N393" s="13">
        <v>1.8</v>
      </c>
      <c r="O393" s="11">
        <v>148.64400000000001</v>
      </c>
      <c r="P393" s="16">
        <v>1311329.94</v>
      </c>
      <c r="Q393" s="16">
        <v>728516.14</v>
      </c>
      <c r="R393" s="13">
        <v>1.8</v>
      </c>
      <c r="S393" s="11">
        <v>148.64400000000001</v>
      </c>
      <c r="T393" s="16">
        <v>1311329.94</v>
      </c>
      <c r="U393" s="16">
        <v>728516.14</v>
      </c>
      <c r="V393" s="13">
        <v>1.8</v>
      </c>
      <c r="W393" s="11">
        <v>148.64400000000001</v>
      </c>
      <c r="X393" s="16">
        <v>1311329.94</v>
      </c>
      <c r="Y393" s="16">
        <v>728516.14</v>
      </c>
      <c r="Z393" s="13">
        <v>1.8</v>
      </c>
      <c r="AA393" s="11">
        <v>166.91800000000001</v>
      </c>
      <c r="AB393" s="16">
        <v>1472542.25</v>
      </c>
      <c r="AC393" s="16">
        <v>818078.47</v>
      </c>
      <c r="AD393" s="13">
        <v>1.8</v>
      </c>
      <c r="AE393" s="11">
        <v>170.71100000000001</v>
      </c>
      <c r="AF393" s="16">
        <v>1506003.91</v>
      </c>
      <c r="AG393" s="16">
        <v>836668.27</v>
      </c>
      <c r="AH393" s="13">
        <v>1.8</v>
      </c>
      <c r="AI393" s="11">
        <v>189.68</v>
      </c>
      <c r="AJ393" s="16">
        <v>1673347.48</v>
      </c>
      <c r="AK393" s="16">
        <v>929636.85</v>
      </c>
      <c r="AL393" s="13">
        <v>1.8</v>
      </c>
      <c r="AM393" s="11">
        <v>183.989</v>
      </c>
      <c r="AN393" s="16">
        <v>1623141.76</v>
      </c>
      <c r="AO393" s="16">
        <v>901744.81</v>
      </c>
      <c r="AP393" s="13">
        <v>1.8</v>
      </c>
      <c r="AQ393" s="11">
        <v>189.68</v>
      </c>
      <c r="AR393" s="16">
        <v>1673347.48</v>
      </c>
      <c r="AS393" s="16">
        <v>929636.85</v>
      </c>
      <c r="AT393" s="13">
        <v>1.8</v>
      </c>
      <c r="AU393" s="11">
        <v>208.648</v>
      </c>
      <c r="AV393" s="16">
        <v>1840682.22</v>
      </c>
      <c r="AW393" s="16">
        <v>1022600.54</v>
      </c>
      <c r="AX393" s="13">
        <v>1.8</v>
      </c>
      <c r="AY393" s="18">
        <v>1893.002</v>
      </c>
      <c r="AZ393" s="16">
        <v>16699969.02</v>
      </c>
      <c r="BA393" s="16">
        <v>9277754.25</v>
      </c>
      <c r="BB393" s="13">
        <v>1.8</v>
      </c>
    </row>
    <row r="394" spans="1:54" x14ac:dyDescent="0.25">
      <c r="A394" s="10" t="s">
        <v>30</v>
      </c>
      <c r="B394" s="10" t="s">
        <v>135</v>
      </c>
      <c r="C394" s="11">
        <v>2.8620000000000001</v>
      </c>
      <c r="D394" s="16">
        <v>15360.58</v>
      </c>
      <c r="E394" s="16">
        <v>13964.16</v>
      </c>
      <c r="F394" s="13">
        <v>1.1000000000000001</v>
      </c>
      <c r="G394" s="11">
        <v>4.2050000000000001</v>
      </c>
      <c r="H394" s="16">
        <v>22568.57</v>
      </c>
      <c r="I394" s="16">
        <v>20516.87</v>
      </c>
      <c r="J394" s="13">
        <v>1.1000000000000001</v>
      </c>
      <c r="K394" s="11">
        <v>4.8769999999999998</v>
      </c>
      <c r="L394" s="16">
        <v>26175.25</v>
      </c>
      <c r="M394" s="16">
        <v>23795.66</v>
      </c>
      <c r="N394" s="13">
        <v>1.1000000000000001</v>
      </c>
      <c r="O394" s="11">
        <v>5.2610000000000001</v>
      </c>
      <c r="P394" s="16">
        <v>28236.21</v>
      </c>
      <c r="Q394" s="16">
        <v>25669.26</v>
      </c>
      <c r="R394" s="13">
        <v>1.1000000000000001</v>
      </c>
      <c r="S394" s="11">
        <v>5.2610000000000001</v>
      </c>
      <c r="T394" s="16">
        <v>28236.21</v>
      </c>
      <c r="U394" s="16">
        <v>25669.26</v>
      </c>
      <c r="V394" s="13">
        <v>1.1000000000000001</v>
      </c>
      <c r="W394" s="11">
        <v>5.2610000000000001</v>
      </c>
      <c r="X394" s="16">
        <v>28236.21</v>
      </c>
      <c r="Y394" s="16">
        <v>25669.26</v>
      </c>
      <c r="Z394" s="13">
        <v>1.1000000000000001</v>
      </c>
      <c r="AA394" s="11">
        <v>5.9080000000000004</v>
      </c>
      <c r="AB394" s="16">
        <v>31708.71</v>
      </c>
      <c r="AC394" s="16">
        <v>28826.080000000002</v>
      </c>
      <c r="AD394" s="13">
        <v>1.1000000000000001</v>
      </c>
      <c r="AE394" s="11">
        <v>6.0430000000000001</v>
      </c>
      <c r="AF394" s="16">
        <v>32433.26</v>
      </c>
      <c r="AG394" s="16">
        <v>29484.76</v>
      </c>
      <c r="AH394" s="13">
        <v>1.1000000000000001</v>
      </c>
      <c r="AI394" s="11">
        <v>6.7130000000000001</v>
      </c>
      <c r="AJ394" s="16">
        <v>36029.21</v>
      </c>
      <c r="AK394" s="12">
        <v>32753.8</v>
      </c>
      <c r="AL394" s="13">
        <v>1.1000000000000001</v>
      </c>
      <c r="AM394" s="11">
        <v>6.5119999999999996</v>
      </c>
      <c r="AN394" s="16">
        <v>34950.42</v>
      </c>
      <c r="AO394" s="16">
        <v>31773.09</v>
      </c>
      <c r="AP394" s="13">
        <v>1.1000000000000001</v>
      </c>
      <c r="AQ394" s="11">
        <v>6.7130000000000001</v>
      </c>
      <c r="AR394" s="16">
        <v>36029.21</v>
      </c>
      <c r="AS394" s="12">
        <v>32753.8</v>
      </c>
      <c r="AT394" s="13">
        <v>1.1000000000000001</v>
      </c>
      <c r="AU394" s="11">
        <v>7.3849999999999998</v>
      </c>
      <c r="AV394" s="16">
        <v>39635.89</v>
      </c>
      <c r="AW394" s="12">
        <v>36032.6</v>
      </c>
      <c r="AX394" s="13">
        <v>1.1000000000000001</v>
      </c>
      <c r="AY394" s="11">
        <v>67.001000000000005</v>
      </c>
      <c r="AZ394" s="16">
        <v>359599.73</v>
      </c>
      <c r="BA394" s="12">
        <v>326908.59999999998</v>
      </c>
      <c r="BB394" s="13">
        <v>1.1000000000000001</v>
      </c>
    </row>
    <row r="395" spans="1:54" x14ac:dyDescent="0.25">
      <c r="A395" s="10" t="s">
        <v>30</v>
      </c>
      <c r="B395" s="10" t="s">
        <v>136</v>
      </c>
      <c r="C395" s="14"/>
      <c r="D395" s="14"/>
      <c r="E395" s="14"/>
      <c r="F395" s="14"/>
      <c r="G395" s="11">
        <v>66.599999999999994</v>
      </c>
      <c r="H395" s="16">
        <v>14524.13</v>
      </c>
      <c r="I395" s="16">
        <v>9312.01</v>
      </c>
      <c r="J395" s="13">
        <v>1.56</v>
      </c>
      <c r="K395" s="11">
        <v>66.599999999999994</v>
      </c>
      <c r="L395" s="16">
        <v>14524.13</v>
      </c>
      <c r="M395" s="16">
        <v>9312.01</v>
      </c>
      <c r="N395" s="13">
        <v>1.56</v>
      </c>
      <c r="O395" s="11">
        <v>444</v>
      </c>
      <c r="P395" s="16">
        <v>96827.520000000004</v>
      </c>
      <c r="Q395" s="16">
        <v>62080.08</v>
      </c>
      <c r="R395" s="13">
        <v>1.56</v>
      </c>
      <c r="S395" s="11">
        <v>444</v>
      </c>
      <c r="T395" s="16">
        <v>96827.520000000004</v>
      </c>
      <c r="U395" s="16">
        <v>62080.08</v>
      </c>
      <c r="V395" s="13">
        <v>1.56</v>
      </c>
      <c r="W395" s="11">
        <v>444</v>
      </c>
      <c r="X395" s="16">
        <v>96827.520000000004</v>
      </c>
      <c r="Y395" s="16">
        <v>62080.08</v>
      </c>
      <c r="Z395" s="13">
        <v>1.56</v>
      </c>
      <c r="AA395" s="11">
        <v>444</v>
      </c>
      <c r="AB395" s="16">
        <v>96827.520000000004</v>
      </c>
      <c r="AC395" s="16">
        <v>62080.08</v>
      </c>
      <c r="AD395" s="13">
        <v>1.56</v>
      </c>
      <c r="AE395" s="11">
        <v>133.19999999999999</v>
      </c>
      <c r="AF395" s="16">
        <v>29048.26</v>
      </c>
      <c r="AG395" s="16">
        <v>18624.02</v>
      </c>
      <c r="AH395" s="13">
        <v>1.56</v>
      </c>
      <c r="AI395" s="11">
        <v>66.599999999999994</v>
      </c>
      <c r="AJ395" s="16">
        <v>14524.13</v>
      </c>
      <c r="AK395" s="16">
        <v>9312.01</v>
      </c>
      <c r="AL395" s="13">
        <v>1.56</v>
      </c>
      <c r="AM395" s="11">
        <v>22.2</v>
      </c>
      <c r="AN395" s="16">
        <v>4841.38</v>
      </c>
      <c r="AO395" s="15">
        <v>3104</v>
      </c>
      <c r="AP395" s="13">
        <v>1.56</v>
      </c>
      <c r="AQ395" s="11">
        <v>44.4</v>
      </c>
      <c r="AR395" s="16">
        <v>9682.75</v>
      </c>
      <c r="AS395" s="16">
        <v>6208.01</v>
      </c>
      <c r="AT395" s="13">
        <v>1.56</v>
      </c>
      <c r="AU395" s="11">
        <v>44.4</v>
      </c>
      <c r="AV395" s="16">
        <v>9682.75</v>
      </c>
      <c r="AW395" s="16">
        <v>6208.01</v>
      </c>
      <c r="AX395" s="13">
        <v>1.56</v>
      </c>
      <c r="AY395" s="18">
        <v>2220</v>
      </c>
      <c r="AZ395" s="16">
        <v>484137.61</v>
      </c>
      <c r="BA395" s="16">
        <v>310400.39</v>
      </c>
      <c r="BB395" s="13">
        <v>1.56</v>
      </c>
    </row>
    <row r="396" spans="1:54" x14ac:dyDescent="0.25">
      <c r="A396" s="10" t="s">
        <v>30</v>
      </c>
      <c r="B396" s="10" t="s">
        <v>137</v>
      </c>
      <c r="C396" s="11">
        <v>22.56</v>
      </c>
      <c r="D396" s="16">
        <v>2192.16</v>
      </c>
      <c r="E396" s="16">
        <v>1623.87</v>
      </c>
      <c r="F396" s="13">
        <v>1.35</v>
      </c>
      <c r="G396" s="11">
        <v>33.840000000000003</v>
      </c>
      <c r="H396" s="16">
        <v>3288.23</v>
      </c>
      <c r="I396" s="12">
        <v>2435.8000000000002</v>
      </c>
      <c r="J396" s="13">
        <v>1.35</v>
      </c>
      <c r="K396" s="11">
        <v>33.840000000000003</v>
      </c>
      <c r="L396" s="16">
        <v>3288.23</v>
      </c>
      <c r="M396" s="12">
        <v>2435.8000000000002</v>
      </c>
      <c r="N396" s="13">
        <v>1.35</v>
      </c>
      <c r="O396" s="11">
        <v>33.840000000000003</v>
      </c>
      <c r="P396" s="16">
        <v>3288.23</v>
      </c>
      <c r="Q396" s="12">
        <v>2435.8000000000002</v>
      </c>
      <c r="R396" s="13">
        <v>1.35</v>
      </c>
      <c r="S396" s="11">
        <v>39.479999999999997</v>
      </c>
      <c r="T396" s="16">
        <v>3836.27</v>
      </c>
      <c r="U396" s="16">
        <v>2841.77</v>
      </c>
      <c r="V396" s="13">
        <v>1.35</v>
      </c>
      <c r="W396" s="11">
        <v>39.479999999999997</v>
      </c>
      <c r="X396" s="16">
        <v>3836.27</v>
      </c>
      <c r="Y396" s="16">
        <v>2841.77</v>
      </c>
      <c r="Z396" s="13">
        <v>1.35</v>
      </c>
      <c r="AA396" s="11">
        <v>45.12</v>
      </c>
      <c r="AB396" s="16">
        <v>4384.3100000000004</v>
      </c>
      <c r="AC396" s="16">
        <v>3247.74</v>
      </c>
      <c r="AD396" s="13">
        <v>1.35</v>
      </c>
      <c r="AE396" s="11">
        <v>45.12</v>
      </c>
      <c r="AF396" s="16">
        <v>4384.3100000000004</v>
      </c>
      <c r="AG396" s="16">
        <v>3247.74</v>
      </c>
      <c r="AH396" s="13">
        <v>1.35</v>
      </c>
      <c r="AI396" s="11">
        <v>56.4</v>
      </c>
      <c r="AJ396" s="16">
        <v>5480.39</v>
      </c>
      <c r="AK396" s="16">
        <v>4059.67</v>
      </c>
      <c r="AL396" s="13">
        <v>1.35</v>
      </c>
      <c r="AM396" s="11">
        <v>67.680000000000007</v>
      </c>
      <c r="AN396" s="16">
        <v>6576.47</v>
      </c>
      <c r="AO396" s="16">
        <v>4871.6099999999997</v>
      </c>
      <c r="AP396" s="13">
        <v>1.35</v>
      </c>
      <c r="AQ396" s="11">
        <v>78.959999999999994</v>
      </c>
      <c r="AR396" s="16">
        <v>7672.54</v>
      </c>
      <c r="AS396" s="16">
        <v>5683.54</v>
      </c>
      <c r="AT396" s="13">
        <v>1.35</v>
      </c>
      <c r="AU396" s="11">
        <v>67.680000000000007</v>
      </c>
      <c r="AV396" s="16">
        <v>6576.47</v>
      </c>
      <c r="AW396" s="16">
        <v>4871.6099999999997</v>
      </c>
      <c r="AX396" s="13">
        <v>1.35</v>
      </c>
      <c r="AY396" s="11">
        <v>564</v>
      </c>
      <c r="AZ396" s="16">
        <v>54803.88</v>
      </c>
      <c r="BA396" s="16">
        <v>40596.720000000001</v>
      </c>
      <c r="BB396" s="13">
        <v>1.35</v>
      </c>
    </row>
    <row r="397" spans="1:54" x14ac:dyDescent="0.25">
      <c r="A397" s="10" t="s">
        <v>30</v>
      </c>
      <c r="B397" s="10" t="s">
        <v>138</v>
      </c>
      <c r="C397" s="11">
        <v>2.4</v>
      </c>
      <c r="D397" s="16">
        <v>5554.13</v>
      </c>
      <c r="E397" s="16">
        <v>4305.53</v>
      </c>
      <c r="F397" s="13">
        <v>1.29</v>
      </c>
      <c r="G397" s="11">
        <v>3.6</v>
      </c>
      <c r="H397" s="16">
        <v>8331.19</v>
      </c>
      <c r="I397" s="16">
        <v>6458.29</v>
      </c>
      <c r="J397" s="13">
        <v>1.29</v>
      </c>
      <c r="K397" s="11">
        <v>3.6</v>
      </c>
      <c r="L397" s="16">
        <v>8331.19</v>
      </c>
      <c r="M397" s="16">
        <v>6458.29</v>
      </c>
      <c r="N397" s="13">
        <v>1.29</v>
      </c>
      <c r="O397" s="11">
        <v>3.6</v>
      </c>
      <c r="P397" s="16">
        <v>8331.19</v>
      </c>
      <c r="Q397" s="16">
        <v>6458.29</v>
      </c>
      <c r="R397" s="13">
        <v>1.29</v>
      </c>
      <c r="S397" s="11">
        <v>4.2</v>
      </c>
      <c r="T397" s="16">
        <v>9719.7199999999993</v>
      </c>
      <c r="U397" s="16">
        <v>7534.67</v>
      </c>
      <c r="V397" s="13">
        <v>1.29</v>
      </c>
      <c r="W397" s="11">
        <v>4.2</v>
      </c>
      <c r="X397" s="16">
        <v>9719.7199999999993</v>
      </c>
      <c r="Y397" s="16">
        <v>7534.67</v>
      </c>
      <c r="Z397" s="13">
        <v>1.29</v>
      </c>
      <c r="AA397" s="11">
        <v>4.8</v>
      </c>
      <c r="AB397" s="16">
        <v>11108.26</v>
      </c>
      <c r="AC397" s="16">
        <v>8611.06</v>
      </c>
      <c r="AD397" s="13">
        <v>1.29</v>
      </c>
      <c r="AE397" s="11">
        <v>4.8</v>
      </c>
      <c r="AF397" s="16">
        <v>11108.26</v>
      </c>
      <c r="AG397" s="16">
        <v>8611.06</v>
      </c>
      <c r="AH397" s="13">
        <v>1.29</v>
      </c>
      <c r="AI397" s="11">
        <v>6</v>
      </c>
      <c r="AJ397" s="16">
        <v>13885.32</v>
      </c>
      <c r="AK397" s="16">
        <v>10763.82</v>
      </c>
      <c r="AL397" s="13">
        <v>1.29</v>
      </c>
      <c r="AM397" s="11">
        <v>7.2</v>
      </c>
      <c r="AN397" s="16">
        <v>16662.38</v>
      </c>
      <c r="AO397" s="16">
        <v>12916.58</v>
      </c>
      <c r="AP397" s="13">
        <v>1.29</v>
      </c>
      <c r="AQ397" s="11">
        <v>8.3989999999999991</v>
      </c>
      <c r="AR397" s="16">
        <v>19437.13</v>
      </c>
      <c r="AS397" s="16">
        <v>15067.55</v>
      </c>
      <c r="AT397" s="13">
        <v>1.29</v>
      </c>
      <c r="AU397" s="11">
        <v>7.2</v>
      </c>
      <c r="AV397" s="16">
        <v>16662.38</v>
      </c>
      <c r="AW397" s="16">
        <v>12916.58</v>
      </c>
      <c r="AX397" s="13">
        <v>1.29</v>
      </c>
      <c r="AY397" s="11">
        <v>59.999000000000002</v>
      </c>
      <c r="AZ397" s="16">
        <v>138850.87</v>
      </c>
      <c r="BA397" s="16">
        <v>107636.39</v>
      </c>
      <c r="BB397" s="13">
        <v>1.29</v>
      </c>
    </row>
    <row r="398" spans="1:54" x14ac:dyDescent="0.25">
      <c r="A398" s="10" t="s">
        <v>30</v>
      </c>
      <c r="B398" s="10" t="s">
        <v>139</v>
      </c>
      <c r="C398" s="11">
        <v>8.1999999999999993</v>
      </c>
      <c r="D398" s="16">
        <v>53125.91</v>
      </c>
      <c r="E398" s="16">
        <v>36638.58</v>
      </c>
      <c r="F398" s="13">
        <v>1.45</v>
      </c>
      <c r="G398" s="11">
        <v>12.3</v>
      </c>
      <c r="H398" s="16">
        <v>79688.87</v>
      </c>
      <c r="I398" s="16">
        <v>54957.88</v>
      </c>
      <c r="J398" s="13">
        <v>1.45</v>
      </c>
      <c r="K398" s="11">
        <v>12.3</v>
      </c>
      <c r="L398" s="16">
        <v>79688.87</v>
      </c>
      <c r="M398" s="16">
        <v>54957.88</v>
      </c>
      <c r="N398" s="13">
        <v>1.45</v>
      </c>
      <c r="O398" s="11">
        <v>12.3</v>
      </c>
      <c r="P398" s="16">
        <v>79688.87</v>
      </c>
      <c r="Q398" s="16">
        <v>54957.88</v>
      </c>
      <c r="R398" s="13">
        <v>1.45</v>
      </c>
      <c r="S398" s="11">
        <v>14.35</v>
      </c>
      <c r="T398" s="16">
        <v>92970.35</v>
      </c>
      <c r="U398" s="16">
        <v>64117.52</v>
      </c>
      <c r="V398" s="13">
        <v>1.45</v>
      </c>
      <c r="W398" s="11">
        <v>14.35</v>
      </c>
      <c r="X398" s="16">
        <v>92970.35</v>
      </c>
      <c r="Y398" s="16">
        <v>64117.52</v>
      </c>
      <c r="Z398" s="13">
        <v>1.45</v>
      </c>
      <c r="AA398" s="11">
        <v>16.399999999999999</v>
      </c>
      <c r="AB398" s="16">
        <v>106251.83</v>
      </c>
      <c r="AC398" s="16">
        <v>73277.17</v>
      </c>
      <c r="AD398" s="13">
        <v>1.45</v>
      </c>
      <c r="AE398" s="11">
        <v>16.399999999999999</v>
      </c>
      <c r="AF398" s="16">
        <v>106251.83</v>
      </c>
      <c r="AG398" s="16">
        <v>73277.17</v>
      </c>
      <c r="AH398" s="13">
        <v>1.45</v>
      </c>
      <c r="AI398" s="11">
        <v>20.5</v>
      </c>
      <c r="AJ398" s="16">
        <v>132814.79</v>
      </c>
      <c r="AK398" s="16">
        <v>91596.46</v>
      </c>
      <c r="AL398" s="13">
        <v>1.45</v>
      </c>
      <c r="AM398" s="11">
        <v>24.6</v>
      </c>
      <c r="AN398" s="16">
        <v>159377.74</v>
      </c>
      <c r="AO398" s="16">
        <v>109915.75</v>
      </c>
      <c r="AP398" s="13">
        <v>1.45</v>
      </c>
      <c r="AQ398" s="11">
        <v>28.7</v>
      </c>
      <c r="AR398" s="12">
        <v>185940.7</v>
      </c>
      <c r="AS398" s="16">
        <v>128235.04</v>
      </c>
      <c r="AT398" s="13">
        <v>1.45</v>
      </c>
      <c r="AU398" s="11">
        <v>24.6</v>
      </c>
      <c r="AV398" s="16">
        <v>159377.74</v>
      </c>
      <c r="AW398" s="16">
        <v>109915.75</v>
      </c>
      <c r="AX398" s="13">
        <v>1.45</v>
      </c>
      <c r="AY398" s="11">
        <v>205</v>
      </c>
      <c r="AZ398" s="16">
        <v>1328147.8500000001</v>
      </c>
      <c r="BA398" s="12">
        <v>915964.6</v>
      </c>
      <c r="BB398" s="13">
        <v>1.45</v>
      </c>
    </row>
    <row r="399" spans="1:54" x14ac:dyDescent="0.25">
      <c r="A399" s="10" t="s">
        <v>140</v>
      </c>
      <c r="B399" s="10" t="s">
        <v>31</v>
      </c>
      <c r="C399" s="11">
        <v>64.256</v>
      </c>
      <c r="D399" s="16">
        <v>5927.62</v>
      </c>
      <c r="E399" s="16">
        <v>2891.52</v>
      </c>
      <c r="F399" s="13">
        <v>2.0499999999999998</v>
      </c>
      <c r="G399" s="11">
        <v>80.319999999999993</v>
      </c>
      <c r="H399" s="16">
        <v>7409.52</v>
      </c>
      <c r="I399" s="12">
        <v>3614.4</v>
      </c>
      <c r="J399" s="13">
        <v>2.0499999999999998</v>
      </c>
      <c r="K399" s="11">
        <v>96.385000000000005</v>
      </c>
      <c r="L399" s="16">
        <v>8891.52</v>
      </c>
      <c r="M399" s="16">
        <v>4337.33</v>
      </c>
      <c r="N399" s="13">
        <v>2.0499999999999998</v>
      </c>
      <c r="O399" s="11">
        <v>131.726</v>
      </c>
      <c r="P399" s="16">
        <v>12151.72</v>
      </c>
      <c r="Q399" s="16">
        <v>5927.67</v>
      </c>
      <c r="R399" s="13">
        <v>2.0499999999999998</v>
      </c>
      <c r="S399" s="11">
        <v>112.45</v>
      </c>
      <c r="T399" s="16">
        <v>10373.51</v>
      </c>
      <c r="U399" s="16">
        <v>5060.25</v>
      </c>
      <c r="V399" s="13">
        <v>2.0499999999999998</v>
      </c>
      <c r="W399" s="11">
        <v>128.51400000000001</v>
      </c>
      <c r="X399" s="16">
        <v>11855.42</v>
      </c>
      <c r="Y399" s="16">
        <v>5783.13</v>
      </c>
      <c r="Z399" s="13">
        <v>2.0499999999999998</v>
      </c>
      <c r="AA399" s="11">
        <v>128.51400000000001</v>
      </c>
      <c r="AB399" s="16">
        <v>11855.42</v>
      </c>
      <c r="AC399" s="16">
        <v>5783.13</v>
      </c>
      <c r="AD399" s="13">
        <v>2.0499999999999998</v>
      </c>
      <c r="AE399" s="11">
        <v>112.45</v>
      </c>
      <c r="AF399" s="16">
        <v>10373.51</v>
      </c>
      <c r="AG399" s="16">
        <v>5060.25</v>
      </c>
      <c r="AH399" s="13">
        <v>2.0499999999999998</v>
      </c>
      <c r="AI399" s="11">
        <v>128.51400000000001</v>
      </c>
      <c r="AJ399" s="16">
        <v>11855.42</v>
      </c>
      <c r="AK399" s="16">
        <v>5783.13</v>
      </c>
      <c r="AL399" s="13">
        <v>2.0499999999999998</v>
      </c>
      <c r="AM399" s="11">
        <v>171.88800000000001</v>
      </c>
      <c r="AN399" s="16">
        <v>15856.67</v>
      </c>
      <c r="AO399" s="16">
        <v>7734.96</v>
      </c>
      <c r="AP399" s="13">
        <v>2.0499999999999998</v>
      </c>
      <c r="AQ399" s="11">
        <v>171.88800000000001</v>
      </c>
      <c r="AR399" s="16">
        <v>15856.67</v>
      </c>
      <c r="AS399" s="16">
        <v>7734.96</v>
      </c>
      <c r="AT399" s="13">
        <v>2.0499999999999998</v>
      </c>
      <c r="AU399" s="11">
        <v>273.096</v>
      </c>
      <c r="AV399" s="16">
        <v>25193.11</v>
      </c>
      <c r="AW399" s="16">
        <v>12289.32</v>
      </c>
      <c r="AX399" s="13">
        <v>2.0499999999999998</v>
      </c>
      <c r="AY399" s="18">
        <v>1600.001</v>
      </c>
      <c r="AZ399" s="16">
        <v>147600.10999999999</v>
      </c>
      <c r="BA399" s="16">
        <v>72000.05</v>
      </c>
      <c r="BB399" s="13">
        <v>2.0499999999999998</v>
      </c>
    </row>
    <row r="400" spans="1:54" x14ac:dyDescent="0.25">
      <c r="A400" s="10" t="s">
        <v>140</v>
      </c>
      <c r="B400" s="10" t="s">
        <v>33</v>
      </c>
      <c r="C400" s="11">
        <v>95.271000000000001</v>
      </c>
      <c r="D400" s="16">
        <v>9218.42</v>
      </c>
      <c r="E400" s="16">
        <v>4288.1499999999996</v>
      </c>
      <c r="F400" s="13">
        <v>2.15</v>
      </c>
      <c r="G400" s="11">
        <v>142.905</v>
      </c>
      <c r="H400" s="16">
        <v>13827.49</v>
      </c>
      <c r="I400" s="16">
        <v>6432.15</v>
      </c>
      <c r="J400" s="13">
        <v>2.15</v>
      </c>
      <c r="K400" s="11">
        <v>166.72399999999999</v>
      </c>
      <c r="L400" s="16">
        <v>16132.21</v>
      </c>
      <c r="M400" s="16">
        <v>7504.25</v>
      </c>
      <c r="N400" s="13">
        <v>2.15</v>
      </c>
      <c r="O400" s="11">
        <v>192.923</v>
      </c>
      <c r="P400" s="16">
        <v>18667.23</v>
      </c>
      <c r="Q400" s="16">
        <v>8683.4599999999991</v>
      </c>
      <c r="R400" s="13">
        <v>2.15</v>
      </c>
      <c r="S400" s="11">
        <v>192.923</v>
      </c>
      <c r="T400" s="16">
        <v>18667.23</v>
      </c>
      <c r="U400" s="16">
        <v>8683.4599999999991</v>
      </c>
      <c r="V400" s="13">
        <v>2.15</v>
      </c>
      <c r="W400" s="11">
        <v>192.923</v>
      </c>
      <c r="X400" s="16">
        <v>18667.23</v>
      </c>
      <c r="Y400" s="16">
        <v>8683.4599999999991</v>
      </c>
      <c r="Z400" s="13">
        <v>2.15</v>
      </c>
      <c r="AA400" s="11">
        <v>209.595</v>
      </c>
      <c r="AB400" s="16">
        <v>20280.41</v>
      </c>
      <c r="AC400" s="16">
        <v>9433.8700000000008</v>
      </c>
      <c r="AD400" s="13">
        <v>2.15</v>
      </c>
      <c r="AE400" s="11">
        <v>214.35900000000001</v>
      </c>
      <c r="AF400" s="16">
        <v>20741.38</v>
      </c>
      <c r="AG400" s="12">
        <v>9648.2999999999993</v>
      </c>
      <c r="AH400" s="13">
        <v>2.15</v>
      </c>
      <c r="AI400" s="11">
        <v>238.17599999999999</v>
      </c>
      <c r="AJ400" s="16">
        <v>23045.91</v>
      </c>
      <c r="AK400" s="12">
        <v>10720.3</v>
      </c>
      <c r="AL400" s="13">
        <v>2.15</v>
      </c>
      <c r="AM400" s="11">
        <v>231.03100000000001</v>
      </c>
      <c r="AN400" s="16">
        <v>22354.560000000001</v>
      </c>
      <c r="AO400" s="16">
        <v>10398.709999999999</v>
      </c>
      <c r="AP400" s="13">
        <v>2.15</v>
      </c>
      <c r="AQ400" s="11">
        <v>238.17599999999999</v>
      </c>
      <c r="AR400" s="16">
        <v>23045.91</v>
      </c>
      <c r="AS400" s="12">
        <v>10720.3</v>
      </c>
      <c r="AT400" s="13">
        <v>2.15</v>
      </c>
      <c r="AU400" s="11">
        <v>261.995</v>
      </c>
      <c r="AV400" s="16">
        <v>25350.639999999999</v>
      </c>
      <c r="AW400" s="16">
        <v>11792.39</v>
      </c>
      <c r="AX400" s="13">
        <v>2.15</v>
      </c>
      <c r="AY400" s="18">
        <v>2377.0010000000002</v>
      </c>
      <c r="AZ400" s="16">
        <v>229998.62</v>
      </c>
      <c r="BA400" s="12">
        <v>106988.8</v>
      </c>
      <c r="BB400" s="13">
        <v>2.15</v>
      </c>
    </row>
    <row r="401" spans="1:54" x14ac:dyDescent="0.25">
      <c r="A401" s="10" t="s">
        <v>140</v>
      </c>
      <c r="B401" s="10" t="s">
        <v>40</v>
      </c>
      <c r="C401" s="11">
        <v>11</v>
      </c>
      <c r="D401" s="16">
        <v>783000.02</v>
      </c>
      <c r="E401" s="16">
        <v>540000.01</v>
      </c>
      <c r="F401" s="13">
        <v>1.45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1">
        <v>11</v>
      </c>
      <c r="AZ401" s="16">
        <v>783000.02</v>
      </c>
      <c r="BA401" s="16">
        <v>540000.01</v>
      </c>
      <c r="BB401" s="13">
        <v>1.45</v>
      </c>
    </row>
    <row r="402" spans="1:54" x14ac:dyDescent="0.25">
      <c r="A402" s="10" t="s">
        <v>140</v>
      </c>
      <c r="B402" s="10" t="s">
        <v>41</v>
      </c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1">
        <v>0.5</v>
      </c>
      <c r="P402" s="15">
        <v>43500</v>
      </c>
      <c r="Q402" s="15">
        <v>30000</v>
      </c>
      <c r="R402" s="13">
        <v>1.45</v>
      </c>
      <c r="S402" s="11">
        <v>0.5</v>
      </c>
      <c r="T402" s="15">
        <v>43500</v>
      </c>
      <c r="U402" s="15">
        <v>30000</v>
      </c>
      <c r="V402" s="13">
        <v>1.45</v>
      </c>
      <c r="W402" s="11">
        <v>0.5</v>
      </c>
      <c r="X402" s="15">
        <v>43500</v>
      </c>
      <c r="Y402" s="15">
        <v>30000</v>
      </c>
      <c r="Z402" s="13">
        <v>1.45</v>
      </c>
      <c r="AA402" s="11">
        <v>0.5</v>
      </c>
      <c r="AB402" s="15">
        <v>43500</v>
      </c>
      <c r="AC402" s="15">
        <v>30000</v>
      </c>
      <c r="AD402" s="13">
        <v>1.45</v>
      </c>
      <c r="AE402" s="11">
        <v>0.5</v>
      </c>
      <c r="AF402" s="15">
        <v>43500</v>
      </c>
      <c r="AG402" s="15">
        <v>30000</v>
      </c>
      <c r="AH402" s="13">
        <v>1.45</v>
      </c>
      <c r="AI402" s="11">
        <v>0.5</v>
      </c>
      <c r="AJ402" s="15">
        <v>43500</v>
      </c>
      <c r="AK402" s="15">
        <v>30000</v>
      </c>
      <c r="AL402" s="13">
        <v>1.45</v>
      </c>
      <c r="AM402" s="11">
        <v>0.75</v>
      </c>
      <c r="AN402" s="15">
        <v>65250</v>
      </c>
      <c r="AO402" s="15">
        <v>45000</v>
      </c>
      <c r="AP402" s="13">
        <v>1.45</v>
      </c>
      <c r="AQ402" s="11">
        <v>0.75</v>
      </c>
      <c r="AR402" s="15">
        <v>65250</v>
      </c>
      <c r="AS402" s="15">
        <v>45000</v>
      </c>
      <c r="AT402" s="13">
        <v>1.45</v>
      </c>
      <c r="AU402" s="11">
        <v>0.5</v>
      </c>
      <c r="AV402" s="15">
        <v>43500</v>
      </c>
      <c r="AW402" s="15">
        <v>30000</v>
      </c>
      <c r="AX402" s="13">
        <v>1.45</v>
      </c>
      <c r="AY402" s="11">
        <v>5</v>
      </c>
      <c r="AZ402" s="15">
        <v>435000</v>
      </c>
      <c r="BA402" s="15">
        <v>300000</v>
      </c>
      <c r="BB402" s="13">
        <v>1.45</v>
      </c>
    </row>
    <row r="403" spans="1:54" x14ac:dyDescent="0.25">
      <c r="A403" s="10" t="s">
        <v>140</v>
      </c>
      <c r="B403" s="10" t="s">
        <v>42</v>
      </c>
      <c r="C403" s="11">
        <v>0.12</v>
      </c>
      <c r="D403" s="15">
        <v>12006</v>
      </c>
      <c r="E403" s="15">
        <v>8280</v>
      </c>
      <c r="F403" s="13">
        <v>1.45</v>
      </c>
      <c r="G403" s="11">
        <v>0.12</v>
      </c>
      <c r="H403" s="15">
        <v>12006</v>
      </c>
      <c r="I403" s="15">
        <v>8280</v>
      </c>
      <c r="J403" s="13">
        <v>1.45</v>
      </c>
      <c r="K403" s="11">
        <v>0.12</v>
      </c>
      <c r="L403" s="15">
        <v>12006</v>
      </c>
      <c r="M403" s="15">
        <v>8280</v>
      </c>
      <c r="N403" s="13">
        <v>1.45</v>
      </c>
      <c r="O403" s="11">
        <v>0.3</v>
      </c>
      <c r="P403" s="15">
        <v>30015</v>
      </c>
      <c r="Q403" s="15">
        <v>20700</v>
      </c>
      <c r="R403" s="13">
        <v>1.45</v>
      </c>
      <c r="S403" s="11">
        <v>0.3</v>
      </c>
      <c r="T403" s="15">
        <v>30015</v>
      </c>
      <c r="U403" s="15">
        <v>20700</v>
      </c>
      <c r="V403" s="13">
        <v>1.45</v>
      </c>
      <c r="W403" s="11">
        <v>0.3</v>
      </c>
      <c r="X403" s="15">
        <v>30015</v>
      </c>
      <c r="Y403" s="15">
        <v>20700</v>
      </c>
      <c r="Z403" s="13">
        <v>1.45</v>
      </c>
      <c r="AA403" s="11">
        <v>0.72</v>
      </c>
      <c r="AB403" s="15">
        <v>72036</v>
      </c>
      <c r="AC403" s="15">
        <v>49680</v>
      </c>
      <c r="AD403" s="13">
        <v>1.45</v>
      </c>
      <c r="AE403" s="11">
        <v>0.72</v>
      </c>
      <c r="AF403" s="15">
        <v>72036</v>
      </c>
      <c r="AG403" s="15">
        <v>49680</v>
      </c>
      <c r="AH403" s="13">
        <v>1.45</v>
      </c>
      <c r="AI403" s="11">
        <v>0.72</v>
      </c>
      <c r="AJ403" s="15">
        <v>72036</v>
      </c>
      <c r="AK403" s="15">
        <v>49680</v>
      </c>
      <c r="AL403" s="13">
        <v>1.45</v>
      </c>
      <c r="AM403" s="11">
        <v>0.84</v>
      </c>
      <c r="AN403" s="15">
        <v>84042</v>
      </c>
      <c r="AO403" s="15">
        <v>57960</v>
      </c>
      <c r="AP403" s="13">
        <v>1.45</v>
      </c>
      <c r="AQ403" s="11">
        <v>0.9</v>
      </c>
      <c r="AR403" s="15">
        <v>90045</v>
      </c>
      <c r="AS403" s="15">
        <v>62100</v>
      </c>
      <c r="AT403" s="13">
        <v>1.45</v>
      </c>
      <c r="AU403" s="11">
        <v>0.84</v>
      </c>
      <c r="AV403" s="15">
        <v>84042</v>
      </c>
      <c r="AW403" s="15">
        <v>57960</v>
      </c>
      <c r="AX403" s="13">
        <v>1.45</v>
      </c>
      <c r="AY403" s="11">
        <v>6</v>
      </c>
      <c r="AZ403" s="15">
        <v>600300</v>
      </c>
      <c r="BA403" s="15">
        <v>414000</v>
      </c>
      <c r="BB403" s="13">
        <v>1.45</v>
      </c>
    </row>
    <row r="404" spans="1:54" x14ac:dyDescent="0.25">
      <c r="A404" s="10" t="s">
        <v>140</v>
      </c>
      <c r="B404" s="10" t="s">
        <v>46</v>
      </c>
      <c r="C404" s="11">
        <v>0.92200000000000004</v>
      </c>
      <c r="D404" s="13">
        <v>801.54</v>
      </c>
      <c r="E404" s="13">
        <v>383.52</v>
      </c>
      <c r="F404" s="13">
        <v>2.09</v>
      </c>
      <c r="G404" s="11">
        <v>1.383</v>
      </c>
      <c r="H404" s="16">
        <v>1202.31</v>
      </c>
      <c r="I404" s="13">
        <v>575.27</v>
      </c>
      <c r="J404" s="13">
        <v>2.09</v>
      </c>
      <c r="K404" s="11">
        <v>1.613</v>
      </c>
      <c r="L404" s="16">
        <v>1402.26</v>
      </c>
      <c r="M404" s="13">
        <v>670.94</v>
      </c>
      <c r="N404" s="13">
        <v>2.09</v>
      </c>
      <c r="O404" s="11">
        <v>1.8660000000000001</v>
      </c>
      <c r="P404" s="16">
        <v>1622.21</v>
      </c>
      <c r="Q404" s="13">
        <v>776.18</v>
      </c>
      <c r="R404" s="13">
        <v>2.09</v>
      </c>
      <c r="S404" s="11">
        <v>1.8660000000000001</v>
      </c>
      <c r="T404" s="16">
        <v>1622.21</v>
      </c>
      <c r="U404" s="13">
        <v>776.18</v>
      </c>
      <c r="V404" s="13">
        <v>2.09</v>
      </c>
      <c r="W404" s="11">
        <v>1.8660000000000001</v>
      </c>
      <c r="X404" s="16">
        <v>1622.21</v>
      </c>
      <c r="Y404" s="13">
        <v>776.18</v>
      </c>
      <c r="Z404" s="13">
        <v>2.09</v>
      </c>
      <c r="AA404" s="11">
        <v>2.028</v>
      </c>
      <c r="AB404" s="16">
        <v>1763.04</v>
      </c>
      <c r="AC404" s="13">
        <v>843.57</v>
      </c>
      <c r="AD404" s="13">
        <v>2.09</v>
      </c>
      <c r="AE404" s="11">
        <v>2.0739999999999998</v>
      </c>
      <c r="AF404" s="16">
        <v>1803.03</v>
      </c>
      <c r="AG404" s="17">
        <v>862.7</v>
      </c>
      <c r="AH404" s="13">
        <v>2.09</v>
      </c>
      <c r="AI404" s="11">
        <v>2.3050000000000002</v>
      </c>
      <c r="AJ404" s="16">
        <v>2003.85</v>
      </c>
      <c r="AK404" s="13">
        <v>958.79</v>
      </c>
      <c r="AL404" s="13">
        <v>2.09</v>
      </c>
      <c r="AM404" s="11">
        <v>2.2349999999999999</v>
      </c>
      <c r="AN404" s="15">
        <v>1943</v>
      </c>
      <c r="AO404" s="13">
        <v>929.67</v>
      </c>
      <c r="AP404" s="13">
        <v>2.09</v>
      </c>
      <c r="AQ404" s="11">
        <v>2.3050000000000002</v>
      </c>
      <c r="AR404" s="16">
        <v>2003.85</v>
      </c>
      <c r="AS404" s="13">
        <v>958.79</v>
      </c>
      <c r="AT404" s="13">
        <v>2.09</v>
      </c>
      <c r="AU404" s="11">
        <v>2.5339999999999998</v>
      </c>
      <c r="AV404" s="16">
        <v>2202.9299999999998</v>
      </c>
      <c r="AW404" s="16">
        <v>1054.04</v>
      </c>
      <c r="AX404" s="13">
        <v>2.09</v>
      </c>
      <c r="AY404" s="11">
        <v>22.997</v>
      </c>
      <c r="AZ404" s="16">
        <v>19992.439999999999</v>
      </c>
      <c r="BA404" s="16">
        <v>9565.83</v>
      </c>
      <c r="BB404" s="13">
        <v>2.09</v>
      </c>
    </row>
    <row r="405" spans="1:54" x14ac:dyDescent="0.25">
      <c r="A405" s="10" t="s">
        <v>140</v>
      </c>
      <c r="B405" s="10" t="s">
        <v>64</v>
      </c>
      <c r="C405" s="11">
        <v>20.803000000000001</v>
      </c>
      <c r="D405" s="16">
        <v>6024.13</v>
      </c>
      <c r="E405" s="16">
        <v>3543.58</v>
      </c>
      <c r="F405" s="13">
        <v>1.7</v>
      </c>
      <c r="G405" s="11">
        <v>26.004000000000001</v>
      </c>
      <c r="H405" s="16">
        <v>7530.24</v>
      </c>
      <c r="I405" s="16">
        <v>4429.5200000000004</v>
      </c>
      <c r="J405" s="13">
        <v>1.7</v>
      </c>
      <c r="K405" s="11">
        <v>31.204999999999998</v>
      </c>
      <c r="L405" s="16">
        <v>9036.34</v>
      </c>
      <c r="M405" s="16">
        <v>5315.46</v>
      </c>
      <c r="N405" s="13">
        <v>1.7</v>
      </c>
      <c r="O405" s="11">
        <v>42.646000000000001</v>
      </c>
      <c r="P405" s="16">
        <v>12349.43</v>
      </c>
      <c r="Q405" s="16">
        <v>7264.32</v>
      </c>
      <c r="R405" s="13">
        <v>1.7</v>
      </c>
      <c r="S405" s="11">
        <v>36.405999999999999</v>
      </c>
      <c r="T405" s="16">
        <v>10542.45</v>
      </c>
      <c r="U405" s="12">
        <v>6201.4</v>
      </c>
      <c r="V405" s="13">
        <v>1.7</v>
      </c>
      <c r="W405" s="11">
        <v>41.606999999999999</v>
      </c>
      <c r="X405" s="16">
        <v>12048.56</v>
      </c>
      <c r="Y405" s="16">
        <v>7087.34</v>
      </c>
      <c r="Z405" s="13">
        <v>1.7</v>
      </c>
      <c r="AA405" s="11">
        <v>41.606999999999999</v>
      </c>
      <c r="AB405" s="16">
        <v>12048.56</v>
      </c>
      <c r="AC405" s="16">
        <v>7087.34</v>
      </c>
      <c r="AD405" s="13">
        <v>1.7</v>
      </c>
      <c r="AE405" s="11">
        <v>36.405999999999999</v>
      </c>
      <c r="AF405" s="16">
        <v>10542.45</v>
      </c>
      <c r="AG405" s="12">
        <v>6201.4</v>
      </c>
      <c r="AH405" s="13">
        <v>1.7</v>
      </c>
      <c r="AI405" s="11">
        <v>41.606999999999999</v>
      </c>
      <c r="AJ405" s="16">
        <v>12048.56</v>
      </c>
      <c r="AK405" s="16">
        <v>7087.34</v>
      </c>
      <c r="AL405" s="13">
        <v>1.7</v>
      </c>
      <c r="AM405" s="11">
        <v>55.649000000000001</v>
      </c>
      <c r="AN405" s="16">
        <v>16114.84</v>
      </c>
      <c r="AO405" s="16">
        <v>9479.25</v>
      </c>
      <c r="AP405" s="13">
        <v>1.7</v>
      </c>
      <c r="AQ405" s="11">
        <v>55.649000000000001</v>
      </c>
      <c r="AR405" s="16">
        <v>16114.84</v>
      </c>
      <c r="AS405" s="16">
        <v>9479.25</v>
      </c>
      <c r="AT405" s="13">
        <v>1.7</v>
      </c>
      <c r="AU405" s="11">
        <v>88.412999999999997</v>
      </c>
      <c r="AV405" s="16">
        <v>25602.639999999999</v>
      </c>
      <c r="AW405" s="16">
        <v>15060.27</v>
      </c>
      <c r="AX405" s="13">
        <v>1.7</v>
      </c>
      <c r="AY405" s="11">
        <v>518.00199999999995</v>
      </c>
      <c r="AZ405" s="16">
        <v>150003.04</v>
      </c>
      <c r="BA405" s="16">
        <v>88236.47</v>
      </c>
      <c r="BB405" s="13">
        <v>1.7</v>
      </c>
    </row>
    <row r="406" spans="1:54" x14ac:dyDescent="0.25">
      <c r="A406" s="10" t="s">
        <v>140</v>
      </c>
      <c r="B406" s="10" t="s">
        <v>77</v>
      </c>
      <c r="C406" s="11">
        <v>4.016</v>
      </c>
      <c r="D406" s="12">
        <v>4105.3999999999996</v>
      </c>
      <c r="E406" s="16">
        <v>2736.94</v>
      </c>
      <c r="F406" s="13">
        <v>1.5</v>
      </c>
      <c r="G406" s="11">
        <v>5.0199999999999996</v>
      </c>
      <c r="H406" s="16">
        <v>5131.75</v>
      </c>
      <c r="I406" s="16">
        <v>3421.18</v>
      </c>
      <c r="J406" s="13">
        <v>1.5</v>
      </c>
      <c r="K406" s="11">
        <v>6.024</v>
      </c>
      <c r="L406" s="16">
        <v>6158.09</v>
      </c>
      <c r="M406" s="16">
        <v>4105.42</v>
      </c>
      <c r="N406" s="13">
        <v>1.5</v>
      </c>
      <c r="O406" s="11">
        <v>8.2330000000000005</v>
      </c>
      <c r="P406" s="16">
        <v>8416.27</v>
      </c>
      <c r="Q406" s="16">
        <v>5610.87</v>
      </c>
      <c r="R406" s="13">
        <v>1.5</v>
      </c>
      <c r="S406" s="11">
        <v>7.0279999999999996</v>
      </c>
      <c r="T406" s="16">
        <v>7184.44</v>
      </c>
      <c r="U406" s="16">
        <v>4789.6499999999996</v>
      </c>
      <c r="V406" s="13">
        <v>1.5</v>
      </c>
      <c r="W406" s="11">
        <v>8.032</v>
      </c>
      <c r="X406" s="16">
        <v>8210.7900000000009</v>
      </c>
      <c r="Y406" s="16">
        <v>5473.89</v>
      </c>
      <c r="Z406" s="13">
        <v>1.5</v>
      </c>
      <c r="AA406" s="11">
        <v>8.032</v>
      </c>
      <c r="AB406" s="16">
        <v>8210.7900000000009</v>
      </c>
      <c r="AC406" s="16">
        <v>5473.89</v>
      </c>
      <c r="AD406" s="13">
        <v>1.5</v>
      </c>
      <c r="AE406" s="11">
        <v>7.0279999999999996</v>
      </c>
      <c r="AF406" s="16">
        <v>7184.44</v>
      </c>
      <c r="AG406" s="16">
        <v>4789.6499999999996</v>
      </c>
      <c r="AH406" s="13">
        <v>1.5</v>
      </c>
      <c r="AI406" s="11">
        <v>8.032</v>
      </c>
      <c r="AJ406" s="16">
        <v>8210.7900000000009</v>
      </c>
      <c r="AK406" s="16">
        <v>5473.89</v>
      </c>
      <c r="AL406" s="13">
        <v>1.5</v>
      </c>
      <c r="AM406" s="11">
        <v>10.743</v>
      </c>
      <c r="AN406" s="16">
        <v>10982.14</v>
      </c>
      <c r="AO406" s="16">
        <v>7321.46</v>
      </c>
      <c r="AP406" s="13">
        <v>1.5</v>
      </c>
      <c r="AQ406" s="11">
        <v>10.743</v>
      </c>
      <c r="AR406" s="16">
        <v>10982.14</v>
      </c>
      <c r="AS406" s="16">
        <v>7321.46</v>
      </c>
      <c r="AT406" s="13">
        <v>1.5</v>
      </c>
      <c r="AU406" s="11">
        <v>17.068000000000001</v>
      </c>
      <c r="AV406" s="16">
        <v>17447.93</v>
      </c>
      <c r="AW406" s="16">
        <v>11632.01</v>
      </c>
      <c r="AX406" s="13">
        <v>1.5</v>
      </c>
      <c r="AY406" s="11">
        <v>99.998999999999995</v>
      </c>
      <c r="AZ406" s="16">
        <v>102224.97</v>
      </c>
      <c r="BA406" s="16">
        <v>68150.31</v>
      </c>
      <c r="BB406" s="13">
        <v>1.5</v>
      </c>
    </row>
    <row r="407" spans="1:54" x14ac:dyDescent="0.25">
      <c r="A407" s="10" t="s">
        <v>140</v>
      </c>
      <c r="B407" s="10" t="s">
        <v>124</v>
      </c>
      <c r="C407" s="11">
        <v>1.968</v>
      </c>
      <c r="D407" s="16">
        <v>6024.78</v>
      </c>
      <c r="E407" s="16">
        <v>3651.37</v>
      </c>
      <c r="F407" s="13">
        <v>1.65</v>
      </c>
      <c r="G407" s="11">
        <v>2.46</v>
      </c>
      <c r="H407" s="16">
        <v>7530.97</v>
      </c>
      <c r="I407" s="16">
        <v>4564.21</v>
      </c>
      <c r="J407" s="13">
        <v>1.65</v>
      </c>
      <c r="K407" s="11">
        <v>2.952</v>
      </c>
      <c r="L407" s="16">
        <v>9037.16</v>
      </c>
      <c r="M407" s="16">
        <v>5477.05</v>
      </c>
      <c r="N407" s="13">
        <v>1.65</v>
      </c>
      <c r="O407" s="11">
        <v>4.0339999999999998</v>
      </c>
      <c r="P407" s="16">
        <v>12349.57</v>
      </c>
      <c r="Q407" s="16">
        <v>7484.56</v>
      </c>
      <c r="R407" s="13">
        <v>1.65</v>
      </c>
      <c r="S407" s="11">
        <v>3.4430000000000001</v>
      </c>
      <c r="T407" s="12">
        <v>10540.3</v>
      </c>
      <c r="U407" s="16">
        <v>6388.04</v>
      </c>
      <c r="V407" s="13">
        <v>1.65</v>
      </c>
      <c r="W407" s="11">
        <v>3.9350000000000001</v>
      </c>
      <c r="X407" s="16">
        <v>12046.49</v>
      </c>
      <c r="Y407" s="16">
        <v>7300.88</v>
      </c>
      <c r="Z407" s="13">
        <v>1.65</v>
      </c>
      <c r="AA407" s="11">
        <v>3.9350000000000001</v>
      </c>
      <c r="AB407" s="16">
        <v>12046.49</v>
      </c>
      <c r="AC407" s="16">
        <v>7300.88</v>
      </c>
      <c r="AD407" s="13">
        <v>1.65</v>
      </c>
      <c r="AE407" s="11">
        <v>3.4430000000000001</v>
      </c>
      <c r="AF407" s="12">
        <v>10540.3</v>
      </c>
      <c r="AG407" s="16">
        <v>6388.04</v>
      </c>
      <c r="AH407" s="13">
        <v>1.65</v>
      </c>
      <c r="AI407" s="11">
        <v>3.9350000000000001</v>
      </c>
      <c r="AJ407" s="16">
        <v>12046.49</v>
      </c>
      <c r="AK407" s="16">
        <v>7300.88</v>
      </c>
      <c r="AL407" s="13">
        <v>1.65</v>
      </c>
      <c r="AM407" s="11">
        <v>5.2640000000000002</v>
      </c>
      <c r="AN407" s="16">
        <v>16115.05</v>
      </c>
      <c r="AO407" s="16">
        <v>9766.67</v>
      </c>
      <c r="AP407" s="13">
        <v>1.65</v>
      </c>
      <c r="AQ407" s="11">
        <v>5.2640000000000002</v>
      </c>
      <c r="AR407" s="16">
        <v>16115.05</v>
      </c>
      <c r="AS407" s="16">
        <v>9766.67</v>
      </c>
      <c r="AT407" s="13">
        <v>1.65</v>
      </c>
      <c r="AU407" s="11">
        <v>8.3650000000000002</v>
      </c>
      <c r="AV407" s="16">
        <v>25608.36</v>
      </c>
      <c r="AW407" s="16">
        <v>15520.17</v>
      </c>
      <c r="AX407" s="13">
        <v>1.65</v>
      </c>
      <c r="AY407" s="11">
        <v>48.997999999999998</v>
      </c>
      <c r="AZ407" s="16">
        <v>150001.01</v>
      </c>
      <c r="BA407" s="16">
        <v>90909.42</v>
      </c>
      <c r="BB407" s="13">
        <v>1.65</v>
      </c>
    </row>
    <row r="408" spans="1:54" x14ac:dyDescent="0.25">
      <c r="A408" s="10" t="s">
        <v>140</v>
      </c>
      <c r="B408" s="10" t="s">
        <v>129</v>
      </c>
      <c r="C408" s="11">
        <v>0.80100000000000005</v>
      </c>
      <c r="D408" s="16">
        <v>16022.76</v>
      </c>
      <c r="E408" s="16">
        <v>7316.33</v>
      </c>
      <c r="F408" s="13">
        <v>2.19</v>
      </c>
      <c r="G408" s="11">
        <v>1.202</v>
      </c>
      <c r="H408" s="16">
        <v>24044.15</v>
      </c>
      <c r="I408" s="16">
        <v>10979.07</v>
      </c>
      <c r="J408" s="13">
        <v>2.19</v>
      </c>
      <c r="K408" s="11">
        <v>1.403</v>
      </c>
      <c r="L408" s="16">
        <v>28064.84</v>
      </c>
      <c r="M408" s="15">
        <v>12815</v>
      </c>
      <c r="N408" s="13">
        <v>2.19</v>
      </c>
      <c r="O408" s="11">
        <v>1.623</v>
      </c>
      <c r="P408" s="12">
        <v>32465.599999999999</v>
      </c>
      <c r="Q408" s="16">
        <v>14824.48</v>
      </c>
      <c r="R408" s="13">
        <v>2.19</v>
      </c>
      <c r="S408" s="11">
        <v>1.623</v>
      </c>
      <c r="T408" s="12">
        <v>32465.599999999999</v>
      </c>
      <c r="U408" s="16">
        <v>14824.48</v>
      </c>
      <c r="V408" s="13">
        <v>2.19</v>
      </c>
      <c r="W408" s="11">
        <v>1.623</v>
      </c>
      <c r="X408" s="12">
        <v>32465.599999999999</v>
      </c>
      <c r="Y408" s="16">
        <v>14824.48</v>
      </c>
      <c r="Z408" s="13">
        <v>2.19</v>
      </c>
      <c r="AA408" s="11">
        <v>1.764</v>
      </c>
      <c r="AB408" s="16">
        <v>35286.089999999997</v>
      </c>
      <c r="AC408" s="16">
        <v>16112.38</v>
      </c>
      <c r="AD408" s="13">
        <v>2.19</v>
      </c>
      <c r="AE408" s="11">
        <v>1.8029999999999999</v>
      </c>
      <c r="AF408" s="16">
        <v>36066.22</v>
      </c>
      <c r="AG408" s="12">
        <v>16468.599999999999</v>
      </c>
      <c r="AH408" s="13">
        <v>2.19</v>
      </c>
      <c r="AI408" s="11">
        <v>2.004</v>
      </c>
      <c r="AJ408" s="16">
        <v>40086.910000000003</v>
      </c>
      <c r="AK408" s="16">
        <v>18304.54</v>
      </c>
      <c r="AL408" s="13">
        <v>2.19</v>
      </c>
      <c r="AM408" s="11">
        <v>1.944</v>
      </c>
      <c r="AN408" s="16">
        <v>38886.71</v>
      </c>
      <c r="AO408" s="12">
        <v>17756.5</v>
      </c>
      <c r="AP408" s="13">
        <v>2.19</v>
      </c>
      <c r="AQ408" s="11">
        <v>2.004</v>
      </c>
      <c r="AR408" s="16">
        <v>40086.910000000003</v>
      </c>
      <c r="AS408" s="16">
        <v>18304.54</v>
      </c>
      <c r="AT408" s="13">
        <v>2.19</v>
      </c>
      <c r="AU408" s="11">
        <v>2.2050000000000001</v>
      </c>
      <c r="AV408" s="16">
        <v>44107.61</v>
      </c>
      <c r="AW408" s="16">
        <v>20140.47</v>
      </c>
      <c r="AX408" s="13">
        <v>2.19</v>
      </c>
      <c r="AY408" s="11">
        <v>19.998999999999999</v>
      </c>
      <c r="AZ408" s="15">
        <v>400049</v>
      </c>
      <c r="BA408" s="16">
        <v>182670.87</v>
      </c>
      <c r="BB408" s="13">
        <v>2.19</v>
      </c>
    </row>
    <row r="409" spans="1:54" x14ac:dyDescent="0.25">
      <c r="A409" s="10" t="s">
        <v>140</v>
      </c>
      <c r="B409" s="10" t="s">
        <v>132</v>
      </c>
      <c r="C409" s="11">
        <v>1.323</v>
      </c>
      <c r="D409" s="16">
        <v>12026.43</v>
      </c>
      <c r="E409" s="16">
        <v>6681.35</v>
      </c>
      <c r="F409" s="13">
        <v>1.8</v>
      </c>
      <c r="G409" s="11">
        <v>1.984</v>
      </c>
      <c r="H409" s="12">
        <v>18035.099999999999</v>
      </c>
      <c r="I409" s="12">
        <v>10019.5</v>
      </c>
      <c r="J409" s="13">
        <v>1.8</v>
      </c>
      <c r="K409" s="11">
        <v>2.3140000000000001</v>
      </c>
      <c r="L409" s="16">
        <v>21034.880000000001</v>
      </c>
      <c r="M409" s="16">
        <v>11686.05</v>
      </c>
      <c r="N409" s="13">
        <v>1.8</v>
      </c>
      <c r="O409" s="11">
        <v>2.6789999999999998</v>
      </c>
      <c r="P409" s="16">
        <v>24352.83</v>
      </c>
      <c r="Q409" s="16">
        <v>13529.35</v>
      </c>
      <c r="R409" s="13">
        <v>1.8</v>
      </c>
      <c r="S409" s="11">
        <v>2.6789999999999998</v>
      </c>
      <c r="T409" s="16">
        <v>24352.83</v>
      </c>
      <c r="U409" s="16">
        <v>13529.35</v>
      </c>
      <c r="V409" s="13">
        <v>1.8</v>
      </c>
      <c r="W409" s="11">
        <v>2.6789999999999998</v>
      </c>
      <c r="X409" s="16">
        <v>24352.83</v>
      </c>
      <c r="Y409" s="16">
        <v>13529.35</v>
      </c>
      <c r="Z409" s="13">
        <v>1.8</v>
      </c>
      <c r="AA409" s="11">
        <v>2.91</v>
      </c>
      <c r="AB409" s="16">
        <v>26452.69</v>
      </c>
      <c r="AC409" s="16">
        <v>14695.94</v>
      </c>
      <c r="AD409" s="13">
        <v>1.8</v>
      </c>
      <c r="AE409" s="11">
        <v>2.976</v>
      </c>
      <c r="AF409" s="16">
        <v>27052.639999999999</v>
      </c>
      <c r="AG409" s="16">
        <v>15029.25</v>
      </c>
      <c r="AH409" s="13">
        <v>1.8</v>
      </c>
      <c r="AI409" s="11">
        <v>3.3069999999999999</v>
      </c>
      <c r="AJ409" s="16">
        <v>30061.52</v>
      </c>
      <c r="AK409" s="16">
        <v>16700.849999999999</v>
      </c>
      <c r="AL409" s="13">
        <v>1.8</v>
      </c>
      <c r="AM409" s="11">
        <v>3.2080000000000002</v>
      </c>
      <c r="AN409" s="16">
        <v>29161.59</v>
      </c>
      <c r="AO409" s="16">
        <v>16200.88</v>
      </c>
      <c r="AP409" s="13">
        <v>1.8</v>
      </c>
      <c r="AQ409" s="11">
        <v>3.3069999999999999</v>
      </c>
      <c r="AR409" s="16">
        <v>30061.52</v>
      </c>
      <c r="AS409" s="16">
        <v>16700.849999999999</v>
      </c>
      <c r="AT409" s="13">
        <v>1.8</v>
      </c>
      <c r="AU409" s="11">
        <v>3.637</v>
      </c>
      <c r="AV409" s="16">
        <v>33061.31</v>
      </c>
      <c r="AW409" s="12">
        <v>18367.400000000001</v>
      </c>
      <c r="AX409" s="13">
        <v>1.8</v>
      </c>
      <c r="AY409" s="11">
        <v>33.003</v>
      </c>
      <c r="AZ409" s="16">
        <v>300006.17</v>
      </c>
      <c r="BA409" s="16">
        <v>166670.12</v>
      </c>
      <c r="BB409" s="13">
        <v>1.8</v>
      </c>
    </row>
    <row r="410" spans="1:54" x14ac:dyDescent="0.25">
      <c r="A410" s="10" t="s">
        <v>140</v>
      </c>
      <c r="B410" s="10" t="s">
        <v>134</v>
      </c>
      <c r="C410" s="11">
        <v>3.286</v>
      </c>
      <c r="D410" s="16">
        <v>28051.33</v>
      </c>
      <c r="E410" s="16">
        <v>16029.34</v>
      </c>
      <c r="F410" s="13">
        <v>1.75</v>
      </c>
      <c r="G410" s="11">
        <v>4.93</v>
      </c>
      <c r="H410" s="16">
        <v>42085.54</v>
      </c>
      <c r="I410" s="16">
        <v>24048.89</v>
      </c>
      <c r="J410" s="13">
        <v>1.75</v>
      </c>
      <c r="K410" s="11">
        <v>5.7519999999999998</v>
      </c>
      <c r="L410" s="16">
        <v>49102.64</v>
      </c>
      <c r="M410" s="16">
        <v>28058.66</v>
      </c>
      <c r="N410" s="13">
        <v>1.75</v>
      </c>
      <c r="O410" s="11">
        <v>6.6559999999999997</v>
      </c>
      <c r="P410" s="16">
        <v>56819.74</v>
      </c>
      <c r="Q410" s="16">
        <v>32468.43</v>
      </c>
      <c r="R410" s="13">
        <v>1.75</v>
      </c>
      <c r="S410" s="11">
        <v>6.6559999999999997</v>
      </c>
      <c r="T410" s="16">
        <v>56819.74</v>
      </c>
      <c r="U410" s="16">
        <v>32468.43</v>
      </c>
      <c r="V410" s="13">
        <v>1.75</v>
      </c>
      <c r="W410" s="11">
        <v>6.6559999999999997</v>
      </c>
      <c r="X410" s="16">
        <v>56819.74</v>
      </c>
      <c r="Y410" s="16">
        <v>32468.43</v>
      </c>
      <c r="Z410" s="13">
        <v>1.75</v>
      </c>
      <c r="AA410" s="11">
        <v>7.23</v>
      </c>
      <c r="AB410" s="16">
        <v>61719.76</v>
      </c>
      <c r="AC410" s="16">
        <v>35268.449999999997</v>
      </c>
      <c r="AD410" s="13">
        <v>1.75</v>
      </c>
      <c r="AE410" s="11">
        <v>7.3940000000000001</v>
      </c>
      <c r="AF410" s="16">
        <v>63119.77</v>
      </c>
      <c r="AG410" s="16">
        <v>36068.449999999997</v>
      </c>
      <c r="AH410" s="13">
        <v>1.75</v>
      </c>
      <c r="AI410" s="11">
        <v>8.2159999999999993</v>
      </c>
      <c r="AJ410" s="16">
        <v>70136.87</v>
      </c>
      <c r="AK410" s="16">
        <v>40078.22</v>
      </c>
      <c r="AL410" s="13">
        <v>1.75</v>
      </c>
      <c r="AM410" s="11">
        <v>7.97</v>
      </c>
      <c r="AN410" s="16">
        <v>68036.86</v>
      </c>
      <c r="AO410" s="16">
        <v>38878.22</v>
      </c>
      <c r="AP410" s="13">
        <v>1.75</v>
      </c>
      <c r="AQ410" s="11">
        <v>8.2159999999999993</v>
      </c>
      <c r="AR410" s="16">
        <v>70136.87</v>
      </c>
      <c r="AS410" s="16">
        <v>40078.22</v>
      </c>
      <c r="AT410" s="13">
        <v>1.75</v>
      </c>
      <c r="AU410" s="11">
        <v>9.0380000000000003</v>
      </c>
      <c r="AV410" s="16">
        <v>77153.97</v>
      </c>
      <c r="AW410" s="15">
        <v>44088</v>
      </c>
      <c r="AX410" s="13">
        <v>1.75</v>
      </c>
      <c r="AY410" s="11">
        <v>82</v>
      </c>
      <c r="AZ410" s="16">
        <v>700002.83</v>
      </c>
      <c r="BA410" s="16">
        <v>400001.74</v>
      </c>
      <c r="BB410" s="13">
        <v>1.75</v>
      </c>
    </row>
    <row r="411" spans="1:54" x14ac:dyDescent="0.25">
      <c r="A411" s="10" t="s">
        <v>166</v>
      </c>
      <c r="B411" s="10" t="s">
        <v>137</v>
      </c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1">
        <v>53.459000000000003</v>
      </c>
      <c r="P411" s="16">
        <v>5195.1499999999996</v>
      </c>
      <c r="Q411" s="16">
        <v>3847.98</v>
      </c>
      <c r="R411" s="13">
        <v>1.35</v>
      </c>
      <c r="S411" s="11">
        <v>62.369</v>
      </c>
      <c r="T411" s="16">
        <v>6061.02</v>
      </c>
      <c r="U411" s="16">
        <v>4489.32</v>
      </c>
      <c r="V411" s="13">
        <v>1.35</v>
      </c>
      <c r="W411" s="11">
        <v>80.19</v>
      </c>
      <c r="X411" s="16">
        <v>7792.86</v>
      </c>
      <c r="Y411" s="16">
        <v>5772.08</v>
      </c>
      <c r="Z411" s="13">
        <v>1.35</v>
      </c>
      <c r="AA411" s="11">
        <v>98.01</v>
      </c>
      <c r="AB411" s="16">
        <v>9524.61</v>
      </c>
      <c r="AC411" s="16">
        <v>7054.76</v>
      </c>
      <c r="AD411" s="13">
        <v>1.35</v>
      </c>
      <c r="AE411" s="11">
        <v>106.92</v>
      </c>
      <c r="AF411" s="16">
        <v>10390.49</v>
      </c>
      <c r="AG411" s="12">
        <v>7696.1</v>
      </c>
      <c r="AH411" s="13">
        <v>1.35</v>
      </c>
      <c r="AI411" s="11">
        <v>106.92</v>
      </c>
      <c r="AJ411" s="16">
        <v>10390.49</v>
      </c>
      <c r="AK411" s="12">
        <v>7696.1</v>
      </c>
      <c r="AL411" s="13">
        <v>1.35</v>
      </c>
      <c r="AM411" s="11">
        <v>124.74</v>
      </c>
      <c r="AN411" s="16">
        <v>12122.23</v>
      </c>
      <c r="AO411" s="16">
        <v>8978.7900000000009</v>
      </c>
      <c r="AP411" s="13">
        <v>1.35</v>
      </c>
      <c r="AQ411" s="11">
        <v>133.65</v>
      </c>
      <c r="AR411" s="16">
        <v>12988.11</v>
      </c>
      <c r="AS411" s="16">
        <v>9620.1299999999992</v>
      </c>
      <c r="AT411" s="13">
        <v>1.35</v>
      </c>
      <c r="AU411" s="11">
        <v>124.74</v>
      </c>
      <c r="AV411" s="16">
        <v>12122.23</v>
      </c>
      <c r="AW411" s="16">
        <v>8978.7900000000009</v>
      </c>
      <c r="AX411" s="13">
        <v>1.35</v>
      </c>
      <c r="AY411" s="11">
        <v>890.99800000000005</v>
      </c>
      <c r="AZ411" s="16">
        <v>86587.19</v>
      </c>
      <c r="BA411" s="16">
        <v>64134.05</v>
      </c>
      <c r="BB411" s="13">
        <v>1.35</v>
      </c>
    </row>
    <row r="412" spans="1:54" x14ac:dyDescent="0.25">
      <c r="A412" s="10" t="s">
        <v>166</v>
      </c>
      <c r="B412" s="10" t="s">
        <v>138</v>
      </c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1">
        <v>5.58</v>
      </c>
      <c r="P412" s="16">
        <v>12875.96</v>
      </c>
      <c r="Q412" s="16">
        <v>9981.34</v>
      </c>
      <c r="R412" s="13">
        <v>1.29</v>
      </c>
      <c r="S412" s="11">
        <v>6.51</v>
      </c>
      <c r="T412" s="16">
        <v>15021.96</v>
      </c>
      <c r="U412" s="16">
        <v>11644.89</v>
      </c>
      <c r="V412" s="13">
        <v>1.29</v>
      </c>
      <c r="W412" s="11">
        <v>8.3699999999999992</v>
      </c>
      <c r="X412" s="16">
        <v>19313.939999999999</v>
      </c>
      <c r="Y412" s="15">
        <v>14972</v>
      </c>
      <c r="Z412" s="13">
        <v>1.29</v>
      </c>
      <c r="AA412" s="11">
        <v>10.23</v>
      </c>
      <c r="AB412" s="16">
        <v>23605.93</v>
      </c>
      <c r="AC412" s="16">
        <v>18299.12</v>
      </c>
      <c r="AD412" s="13">
        <v>1.29</v>
      </c>
      <c r="AE412" s="11">
        <v>11.16</v>
      </c>
      <c r="AF412" s="16">
        <v>25751.919999999998</v>
      </c>
      <c r="AG412" s="16">
        <v>19962.669999999998</v>
      </c>
      <c r="AH412" s="13">
        <v>1.29</v>
      </c>
      <c r="AI412" s="11">
        <v>11.16</v>
      </c>
      <c r="AJ412" s="16">
        <v>25751.919999999998</v>
      </c>
      <c r="AK412" s="16">
        <v>19962.669999999998</v>
      </c>
      <c r="AL412" s="13">
        <v>1.29</v>
      </c>
      <c r="AM412" s="11">
        <v>13.02</v>
      </c>
      <c r="AN412" s="16">
        <v>30043.91</v>
      </c>
      <c r="AO412" s="16">
        <v>23289.79</v>
      </c>
      <c r="AP412" s="13">
        <v>1.29</v>
      </c>
      <c r="AQ412" s="11">
        <v>13.95</v>
      </c>
      <c r="AR412" s="12">
        <v>32189.9</v>
      </c>
      <c r="AS412" s="16">
        <v>24953.34</v>
      </c>
      <c r="AT412" s="13">
        <v>1.29</v>
      </c>
      <c r="AU412" s="11">
        <v>13.02</v>
      </c>
      <c r="AV412" s="16">
        <v>30043.91</v>
      </c>
      <c r="AW412" s="16">
        <v>23289.79</v>
      </c>
      <c r="AX412" s="13">
        <v>1.29</v>
      </c>
      <c r="AY412" s="11">
        <v>93</v>
      </c>
      <c r="AZ412" s="16">
        <v>214599.35</v>
      </c>
      <c r="BA412" s="16">
        <v>166355.60999999999</v>
      </c>
      <c r="BB412" s="13">
        <v>1.29</v>
      </c>
    </row>
    <row r="413" spans="1:54" x14ac:dyDescent="0.25">
      <c r="A413" s="10" t="s">
        <v>166</v>
      </c>
      <c r="B413" s="10" t="s">
        <v>139</v>
      </c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1">
        <v>19.8</v>
      </c>
      <c r="P413" s="16">
        <v>123900.88</v>
      </c>
      <c r="Q413" s="16">
        <v>88500.65</v>
      </c>
      <c r="R413" s="13">
        <v>1.4</v>
      </c>
      <c r="S413" s="11">
        <v>23.1</v>
      </c>
      <c r="T413" s="16">
        <v>144551.01999999999</v>
      </c>
      <c r="U413" s="16">
        <v>103250.76</v>
      </c>
      <c r="V413" s="13">
        <v>1.4</v>
      </c>
      <c r="W413" s="11">
        <v>29.7</v>
      </c>
      <c r="X413" s="16">
        <v>185851.31</v>
      </c>
      <c r="Y413" s="16">
        <v>132750.98000000001</v>
      </c>
      <c r="Z413" s="13">
        <v>1.4</v>
      </c>
      <c r="AA413" s="11">
        <v>36.299999999999997</v>
      </c>
      <c r="AB413" s="16">
        <v>227151.61</v>
      </c>
      <c r="AC413" s="12">
        <v>162251.20000000001</v>
      </c>
      <c r="AD413" s="13">
        <v>1.4</v>
      </c>
      <c r="AE413" s="11">
        <v>39.6</v>
      </c>
      <c r="AF413" s="16">
        <v>247801.75</v>
      </c>
      <c r="AG413" s="16">
        <v>177001.31</v>
      </c>
      <c r="AH413" s="13">
        <v>1.4</v>
      </c>
      <c r="AI413" s="11">
        <v>39.6</v>
      </c>
      <c r="AJ413" s="16">
        <v>247801.75</v>
      </c>
      <c r="AK413" s="16">
        <v>177001.31</v>
      </c>
      <c r="AL413" s="13">
        <v>1.4</v>
      </c>
      <c r="AM413" s="11">
        <v>46.2</v>
      </c>
      <c r="AN413" s="16">
        <v>289102.03999999998</v>
      </c>
      <c r="AO413" s="16">
        <v>206501.53</v>
      </c>
      <c r="AP413" s="13">
        <v>1.4</v>
      </c>
      <c r="AQ413" s="11">
        <v>49.5</v>
      </c>
      <c r="AR413" s="16">
        <v>309752.19</v>
      </c>
      <c r="AS413" s="16">
        <v>221251.64</v>
      </c>
      <c r="AT413" s="13">
        <v>1.4</v>
      </c>
      <c r="AU413" s="11">
        <v>46.2</v>
      </c>
      <c r="AV413" s="16">
        <v>289102.03999999998</v>
      </c>
      <c r="AW413" s="16">
        <v>206501.53</v>
      </c>
      <c r="AX413" s="13">
        <v>1.4</v>
      </c>
      <c r="AY413" s="11">
        <v>330</v>
      </c>
      <c r="AZ413" s="16">
        <v>2065014.59</v>
      </c>
      <c r="BA413" s="16">
        <v>1475010.91</v>
      </c>
      <c r="BB413" s="13">
        <v>1.4</v>
      </c>
    </row>
    <row r="414" spans="1:54" x14ac:dyDescent="0.25">
      <c r="A414" s="10" t="s">
        <v>348</v>
      </c>
      <c r="B414" s="10" t="s">
        <v>163</v>
      </c>
      <c r="C414" s="14"/>
      <c r="D414" s="14"/>
      <c r="E414" s="14"/>
      <c r="F414" s="14"/>
      <c r="G414" s="11">
        <v>2.2080000000000002</v>
      </c>
      <c r="H414" s="16">
        <v>12999.73</v>
      </c>
      <c r="I414" s="16">
        <v>9629.44</v>
      </c>
      <c r="J414" s="13">
        <v>1.35</v>
      </c>
      <c r="K414" s="11">
        <v>5.52</v>
      </c>
      <c r="L414" s="16">
        <v>32499.33</v>
      </c>
      <c r="M414" s="12">
        <v>24073.599999999999</v>
      </c>
      <c r="N414" s="13">
        <v>1.35</v>
      </c>
      <c r="O414" s="11">
        <v>9.9359999999999999</v>
      </c>
      <c r="P414" s="12">
        <v>58498.8</v>
      </c>
      <c r="Q414" s="16">
        <v>43332.49</v>
      </c>
      <c r="R414" s="13">
        <v>1.35</v>
      </c>
      <c r="S414" s="11">
        <v>11.04</v>
      </c>
      <c r="T414" s="16">
        <v>64998.66</v>
      </c>
      <c r="U414" s="16">
        <v>48147.21</v>
      </c>
      <c r="V414" s="13">
        <v>1.35</v>
      </c>
      <c r="W414" s="11">
        <v>11.04</v>
      </c>
      <c r="X414" s="16">
        <v>64998.66</v>
      </c>
      <c r="Y414" s="16">
        <v>48147.21</v>
      </c>
      <c r="Z414" s="13">
        <v>1.35</v>
      </c>
      <c r="AA414" s="11">
        <v>11.04</v>
      </c>
      <c r="AB414" s="16">
        <v>64998.66</v>
      </c>
      <c r="AC414" s="16">
        <v>48147.21</v>
      </c>
      <c r="AD414" s="13">
        <v>1.35</v>
      </c>
      <c r="AE414" s="11">
        <v>11.04</v>
      </c>
      <c r="AF414" s="16">
        <v>64998.66</v>
      </c>
      <c r="AG414" s="16">
        <v>48147.21</v>
      </c>
      <c r="AH414" s="13">
        <v>1.35</v>
      </c>
      <c r="AI414" s="11">
        <v>12.144</v>
      </c>
      <c r="AJ414" s="16">
        <v>71498.53</v>
      </c>
      <c r="AK414" s="16">
        <v>52961.93</v>
      </c>
      <c r="AL414" s="13">
        <v>1.35</v>
      </c>
      <c r="AM414" s="11">
        <v>12.144</v>
      </c>
      <c r="AN414" s="16">
        <v>71498.53</v>
      </c>
      <c r="AO414" s="16">
        <v>52961.93</v>
      </c>
      <c r="AP414" s="13">
        <v>1.35</v>
      </c>
      <c r="AQ414" s="11">
        <v>12.144</v>
      </c>
      <c r="AR414" s="16">
        <v>71498.53</v>
      </c>
      <c r="AS414" s="16">
        <v>52961.93</v>
      </c>
      <c r="AT414" s="13">
        <v>1.35</v>
      </c>
      <c r="AU414" s="11">
        <v>12.144</v>
      </c>
      <c r="AV414" s="16">
        <v>71498.53</v>
      </c>
      <c r="AW414" s="16">
        <v>52961.93</v>
      </c>
      <c r="AX414" s="13">
        <v>1.35</v>
      </c>
      <c r="AY414" s="11">
        <v>110.4</v>
      </c>
      <c r="AZ414" s="16">
        <v>649986.62</v>
      </c>
      <c r="BA414" s="16">
        <v>481472.09</v>
      </c>
      <c r="BB414" s="13">
        <v>1.35</v>
      </c>
    </row>
    <row r="415" spans="1:54" x14ac:dyDescent="0.25">
      <c r="A415" s="10" t="s">
        <v>348</v>
      </c>
      <c r="B415" s="10" t="s">
        <v>76</v>
      </c>
      <c r="C415" s="14"/>
      <c r="D415" s="14"/>
      <c r="E415" s="14"/>
      <c r="F415" s="14"/>
      <c r="G415" s="14"/>
      <c r="H415" s="14"/>
      <c r="I415" s="14"/>
      <c r="J415" s="14"/>
      <c r="K415" s="11">
        <v>42</v>
      </c>
      <c r="L415" s="16">
        <v>43068.06</v>
      </c>
      <c r="M415" s="16">
        <v>31825.08</v>
      </c>
      <c r="N415" s="13">
        <v>1.35</v>
      </c>
      <c r="O415" s="11">
        <v>77</v>
      </c>
      <c r="P415" s="16">
        <v>78958.11</v>
      </c>
      <c r="Q415" s="16">
        <v>58345.98</v>
      </c>
      <c r="R415" s="13">
        <v>1.35</v>
      </c>
      <c r="S415" s="11">
        <v>126</v>
      </c>
      <c r="T415" s="16">
        <v>129204.18</v>
      </c>
      <c r="U415" s="16">
        <v>95475.24</v>
      </c>
      <c r="V415" s="13">
        <v>1.35</v>
      </c>
      <c r="W415" s="11">
        <v>133</v>
      </c>
      <c r="X415" s="16">
        <v>136382.19</v>
      </c>
      <c r="Y415" s="16">
        <v>100779.42</v>
      </c>
      <c r="Z415" s="13">
        <v>1.35</v>
      </c>
      <c r="AA415" s="11">
        <v>91</v>
      </c>
      <c r="AB415" s="16">
        <v>93314.13</v>
      </c>
      <c r="AC415" s="16">
        <v>68954.34</v>
      </c>
      <c r="AD415" s="13">
        <v>1.35</v>
      </c>
      <c r="AE415" s="11">
        <v>56</v>
      </c>
      <c r="AF415" s="16">
        <v>57424.08</v>
      </c>
      <c r="AG415" s="16">
        <v>42433.440000000002</v>
      </c>
      <c r="AH415" s="13">
        <v>1.35</v>
      </c>
      <c r="AI415" s="11">
        <v>49</v>
      </c>
      <c r="AJ415" s="16">
        <v>50246.07</v>
      </c>
      <c r="AK415" s="16">
        <v>37129.26</v>
      </c>
      <c r="AL415" s="13">
        <v>1.35</v>
      </c>
      <c r="AM415" s="11">
        <v>42</v>
      </c>
      <c r="AN415" s="16">
        <v>43068.06</v>
      </c>
      <c r="AO415" s="16">
        <v>31825.08</v>
      </c>
      <c r="AP415" s="13">
        <v>1.35</v>
      </c>
      <c r="AQ415" s="11">
        <v>42</v>
      </c>
      <c r="AR415" s="16">
        <v>43068.06</v>
      </c>
      <c r="AS415" s="16">
        <v>31825.08</v>
      </c>
      <c r="AT415" s="13">
        <v>1.35</v>
      </c>
      <c r="AU415" s="11">
        <v>42</v>
      </c>
      <c r="AV415" s="16">
        <v>43068.06</v>
      </c>
      <c r="AW415" s="16">
        <v>31825.08</v>
      </c>
      <c r="AX415" s="13">
        <v>1.35</v>
      </c>
      <c r="AY415" s="11">
        <v>700</v>
      </c>
      <c r="AZ415" s="15">
        <v>717801</v>
      </c>
      <c r="BA415" s="15">
        <v>530418</v>
      </c>
      <c r="BB415" s="13">
        <v>1.35</v>
      </c>
    </row>
    <row r="416" spans="1:54" x14ac:dyDescent="0.25">
      <c r="A416" s="10" t="s">
        <v>348</v>
      </c>
      <c r="B416" s="10" t="s">
        <v>82</v>
      </c>
      <c r="C416" s="14"/>
      <c r="D416" s="14"/>
      <c r="E416" s="14"/>
      <c r="F416" s="14"/>
      <c r="G416" s="14"/>
      <c r="H416" s="14"/>
      <c r="I416" s="14"/>
      <c r="J416" s="14"/>
      <c r="K416" s="11">
        <v>90.6</v>
      </c>
      <c r="L416" s="16">
        <v>27083.96</v>
      </c>
      <c r="M416" s="16">
        <v>20968.46</v>
      </c>
      <c r="N416" s="13">
        <v>1.29</v>
      </c>
      <c r="O416" s="11">
        <v>166.1</v>
      </c>
      <c r="P416" s="16">
        <v>49653.93</v>
      </c>
      <c r="Q416" s="16">
        <v>38442.18</v>
      </c>
      <c r="R416" s="13">
        <v>1.29</v>
      </c>
      <c r="S416" s="11">
        <v>271.8</v>
      </c>
      <c r="T416" s="16">
        <v>81251.89</v>
      </c>
      <c r="U416" s="16">
        <v>62905.39</v>
      </c>
      <c r="V416" s="13">
        <v>1.29</v>
      </c>
      <c r="W416" s="11">
        <v>286.89999999999998</v>
      </c>
      <c r="X416" s="16">
        <v>85765.89</v>
      </c>
      <c r="Y416" s="16">
        <v>66400.14</v>
      </c>
      <c r="Z416" s="13">
        <v>1.29</v>
      </c>
      <c r="AA416" s="11">
        <v>196.3</v>
      </c>
      <c r="AB416" s="16">
        <v>58681.919999999998</v>
      </c>
      <c r="AC416" s="16">
        <v>45431.67</v>
      </c>
      <c r="AD416" s="13">
        <v>1.29</v>
      </c>
      <c r="AE416" s="11">
        <v>120.8</v>
      </c>
      <c r="AF416" s="16">
        <v>36111.949999999997</v>
      </c>
      <c r="AG416" s="16">
        <v>27957.95</v>
      </c>
      <c r="AH416" s="13">
        <v>1.29</v>
      </c>
      <c r="AI416" s="11">
        <v>105.7</v>
      </c>
      <c r="AJ416" s="16">
        <v>31597.96</v>
      </c>
      <c r="AK416" s="16">
        <v>24463.21</v>
      </c>
      <c r="AL416" s="13">
        <v>1.29</v>
      </c>
      <c r="AM416" s="11">
        <v>90.6</v>
      </c>
      <c r="AN416" s="16">
        <v>27083.96</v>
      </c>
      <c r="AO416" s="16">
        <v>20968.46</v>
      </c>
      <c r="AP416" s="13">
        <v>1.29</v>
      </c>
      <c r="AQ416" s="11">
        <v>90.6</v>
      </c>
      <c r="AR416" s="16">
        <v>27083.96</v>
      </c>
      <c r="AS416" s="16">
        <v>20968.46</v>
      </c>
      <c r="AT416" s="13">
        <v>1.29</v>
      </c>
      <c r="AU416" s="11">
        <v>90.6</v>
      </c>
      <c r="AV416" s="16">
        <v>27083.96</v>
      </c>
      <c r="AW416" s="16">
        <v>20968.46</v>
      </c>
      <c r="AX416" s="13">
        <v>1.29</v>
      </c>
      <c r="AY416" s="18">
        <v>1510</v>
      </c>
      <c r="AZ416" s="16">
        <v>451399.38</v>
      </c>
      <c r="BA416" s="16">
        <v>349474.38</v>
      </c>
      <c r="BB416" s="13">
        <v>1.29</v>
      </c>
    </row>
    <row r="417" spans="1:54" x14ac:dyDescent="0.25">
      <c r="A417" s="10" t="s">
        <v>348</v>
      </c>
      <c r="B417" s="10" t="s">
        <v>89</v>
      </c>
      <c r="C417" s="14"/>
      <c r="D417" s="14"/>
      <c r="E417" s="14"/>
      <c r="F417" s="14"/>
      <c r="G417" s="14"/>
      <c r="H417" s="14"/>
      <c r="I417" s="14"/>
      <c r="J417" s="14"/>
      <c r="K417" s="11">
        <v>49.2</v>
      </c>
      <c r="L417" s="16">
        <v>11441.95</v>
      </c>
      <c r="M417" s="16">
        <v>8899.7900000000009</v>
      </c>
      <c r="N417" s="13">
        <v>1.29</v>
      </c>
      <c r="O417" s="11">
        <v>90.2</v>
      </c>
      <c r="P417" s="16">
        <v>20976.91</v>
      </c>
      <c r="Q417" s="16">
        <v>16316.28</v>
      </c>
      <c r="R417" s="13">
        <v>1.29</v>
      </c>
      <c r="S417" s="11">
        <v>147.6</v>
      </c>
      <c r="T417" s="16">
        <v>34325.86</v>
      </c>
      <c r="U417" s="16">
        <v>26699.360000000001</v>
      </c>
      <c r="V417" s="13">
        <v>1.29</v>
      </c>
      <c r="W417" s="11">
        <v>155.80000000000001</v>
      </c>
      <c r="X417" s="16">
        <v>36232.85</v>
      </c>
      <c r="Y417" s="16">
        <v>28182.66</v>
      </c>
      <c r="Z417" s="13">
        <v>1.29</v>
      </c>
      <c r="AA417" s="11">
        <v>106.6</v>
      </c>
      <c r="AB417" s="12">
        <v>24790.9</v>
      </c>
      <c r="AC417" s="16">
        <v>19282.87</v>
      </c>
      <c r="AD417" s="13">
        <v>1.29</v>
      </c>
      <c r="AE417" s="11">
        <v>65.599999999999994</v>
      </c>
      <c r="AF417" s="16">
        <v>15255.94</v>
      </c>
      <c r="AG417" s="16">
        <v>11866.38</v>
      </c>
      <c r="AH417" s="13">
        <v>1.29</v>
      </c>
      <c r="AI417" s="11">
        <v>57.4</v>
      </c>
      <c r="AJ417" s="16">
        <v>13348.94</v>
      </c>
      <c r="AK417" s="16">
        <v>10383.09</v>
      </c>
      <c r="AL417" s="13">
        <v>1.29</v>
      </c>
      <c r="AM417" s="11">
        <v>49.2</v>
      </c>
      <c r="AN417" s="16">
        <v>11441.95</v>
      </c>
      <c r="AO417" s="16">
        <v>8899.7900000000009</v>
      </c>
      <c r="AP417" s="13">
        <v>1.29</v>
      </c>
      <c r="AQ417" s="11">
        <v>49.2</v>
      </c>
      <c r="AR417" s="16">
        <v>11441.95</v>
      </c>
      <c r="AS417" s="16">
        <v>8899.7900000000009</v>
      </c>
      <c r="AT417" s="13">
        <v>1.29</v>
      </c>
      <c r="AU417" s="11">
        <v>49.2</v>
      </c>
      <c r="AV417" s="16">
        <v>11441.95</v>
      </c>
      <c r="AW417" s="16">
        <v>8899.7900000000009</v>
      </c>
      <c r="AX417" s="13">
        <v>1.29</v>
      </c>
      <c r="AY417" s="11">
        <v>820</v>
      </c>
      <c r="AZ417" s="12">
        <v>190699.2</v>
      </c>
      <c r="BA417" s="12">
        <v>148329.79999999999</v>
      </c>
      <c r="BB417" s="13">
        <v>1.29</v>
      </c>
    </row>
    <row r="418" spans="1:54" x14ac:dyDescent="0.25">
      <c r="A418" s="10" t="s">
        <v>348</v>
      </c>
      <c r="B418" s="10" t="s">
        <v>132</v>
      </c>
      <c r="C418" s="14"/>
      <c r="D418" s="14"/>
      <c r="E418" s="14"/>
      <c r="F418" s="14"/>
      <c r="G418" s="11">
        <v>2.2200000000000002</v>
      </c>
      <c r="H418" s="16">
        <v>15000.01</v>
      </c>
      <c r="I418" s="15">
        <v>11100</v>
      </c>
      <c r="J418" s="13">
        <v>1.35</v>
      </c>
      <c r="K418" s="11">
        <v>5.55</v>
      </c>
      <c r="L418" s="16">
        <v>37500.019999999997</v>
      </c>
      <c r="M418" s="15">
        <v>27750</v>
      </c>
      <c r="N418" s="13">
        <v>1.35</v>
      </c>
      <c r="O418" s="11">
        <v>9.99</v>
      </c>
      <c r="P418" s="16">
        <v>67500.03</v>
      </c>
      <c r="Q418" s="15">
        <v>49950</v>
      </c>
      <c r="R418" s="13">
        <v>1.35</v>
      </c>
      <c r="S418" s="11">
        <v>11.1</v>
      </c>
      <c r="T418" s="16">
        <v>75000.039999999994</v>
      </c>
      <c r="U418" s="15">
        <v>55500</v>
      </c>
      <c r="V418" s="13">
        <v>1.35</v>
      </c>
      <c r="W418" s="11">
        <v>11.1</v>
      </c>
      <c r="X418" s="16">
        <v>75000.039999999994</v>
      </c>
      <c r="Y418" s="15">
        <v>55500</v>
      </c>
      <c r="Z418" s="13">
        <v>1.35</v>
      </c>
      <c r="AA418" s="11">
        <v>11.1</v>
      </c>
      <c r="AB418" s="16">
        <v>75000.039999999994</v>
      </c>
      <c r="AC418" s="15">
        <v>55500</v>
      </c>
      <c r="AD418" s="13">
        <v>1.35</v>
      </c>
      <c r="AE418" s="11">
        <v>11.1</v>
      </c>
      <c r="AF418" s="16">
        <v>75000.039999999994</v>
      </c>
      <c r="AG418" s="15">
        <v>55500</v>
      </c>
      <c r="AH418" s="13">
        <v>1.35</v>
      </c>
      <c r="AI418" s="11">
        <v>12.21</v>
      </c>
      <c r="AJ418" s="16">
        <v>82500.039999999994</v>
      </c>
      <c r="AK418" s="15">
        <v>61050</v>
      </c>
      <c r="AL418" s="13">
        <v>1.35</v>
      </c>
      <c r="AM418" s="11">
        <v>12.21</v>
      </c>
      <c r="AN418" s="16">
        <v>82500.039999999994</v>
      </c>
      <c r="AO418" s="15">
        <v>61050</v>
      </c>
      <c r="AP418" s="13">
        <v>1.35</v>
      </c>
      <c r="AQ418" s="11">
        <v>12.21</v>
      </c>
      <c r="AR418" s="16">
        <v>82500.039999999994</v>
      </c>
      <c r="AS418" s="15">
        <v>61050</v>
      </c>
      <c r="AT418" s="13">
        <v>1.35</v>
      </c>
      <c r="AU418" s="11">
        <v>12.21</v>
      </c>
      <c r="AV418" s="16">
        <v>82500.039999999994</v>
      </c>
      <c r="AW418" s="15">
        <v>61050</v>
      </c>
      <c r="AX418" s="13">
        <v>1.35</v>
      </c>
      <c r="AY418" s="11">
        <v>111</v>
      </c>
      <c r="AZ418" s="16">
        <v>750000.38</v>
      </c>
      <c r="BA418" s="15">
        <v>555000</v>
      </c>
      <c r="BB418" s="13">
        <v>1.35</v>
      </c>
    </row>
    <row r="419" spans="1:54" x14ac:dyDescent="0.25">
      <c r="A419" s="10" t="s">
        <v>348</v>
      </c>
      <c r="B419" s="10" t="s">
        <v>139</v>
      </c>
      <c r="C419" s="14"/>
      <c r="D419" s="14"/>
      <c r="E419" s="14"/>
      <c r="F419" s="14"/>
      <c r="G419" s="14"/>
      <c r="H419" s="14"/>
      <c r="I419" s="14"/>
      <c r="J419" s="14"/>
      <c r="K419" s="11">
        <v>0.4</v>
      </c>
      <c r="L419" s="15">
        <v>2400</v>
      </c>
      <c r="M419" s="16">
        <v>1846.15</v>
      </c>
      <c r="N419" s="13">
        <v>1.3</v>
      </c>
      <c r="O419" s="11">
        <v>0.4</v>
      </c>
      <c r="P419" s="15">
        <v>2400</v>
      </c>
      <c r="Q419" s="16">
        <v>1846.15</v>
      </c>
      <c r="R419" s="13">
        <v>1.3</v>
      </c>
      <c r="S419" s="11">
        <v>0.46700000000000003</v>
      </c>
      <c r="T419" s="15">
        <v>2802</v>
      </c>
      <c r="U419" s="16">
        <v>2155.38</v>
      </c>
      <c r="V419" s="13">
        <v>1.3</v>
      </c>
      <c r="W419" s="11">
        <v>0.66700000000000004</v>
      </c>
      <c r="X419" s="15">
        <v>4002</v>
      </c>
      <c r="Y419" s="16">
        <v>3078.46</v>
      </c>
      <c r="Z419" s="13">
        <v>1.3</v>
      </c>
      <c r="AA419" s="11">
        <v>0.66700000000000004</v>
      </c>
      <c r="AB419" s="15">
        <v>4002</v>
      </c>
      <c r="AC419" s="16">
        <v>3078.46</v>
      </c>
      <c r="AD419" s="13">
        <v>1.3</v>
      </c>
      <c r="AE419" s="11">
        <v>0.73299999999999998</v>
      </c>
      <c r="AF419" s="15">
        <v>4398</v>
      </c>
      <c r="AG419" s="16">
        <v>3383.07</v>
      </c>
      <c r="AH419" s="13">
        <v>1.3</v>
      </c>
      <c r="AI419" s="11">
        <v>0.73299999999999998</v>
      </c>
      <c r="AJ419" s="15">
        <v>4398</v>
      </c>
      <c r="AK419" s="16">
        <v>3383.07</v>
      </c>
      <c r="AL419" s="13">
        <v>1.3</v>
      </c>
      <c r="AM419" s="11">
        <v>0.8</v>
      </c>
      <c r="AN419" s="15">
        <v>4800</v>
      </c>
      <c r="AO419" s="12">
        <v>3692.3</v>
      </c>
      <c r="AP419" s="13">
        <v>1.3</v>
      </c>
      <c r="AQ419" s="11">
        <v>0.93300000000000005</v>
      </c>
      <c r="AR419" s="15">
        <v>5598</v>
      </c>
      <c r="AS419" s="16">
        <v>4306.1499999999996</v>
      </c>
      <c r="AT419" s="13">
        <v>1.3</v>
      </c>
      <c r="AU419" s="11">
        <v>0.86699999999999999</v>
      </c>
      <c r="AV419" s="15">
        <v>5202</v>
      </c>
      <c r="AW419" s="16">
        <v>4001.53</v>
      </c>
      <c r="AX419" s="13">
        <v>1.3</v>
      </c>
      <c r="AY419" s="11">
        <v>6.6669999999999998</v>
      </c>
      <c r="AZ419" s="15">
        <v>40002</v>
      </c>
      <c r="BA419" s="16">
        <v>30770.720000000001</v>
      </c>
      <c r="BB419" s="13">
        <v>1.3</v>
      </c>
    </row>
    <row r="420" spans="1:54" x14ac:dyDescent="0.25">
      <c r="A420" s="10" t="s">
        <v>178</v>
      </c>
      <c r="B420" s="10" t="s">
        <v>163</v>
      </c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1">
        <v>0.15</v>
      </c>
      <c r="T420" s="15">
        <v>2300</v>
      </c>
      <c r="U420" s="16">
        <v>1533.35</v>
      </c>
      <c r="V420" s="13">
        <v>1.5</v>
      </c>
      <c r="W420" s="11">
        <v>0.3</v>
      </c>
      <c r="X420" s="15">
        <v>4600</v>
      </c>
      <c r="Y420" s="12">
        <v>3066.7</v>
      </c>
      <c r="Z420" s="13">
        <v>1.5</v>
      </c>
      <c r="AA420" s="11">
        <v>0.36</v>
      </c>
      <c r="AB420" s="15">
        <v>5520</v>
      </c>
      <c r="AC420" s="16">
        <v>3680.04</v>
      </c>
      <c r="AD420" s="13">
        <v>1.5</v>
      </c>
      <c r="AE420" s="11">
        <v>0.42</v>
      </c>
      <c r="AF420" s="15">
        <v>6440</v>
      </c>
      <c r="AG420" s="16">
        <v>4293.38</v>
      </c>
      <c r="AH420" s="13">
        <v>1.5</v>
      </c>
      <c r="AI420" s="11">
        <v>0.45</v>
      </c>
      <c r="AJ420" s="15">
        <v>6900</v>
      </c>
      <c r="AK420" s="16">
        <v>4600.05</v>
      </c>
      <c r="AL420" s="13">
        <v>1.5</v>
      </c>
      <c r="AM420" s="11">
        <v>0.45</v>
      </c>
      <c r="AN420" s="15">
        <v>6900</v>
      </c>
      <c r="AO420" s="16">
        <v>4600.05</v>
      </c>
      <c r="AP420" s="13">
        <v>1.5</v>
      </c>
      <c r="AQ420" s="11">
        <v>0.45</v>
      </c>
      <c r="AR420" s="15">
        <v>6900</v>
      </c>
      <c r="AS420" s="16">
        <v>4600.05</v>
      </c>
      <c r="AT420" s="13">
        <v>1.5</v>
      </c>
      <c r="AU420" s="11">
        <v>0.42</v>
      </c>
      <c r="AV420" s="15">
        <v>6440</v>
      </c>
      <c r="AW420" s="16">
        <v>4293.38</v>
      </c>
      <c r="AX420" s="13">
        <v>1.5</v>
      </c>
      <c r="AY420" s="11">
        <v>3</v>
      </c>
      <c r="AZ420" s="15">
        <v>46000</v>
      </c>
      <c r="BA420" s="15">
        <v>30667</v>
      </c>
      <c r="BB420" s="13">
        <v>1.5</v>
      </c>
    </row>
    <row r="421" spans="1:54" x14ac:dyDescent="0.25">
      <c r="A421" s="10" t="s">
        <v>178</v>
      </c>
      <c r="B421" s="10" t="s">
        <v>179</v>
      </c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1">
        <v>20</v>
      </c>
      <c r="T421" s="12">
        <v>22577.599999999999</v>
      </c>
      <c r="U421" s="15">
        <v>16654</v>
      </c>
      <c r="V421" s="13">
        <v>1.36</v>
      </c>
      <c r="W421" s="11">
        <v>100</v>
      </c>
      <c r="X421" s="15">
        <v>112888</v>
      </c>
      <c r="Y421" s="15">
        <v>83270</v>
      </c>
      <c r="Z421" s="13">
        <v>1.36</v>
      </c>
      <c r="AA421" s="11">
        <v>100</v>
      </c>
      <c r="AB421" s="15">
        <v>112888</v>
      </c>
      <c r="AC421" s="15">
        <v>83270</v>
      </c>
      <c r="AD421" s="13">
        <v>1.36</v>
      </c>
      <c r="AE421" s="11">
        <v>80</v>
      </c>
      <c r="AF421" s="12">
        <v>90310.399999999994</v>
      </c>
      <c r="AG421" s="15">
        <v>66616</v>
      </c>
      <c r="AH421" s="13">
        <v>1.36</v>
      </c>
      <c r="AI421" s="11">
        <v>40</v>
      </c>
      <c r="AJ421" s="12">
        <v>45155.199999999997</v>
      </c>
      <c r="AK421" s="15">
        <v>33308</v>
      </c>
      <c r="AL421" s="13">
        <v>1.36</v>
      </c>
      <c r="AM421" s="11">
        <v>20</v>
      </c>
      <c r="AN421" s="12">
        <v>22577.599999999999</v>
      </c>
      <c r="AO421" s="15">
        <v>16654</v>
      </c>
      <c r="AP421" s="13">
        <v>1.36</v>
      </c>
      <c r="AQ421" s="11">
        <v>20</v>
      </c>
      <c r="AR421" s="12">
        <v>22577.599999999999</v>
      </c>
      <c r="AS421" s="15">
        <v>16654</v>
      </c>
      <c r="AT421" s="13">
        <v>1.36</v>
      </c>
      <c r="AU421" s="11">
        <v>20</v>
      </c>
      <c r="AV421" s="12">
        <v>22577.599999999999</v>
      </c>
      <c r="AW421" s="15">
        <v>16654</v>
      </c>
      <c r="AX421" s="13">
        <v>1.36</v>
      </c>
      <c r="AY421" s="11">
        <v>400</v>
      </c>
      <c r="AZ421" s="15">
        <v>451552</v>
      </c>
      <c r="BA421" s="15">
        <v>333080</v>
      </c>
      <c r="BB421" s="13">
        <v>1.36</v>
      </c>
    </row>
    <row r="422" spans="1:54" x14ac:dyDescent="0.25">
      <c r="A422" s="10" t="s">
        <v>178</v>
      </c>
      <c r="B422" s="10" t="s">
        <v>180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1">
        <v>260</v>
      </c>
      <c r="T422" s="12">
        <v>88275.199999999997</v>
      </c>
      <c r="U422" s="12">
        <v>65504.4</v>
      </c>
      <c r="V422" s="13">
        <v>1.35</v>
      </c>
      <c r="W422" s="18">
        <v>1300</v>
      </c>
      <c r="X422" s="15">
        <v>441376</v>
      </c>
      <c r="Y422" s="15">
        <v>327522</v>
      </c>
      <c r="Z422" s="13">
        <v>1.35</v>
      </c>
      <c r="AA422" s="18">
        <v>1300</v>
      </c>
      <c r="AB422" s="15">
        <v>441376</v>
      </c>
      <c r="AC422" s="15">
        <v>327522</v>
      </c>
      <c r="AD422" s="13">
        <v>1.35</v>
      </c>
      <c r="AE422" s="18">
        <v>1040</v>
      </c>
      <c r="AF422" s="12">
        <v>353100.79999999999</v>
      </c>
      <c r="AG422" s="12">
        <v>262017.6</v>
      </c>
      <c r="AH422" s="13">
        <v>1.35</v>
      </c>
      <c r="AI422" s="11">
        <v>520</v>
      </c>
      <c r="AJ422" s="12">
        <v>176550.39999999999</v>
      </c>
      <c r="AK422" s="12">
        <v>131008.8</v>
      </c>
      <c r="AL422" s="13">
        <v>1.35</v>
      </c>
      <c r="AM422" s="11">
        <v>260</v>
      </c>
      <c r="AN422" s="12">
        <v>88275.199999999997</v>
      </c>
      <c r="AO422" s="12">
        <v>65504.4</v>
      </c>
      <c r="AP422" s="13">
        <v>1.35</v>
      </c>
      <c r="AQ422" s="11">
        <v>260</v>
      </c>
      <c r="AR422" s="12">
        <v>88275.199999999997</v>
      </c>
      <c r="AS422" s="12">
        <v>65504.4</v>
      </c>
      <c r="AT422" s="13">
        <v>1.35</v>
      </c>
      <c r="AU422" s="11">
        <v>260</v>
      </c>
      <c r="AV422" s="12">
        <v>88275.199999999997</v>
      </c>
      <c r="AW422" s="12">
        <v>65504.4</v>
      </c>
      <c r="AX422" s="13">
        <v>1.35</v>
      </c>
      <c r="AY422" s="18">
        <v>5200</v>
      </c>
      <c r="AZ422" s="15">
        <v>1765504</v>
      </c>
      <c r="BA422" s="15">
        <v>1310088</v>
      </c>
      <c r="BB422" s="13">
        <v>1.35</v>
      </c>
    </row>
    <row r="423" spans="1:54" x14ac:dyDescent="0.25">
      <c r="A423" s="10" t="s">
        <v>178</v>
      </c>
      <c r="B423" s="10" t="s">
        <v>181</v>
      </c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1">
        <v>190</v>
      </c>
      <c r="T423" s="12">
        <v>58599.8</v>
      </c>
      <c r="U423" s="12">
        <v>43340.9</v>
      </c>
      <c r="V423" s="13">
        <v>1.35</v>
      </c>
      <c r="W423" s="11">
        <v>950</v>
      </c>
      <c r="X423" s="15">
        <v>292999</v>
      </c>
      <c r="Y423" s="12">
        <v>216704.5</v>
      </c>
      <c r="Z423" s="13">
        <v>1.35</v>
      </c>
      <c r="AA423" s="11">
        <v>950</v>
      </c>
      <c r="AB423" s="15">
        <v>292999</v>
      </c>
      <c r="AC423" s="12">
        <v>216704.5</v>
      </c>
      <c r="AD423" s="13">
        <v>1.35</v>
      </c>
      <c r="AE423" s="11">
        <v>760</v>
      </c>
      <c r="AF423" s="12">
        <v>234399.2</v>
      </c>
      <c r="AG423" s="12">
        <v>173363.6</v>
      </c>
      <c r="AH423" s="13">
        <v>1.35</v>
      </c>
      <c r="AI423" s="11">
        <v>380</v>
      </c>
      <c r="AJ423" s="12">
        <v>117199.6</v>
      </c>
      <c r="AK423" s="12">
        <v>86681.8</v>
      </c>
      <c r="AL423" s="13">
        <v>1.35</v>
      </c>
      <c r="AM423" s="11">
        <v>190</v>
      </c>
      <c r="AN423" s="12">
        <v>58599.8</v>
      </c>
      <c r="AO423" s="12">
        <v>43340.9</v>
      </c>
      <c r="AP423" s="13">
        <v>1.35</v>
      </c>
      <c r="AQ423" s="11">
        <v>190</v>
      </c>
      <c r="AR423" s="12">
        <v>58599.8</v>
      </c>
      <c r="AS423" s="12">
        <v>43340.9</v>
      </c>
      <c r="AT423" s="13">
        <v>1.35</v>
      </c>
      <c r="AU423" s="11">
        <v>190</v>
      </c>
      <c r="AV423" s="12">
        <v>58599.8</v>
      </c>
      <c r="AW423" s="12">
        <v>43340.9</v>
      </c>
      <c r="AX423" s="13">
        <v>1.35</v>
      </c>
      <c r="AY423" s="18">
        <v>3800</v>
      </c>
      <c r="AZ423" s="15">
        <v>1171996</v>
      </c>
      <c r="BA423" s="15">
        <v>866818</v>
      </c>
      <c r="BB423" s="13">
        <v>1.35</v>
      </c>
    </row>
    <row r="424" spans="1:54" x14ac:dyDescent="0.25">
      <c r="A424" s="10" t="s">
        <v>178</v>
      </c>
      <c r="B424" s="10" t="s">
        <v>132</v>
      </c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1">
        <v>1</v>
      </c>
      <c r="T424" s="15">
        <v>9200</v>
      </c>
      <c r="U424" s="16">
        <v>6133.35</v>
      </c>
      <c r="V424" s="13">
        <v>1.5</v>
      </c>
      <c r="W424" s="11">
        <v>2</v>
      </c>
      <c r="X424" s="15">
        <v>18400</v>
      </c>
      <c r="Y424" s="12">
        <v>12266.7</v>
      </c>
      <c r="Z424" s="13">
        <v>1.5</v>
      </c>
      <c r="AA424" s="11">
        <v>2.4</v>
      </c>
      <c r="AB424" s="15">
        <v>22080</v>
      </c>
      <c r="AC424" s="16">
        <v>14720.04</v>
      </c>
      <c r="AD424" s="13">
        <v>1.5</v>
      </c>
      <c r="AE424" s="11">
        <v>2.8</v>
      </c>
      <c r="AF424" s="15">
        <v>25760</v>
      </c>
      <c r="AG424" s="16">
        <v>17173.38</v>
      </c>
      <c r="AH424" s="13">
        <v>1.5</v>
      </c>
      <c r="AI424" s="11">
        <v>3</v>
      </c>
      <c r="AJ424" s="15">
        <v>27600</v>
      </c>
      <c r="AK424" s="16">
        <v>18400.05</v>
      </c>
      <c r="AL424" s="13">
        <v>1.5</v>
      </c>
      <c r="AM424" s="11">
        <v>3</v>
      </c>
      <c r="AN424" s="15">
        <v>27600</v>
      </c>
      <c r="AO424" s="16">
        <v>18400.05</v>
      </c>
      <c r="AP424" s="13">
        <v>1.5</v>
      </c>
      <c r="AQ424" s="11">
        <v>3</v>
      </c>
      <c r="AR424" s="15">
        <v>27600</v>
      </c>
      <c r="AS424" s="16">
        <v>18400.05</v>
      </c>
      <c r="AT424" s="13">
        <v>1.5</v>
      </c>
      <c r="AU424" s="11">
        <v>2.8</v>
      </c>
      <c r="AV424" s="15">
        <v>25760</v>
      </c>
      <c r="AW424" s="16">
        <v>17173.38</v>
      </c>
      <c r="AX424" s="13">
        <v>1.5</v>
      </c>
      <c r="AY424" s="11">
        <v>20</v>
      </c>
      <c r="AZ424" s="15">
        <v>184000</v>
      </c>
      <c r="BA424" s="15">
        <v>122667</v>
      </c>
      <c r="BB424" s="13">
        <v>1.5</v>
      </c>
    </row>
    <row r="425" spans="1:54" x14ac:dyDescent="0.25">
      <c r="A425" s="10" t="s">
        <v>169</v>
      </c>
      <c r="B425" s="10" t="s">
        <v>167</v>
      </c>
      <c r="C425" s="11">
        <v>63</v>
      </c>
      <c r="D425" s="16">
        <v>22800.33</v>
      </c>
      <c r="E425" s="16">
        <v>19000.169999999998</v>
      </c>
      <c r="F425" s="13">
        <v>1.2</v>
      </c>
      <c r="G425" s="11">
        <v>63</v>
      </c>
      <c r="H425" s="16">
        <v>22800.33</v>
      </c>
      <c r="I425" s="16">
        <v>19000.169999999998</v>
      </c>
      <c r="J425" s="13">
        <v>1.2</v>
      </c>
      <c r="K425" s="11">
        <v>63</v>
      </c>
      <c r="L425" s="16">
        <v>22800.33</v>
      </c>
      <c r="M425" s="16">
        <v>19000.169999999998</v>
      </c>
      <c r="N425" s="13">
        <v>1.2</v>
      </c>
      <c r="O425" s="11">
        <v>31.5</v>
      </c>
      <c r="P425" s="16">
        <v>11400.17</v>
      </c>
      <c r="Q425" s="16">
        <v>9500.09</v>
      </c>
      <c r="R425" s="13">
        <v>1.2</v>
      </c>
      <c r="S425" s="11">
        <v>31.5</v>
      </c>
      <c r="T425" s="16">
        <v>11400.17</v>
      </c>
      <c r="U425" s="16">
        <v>9500.09</v>
      </c>
      <c r="V425" s="13">
        <v>1.2</v>
      </c>
      <c r="W425" s="11">
        <v>31.5</v>
      </c>
      <c r="X425" s="16">
        <v>11400.17</v>
      </c>
      <c r="Y425" s="16">
        <v>9500.09</v>
      </c>
      <c r="Z425" s="13">
        <v>1.2</v>
      </c>
      <c r="AA425" s="11">
        <v>31.5</v>
      </c>
      <c r="AB425" s="16">
        <v>11400.17</v>
      </c>
      <c r="AC425" s="16">
        <v>9500.09</v>
      </c>
      <c r="AD425" s="13">
        <v>1.2</v>
      </c>
      <c r="AE425" s="11">
        <v>31.5</v>
      </c>
      <c r="AF425" s="16">
        <v>11400.17</v>
      </c>
      <c r="AG425" s="16">
        <v>9500.09</v>
      </c>
      <c r="AH425" s="13">
        <v>1.2</v>
      </c>
      <c r="AI425" s="11">
        <v>31.5</v>
      </c>
      <c r="AJ425" s="16">
        <v>11400.17</v>
      </c>
      <c r="AK425" s="16">
        <v>9500.09</v>
      </c>
      <c r="AL425" s="13">
        <v>1.2</v>
      </c>
      <c r="AM425" s="11">
        <v>63</v>
      </c>
      <c r="AN425" s="16">
        <v>22800.33</v>
      </c>
      <c r="AO425" s="16">
        <v>19000.169999999998</v>
      </c>
      <c r="AP425" s="13">
        <v>1.2</v>
      </c>
      <c r="AQ425" s="11">
        <v>94.5</v>
      </c>
      <c r="AR425" s="12">
        <v>34200.5</v>
      </c>
      <c r="AS425" s="16">
        <v>28500.26</v>
      </c>
      <c r="AT425" s="13">
        <v>1.2</v>
      </c>
      <c r="AU425" s="11">
        <v>94.5</v>
      </c>
      <c r="AV425" s="12">
        <v>34200.5</v>
      </c>
      <c r="AW425" s="16">
        <v>28500.26</v>
      </c>
      <c r="AX425" s="13">
        <v>1.2</v>
      </c>
      <c r="AY425" s="11">
        <v>630</v>
      </c>
      <c r="AZ425" s="16">
        <v>228003.34</v>
      </c>
      <c r="BA425" s="16">
        <v>190001.74</v>
      </c>
      <c r="BB425" s="13">
        <v>1.2</v>
      </c>
    </row>
    <row r="426" spans="1:54" x14ac:dyDescent="0.25">
      <c r="A426" s="10" t="s">
        <v>170</v>
      </c>
      <c r="B426" s="10" t="s">
        <v>163</v>
      </c>
      <c r="C426" s="14"/>
      <c r="D426" s="14"/>
      <c r="E426" s="14"/>
      <c r="F426" s="14"/>
      <c r="G426" s="14"/>
      <c r="H426" s="14"/>
      <c r="I426" s="14"/>
      <c r="J426" s="14"/>
      <c r="K426" s="11">
        <v>2.5499999999999998</v>
      </c>
      <c r="L426" s="16">
        <v>14999.99</v>
      </c>
      <c r="M426" s="15">
        <v>10000</v>
      </c>
      <c r="N426" s="13">
        <v>1.5</v>
      </c>
      <c r="O426" s="11">
        <v>5.0999999999999996</v>
      </c>
      <c r="P426" s="16">
        <v>29999.99</v>
      </c>
      <c r="Q426" s="16">
        <v>20000.009999999998</v>
      </c>
      <c r="R426" s="13">
        <v>1.5</v>
      </c>
      <c r="S426" s="11">
        <v>5.0999999999999996</v>
      </c>
      <c r="T426" s="16">
        <v>29999.99</v>
      </c>
      <c r="U426" s="16">
        <v>20000.009999999998</v>
      </c>
      <c r="V426" s="13">
        <v>1.5</v>
      </c>
      <c r="W426" s="11">
        <v>5.0999999999999996</v>
      </c>
      <c r="X426" s="16">
        <v>29999.99</v>
      </c>
      <c r="Y426" s="16">
        <v>20000.009999999998</v>
      </c>
      <c r="Z426" s="13">
        <v>1.5</v>
      </c>
      <c r="AA426" s="11">
        <v>5.0999999999999996</v>
      </c>
      <c r="AB426" s="16">
        <v>29999.99</v>
      </c>
      <c r="AC426" s="16">
        <v>20000.009999999998</v>
      </c>
      <c r="AD426" s="13">
        <v>1.5</v>
      </c>
      <c r="AE426" s="11">
        <v>5.0999999999999996</v>
      </c>
      <c r="AF426" s="16">
        <v>29999.99</v>
      </c>
      <c r="AG426" s="16">
        <v>20000.009999999998</v>
      </c>
      <c r="AH426" s="13">
        <v>1.5</v>
      </c>
      <c r="AI426" s="11">
        <v>5.0999999999999996</v>
      </c>
      <c r="AJ426" s="16">
        <v>29999.99</v>
      </c>
      <c r="AK426" s="16">
        <v>20000.009999999998</v>
      </c>
      <c r="AL426" s="13">
        <v>1.5</v>
      </c>
      <c r="AM426" s="11">
        <v>6.12</v>
      </c>
      <c r="AN426" s="16">
        <v>35999.980000000003</v>
      </c>
      <c r="AO426" s="16">
        <v>24000.01</v>
      </c>
      <c r="AP426" s="13">
        <v>1.5</v>
      </c>
      <c r="AQ426" s="11">
        <v>6.12</v>
      </c>
      <c r="AR426" s="16">
        <v>35999.980000000003</v>
      </c>
      <c r="AS426" s="16">
        <v>24000.01</v>
      </c>
      <c r="AT426" s="13">
        <v>1.5</v>
      </c>
      <c r="AU426" s="11">
        <v>5.61</v>
      </c>
      <c r="AV426" s="16">
        <v>32999.980000000003</v>
      </c>
      <c r="AW426" s="16">
        <v>22000.01</v>
      </c>
      <c r="AX426" s="13">
        <v>1.5</v>
      </c>
      <c r="AY426" s="11">
        <v>51</v>
      </c>
      <c r="AZ426" s="16">
        <v>299999.87</v>
      </c>
      <c r="BA426" s="16">
        <v>200000.09</v>
      </c>
      <c r="BB426" s="13">
        <v>1.5</v>
      </c>
    </row>
    <row r="427" spans="1:54" x14ac:dyDescent="0.25">
      <c r="A427" s="10" t="s">
        <v>170</v>
      </c>
      <c r="B427" s="10" t="s">
        <v>76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1">
        <v>15.6</v>
      </c>
      <c r="T427" s="16">
        <v>18034.07</v>
      </c>
      <c r="U427" s="16">
        <v>12739.12</v>
      </c>
      <c r="V427" s="13">
        <v>1.42</v>
      </c>
      <c r="W427" s="11">
        <v>97.5</v>
      </c>
      <c r="X427" s="16">
        <v>112712.93</v>
      </c>
      <c r="Y427" s="16">
        <v>79619.48</v>
      </c>
      <c r="Z427" s="13">
        <v>1.42</v>
      </c>
      <c r="AA427" s="11">
        <v>97.5</v>
      </c>
      <c r="AB427" s="16">
        <v>112712.93</v>
      </c>
      <c r="AC427" s="16">
        <v>79619.48</v>
      </c>
      <c r="AD427" s="13">
        <v>1.42</v>
      </c>
      <c r="AE427" s="11">
        <v>39</v>
      </c>
      <c r="AF427" s="16">
        <v>45085.17</v>
      </c>
      <c r="AG427" s="16">
        <v>31847.79</v>
      </c>
      <c r="AH427" s="13">
        <v>1.42</v>
      </c>
      <c r="AI427" s="11">
        <v>39</v>
      </c>
      <c r="AJ427" s="16">
        <v>45085.17</v>
      </c>
      <c r="AK427" s="16">
        <v>31847.79</v>
      </c>
      <c r="AL427" s="13">
        <v>1.42</v>
      </c>
      <c r="AM427" s="11">
        <v>39</v>
      </c>
      <c r="AN427" s="16">
        <v>45085.17</v>
      </c>
      <c r="AO427" s="16">
        <v>31847.79</v>
      </c>
      <c r="AP427" s="13">
        <v>1.42</v>
      </c>
      <c r="AQ427" s="11">
        <v>31.2</v>
      </c>
      <c r="AR427" s="16">
        <v>36068.14</v>
      </c>
      <c r="AS427" s="16">
        <v>25478.23</v>
      </c>
      <c r="AT427" s="13">
        <v>1.42</v>
      </c>
      <c r="AU427" s="11">
        <v>31.2</v>
      </c>
      <c r="AV427" s="16">
        <v>36068.14</v>
      </c>
      <c r="AW427" s="16">
        <v>25478.23</v>
      </c>
      <c r="AX427" s="13">
        <v>1.42</v>
      </c>
      <c r="AY427" s="11">
        <v>390</v>
      </c>
      <c r="AZ427" s="16">
        <v>450851.72</v>
      </c>
      <c r="BA427" s="16">
        <v>318477.90999999997</v>
      </c>
      <c r="BB427" s="13">
        <v>1.42</v>
      </c>
    </row>
    <row r="428" spans="1:54" x14ac:dyDescent="0.25">
      <c r="A428" s="10" t="s">
        <v>170</v>
      </c>
      <c r="B428" s="10" t="s">
        <v>82</v>
      </c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1">
        <v>166.6</v>
      </c>
      <c r="T428" s="16">
        <v>65412.160000000003</v>
      </c>
      <c r="U428" s="16">
        <v>54656.46</v>
      </c>
      <c r="V428" s="13">
        <v>1.2</v>
      </c>
      <c r="W428" s="18">
        <v>1041.25</v>
      </c>
      <c r="X428" s="16">
        <v>408825.99</v>
      </c>
      <c r="Y428" s="16">
        <v>341602.89</v>
      </c>
      <c r="Z428" s="13">
        <v>1.2</v>
      </c>
      <c r="AA428" s="18">
        <v>1041.25</v>
      </c>
      <c r="AB428" s="16">
        <v>408825.99</v>
      </c>
      <c r="AC428" s="16">
        <v>341602.89</v>
      </c>
      <c r="AD428" s="13">
        <v>1.2</v>
      </c>
      <c r="AE428" s="11">
        <v>416.5</v>
      </c>
      <c r="AF428" s="12">
        <v>163530.4</v>
      </c>
      <c r="AG428" s="16">
        <v>136641.16</v>
      </c>
      <c r="AH428" s="13">
        <v>1.2</v>
      </c>
      <c r="AI428" s="11">
        <v>416.5</v>
      </c>
      <c r="AJ428" s="12">
        <v>163530.4</v>
      </c>
      <c r="AK428" s="16">
        <v>136641.16</v>
      </c>
      <c r="AL428" s="13">
        <v>1.2</v>
      </c>
      <c r="AM428" s="11">
        <v>416.5</v>
      </c>
      <c r="AN428" s="12">
        <v>163530.4</v>
      </c>
      <c r="AO428" s="16">
        <v>136641.16</v>
      </c>
      <c r="AP428" s="13">
        <v>1.2</v>
      </c>
      <c r="AQ428" s="11">
        <v>333.2</v>
      </c>
      <c r="AR428" s="16">
        <v>130824.32000000001</v>
      </c>
      <c r="AS428" s="16">
        <v>109312.92</v>
      </c>
      <c r="AT428" s="13">
        <v>1.2</v>
      </c>
      <c r="AU428" s="11">
        <v>333.2</v>
      </c>
      <c r="AV428" s="16">
        <v>130824.32000000001</v>
      </c>
      <c r="AW428" s="16">
        <v>109312.92</v>
      </c>
      <c r="AX428" s="13">
        <v>1.2</v>
      </c>
      <c r="AY428" s="18">
        <v>4165</v>
      </c>
      <c r="AZ428" s="16">
        <v>1635303.98</v>
      </c>
      <c r="BA428" s="16">
        <v>1366411.56</v>
      </c>
      <c r="BB428" s="13">
        <v>1.2</v>
      </c>
    </row>
    <row r="429" spans="1:54" x14ac:dyDescent="0.25">
      <c r="A429" s="10" t="s">
        <v>170</v>
      </c>
      <c r="B429" s="10" t="s">
        <v>89</v>
      </c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1">
        <v>50.8</v>
      </c>
      <c r="T429" s="16">
        <v>15752.06</v>
      </c>
      <c r="U429" s="12">
        <v>12674.6</v>
      </c>
      <c r="V429" s="13">
        <v>1.24</v>
      </c>
      <c r="W429" s="11">
        <v>317.5</v>
      </c>
      <c r="X429" s="12">
        <v>98450.4</v>
      </c>
      <c r="Y429" s="16">
        <v>79216.25</v>
      </c>
      <c r="Z429" s="13">
        <v>1.24</v>
      </c>
      <c r="AA429" s="11">
        <v>317.5</v>
      </c>
      <c r="AB429" s="12">
        <v>98450.4</v>
      </c>
      <c r="AC429" s="16">
        <v>79216.25</v>
      </c>
      <c r="AD429" s="13">
        <v>1.24</v>
      </c>
      <c r="AE429" s="11">
        <v>127</v>
      </c>
      <c r="AF429" s="16">
        <v>39380.160000000003</v>
      </c>
      <c r="AG429" s="12">
        <v>31686.5</v>
      </c>
      <c r="AH429" s="13">
        <v>1.24</v>
      </c>
      <c r="AI429" s="11">
        <v>127</v>
      </c>
      <c r="AJ429" s="16">
        <v>39380.160000000003</v>
      </c>
      <c r="AK429" s="12">
        <v>31686.5</v>
      </c>
      <c r="AL429" s="13">
        <v>1.24</v>
      </c>
      <c r="AM429" s="11">
        <v>127</v>
      </c>
      <c r="AN429" s="16">
        <v>39380.160000000003</v>
      </c>
      <c r="AO429" s="12">
        <v>31686.5</v>
      </c>
      <c r="AP429" s="13">
        <v>1.24</v>
      </c>
      <c r="AQ429" s="11">
        <v>101.6</v>
      </c>
      <c r="AR429" s="16">
        <v>31504.13</v>
      </c>
      <c r="AS429" s="12">
        <v>25349.200000000001</v>
      </c>
      <c r="AT429" s="13">
        <v>1.24</v>
      </c>
      <c r="AU429" s="11">
        <v>101.6</v>
      </c>
      <c r="AV429" s="16">
        <v>31504.13</v>
      </c>
      <c r="AW429" s="12">
        <v>25349.200000000001</v>
      </c>
      <c r="AX429" s="13">
        <v>1.24</v>
      </c>
      <c r="AY429" s="18">
        <v>1270</v>
      </c>
      <c r="AZ429" s="12">
        <v>393801.6</v>
      </c>
      <c r="BA429" s="15">
        <v>316865</v>
      </c>
      <c r="BB429" s="13">
        <v>1.24</v>
      </c>
    </row>
    <row r="430" spans="1:54" x14ac:dyDescent="0.25">
      <c r="A430" s="10" t="s">
        <v>170</v>
      </c>
      <c r="B430" s="10" t="s">
        <v>132</v>
      </c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1">
        <v>5.49</v>
      </c>
      <c r="P430" s="16">
        <v>36899.99</v>
      </c>
      <c r="Q430" s="16">
        <v>24599.98</v>
      </c>
      <c r="R430" s="13">
        <v>1.5</v>
      </c>
      <c r="S430" s="11">
        <v>6.1</v>
      </c>
      <c r="T430" s="16">
        <v>40999.99</v>
      </c>
      <c r="U430" s="16">
        <v>27333.31</v>
      </c>
      <c r="V430" s="13">
        <v>1.5</v>
      </c>
      <c r="W430" s="11">
        <v>9.15</v>
      </c>
      <c r="X430" s="16">
        <v>61499.99</v>
      </c>
      <c r="Y430" s="16">
        <v>40999.96</v>
      </c>
      <c r="Z430" s="13">
        <v>1.5</v>
      </c>
      <c r="AA430" s="11">
        <v>9.15</v>
      </c>
      <c r="AB430" s="16">
        <v>61499.99</v>
      </c>
      <c r="AC430" s="16">
        <v>40999.96</v>
      </c>
      <c r="AD430" s="13">
        <v>1.5</v>
      </c>
      <c r="AE430" s="11">
        <v>6.71</v>
      </c>
      <c r="AF430" s="16">
        <v>45099.99</v>
      </c>
      <c r="AG430" s="16">
        <v>30066.639999999999</v>
      </c>
      <c r="AH430" s="13">
        <v>1.5</v>
      </c>
      <c r="AI430" s="11">
        <v>6.1</v>
      </c>
      <c r="AJ430" s="16">
        <v>40999.99</v>
      </c>
      <c r="AK430" s="16">
        <v>27333.31</v>
      </c>
      <c r="AL430" s="13">
        <v>1.5</v>
      </c>
      <c r="AM430" s="11">
        <v>6.1</v>
      </c>
      <c r="AN430" s="16">
        <v>40999.99</v>
      </c>
      <c r="AO430" s="16">
        <v>27333.31</v>
      </c>
      <c r="AP430" s="13">
        <v>1.5</v>
      </c>
      <c r="AQ430" s="11">
        <v>6.1</v>
      </c>
      <c r="AR430" s="16">
        <v>40999.99</v>
      </c>
      <c r="AS430" s="16">
        <v>27333.31</v>
      </c>
      <c r="AT430" s="13">
        <v>1.5</v>
      </c>
      <c r="AU430" s="11">
        <v>6.1</v>
      </c>
      <c r="AV430" s="16">
        <v>40999.99</v>
      </c>
      <c r="AW430" s="16">
        <v>27333.31</v>
      </c>
      <c r="AX430" s="13">
        <v>1.5</v>
      </c>
      <c r="AY430" s="11">
        <v>61</v>
      </c>
      <c r="AZ430" s="16">
        <v>409999.91</v>
      </c>
      <c r="BA430" s="16">
        <v>273333.09000000003</v>
      </c>
      <c r="BB430" s="13">
        <v>1.5</v>
      </c>
    </row>
    <row r="431" spans="1:54" x14ac:dyDescent="0.25">
      <c r="A431" s="10" t="s">
        <v>170</v>
      </c>
      <c r="B431" s="10" t="s">
        <v>139</v>
      </c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1">
        <v>0.6</v>
      </c>
      <c r="P431" s="19">
        <v>600</v>
      </c>
      <c r="Q431" s="13">
        <v>461.54</v>
      </c>
      <c r="R431" s="13">
        <v>1.3</v>
      </c>
      <c r="S431" s="11">
        <v>1</v>
      </c>
      <c r="T431" s="15">
        <v>1000</v>
      </c>
      <c r="U431" s="13">
        <v>769.23</v>
      </c>
      <c r="V431" s="13">
        <v>1.3</v>
      </c>
      <c r="W431" s="11">
        <v>1.2</v>
      </c>
      <c r="X431" s="15">
        <v>1200</v>
      </c>
      <c r="Y431" s="13">
        <v>923.08</v>
      </c>
      <c r="Z431" s="13">
        <v>1.3</v>
      </c>
      <c r="AA431" s="11">
        <v>1.2</v>
      </c>
      <c r="AB431" s="15">
        <v>1200</v>
      </c>
      <c r="AC431" s="13">
        <v>923.08</v>
      </c>
      <c r="AD431" s="13">
        <v>1.3</v>
      </c>
      <c r="AE431" s="11">
        <v>1.2</v>
      </c>
      <c r="AF431" s="15">
        <v>1200</v>
      </c>
      <c r="AG431" s="13">
        <v>923.08</v>
      </c>
      <c r="AH431" s="13">
        <v>1.3</v>
      </c>
      <c r="AI431" s="11">
        <v>1.2</v>
      </c>
      <c r="AJ431" s="15">
        <v>1200</v>
      </c>
      <c r="AK431" s="13">
        <v>923.08</v>
      </c>
      <c r="AL431" s="13">
        <v>1.3</v>
      </c>
      <c r="AM431" s="11">
        <v>1.2</v>
      </c>
      <c r="AN431" s="15">
        <v>1200</v>
      </c>
      <c r="AO431" s="13">
        <v>923.08</v>
      </c>
      <c r="AP431" s="13">
        <v>1.3</v>
      </c>
      <c r="AQ431" s="11">
        <v>1.2</v>
      </c>
      <c r="AR431" s="15">
        <v>1200</v>
      </c>
      <c r="AS431" s="13">
        <v>923.08</v>
      </c>
      <c r="AT431" s="13">
        <v>1.3</v>
      </c>
      <c r="AU431" s="11">
        <v>1.2</v>
      </c>
      <c r="AV431" s="15">
        <v>1200</v>
      </c>
      <c r="AW431" s="13">
        <v>923.08</v>
      </c>
      <c r="AX431" s="13">
        <v>1.3</v>
      </c>
      <c r="AY431" s="11">
        <v>10</v>
      </c>
      <c r="AZ431" s="15">
        <v>10000</v>
      </c>
      <c r="BA431" s="16">
        <v>7692.33</v>
      </c>
      <c r="BB431" s="13">
        <v>1.3</v>
      </c>
    </row>
    <row r="432" spans="1:54" x14ac:dyDescent="0.25">
      <c r="A432" s="10" t="s">
        <v>182</v>
      </c>
      <c r="B432" s="10" t="s">
        <v>76</v>
      </c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1">
        <v>5</v>
      </c>
      <c r="T432" s="15">
        <v>5065</v>
      </c>
      <c r="U432" s="16">
        <v>3754.65</v>
      </c>
      <c r="V432" s="13">
        <v>1.35</v>
      </c>
      <c r="W432" s="11">
        <v>25</v>
      </c>
      <c r="X432" s="15">
        <v>25325</v>
      </c>
      <c r="Y432" s="16">
        <v>18773.25</v>
      </c>
      <c r="Z432" s="13">
        <v>1.35</v>
      </c>
      <c r="AA432" s="11">
        <v>25</v>
      </c>
      <c r="AB432" s="15">
        <v>25325</v>
      </c>
      <c r="AC432" s="16">
        <v>18773.25</v>
      </c>
      <c r="AD432" s="13">
        <v>1.35</v>
      </c>
      <c r="AE432" s="11">
        <v>20</v>
      </c>
      <c r="AF432" s="15">
        <v>20260</v>
      </c>
      <c r="AG432" s="12">
        <v>15018.6</v>
      </c>
      <c r="AH432" s="13">
        <v>1.35</v>
      </c>
      <c r="AI432" s="11">
        <v>10</v>
      </c>
      <c r="AJ432" s="15">
        <v>10130</v>
      </c>
      <c r="AK432" s="12">
        <v>7509.3</v>
      </c>
      <c r="AL432" s="13">
        <v>1.35</v>
      </c>
      <c r="AM432" s="11">
        <v>5</v>
      </c>
      <c r="AN432" s="15">
        <v>5065</v>
      </c>
      <c r="AO432" s="16">
        <v>3754.65</v>
      </c>
      <c r="AP432" s="13">
        <v>1.35</v>
      </c>
      <c r="AQ432" s="11">
        <v>5</v>
      </c>
      <c r="AR432" s="15">
        <v>5065</v>
      </c>
      <c r="AS432" s="16">
        <v>3754.65</v>
      </c>
      <c r="AT432" s="13">
        <v>1.35</v>
      </c>
      <c r="AU432" s="11">
        <v>5</v>
      </c>
      <c r="AV432" s="15">
        <v>5065</v>
      </c>
      <c r="AW432" s="16">
        <v>3754.65</v>
      </c>
      <c r="AX432" s="13">
        <v>1.35</v>
      </c>
      <c r="AY432" s="11">
        <v>100</v>
      </c>
      <c r="AZ432" s="15">
        <v>101300</v>
      </c>
      <c r="BA432" s="15">
        <v>75093</v>
      </c>
      <c r="BB432" s="13">
        <v>1.35</v>
      </c>
    </row>
    <row r="433" spans="1:54" x14ac:dyDescent="0.25">
      <c r="A433" s="10" t="s">
        <v>182</v>
      </c>
      <c r="B433" s="10" t="s">
        <v>183</v>
      </c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1">
        <v>29</v>
      </c>
      <c r="T433" s="16">
        <v>19079.97</v>
      </c>
      <c r="U433" s="16">
        <v>13716.13</v>
      </c>
      <c r="V433" s="13">
        <v>1.39</v>
      </c>
      <c r="W433" s="11">
        <v>145</v>
      </c>
      <c r="X433" s="16">
        <v>95399.85</v>
      </c>
      <c r="Y433" s="16">
        <v>68580.649999999994</v>
      </c>
      <c r="Z433" s="13">
        <v>1.39</v>
      </c>
      <c r="AA433" s="11">
        <v>145</v>
      </c>
      <c r="AB433" s="16">
        <v>95399.85</v>
      </c>
      <c r="AC433" s="16">
        <v>68580.649999999994</v>
      </c>
      <c r="AD433" s="13">
        <v>1.39</v>
      </c>
      <c r="AE433" s="11">
        <v>116</v>
      </c>
      <c r="AF433" s="16">
        <v>76319.88</v>
      </c>
      <c r="AG433" s="16">
        <v>54864.52</v>
      </c>
      <c r="AH433" s="13">
        <v>1.39</v>
      </c>
      <c r="AI433" s="11">
        <v>58</v>
      </c>
      <c r="AJ433" s="16">
        <v>38159.94</v>
      </c>
      <c r="AK433" s="16">
        <v>27432.26</v>
      </c>
      <c r="AL433" s="13">
        <v>1.39</v>
      </c>
      <c r="AM433" s="11">
        <v>29</v>
      </c>
      <c r="AN433" s="16">
        <v>19079.97</v>
      </c>
      <c r="AO433" s="16">
        <v>13716.13</v>
      </c>
      <c r="AP433" s="13">
        <v>1.39</v>
      </c>
      <c r="AQ433" s="11">
        <v>29</v>
      </c>
      <c r="AR433" s="16">
        <v>19079.97</v>
      </c>
      <c r="AS433" s="16">
        <v>13716.13</v>
      </c>
      <c r="AT433" s="13">
        <v>1.39</v>
      </c>
      <c r="AU433" s="11">
        <v>29</v>
      </c>
      <c r="AV433" s="16">
        <v>19079.97</v>
      </c>
      <c r="AW433" s="16">
        <v>13716.13</v>
      </c>
      <c r="AX433" s="13">
        <v>1.39</v>
      </c>
      <c r="AY433" s="11">
        <v>580</v>
      </c>
      <c r="AZ433" s="12">
        <v>381599.4</v>
      </c>
      <c r="BA433" s="12">
        <v>274322.59999999998</v>
      </c>
      <c r="BB433" s="13">
        <v>1.39</v>
      </c>
    </row>
    <row r="434" spans="1:54" x14ac:dyDescent="0.25">
      <c r="A434" s="10" t="s">
        <v>141</v>
      </c>
      <c r="B434" s="10" t="s">
        <v>27</v>
      </c>
      <c r="C434" s="11">
        <v>99.087000000000003</v>
      </c>
      <c r="D434" s="16">
        <v>7926.96</v>
      </c>
      <c r="E434" s="16">
        <v>4458.92</v>
      </c>
      <c r="F434" s="13">
        <v>1.78</v>
      </c>
      <c r="G434" s="11">
        <v>148.63</v>
      </c>
      <c r="H434" s="12">
        <v>11890.4</v>
      </c>
      <c r="I434" s="16">
        <v>6688.35</v>
      </c>
      <c r="J434" s="13">
        <v>1.78</v>
      </c>
      <c r="K434" s="11">
        <v>173.40199999999999</v>
      </c>
      <c r="L434" s="16">
        <v>13872.16</v>
      </c>
      <c r="M434" s="16">
        <v>7803.09</v>
      </c>
      <c r="N434" s="13">
        <v>1.78</v>
      </c>
      <c r="O434" s="11">
        <v>200.65100000000001</v>
      </c>
      <c r="P434" s="16">
        <v>16052.08</v>
      </c>
      <c r="Q434" s="12">
        <v>9029.2999999999993</v>
      </c>
      <c r="R434" s="13">
        <v>1.78</v>
      </c>
      <c r="S434" s="11">
        <v>200.65100000000001</v>
      </c>
      <c r="T434" s="16">
        <v>16052.08</v>
      </c>
      <c r="U434" s="12">
        <v>9029.2999999999993</v>
      </c>
      <c r="V434" s="13">
        <v>1.78</v>
      </c>
      <c r="W434" s="11">
        <v>200.65100000000001</v>
      </c>
      <c r="X434" s="16">
        <v>16052.08</v>
      </c>
      <c r="Y434" s="12">
        <v>9029.2999999999993</v>
      </c>
      <c r="Z434" s="13">
        <v>1.78</v>
      </c>
      <c r="AA434" s="11">
        <v>217.99199999999999</v>
      </c>
      <c r="AB434" s="16">
        <v>17439.36</v>
      </c>
      <c r="AC434" s="16">
        <v>9809.64</v>
      </c>
      <c r="AD434" s="13">
        <v>1.78</v>
      </c>
      <c r="AE434" s="11">
        <v>222.946</v>
      </c>
      <c r="AF434" s="16">
        <v>17835.68</v>
      </c>
      <c r="AG434" s="16">
        <v>10032.57</v>
      </c>
      <c r="AH434" s="13">
        <v>1.78</v>
      </c>
      <c r="AI434" s="11">
        <v>247.71799999999999</v>
      </c>
      <c r="AJ434" s="16">
        <v>19817.439999999999</v>
      </c>
      <c r="AK434" s="16">
        <v>11147.31</v>
      </c>
      <c r="AL434" s="13">
        <v>1.78</v>
      </c>
      <c r="AM434" s="11">
        <v>240.28700000000001</v>
      </c>
      <c r="AN434" s="16">
        <v>19222.96</v>
      </c>
      <c r="AO434" s="16">
        <v>10812.92</v>
      </c>
      <c r="AP434" s="13">
        <v>1.78</v>
      </c>
      <c r="AQ434" s="11">
        <v>247.71799999999999</v>
      </c>
      <c r="AR434" s="16">
        <v>19817.439999999999</v>
      </c>
      <c r="AS434" s="16">
        <v>11147.31</v>
      </c>
      <c r="AT434" s="13">
        <v>1.78</v>
      </c>
      <c r="AU434" s="11">
        <v>272.48899999999998</v>
      </c>
      <c r="AV434" s="16">
        <v>21799.119999999999</v>
      </c>
      <c r="AW434" s="16">
        <v>12262.01</v>
      </c>
      <c r="AX434" s="13">
        <v>1.78</v>
      </c>
      <c r="AY434" s="18">
        <v>2472.2220000000002</v>
      </c>
      <c r="AZ434" s="16">
        <v>197777.76</v>
      </c>
      <c r="BA434" s="16">
        <v>111250.02</v>
      </c>
      <c r="BB434" s="13">
        <v>1.78</v>
      </c>
    </row>
    <row r="435" spans="1:54" x14ac:dyDescent="0.25">
      <c r="A435" s="10" t="s">
        <v>141</v>
      </c>
      <c r="B435" s="10" t="s">
        <v>31</v>
      </c>
      <c r="C435" s="11">
        <v>350.18900000000002</v>
      </c>
      <c r="D435" s="12">
        <v>29090.2</v>
      </c>
      <c r="E435" s="16">
        <v>15723.49</v>
      </c>
      <c r="F435" s="13">
        <v>1.85</v>
      </c>
      <c r="G435" s="11">
        <v>437.73599999999999</v>
      </c>
      <c r="H435" s="16">
        <v>36362.730000000003</v>
      </c>
      <c r="I435" s="16">
        <v>19654.349999999999</v>
      </c>
      <c r="J435" s="13">
        <v>1.85</v>
      </c>
      <c r="K435" s="11">
        <v>525.28399999999999</v>
      </c>
      <c r="L435" s="16">
        <v>43635.34</v>
      </c>
      <c r="M435" s="16">
        <v>23585.25</v>
      </c>
      <c r="N435" s="13">
        <v>1.85</v>
      </c>
      <c r="O435" s="11">
        <v>717.88900000000001</v>
      </c>
      <c r="P435" s="16">
        <v>59635.040000000001</v>
      </c>
      <c r="Q435" s="16">
        <v>32233.22</v>
      </c>
      <c r="R435" s="13">
        <v>1.85</v>
      </c>
      <c r="S435" s="11">
        <v>612.83199999999999</v>
      </c>
      <c r="T435" s="16">
        <v>50907.95</v>
      </c>
      <c r="U435" s="16">
        <v>27516.16</v>
      </c>
      <c r="V435" s="13">
        <v>1.85</v>
      </c>
      <c r="W435" s="11">
        <v>700.37900000000002</v>
      </c>
      <c r="X435" s="16">
        <v>58180.480000000003</v>
      </c>
      <c r="Y435" s="16">
        <v>31447.02</v>
      </c>
      <c r="Z435" s="13">
        <v>1.85</v>
      </c>
      <c r="AA435" s="11">
        <v>700.37900000000002</v>
      </c>
      <c r="AB435" s="16">
        <v>58180.480000000003</v>
      </c>
      <c r="AC435" s="16">
        <v>31447.02</v>
      </c>
      <c r="AD435" s="13">
        <v>1.85</v>
      </c>
      <c r="AE435" s="11">
        <v>612.83199999999999</v>
      </c>
      <c r="AF435" s="16">
        <v>50907.95</v>
      </c>
      <c r="AG435" s="16">
        <v>27516.16</v>
      </c>
      <c r="AH435" s="13">
        <v>1.85</v>
      </c>
      <c r="AI435" s="11">
        <v>700.37900000000002</v>
      </c>
      <c r="AJ435" s="16">
        <v>58180.480000000003</v>
      </c>
      <c r="AK435" s="16">
        <v>31447.02</v>
      </c>
      <c r="AL435" s="13">
        <v>1.85</v>
      </c>
      <c r="AM435" s="11">
        <v>936.75699999999995</v>
      </c>
      <c r="AN435" s="12">
        <v>77816.399999999994</v>
      </c>
      <c r="AO435" s="16">
        <v>42060.39</v>
      </c>
      <c r="AP435" s="13">
        <v>1.85</v>
      </c>
      <c r="AQ435" s="11">
        <v>936.75699999999995</v>
      </c>
      <c r="AR435" s="12">
        <v>77816.399999999994</v>
      </c>
      <c r="AS435" s="16">
        <v>42060.39</v>
      </c>
      <c r="AT435" s="13">
        <v>1.85</v>
      </c>
      <c r="AU435" s="18">
        <v>1488.307</v>
      </c>
      <c r="AV435" s="16">
        <v>123633.66</v>
      </c>
      <c r="AW435" s="16">
        <v>66824.98</v>
      </c>
      <c r="AX435" s="13">
        <v>1.85</v>
      </c>
      <c r="AY435" s="18">
        <v>8719.7199999999993</v>
      </c>
      <c r="AZ435" s="16">
        <v>724347.11</v>
      </c>
      <c r="BA435" s="16">
        <v>391515.45</v>
      </c>
      <c r="BB435" s="13">
        <v>1.85</v>
      </c>
    </row>
    <row r="436" spans="1:54" x14ac:dyDescent="0.25">
      <c r="A436" s="10" t="s">
        <v>141</v>
      </c>
      <c r="B436" s="10" t="s">
        <v>32</v>
      </c>
      <c r="C436" s="11">
        <v>79.400000000000006</v>
      </c>
      <c r="D436" s="16">
        <v>7323.86</v>
      </c>
      <c r="E436" s="16">
        <v>4208.99</v>
      </c>
      <c r="F436" s="13">
        <v>1.74</v>
      </c>
      <c r="G436" s="11">
        <v>99.251000000000005</v>
      </c>
      <c r="H436" s="16">
        <v>9154.91</v>
      </c>
      <c r="I436" s="12">
        <v>5261.3</v>
      </c>
      <c r="J436" s="13">
        <v>1.74</v>
      </c>
      <c r="K436" s="11">
        <v>119.1</v>
      </c>
      <c r="L436" s="16">
        <v>10985.78</v>
      </c>
      <c r="M436" s="16">
        <v>6313.49</v>
      </c>
      <c r="N436" s="13">
        <v>1.74</v>
      </c>
      <c r="O436" s="11">
        <v>138.94999999999999</v>
      </c>
      <c r="P436" s="16">
        <v>12816.75</v>
      </c>
      <c r="Q436" s="16">
        <v>7365.74</v>
      </c>
      <c r="R436" s="13">
        <v>1.74</v>
      </c>
      <c r="S436" s="11">
        <v>178.65</v>
      </c>
      <c r="T436" s="16">
        <v>16478.68</v>
      </c>
      <c r="U436" s="16">
        <v>9470.24</v>
      </c>
      <c r="V436" s="13">
        <v>1.74</v>
      </c>
      <c r="W436" s="11">
        <v>218.351</v>
      </c>
      <c r="X436" s="12">
        <v>20140.7</v>
      </c>
      <c r="Y436" s="16">
        <v>11574.79</v>
      </c>
      <c r="Z436" s="13">
        <v>1.74</v>
      </c>
      <c r="AA436" s="11">
        <v>238.20099999999999</v>
      </c>
      <c r="AB436" s="16">
        <v>21971.66</v>
      </c>
      <c r="AC436" s="16">
        <v>12627.04</v>
      </c>
      <c r="AD436" s="13">
        <v>1.74</v>
      </c>
      <c r="AE436" s="11">
        <v>198.5</v>
      </c>
      <c r="AF436" s="16">
        <v>18309.64</v>
      </c>
      <c r="AG436" s="16">
        <v>10522.49</v>
      </c>
      <c r="AH436" s="13">
        <v>1.74</v>
      </c>
      <c r="AI436" s="11">
        <v>198.5</v>
      </c>
      <c r="AJ436" s="16">
        <v>18309.64</v>
      </c>
      <c r="AK436" s="16">
        <v>10522.49</v>
      </c>
      <c r="AL436" s="13">
        <v>1.74</v>
      </c>
      <c r="AM436" s="11">
        <v>158.80000000000001</v>
      </c>
      <c r="AN436" s="16">
        <v>14647.71</v>
      </c>
      <c r="AO436" s="16">
        <v>8417.99</v>
      </c>
      <c r="AP436" s="13">
        <v>1.74</v>
      </c>
      <c r="AQ436" s="11">
        <v>178.65</v>
      </c>
      <c r="AR436" s="16">
        <v>16478.68</v>
      </c>
      <c r="AS436" s="16">
        <v>9470.24</v>
      </c>
      <c r="AT436" s="13">
        <v>1.74</v>
      </c>
      <c r="AU436" s="11">
        <v>178.65</v>
      </c>
      <c r="AV436" s="16">
        <v>16478.68</v>
      </c>
      <c r="AW436" s="16">
        <v>9470.24</v>
      </c>
      <c r="AX436" s="13">
        <v>1.74</v>
      </c>
      <c r="AY436" s="18">
        <v>1985.0029999999999</v>
      </c>
      <c r="AZ436" s="16">
        <v>183096.69</v>
      </c>
      <c r="BA436" s="16">
        <v>105225.04</v>
      </c>
      <c r="BB436" s="13">
        <v>1.74</v>
      </c>
    </row>
    <row r="437" spans="1:54" x14ac:dyDescent="0.25">
      <c r="A437" s="10" t="s">
        <v>141</v>
      </c>
      <c r="B437" s="10" t="s">
        <v>33</v>
      </c>
      <c r="C437" s="11">
        <v>868.06799999999998</v>
      </c>
      <c r="D437" s="16">
        <v>66797.83</v>
      </c>
      <c r="E437" s="16">
        <v>39063.06</v>
      </c>
      <c r="F437" s="13">
        <v>1.71</v>
      </c>
      <c r="G437" s="18">
        <v>1302.1030000000001</v>
      </c>
      <c r="H437" s="16">
        <v>100196.83</v>
      </c>
      <c r="I437" s="16">
        <v>58594.64</v>
      </c>
      <c r="J437" s="13">
        <v>1.71</v>
      </c>
      <c r="K437" s="18">
        <v>1519.12</v>
      </c>
      <c r="L437" s="16">
        <v>116896.28</v>
      </c>
      <c r="M437" s="12">
        <v>68360.399999999994</v>
      </c>
      <c r="N437" s="13">
        <v>1.71</v>
      </c>
      <c r="O437" s="18">
        <v>1757.8389999999999</v>
      </c>
      <c r="P437" s="16">
        <v>135265.71</v>
      </c>
      <c r="Q437" s="16">
        <v>79102.759999999995</v>
      </c>
      <c r="R437" s="13">
        <v>1.71</v>
      </c>
      <c r="S437" s="18">
        <v>1757.8389999999999</v>
      </c>
      <c r="T437" s="16">
        <v>135265.71</v>
      </c>
      <c r="U437" s="16">
        <v>79102.759999999995</v>
      </c>
      <c r="V437" s="13">
        <v>1.71</v>
      </c>
      <c r="W437" s="18">
        <v>1757.8389999999999</v>
      </c>
      <c r="X437" s="16">
        <v>135265.71</v>
      </c>
      <c r="Y437" s="16">
        <v>79102.759999999995</v>
      </c>
      <c r="Z437" s="13">
        <v>1.71</v>
      </c>
      <c r="AA437" s="18">
        <v>1909.751</v>
      </c>
      <c r="AB437" s="16">
        <v>146955.34</v>
      </c>
      <c r="AC437" s="12">
        <v>85938.8</v>
      </c>
      <c r="AD437" s="13">
        <v>1.71</v>
      </c>
      <c r="AE437" s="18">
        <v>1953.154</v>
      </c>
      <c r="AF437" s="12">
        <v>150295.20000000001</v>
      </c>
      <c r="AG437" s="16">
        <v>87891.93</v>
      </c>
      <c r="AH437" s="13">
        <v>1.71</v>
      </c>
      <c r="AI437" s="18">
        <v>2170.1709999999998</v>
      </c>
      <c r="AJ437" s="16">
        <v>166994.66</v>
      </c>
      <c r="AK437" s="12">
        <v>97657.7</v>
      </c>
      <c r="AL437" s="13">
        <v>1.71</v>
      </c>
      <c r="AM437" s="18">
        <v>2105.0659999999998</v>
      </c>
      <c r="AN437" s="16">
        <v>161984.82999999999</v>
      </c>
      <c r="AO437" s="16">
        <v>94727.97</v>
      </c>
      <c r="AP437" s="13">
        <v>1.71</v>
      </c>
      <c r="AQ437" s="18">
        <v>2170.1709999999998</v>
      </c>
      <c r="AR437" s="16">
        <v>166994.66</v>
      </c>
      <c r="AS437" s="12">
        <v>97657.7</v>
      </c>
      <c r="AT437" s="13">
        <v>1.71</v>
      </c>
      <c r="AU437" s="18">
        <v>2387.1880000000001</v>
      </c>
      <c r="AV437" s="16">
        <v>183694.12</v>
      </c>
      <c r="AW437" s="16">
        <v>107423.46</v>
      </c>
      <c r="AX437" s="13">
        <v>1.71</v>
      </c>
      <c r="AY437" s="18">
        <v>21658.309000000001</v>
      </c>
      <c r="AZ437" s="16">
        <v>1666606.88</v>
      </c>
      <c r="BA437" s="16">
        <v>974623.94</v>
      </c>
      <c r="BB437" s="13">
        <v>1.71</v>
      </c>
    </row>
    <row r="438" spans="1:54" x14ac:dyDescent="0.25">
      <c r="A438" s="10" t="s">
        <v>141</v>
      </c>
      <c r="B438" s="10" t="s">
        <v>142</v>
      </c>
      <c r="C438" s="11">
        <v>0.80300000000000005</v>
      </c>
      <c r="D438" s="16">
        <v>23907.08</v>
      </c>
      <c r="E438" s="16">
        <v>16263.32</v>
      </c>
      <c r="F438" s="13">
        <v>1.47</v>
      </c>
      <c r="G438" s="11">
        <v>1.004</v>
      </c>
      <c r="H438" s="16">
        <v>29891.29</v>
      </c>
      <c r="I438" s="16">
        <v>20334.21</v>
      </c>
      <c r="J438" s="13">
        <v>1.47</v>
      </c>
      <c r="K438" s="11">
        <v>1.2050000000000001</v>
      </c>
      <c r="L438" s="12">
        <v>35875.5</v>
      </c>
      <c r="M438" s="16">
        <v>24405.11</v>
      </c>
      <c r="N438" s="13">
        <v>1.47</v>
      </c>
      <c r="O438" s="11">
        <v>1.647</v>
      </c>
      <c r="P438" s="16">
        <v>49034.81</v>
      </c>
      <c r="Q438" s="16">
        <v>33357.019999999997</v>
      </c>
      <c r="R438" s="13">
        <v>1.47</v>
      </c>
      <c r="S438" s="11">
        <v>1.4059999999999999</v>
      </c>
      <c r="T438" s="16">
        <v>41859.71</v>
      </c>
      <c r="U438" s="15">
        <v>28476</v>
      </c>
      <c r="V438" s="13">
        <v>1.47</v>
      </c>
      <c r="W438" s="11">
        <v>1.6060000000000001</v>
      </c>
      <c r="X438" s="16">
        <v>47814.15</v>
      </c>
      <c r="Y438" s="16">
        <v>32526.639999999999</v>
      </c>
      <c r="Z438" s="13">
        <v>1.47</v>
      </c>
      <c r="AA438" s="11">
        <v>1.6060000000000001</v>
      </c>
      <c r="AB438" s="16">
        <v>47814.15</v>
      </c>
      <c r="AC438" s="16">
        <v>32526.639999999999</v>
      </c>
      <c r="AD438" s="13">
        <v>1.47</v>
      </c>
      <c r="AE438" s="11">
        <v>1.4059999999999999</v>
      </c>
      <c r="AF438" s="16">
        <v>41859.71</v>
      </c>
      <c r="AG438" s="15">
        <v>28476</v>
      </c>
      <c r="AH438" s="13">
        <v>1.47</v>
      </c>
      <c r="AI438" s="11">
        <v>1.6060000000000001</v>
      </c>
      <c r="AJ438" s="16">
        <v>47814.15</v>
      </c>
      <c r="AK438" s="16">
        <v>32526.639999999999</v>
      </c>
      <c r="AL438" s="13">
        <v>1.47</v>
      </c>
      <c r="AM438" s="11">
        <v>2.1480000000000001</v>
      </c>
      <c r="AN438" s="16">
        <v>63950.69</v>
      </c>
      <c r="AO438" s="16">
        <v>43503.87</v>
      </c>
      <c r="AP438" s="13">
        <v>1.47</v>
      </c>
      <c r="AQ438" s="11">
        <v>2.149</v>
      </c>
      <c r="AR438" s="16">
        <v>63980.46</v>
      </c>
      <c r="AS438" s="16">
        <v>43524.13</v>
      </c>
      <c r="AT438" s="13">
        <v>1.47</v>
      </c>
      <c r="AU438" s="11">
        <v>3.4129999999999998</v>
      </c>
      <c r="AV438" s="16">
        <v>101612.52</v>
      </c>
      <c r="AW438" s="16">
        <v>69124.17</v>
      </c>
      <c r="AX438" s="13">
        <v>1.47</v>
      </c>
      <c r="AY438" s="11">
        <v>19.998999999999999</v>
      </c>
      <c r="AZ438" s="16">
        <v>595414.22</v>
      </c>
      <c r="BA438" s="16">
        <v>405043.75</v>
      </c>
      <c r="BB438" s="13">
        <v>1.47</v>
      </c>
    </row>
    <row r="439" spans="1:54" x14ac:dyDescent="0.25">
      <c r="A439" s="10" t="s">
        <v>141</v>
      </c>
      <c r="B439" s="10" t="s">
        <v>40</v>
      </c>
      <c r="C439" s="11">
        <v>0.48199999999999998</v>
      </c>
      <c r="D439" s="16">
        <v>24104.02</v>
      </c>
      <c r="E439" s="12">
        <v>16286.5</v>
      </c>
      <c r="F439" s="13">
        <v>1.48</v>
      </c>
      <c r="G439" s="11">
        <v>0.60199999999999998</v>
      </c>
      <c r="H439" s="16">
        <v>30105.01</v>
      </c>
      <c r="I439" s="16">
        <v>20341.23</v>
      </c>
      <c r="J439" s="13">
        <v>1.48</v>
      </c>
      <c r="K439" s="11">
        <v>0.72299999999999998</v>
      </c>
      <c r="L439" s="16">
        <v>36156.019999999997</v>
      </c>
      <c r="M439" s="16">
        <v>24429.75</v>
      </c>
      <c r="N439" s="13">
        <v>1.48</v>
      </c>
      <c r="O439" s="11">
        <v>0.98799999999999999</v>
      </c>
      <c r="P439" s="16">
        <v>49408.23</v>
      </c>
      <c r="Q439" s="16">
        <v>33383.949999999997</v>
      </c>
      <c r="R439" s="13">
        <v>1.48</v>
      </c>
      <c r="S439" s="11">
        <v>0.84299999999999997</v>
      </c>
      <c r="T439" s="16">
        <v>42157.02</v>
      </c>
      <c r="U439" s="16">
        <v>28484.48</v>
      </c>
      <c r="V439" s="13">
        <v>1.48</v>
      </c>
      <c r="W439" s="11">
        <v>0.96499999999999997</v>
      </c>
      <c r="X439" s="16">
        <v>48258.04</v>
      </c>
      <c r="Y439" s="16">
        <v>32606.79</v>
      </c>
      <c r="Z439" s="13">
        <v>1.48</v>
      </c>
      <c r="AA439" s="11">
        <v>0.96499999999999997</v>
      </c>
      <c r="AB439" s="16">
        <v>48258.04</v>
      </c>
      <c r="AC439" s="16">
        <v>32606.79</v>
      </c>
      <c r="AD439" s="13">
        <v>1.48</v>
      </c>
      <c r="AE439" s="11">
        <v>0.84299999999999997</v>
      </c>
      <c r="AF439" s="16">
        <v>42157.02</v>
      </c>
      <c r="AG439" s="16">
        <v>28484.48</v>
      </c>
      <c r="AH439" s="13">
        <v>1.48</v>
      </c>
      <c r="AI439" s="11">
        <v>0.96499999999999997</v>
      </c>
      <c r="AJ439" s="16">
        <v>48258.04</v>
      </c>
      <c r="AK439" s="16">
        <v>32606.79</v>
      </c>
      <c r="AL439" s="13">
        <v>1.48</v>
      </c>
      <c r="AM439" s="11">
        <v>1.2889999999999999</v>
      </c>
      <c r="AN439" s="16">
        <v>64460.74</v>
      </c>
      <c r="AO439" s="16">
        <v>43554.559999999998</v>
      </c>
      <c r="AP439" s="13">
        <v>1.48</v>
      </c>
      <c r="AQ439" s="11">
        <v>1.2889999999999999</v>
      </c>
      <c r="AR439" s="16">
        <v>64460.74</v>
      </c>
      <c r="AS439" s="16">
        <v>43554.559999999998</v>
      </c>
      <c r="AT439" s="13">
        <v>1.48</v>
      </c>
      <c r="AU439" s="11">
        <v>2.048</v>
      </c>
      <c r="AV439" s="16">
        <v>102417.06</v>
      </c>
      <c r="AW439" s="16">
        <v>69200.73</v>
      </c>
      <c r="AX439" s="13">
        <v>1.48</v>
      </c>
      <c r="AY439" s="11">
        <v>12.002000000000001</v>
      </c>
      <c r="AZ439" s="16">
        <v>600199.98</v>
      </c>
      <c r="BA439" s="16">
        <v>405540.61</v>
      </c>
      <c r="BB439" s="13">
        <v>1.48</v>
      </c>
    </row>
    <row r="440" spans="1:54" x14ac:dyDescent="0.25">
      <c r="A440" s="10" t="s">
        <v>141</v>
      </c>
      <c r="B440" s="10" t="s">
        <v>41</v>
      </c>
      <c r="C440" s="11">
        <v>0.48199999999999998</v>
      </c>
      <c r="D440" s="16">
        <v>12977.97</v>
      </c>
      <c r="E440" s="16">
        <v>9269.98</v>
      </c>
      <c r="F440" s="13">
        <v>1.4</v>
      </c>
      <c r="G440" s="11">
        <v>0.60199999999999998</v>
      </c>
      <c r="H440" s="15">
        <v>16209</v>
      </c>
      <c r="I440" s="16">
        <v>11577.86</v>
      </c>
      <c r="J440" s="13">
        <v>1.4</v>
      </c>
      <c r="K440" s="11">
        <v>0.72299999999999998</v>
      </c>
      <c r="L440" s="16">
        <v>19466.96</v>
      </c>
      <c r="M440" s="16">
        <v>13904.97</v>
      </c>
      <c r="N440" s="13">
        <v>1.4</v>
      </c>
      <c r="O440" s="11">
        <v>0.98799999999999999</v>
      </c>
      <c r="P440" s="16">
        <v>26602.15</v>
      </c>
      <c r="Q440" s="16">
        <v>19001.54</v>
      </c>
      <c r="R440" s="13">
        <v>1.4</v>
      </c>
      <c r="S440" s="11">
        <v>0.84399999999999997</v>
      </c>
      <c r="T440" s="16">
        <v>22724.91</v>
      </c>
      <c r="U440" s="16">
        <v>16232.09</v>
      </c>
      <c r="V440" s="13">
        <v>1.4</v>
      </c>
      <c r="W440" s="11">
        <v>0.96299999999999997</v>
      </c>
      <c r="X440" s="16">
        <v>25929.02</v>
      </c>
      <c r="Y440" s="16">
        <v>18520.73</v>
      </c>
      <c r="Z440" s="13">
        <v>1.4</v>
      </c>
      <c r="AA440" s="11">
        <v>0.96299999999999997</v>
      </c>
      <c r="AB440" s="16">
        <v>25929.02</v>
      </c>
      <c r="AC440" s="16">
        <v>18520.73</v>
      </c>
      <c r="AD440" s="13">
        <v>1.4</v>
      </c>
      <c r="AE440" s="11">
        <v>0.84399999999999997</v>
      </c>
      <c r="AF440" s="16">
        <v>22724.91</v>
      </c>
      <c r="AG440" s="16">
        <v>16232.09</v>
      </c>
      <c r="AH440" s="13">
        <v>1.4</v>
      </c>
      <c r="AI440" s="11">
        <v>0.96299999999999997</v>
      </c>
      <c r="AJ440" s="16">
        <v>25929.02</v>
      </c>
      <c r="AK440" s="16">
        <v>18520.73</v>
      </c>
      <c r="AL440" s="13">
        <v>1.4</v>
      </c>
      <c r="AM440" s="11">
        <v>1.29</v>
      </c>
      <c r="AN440" s="16">
        <v>34733.57</v>
      </c>
      <c r="AO440" s="16">
        <v>24809.71</v>
      </c>
      <c r="AP440" s="13">
        <v>1.4</v>
      </c>
      <c r="AQ440" s="11">
        <v>1.29</v>
      </c>
      <c r="AR440" s="16">
        <v>34733.57</v>
      </c>
      <c r="AS440" s="16">
        <v>24809.71</v>
      </c>
      <c r="AT440" s="13">
        <v>1.4</v>
      </c>
      <c r="AU440" s="11">
        <v>2.048</v>
      </c>
      <c r="AV440" s="16">
        <v>55142.91</v>
      </c>
      <c r="AW440" s="16">
        <v>39387.81</v>
      </c>
      <c r="AX440" s="13">
        <v>1.4</v>
      </c>
      <c r="AY440" s="11">
        <v>12</v>
      </c>
      <c r="AZ440" s="16">
        <v>323103.01</v>
      </c>
      <c r="BA440" s="16">
        <v>230787.95</v>
      </c>
      <c r="BB440" s="13">
        <v>1.4</v>
      </c>
    </row>
    <row r="441" spans="1:54" x14ac:dyDescent="0.25">
      <c r="A441" s="10" t="s">
        <v>141</v>
      </c>
      <c r="B441" s="10" t="s">
        <v>42</v>
      </c>
      <c r="C441" s="11">
        <v>1.82</v>
      </c>
      <c r="D441" s="15">
        <v>75400</v>
      </c>
      <c r="E441" s="15">
        <v>52000</v>
      </c>
      <c r="F441" s="13">
        <v>1.45</v>
      </c>
      <c r="G441" s="11">
        <v>1.82</v>
      </c>
      <c r="H441" s="15">
        <v>75400</v>
      </c>
      <c r="I441" s="15">
        <v>52000</v>
      </c>
      <c r="J441" s="13">
        <v>1.45</v>
      </c>
      <c r="K441" s="11">
        <v>1.82</v>
      </c>
      <c r="L441" s="15">
        <v>75400</v>
      </c>
      <c r="M441" s="15">
        <v>52000</v>
      </c>
      <c r="N441" s="13">
        <v>1.45</v>
      </c>
      <c r="O441" s="11">
        <v>4.55</v>
      </c>
      <c r="P441" s="16">
        <v>188499.99</v>
      </c>
      <c r="Q441" s="16">
        <v>130000.01</v>
      </c>
      <c r="R441" s="13">
        <v>1.45</v>
      </c>
      <c r="S441" s="11">
        <v>4.55</v>
      </c>
      <c r="T441" s="16">
        <v>188499.99</v>
      </c>
      <c r="U441" s="16">
        <v>130000.01</v>
      </c>
      <c r="V441" s="13">
        <v>1.45</v>
      </c>
      <c r="W441" s="11">
        <v>4.55</v>
      </c>
      <c r="X441" s="16">
        <v>188499.99</v>
      </c>
      <c r="Y441" s="16">
        <v>130000.01</v>
      </c>
      <c r="Z441" s="13">
        <v>1.45</v>
      </c>
      <c r="AA441" s="11">
        <v>10.92</v>
      </c>
      <c r="AB441" s="16">
        <v>452399.98</v>
      </c>
      <c r="AC441" s="16">
        <v>312000.02</v>
      </c>
      <c r="AD441" s="13">
        <v>1.45</v>
      </c>
      <c r="AE441" s="11">
        <v>10.92</v>
      </c>
      <c r="AF441" s="16">
        <v>452399.98</v>
      </c>
      <c r="AG441" s="16">
        <v>312000.02</v>
      </c>
      <c r="AH441" s="13">
        <v>1.45</v>
      </c>
      <c r="AI441" s="11">
        <v>10.92</v>
      </c>
      <c r="AJ441" s="16">
        <v>452399.98</v>
      </c>
      <c r="AK441" s="16">
        <v>312000.02</v>
      </c>
      <c r="AL441" s="13">
        <v>1.45</v>
      </c>
      <c r="AM441" s="11">
        <v>12.74</v>
      </c>
      <c r="AN441" s="16">
        <v>527799.98</v>
      </c>
      <c r="AO441" s="16">
        <v>364000.02</v>
      </c>
      <c r="AP441" s="13">
        <v>1.45</v>
      </c>
      <c r="AQ441" s="11">
        <v>13.65</v>
      </c>
      <c r="AR441" s="16">
        <v>565499.98</v>
      </c>
      <c r="AS441" s="16">
        <v>390000.02</v>
      </c>
      <c r="AT441" s="13">
        <v>1.45</v>
      </c>
      <c r="AU441" s="11">
        <v>12.74</v>
      </c>
      <c r="AV441" s="16">
        <v>527799.98</v>
      </c>
      <c r="AW441" s="16">
        <v>364000.02</v>
      </c>
      <c r="AX441" s="13">
        <v>1.45</v>
      </c>
      <c r="AY441" s="11">
        <v>91</v>
      </c>
      <c r="AZ441" s="16">
        <v>3769999.85</v>
      </c>
      <c r="BA441" s="16">
        <v>2600000.15</v>
      </c>
      <c r="BB441" s="13">
        <v>1.45</v>
      </c>
    </row>
    <row r="442" spans="1:54" x14ac:dyDescent="0.25">
      <c r="A442" s="10" t="s">
        <v>141</v>
      </c>
      <c r="B442" s="10" t="s">
        <v>163</v>
      </c>
      <c r="C442" s="11">
        <v>0.48199999999999998</v>
      </c>
      <c r="D442" s="16">
        <v>7459.43</v>
      </c>
      <c r="E442" s="12">
        <v>5109.2</v>
      </c>
      <c r="F442" s="13">
        <v>1.46</v>
      </c>
      <c r="G442" s="11">
        <v>0.60199999999999998</v>
      </c>
      <c r="H442" s="16">
        <v>9316.5499999999993</v>
      </c>
      <c r="I442" s="12">
        <v>6381.2</v>
      </c>
      <c r="J442" s="13">
        <v>1.46</v>
      </c>
      <c r="K442" s="11">
        <v>0.72299999999999998</v>
      </c>
      <c r="L442" s="16">
        <v>11189.15</v>
      </c>
      <c r="M442" s="12">
        <v>7663.8</v>
      </c>
      <c r="N442" s="13">
        <v>1.46</v>
      </c>
      <c r="O442" s="11">
        <v>0.98799999999999999</v>
      </c>
      <c r="P442" s="16">
        <v>15290.29</v>
      </c>
      <c r="Q442" s="12">
        <v>10472.799999999999</v>
      </c>
      <c r="R442" s="13">
        <v>1.46</v>
      </c>
      <c r="S442" s="11">
        <v>0.84299999999999997</v>
      </c>
      <c r="T442" s="16">
        <v>13046.27</v>
      </c>
      <c r="U442" s="12">
        <v>8935.7999999999993</v>
      </c>
      <c r="V442" s="13">
        <v>1.46</v>
      </c>
      <c r="W442" s="11">
        <v>0.96399999999999997</v>
      </c>
      <c r="X442" s="16">
        <v>14918.86</v>
      </c>
      <c r="Y442" s="12">
        <v>10218.4</v>
      </c>
      <c r="Z442" s="13">
        <v>1.46</v>
      </c>
      <c r="AA442" s="11">
        <v>0.96399999999999997</v>
      </c>
      <c r="AB442" s="16">
        <v>14918.86</v>
      </c>
      <c r="AC442" s="12">
        <v>10218.4</v>
      </c>
      <c r="AD442" s="13">
        <v>1.46</v>
      </c>
      <c r="AE442" s="11">
        <v>0.84299999999999997</v>
      </c>
      <c r="AF442" s="16">
        <v>13046.27</v>
      </c>
      <c r="AG442" s="12">
        <v>8935.7999999999993</v>
      </c>
      <c r="AH442" s="13">
        <v>1.46</v>
      </c>
      <c r="AI442" s="11">
        <v>0.96399999999999997</v>
      </c>
      <c r="AJ442" s="16">
        <v>14918.86</v>
      </c>
      <c r="AK442" s="12">
        <v>10218.4</v>
      </c>
      <c r="AL442" s="13">
        <v>1.46</v>
      </c>
      <c r="AM442" s="11">
        <v>1.2889999999999999</v>
      </c>
      <c r="AN442" s="16">
        <v>19948.560000000001</v>
      </c>
      <c r="AO442" s="12">
        <v>13663.4</v>
      </c>
      <c r="AP442" s="13">
        <v>1.46</v>
      </c>
      <c r="AQ442" s="11">
        <v>1.2889999999999999</v>
      </c>
      <c r="AR442" s="16">
        <v>19948.560000000001</v>
      </c>
      <c r="AS442" s="12">
        <v>13663.4</v>
      </c>
      <c r="AT442" s="13">
        <v>1.46</v>
      </c>
      <c r="AU442" s="11">
        <v>2.0489999999999999</v>
      </c>
      <c r="AV442" s="16">
        <v>31710.32</v>
      </c>
      <c r="AW442" s="12">
        <v>21719.4</v>
      </c>
      <c r="AX442" s="13">
        <v>1.46</v>
      </c>
      <c r="AY442" s="11">
        <v>12</v>
      </c>
      <c r="AZ442" s="16">
        <v>185711.98</v>
      </c>
      <c r="BA442" s="15">
        <v>127200</v>
      </c>
      <c r="BB442" s="13">
        <v>1.46</v>
      </c>
    </row>
    <row r="443" spans="1:54" x14ac:dyDescent="0.25">
      <c r="A443" s="10" t="s">
        <v>141</v>
      </c>
      <c r="B443" s="10" t="s">
        <v>43</v>
      </c>
      <c r="C443" s="11">
        <v>0.84399999999999997</v>
      </c>
      <c r="D443" s="16">
        <v>10959.14</v>
      </c>
      <c r="E443" s="16">
        <v>7257.72</v>
      </c>
      <c r="F443" s="13">
        <v>1.51</v>
      </c>
      <c r="G443" s="11">
        <v>1.054</v>
      </c>
      <c r="H443" s="16">
        <v>13685.94</v>
      </c>
      <c r="I443" s="16">
        <v>9063.5499999999993</v>
      </c>
      <c r="J443" s="13">
        <v>1.51</v>
      </c>
      <c r="K443" s="11">
        <v>1.2649999999999999</v>
      </c>
      <c r="L443" s="16">
        <v>16425.72</v>
      </c>
      <c r="M443" s="16">
        <v>10877.98</v>
      </c>
      <c r="N443" s="13">
        <v>1.51</v>
      </c>
      <c r="O443" s="11">
        <v>1.728</v>
      </c>
      <c r="P443" s="16">
        <v>22437.67</v>
      </c>
      <c r="Q443" s="12">
        <v>14859.4</v>
      </c>
      <c r="R443" s="13">
        <v>1.51</v>
      </c>
      <c r="S443" s="11">
        <v>1.4750000000000001</v>
      </c>
      <c r="T443" s="16">
        <v>19152.52</v>
      </c>
      <c r="U443" s="16">
        <v>12683.81</v>
      </c>
      <c r="V443" s="13">
        <v>1.51</v>
      </c>
      <c r="W443" s="11">
        <v>1.6870000000000001</v>
      </c>
      <c r="X443" s="16">
        <v>21905.29</v>
      </c>
      <c r="Y443" s="16">
        <v>14506.83</v>
      </c>
      <c r="Z443" s="13">
        <v>1.51</v>
      </c>
      <c r="AA443" s="11">
        <v>1.6870000000000001</v>
      </c>
      <c r="AB443" s="16">
        <v>21905.29</v>
      </c>
      <c r="AC443" s="16">
        <v>14506.83</v>
      </c>
      <c r="AD443" s="13">
        <v>1.51</v>
      </c>
      <c r="AE443" s="11">
        <v>1.4750000000000001</v>
      </c>
      <c r="AF443" s="16">
        <v>19152.52</v>
      </c>
      <c r="AG443" s="16">
        <v>12683.81</v>
      </c>
      <c r="AH443" s="13">
        <v>1.51</v>
      </c>
      <c r="AI443" s="11">
        <v>1.6870000000000001</v>
      </c>
      <c r="AJ443" s="16">
        <v>21905.29</v>
      </c>
      <c r="AK443" s="16">
        <v>14506.83</v>
      </c>
      <c r="AL443" s="13">
        <v>1.51</v>
      </c>
      <c r="AM443" s="11">
        <v>2.2549999999999999</v>
      </c>
      <c r="AN443" s="16">
        <v>29280.63</v>
      </c>
      <c r="AO443" s="16">
        <v>19391.169999999998</v>
      </c>
      <c r="AP443" s="13">
        <v>1.51</v>
      </c>
      <c r="AQ443" s="11">
        <v>2.2549999999999999</v>
      </c>
      <c r="AR443" s="16">
        <v>29280.63</v>
      </c>
      <c r="AS443" s="16">
        <v>19391.169999999998</v>
      </c>
      <c r="AT443" s="13">
        <v>1.51</v>
      </c>
      <c r="AU443" s="11">
        <v>3.5859999999999999</v>
      </c>
      <c r="AV443" s="16">
        <v>46563.35</v>
      </c>
      <c r="AW443" s="12">
        <v>30836.7</v>
      </c>
      <c r="AX443" s="13">
        <v>1.51</v>
      </c>
      <c r="AY443" s="11">
        <v>20.998000000000001</v>
      </c>
      <c r="AZ443" s="16">
        <v>272653.99</v>
      </c>
      <c r="BA443" s="12">
        <v>180565.8</v>
      </c>
      <c r="BB443" s="13">
        <v>1.51</v>
      </c>
    </row>
    <row r="444" spans="1:54" x14ac:dyDescent="0.25">
      <c r="A444" s="10" t="s">
        <v>141</v>
      </c>
      <c r="B444" s="10" t="s">
        <v>171</v>
      </c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1">
        <v>275.11</v>
      </c>
      <c r="P444" s="16">
        <v>7736.09</v>
      </c>
      <c r="Q444" s="16">
        <v>3766.26</v>
      </c>
      <c r="R444" s="13">
        <v>2.0499999999999998</v>
      </c>
      <c r="S444" s="11">
        <v>425.17</v>
      </c>
      <c r="T444" s="16">
        <v>11955.78</v>
      </c>
      <c r="U444" s="16">
        <v>5820.58</v>
      </c>
      <c r="V444" s="13">
        <v>2.0499999999999998</v>
      </c>
      <c r="W444" s="11">
        <v>500.2</v>
      </c>
      <c r="X444" s="16">
        <v>14065.62</v>
      </c>
      <c r="Y444" s="16">
        <v>6847.74</v>
      </c>
      <c r="Z444" s="13">
        <v>2.0499999999999998</v>
      </c>
      <c r="AA444" s="11">
        <v>450.18</v>
      </c>
      <c r="AB444" s="16">
        <v>12659.06</v>
      </c>
      <c r="AC444" s="16">
        <v>6162.96</v>
      </c>
      <c r="AD444" s="13">
        <v>2.0499999999999998</v>
      </c>
      <c r="AE444" s="11">
        <v>275.11</v>
      </c>
      <c r="AF444" s="16">
        <v>7736.09</v>
      </c>
      <c r="AG444" s="16">
        <v>3766.26</v>
      </c>
      <c r="AH444" s="13">
        <v>2.0499999999999998</v>
      </c>
      <c r="AI444" s="11">
        <v>225.09</v>
      </c>
      <c r="AJ444" s="16">
        <v>6329.53</v>
      </c>
      <c r="AK444" s="16">
        <v>3081.48</v>
      </c>
      <c r="AL444" s="13">
        <v>2.0499999999999998</v>
      </c>
      <c r="AM444" s="11">
        <v>200.08</v>
      </c>
      <c r="AN444" s="16">
        <v>5626.25</v>
      </c>
      <c r="AO444" s="12">
        <v>2739.1</v>
      </c>
      <c r="AP444" s="13">
        <v>2.0499999999999998</v>
      </c>
      <c r="AQ444" s="11">
        <v>100.04</v>
      </c>
      <c r="AR444" s="16">
        <v>2813.12</v>
      </c>
      <c r="AS444" s="16">
        <v>1369.55</v>
      </c>
      <c r="AT444" s="13">
        <v>2.0499999999999998</v>
      </c>
      <c r="AU444" s="11">
        <v>50.02</v>
      </c>
      <c r="AV444" s="16">
        <v>1406.56</v>
      </c>
      <c r="AW444" s="13">
        <v>684.77</v>
      </c>
      <c r="AX444" s="13">
        <v>2.0499999999999998</v>
      </c>
      <c r="AY444" s="18">
        <v>2501</v>
      </c>
      <c r="AZ444" s="12">
        <v>70328.100000000006</v>
      </c>
      <c r="BA444" s="12">
        <v>34238.699999999997</v>
      </c>
      <c r="BB444" s="13">
        <v>2.0499999999999998</v>
      </c>
    </row>
    <row r="445" spans="1:54" x14ac:dyDescent="0.25">
      <c r="A445" s="10" t="s">
        <v>141</v>
      </c>
      <c r="B445" s="10" t="s">
        <v>172</v>
      </c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1">
        <v>16.5</v>
      </c>
      <c r="P445" s="15">
        <v>28050</v>
      </c>
      <c r="Q445" s="15">
        <v>16500</v>
      </c>
      <c r="R445" s="13">
        <v>1.7</v>
      </c>
      <c r="S445" s="11">
        <v>25.5</v>
      </c>
      <c r="T445" s="15">
        <v>43350</v>
      </c>
      <c r="U445" s="15">
        <v>25500</v>
      </c>
      <c r="V445" s="13">
        <v>1.7</v>
      </c>
      <c r="W445" s="11">
        <v>30</v>
      </c>
      <c r="X445" s="15">
        <v>51000</v>
      </c>
      <c r="Y445" s="15">
        <v>30000</v>
      </c>
      <c r="Z445" s="13">
        <v>1.7</v>
      </c>
      <c r="AA445" s="11">
        <v>27</v>
      </c>
      <c r="AB445" s="15">
        <v>45900</v>
      </c>
      <c r="AC445" s="15">
        <v>27000</v>
      </c>
      <c r="AD445" s="13">
        <v>1.7</v>
      </c>
      <c r="AE445" s="11">
        <v>16.5</v>
      </c>
      <c r="AF445" s="15">
        <v>28050</v>
      </c>
      <c r="AG445" s="15">
        <v>16500</v>
      </c>
      <c r="AH445" s="13">
        <v>1.7</v>
      </c>
      <c r="AI445" s="11">
        <v>13.5</v>
      </c>
      <c r="AJ445" s="15">
        <v>22950</v>
      </c>
      <c r="AK445" s="15">
        <v>13500</v>
      </c>
      <c r="AL445" s="13">
        <v>1.7</v>
      </c>
      <c r="AM445" s="11">
        <v>12</v>
      </c>
      <c r="AN445" s="15">
        <v>20400</v>
      </c>
      <c r="AO445" s="15">
        <v>12000</v>
      </c>
      <c r="AP445" s="13">
        <v>1.7</v>
      </c>
      <c r="AQ445" s="11">
        <v>6</v>
      </c>
      <c r="AR445" s="15">
        <v>10200</v>
      </c>
      <c r="AS445" s="15">
        <v>6000</v>
      </c>
      <c r="AT445" s="13">
        <v>1.7</v>
      </c>
      <c r="AU445" s="11">
        <v>3</v>
      </c>
      <c r="AV445" s="15">
        <v>5100</v>
      </c>
      <c r="AW445" s="15">
        <v>3000</v>
      </c>
      <c r="AX445" s="13">
        <v>1.7</v>
      </c>
      <c r="AY445" s="11">
        <v>150</v>
      </c>
      <c r="AZ445" s="15">
        <v>255000</v>
      </c>
      <c r="BA445" s="15">
        <v>150000</v>
      </c>
      <c r="BB445" s="13">
        <v>1.7</v>
      </c>
    </row>
    <row r="446" spans="1:54" x14ac:dyDescent="0.25">
      <c r="A446" s="10" t="s">
        <v>141</v>
      </c>
      <c r="B446" s="10" t="s">
        <v>173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1">
        <v>50.16</v>
      </c>
      <c r="P446" s="16">
        <v>2703.62</v>
      </c>
      <c r="Q446" s="16">
        <v>1304.1600000000001</v>
      </c>
      <c r="R446" s="13">
        <v>2.0699999999999998</v>
      </c>
      <c r="S446" s="11">
        <v>167.2</v>
      </c>
      <c r="T446" s="16">
        <v>9012.08</v>
      </c>
      <c r="U446" s="12">
        <v>4347.2</v>
      </c>
      <c r="V446" s="13">
        <v>2.0699999999999998</v>
      </c>
      <c r="W446" s="11">
        <v>225.72</v>
      </c>
      <c r="X446" s="16">
        <v>12166.31</v>
      </c>
      <c r="Y446" s="16">
        <v>5868.72</v>
      </c>
      <c r="Z446" s="13">
        <v>2.0699999999999998</v>
      </c>
      <c r="AA446" s="11">
        <v>234.08</v>
      </c>
      <c r="AB446" s="16">
        <v>12616.91</v>
      </c>
      <c r="AC446" s="16">
        <v>6086.08</v>
      </c>
      <c r="AD446" s="13">
        <v>2.0699999999999998</v>
      </c>
      <c r="AE446" s="11">
        <v>91.96</v>
      </c>
      <c r="AF446" s="16">
        <v>4956.6400000000003</v>
      </c>
      <c r="AG446" s="16">
        <v>2390.96</v>
      </c>
      <c r="AH446" s="13">
        <v>2.0699999999999998</v>
      </c>
      <c r="AI446" s="11">
        <v>66.88</v>
      </c>
      <c r="AJ446" s="16">
        <v>3604.83</v>
      </c>
      <c r="AK446" s="16">
        <v>1738.88</v>
      </c>
      <c r="AL446" s="13">
        <v>2.0699999999999998</v>
      </c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1">
        <v>836</v>
      </c>
      <c r="AZ446" s="16">
        <v>45060.39</v>
      </c>
      <c r="BA446" s="15">
        <v>21736</v>
      </c>
      <c r="BB446" s="13">
        <v>2.0699999999999998</v>
      </c>
    </row>
    <row r="447" spans="1:54" x14ac:dyDescent="0.25">
      <c r="A447" s="10" t="s">
        <v>141</v>
      </c>
      <c r="B447" s="10" t="s">
        <v>174</v>
      </c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1">
        <v>701.12</v>
      </c>
      <c r="P447" s="16">
        <v>91552.25</v>
      </c>
      <c r="Q447" s="16">
        <v>35757.120000000003</v>
      </c>
      <c r="R447" s="13">
        <v>2.56</v>
      </c>
      <c r="S447" s="11">
        <v>851.36</v>
      </c>
      <c r="T447" s="16">
        <v>111170.59</v>
      </c>
      <c r="U447" s="16">
        <v>43419.360000000001</v>
      </c>
      <c r="V447" s="13">
        <v>2.56</v>
      </c>
      <c r="W447" s="11">
        <v>901.44</v>
      </c>
      <c r="X447" s="16">
        <v>117710.04</v>
      </c>
      <c r="Y447" s="16">
        <v>45973.440000000002</v>
      </c>
      <c r="Z447" s="13">
        <v>2.56</v>
      </c>
      <c r="AA447" s="18">
        <v>1001.6</v>
      </c>
      <c r="AB447" s="16">
        <v>130788.93</v>
      </c>
      <c r="AC447" s="12">
        <v>51081.599999999999</v>
      </c>
      <c r="AD447" s="13">
        <v>2.56</v>
      </c>
      <c r="AE447" s="18">
        <v>1001.6</v>
      </c>
      <c r="AF447" s="16">
        <v>130788.93</v>
      </c>
      <c r="AG447" s="12">
        <v>51081.599999999999</v>
      </c>
      <c r="AH447" s="13">
        <v>2.56</v>
      </c>
      <c r="AI447" s="11">
        <v>200.32</v>
      </c>
      <c r="AJ447" s="16">
        <v>26157.79</v>
      </c>
      <c r="AK447" s="16">
        <v>10216.32</v>
      </c>
      <c r="AL447" s="13">
        <v>2.56</v>
      </c>
      <c r="AM447" s="11">
        <v>150.24</v>
      </c>
      <c r="AN447" s="16">
        <v>19618.34</v>
      </c>
      <c r="AO447" s="16">
        <v>7662.24</v>
      </c>
      <c r="AP447" s="13">
        <v>2.56</v>
      </c>
      <c r="AQ447" s="11">
        <v>200.32</v>
      </c>
      <c r="AR447" s="16">
        <v>26157.79</v>
      </c>
      <c r="AS447" s="16">
        <v>10216.32</v>
      </c>
      <c r="AT447" s="13">
        <v>2.56</v>
      </c>
      <c r="AU447" s="14"/>
      <c r="AV447" s="14"/>
      <c r="AW447" s="14"/>
      <c r="AX447" s="14"/>
      <c r="AY447" s="18">
        <v>5008</v>
      </c>
      <c r="AZ447" s="16">
        <v>653944.66</v>
      </c>
      <c r="BA447" s="15">
        <v>255408</v>
      </c>
      <c r="BB447" s="13">
        <v>2.56</v>
      </c>
    </row>
    <row r="448" spans="1:54" x14ac:dyDescent="0.25">
      <c r="A448" s="10" t="s">
        <v>141</v>
      </c>
      <c r="B448" s="10" t="s">
        <v>46</v>
      </c>
      <c r="C448" s="11">
        <v>6.1319999999999997</v>
      </c>
      <c r="D448" s="16">
        <v>5954.48</v>
      </c>
      <c r="E448" s="16">
        <v>2501.92</v>
      </c>
      <c r="F448" s="13">
        <v>2.38</v>
      </c>
      <c r="G448" s="11">
        <v>9.1989999999999998</v>
      </c>
      <c r="H448" s="16">
        <v>8932.69</v>
      </c>
      <c r="I448" s="16">
        <v>3753.28</v>
      </c>
      <c r="J448" s="13">
        <v>2.38</v>
      </c>
      <c r="K448" s="11">
        <v>10.731999999999999</v>
      </c>
      <c r="L448" s="16">
        <v>10421.31</v>
      </c>
      <c r="M448" s="16">
        <v>4378.76</v>
      </c>
      <c r="N448" s="13">
        <v>2.38</v>
      </c>
      <c r="O448" s="11">
        <v>12.417999999999999</v>
      </c>
      <c r="P448" s="12">
        <v>12058.5</v>
      </c>
      <c r="Q448" s="16">
        <v>5066.67</v>
      </c>
      <c r="R448" s="13">
        <v>2.38</v>
      </c>
      <c r="S448" s="11">
        <v>12.417999999999999</v>
      </c>
      <c r="T448" s="12">
        <v>12058.5</v>
      </c>
      <c r="U448" s="16">
        <v>5066.67</v>
      </c>
      <c r="V448" s="13">
        <v>2.38</v>
      </c>
      <c r="W448" s="11">
        <v>12.417999999999999</v>
      </c>
      <c r="X448" s="12">
        <v>12058.5</v>
      </c>
      <c r="Y448" s="16">
        <v>5066.67</v>
      </c>
      <c r="Z448" s="13">
        <v>2.38</v>
      </c>
      <c r="AA448" s="11">
        <v>13.491</v>
      </c>
      <c r="AB448" s="16">
        <v>13100.44</v>
      </c>
      <c r="AC448" s="16">
        <v>5504.46</v>
      </c>
      <c r="AD448" s="13">
        <v>2.38</v>
      </c>
      <c r="AE448" s="11">
        <v>13.798</v>
      </c>
      <c r="AF448" s="16">
        <v>13398.55</v>
      </c>
      <c r="AG448" s="16">
        <v>5629.72</v>
      </c>
      <c r="AH448" s="13">
        <v>2.38</v>
      </c>
      <c r="AI448" s="11">
        <v>15.331</v>
      </c>
      <c r="AJ448" s="16">
        <v>14887.17</v>
      </c>
      <c r="AK448" s="12">
        <v>6255.2</v>
      </c>
      <c r="AL448" s="13">
        <v>2.38</v>
      </c>
      <c r="AM448" s="11">
        <v>14.871</v>
      </c>
      <c r="AN448" s="16">
        <v>14440.48</v>
      </c>
      <c r="AO448" s="16">
        <v>6067.52</v>
      </c>
      <c r="AP448" s="13">
        <v>2.38</v>
      </c>
      <c r="AQ448" s="11">
        <v>15.331</v>
      </c>
      <c r="AR448" s="16">
        <v>14887.17</v>
      </c>
      <c r="AS448" s="12">
        <v>6255.2</v>
      </c>
      <c r="AT448" s="13">
        <v>2.38</v>
      </c>
      <c r="AU448" s="11">
        <v>16.863</v>
      </c>
      <c r="AV448" s="16">
        <v>16374.82</v>
      </c>
      <c r="AW448" s="16">
        <v>6880.27</v>
      </c>
      <c r="AX448" s="13">
        <v>2.38</v>
      </c>
      <c r="AY448" s="11">
        <v>153.00200000000001</v>
      </c>
      <c r="AZ448" s="16">
        <v>148572.60999999999</v>
      </c>
      <c r="BA448" s="16">
        <v>62426.34</v>
      </c>
      <c r="BB448" s="13">
        <v>2.38</v>
      </c>
    </row>
    <row r="449" spans="1:54" x14ac:dyDescent="0.25">
      <c r="A449" s="10" t="s">
        <v>141</v>
      </c>
      <c r="B449" s="10" t="s">
        <v>49</v>
      </c>
      <c r="C449" s="11">
        <v>30</v>
      </c>
      <c r="D449" s="12">
        <v>10156.5</v>
      </c>
      <c r="E449" s="15">
        <v>6771</v>
      </c>
      <c r="F449" s="13">
        <v>1.5</v>
      </c>
      <c r="G449" s="11">
        <v>50</v>
      </c>
      <c r="H449" s="12">
        <v>16927.5</v>
      </c>
      <c r="I449" s="15">
        <v>11285</v>
      </c>
      <c r="J449" s="13">
        <v>1.5</v>
      </c>
      <c r="K449" s="11">
        <v>80</v>
      </c>
      <c r="L449" s="15">
        <v>27084</v>
      </c>
      <c r="M449" s="15">
        <v>18056</v>
      </c>
      <c r="N449" s="13">
        <v>1.5</v>
      </c>
      <c r="O449" s="11">
        <v>110</v>
      </c>
      <c r="P449" s="12">
        <v>37240.5</v>
      </c>
      <c r="Q449" s="15">
        <v>24827</v>
      </c>
      <c r="R449" s="13">
        <v>1.5</v>
      </c>
      <c r="S449" s="11">
        <v>120</v>
      </c>
      <c r="T449" s="15">
        <v>40626</v>
      </c>
      <c r="U449" s="15">
        <v>27084</v>
      </c>
      <c r="V449" s="13">
        <v>1.5</v>
      </c>
      <c r="W449" s="11">
        <v>150</v>
      </c>
      <c r="X449" s="12">
        <v>50782.5</v>
      </c>
      <c r="Y449" s="15">
        <v>33855</v>
      </c>
      <c r="Z449" s="13">
        <v>1.5</v>
      </c>
      <c r="AA449" s="11">
        <v>130</v>
      </c>
      <c r="AB449" s="12">
        <v>44011.5</v>
      </c>
      <c r="AC449" s="15">
        <v>29341</v>
      </c>
      <c r="AD449" s="13">
        <v>1.5</v>
      </c>
      <c r="AE449" s="11">
        <v>80</v>
      </c>
      <c r="AF449" s="15">
        <v>27084</v>
      </c>
      <c r="AG449" s="15">
        <v>18056</v>
      </c>
      <c r="AH449" s="13">
        <v>1.5</v>
      </c>
      <c r="AI449" s="11">
        <v>70</v>
      </c>
      <c r="AJ449" s="12">
        <v>23698.5</v>
      </c>
      <c r="AK449" s="15">
        <v>15799</v>
      </c>
      <c r="AL449" s="13">
        <v>1.5</v>
      </c>
      <c r="AM449" s="11">
        <v>60</v>
      </c>
      <c r="AN449" s="15">
        <v>20313</v>
      </c>
      <c r="AO449" s="15">
        <v>13542</v>
      </c>
      <c r="AP449" s="13">
        <v>1.5</v>
      </c>
      <c r="AQ449" s="11">
        <v>60</v>
      </c>
      <c r="AR449" s="15">
        <v>20313</v>
      </c>
      <c r="AS449" s="15">
        <v>13542</v>
      </c>
      <c r="AT449" s="13">
        <v>1.5</v>
      </c>
      <c r="AU449" s="11">
        <v>60</v>
      </c>
      <c r="AV449" s="15">
        <v>20313</v>
      </c>
      <c r="AW449" s="15">
        <v>13542</v>
      </c>
      <c r="AX449" s="13">
        <v>1.5</v>
      </c>
      <c r="AY449" s="18">
        <v>1000</v>
      </c>
      <c r="AZ449" s="15">
        <v>338550</v>
      </c>
      <c r="BA449" s="15">
        <v>225700</v>
      </c>
      <c r="BB449" s="13">
        <v>1.5</v>
      </c>
    </row>
    <row r="450" spans="1:54" x14ac:dyDescent="0.25">
      <c r="A450" s="10" t="s">
        <v>141</v>
      </c>
      <c r="B450" s="10" t="s">
        <v>63</v>
      </c>
      <c r="C450" s="11">
        <v>1.7669999999999999</v>
      </c>
      <c r="D450" s="16">
        <v>2039.24</v>
      </c>
      <c r="E450" s="16">
        <v>1090.49</v>
      </c>
      <c r="F450" s="13">
        <v>1.87</v>
      </c>
      <c r="G450" s="11">
        <v>2.2090000000000001</v>
      </c>
      <c r="H450" s="16">
        <v>2549.34</v>
      </c>
      <c r="I450" s="16">
        <v>1363.26</v>
      </c>
      <c r="J450" s="13">
        <v>1.87</v>
      </c>
      <c r="K450" s="11">
        <v>2.65</v>
      </c>
      <c r="L450" s="16">
        <v>3058.29</v>
      </c>
      <c r="M450" s="16">
        <v>1635.42</v>
      </c>
      <c r="N450" s="13">
        <v>1.87</v>
      </c>
      <c r="O450" s="11">
        <v>3.6219999999999999</v>
      </c>
      <c r="P450" s="16">
        <v>4180.04</v>
      </c>
      <c r="Q450" s="16">
        <v>2235.2800000000002</v>
      </c>
      <c r="R450" s="13">
        <v>1.87</v>
      </c>
      <c r="S450" s="11">
        <v>3.093</v>
      </c>
      <c r="T450" s="16">
        <v>3569.54</v>
      </c>
      <c r="U450" s="16">
        <v>1908.81</v>
      </c>
      <c r="V450" s="13">
        <v>1.87</v>
      </c>
      <c r="W450" s="11">
        <v>3.5339999999999998</v>
      </c>
      <c r="X450" s="16">
        <v>4078.48</v>
      </c>
      <c r="Y450" s="16">
        <v>2180.9699999999998</v>
      </c>
      <c r="Z450" s="13">
        <v>1.87</v>
      </c>
      <c r="AA450" s="11">
        <v>3.5339999999999998</v>
      </c>
      <c r="AB450" s="16">
        <v>4078.48</v>
      </c>
      <c r="AC450" s="16">
        <v>2180.9699999999998</v>
      </c>
      <c r="AD450" s="13">
        <v>1.87</v>
      </c>
      <c r="AE450" s="11">
        <v>3.093</v>
      </c>
      <c r="AF450" s="16">
        <v>3569.54</v>
      </c>
      <c r="AG450" s="16">
        <v>1908.81</v>
      </c>
      <c r="AH450" s="13">
        <v>1.87</v>
      </c>
      <c r="AI450" s="11">
        <v>3.5339999999999998</v>
      </c>
      <c r="AJ450" s="16">
        <v>4078.48</v>
      </c>
      <c r="AK450" s="16">
        <v>2180.9699999999998</v>
      </c>
      <c r="AL450" s="13">
        <v>1.87</v>
      </c>
      <c r="AM450" s="11">
        <v>4.7270000000000003</v>
      </c>
      <c r="AN450" s="16">
        <v>5455.29</v>
      </c>
      <c r="AO450" s="16">
        <v>2917.22</v>
      </c>
      <c r="AP450" s="13">
        <v>1.87</v>
      </c>
      <c r="AQ450" s="11">
        <v>4.7270000000000003</v>
      </c>
      <c r="AR450" s="16">
        <v>5455.29</v>
      </c>
      <c r="AS450" s="16">
        <v>2917.22</v>
      </c>
      <c r="AT450" s="13">
        <v>1.87</v>
      </c>
      <c r="AU450" s="11">
        <v>7.5090000000000003</v>
      </c>
      <c r="AV450" s="16">
        <v>8665.91</v>
      </c>
      <c r="AW450" s="12">
        <v>4634.1000000000004</v>
      </c>
      <c r="AX450" s="13">
        <v>1.87</v>
      </c>
      <c r="AY450" s="11">
        <v>43.999000000000002</v>
      </c>
      <c r="AZ450" s="16">
        <v>50777.919999999998</v>
      </c>
      <c r="BA450" s="16">
        <v>27153.52</v>
      </c>
      <c r="BB450" s="13">
        <v>1.87</v>
      </c>
    </row>
    <row r="451" spans="1:54" x14ac:dyDescent="0.25">
      <c r="A451" s="10" t="s">
        <v>141</v>
      </c>
      <c r="B451" s="10" t="s">
        <v>64</v>
      </c>
      <c r="C451" s="11">
        <v>56.223999999999997</v>
      </c>
      <c r="D451" s="16">
        <v>15297.99</v>
      </c>
      <c r="E451" s="16">
        <v>9561.4500000000007</v>
      </c>
      <c r="F451" s="13">
        <v>1.6</v>
      </c>
      <c r="G451" s="11">
        <v>70.281999999999996</v>
      </c>
      <c r="H451" s="16">
        <v>19123.03</v>
      </c>
      <c r="I451" s="16">
        <v>11952.16</v>
      </c>
      <c r="J451" s="13">
        <v>1.6</v>
      </c>
      <c r="K451" s="11">
        <v>84.337999999999994</v>
      </c>
      <c r="L451" s="16">
        <v>22947.53</v>
      </c>
      <c r="M451" s="16">
        <v>14342.52</v>
      </c>
      <c r="N451" s="13">
        <v>1.6</v>
      </c>
      <c r="O451" s="11">
        <v>115.261</v>
      </c>
      <c r="P451" s="16">
        <v>31361.37</v>
      </c>
      <c r="Q451" s="16">
        <v>19601.29</v>
      </c>
      <c r="R451" s="13">
        <v>1.6</v>
      </c>
      <c r="S451" s="11">
        <v>98.394000000000005</v>
      </c>
      <c r="T451" s="16">
        <v>26772.02</v>
      </c>
      <c r="U451" s="16">
        <v>16732.88</v>
      </c>
      <c r="V451" s="13">
        <v>1.6</v>
      </c>
      <c r="W451" s="11">
        <v>112.45</v>
      </c>
      <c r="X451" s="16">
        <v>30596.52</v>
      </c>
      <c r="Y451" s="16">
        <v>19123.25</v>
      </c>
      <c r="Z451" s="13">
        <v>1.6</v>
      </c>
      <c r="AA451" s="11">
        <v>112.45</v>
      </c>
      <c r="AB451" s="16">
        <v>30596.52</v>
      </c>
      <c r="AC451" s="16">
        <v>19123.25</v>
      </c>
      <c r="AD451" s="13">
        <v>1.6</v>
      </c>
      <c r="AE451" s="11">
        <v>98.394000000000005</v>
      </c>
      <c r="AF451" s="16">
        <v>26772.02</v>
      </c>
      <c r="AG451" s="16">
        <v>16732.88</v>
      </c>
      <c r="AH451" s="13">
        <v>1.6</v>
      </c>
      <c r="AI451" s="11">
        <v>112.45</v>
      </c>
      <c r="AJ451" s="16">
        <v>30596.52</v>
      </c>
      <c r="AK451" s="16">
        <v>19123.25</v>
      </c>
      <c r="AL451" s="13">
        <v>1.6</v>
      </c>
      <c r="AM451" s="11">
        <v>150.40100000000001</v>
      </c>
      <c r="AN451" s="16">
        <v>40922.61</v>
      </c>
      <c r="AO451" s="16">
        <v>25577.19</v>
      </c>
      <c r="AP451" s="13">
        <v>1.6</v>
      </c>
      <c r="AQ451" s="11">
        <v>150.40199999999999</v>
      </c>
      <c r="AR451" s="16">
        <v>40922.879999999997</v>
      </c>
      <c r="AS451" s="16">
        <v>25577.360000000001</v>
      </c>
      <c r="AT451" s="13">
        <v>1.6</v>
      </c>
      <c r="AU451" s="11">
        <v>238.95500000000001</v>
      </c>
      <c r="AV451" s="16">
        <v>65017.27</v>
      </c>
      <c r="AW451" s="16">
        <v>40636.69</v>
      </c>
      <c r="AX451" s="13">
        <v>1.6</v>
      </c>
      <c r="AY451" s="18">
        <v>1400.001</v>
      </c>
      <c r="AZ451" s="16">
        <v>380926.28</v>
      </c>
      <c r="BA451" s="16">
        <v>238084.17</v>
      </c>
      <c r="BB451" s="13">
        <v>1.6</v>
      </c>
    </row>
    <row r="452" spans="1:54" x14ac:dyDescent="0.25">
      <c r="A452" s="10" t="s">
        <v>141</v>
      </c>
      <c r="B452" s="10" t="s">
        <v>65</v>
      </c>
      <c r="C452" s="11">
        <v>100.402</v>
      </c>
      <c r="D452" s="16">
        <v>20043.25</v>
      </c>
      <c r="E452" s="16">
        <v>13451.86</v>
      </c>
      <c r="F452" s="13">
        <v>1.49</v>
      </c>
      <c r="G452" s="11">
        <v>125.502</v>
      </c>
      <c r="H452" s="16">
        <v>25053.96</v>
      </c>
      <c r="I452" s="16">
        <v>16814.759999999998</v>
      </c>
      <c r="J452" s="13">
        <v>1.49</v>
      </c>
      <c r="K452" s="11">
        <v>150.602</v>
      </c>
      <c r="L452" s="16">
        <v>30064.68</v>
      </c>
      <c r="M452" s="16">
        <v>20177.66</v>
      </c>
      <c r="N452" s="13">
        <v>1.49</v>
      </c>
      <c r="O452" s="11">
        <v>205.82300000000001</v>
      </c>
      <c r="P452" s="16">
        <v>41088.449999999997</v>
      </c>
      <c r="Q452" s="16">
        <v>27576.17</v>
      </c>
      <c r="R452" s="13">
        <v>1.49</v>
      </c>
      <c r="S452" s="11">
        <v>175.703</v>
      </c>
      <c r="T452" s="16">
        <v>35075.589999999997</v>
      </c>
      <c r="U452" s="16">
        <v>23540.69</v>
      </c>
      <c r="V452" s="13">
        <v>1.49</v>
      </c>
      <c r="W452" s="11">
        <v>200.803</v>
      </c>
      <c r="X452" s="12">
        <v>40086.300000000003</v>
      </c>
      <c r="Y452" s="16">
        <v>26903.59</v>
      </c>
      <c r="Z452" s="13">
        <v>1.49</v>
      </c>
      <c r="AA452" s="11">
        <v>200.803</v>
      </c>
      <c r="AB452" s="12">
        <v>40086.300000000003</v>
      </c>
      <c r="AC452" s="16">
        <v>26903.59</v>
      </c>
      <c r="AD452" s="13">
        <v>1.49</v>
      </c>
      <c r="AE452" s="11">
        <v>175.703</v>
      </c>
      <c r="AF452" s="16">
        <v>35075.589999999997</v>
      </c>
      <c r="AG452" s="16">
        <v>23540.69</v>
      </c>
      <c r="AH452" s="13">
        <v>1.49</v>
      </c>
      <c r="AI452" s="11">
        <v>200.803</v>
      </c>
      <c r="AJ452" s="12">
        <v>40086.300000000003</v>
      </c>
      <c r="AK452" s="16">
        <v>26903.59</v>
      </c>
      <c r="AL452" s="13">
        <v>1.49</v>
      </c>
      <c r="AM452" s="11">
        <v>268.57400000000001</v>
      </c>
      <c r="AN452" s="16">
        <v>53615.43</v>
      </c>
      <c r="AO452" s="16">
        <v>35983.54</v>
      </c>
      <c r="AP452" s="13">
        <v>1.49</v>
      </c>
      <c r="AQ452" s="11">
        <v>268.57400000000001</v>
      </c>
      <c r="AR452" s="16">
        <v>53615.43</v>
      </c>
      <c r="AS452" s="16">
        <v>35983.54</v>
      </c>
      <c r="AT452" s="13">
        <v>1.49</v>
      </c>
      <c r="AU452" s="11">
        <v>426.70600000000002</v>
      </c>
      <c r="AV452" s="16">
        <v>85183.32</v>
      </c>
      <c r="AW452" s="16">
        <v>57170.07</v>
      </c>
      <c r="AX452" s="13">
        <v>1.49</v>
      </c>
      <c r="AY452" s="18">
        <v>2499.998</v>
      </c>
      <c r="AZ452" s="12">
        <v>499074.6</v>
      </c>
      <c r="BA452" s="16">
        <v>334949.75</v>
      </c>
      <c r="BB452" s="13">
        <v>1.49</v>
      </c>
    </row>
    <row r="453" spans="1:54" x14ac:dyDescent="0.25">
      <c r="A453" s="10" t="s">
        <v>141</v>
      </c>
      <c r="B453" s="10" t="s">
        <v>71</v>
      </c>
      <c r="C453" s="11">
        <v>0.36299999999999999</v>
      </c>
      <c r="D453" s="16">
        <v>2002.76</v>
      </c>
      <c r="E453" s="16">
        <v>1335.17</v>
      </c>
      <c r="F453" s="13">
        <v>1.5</v>
      </c>
      <c r="G453" s="11">
        <v>0.45300000000000001</v>
      </c>
      <c r="H453" s="16">
        <v>2499.31</v>
      </c>
      <c r="I453" s="16">
        <v>1666.21</v>
      </c>
      <c r="J453" s="13">
        <v>1.5</v>
      </c>
      <c r="K453" s="11">
        <v>0.54400000000000004</v>
      </c>
      <c r="L453" s="16">
        <v>3001.38</v>
      </c>
      <c r="M453" s="16">
        <v>2000.92</v>
      </c>
      <c r="N453" s="13">
        <v>1.5</v>
      </c>
      <c r="O453" s="11">
        <v>0.45300000000000001</v>
      </c>
      <c r="P453" s="16">
        <v>2499.31</v>
      </c>
      <c r="Q453" s="16">
        <v>1666.21</v>
      </c>
      <c r="R453" s="13">
        <v>1.5</v>
      </c>
      <c r="S453" s="11">
        <v>0.54400000000000004</v>
      </c>
      <c r="T453" s="16">
        <v>3001.38</v>
      </c>
      <c r="U453" s="16">
        <v>2000.92</v>
      </c>
      <c r="V453" s="13">
        <v>1.5</v>
      </c>
      <c r="W453" s="11">
        <v>0.72499999999999998</v>
      </c>
      <c r="X453" s="15">
        <v>4000</v>
      </c>
      <c r="Y453" s="16">
        <v>2666.67</v>
      </c>
      <c r="Z453" s="13">
        <v>1.5</v>
      </c>
      <c r="AA453" s="11">
        <v>0.63400000000000001</v>
      </c>
      <c r="AB453" s="16">
        <v>3497.93</v>
      </c>
      <c r="AC453" s="16">
        <v>2331.9499999999998</v>
      </c>
      <c r="AD453" s="13">
        <v>1.5</v>
      </c>
      <c r="AE453" s="11">
        <v>0.90600000000000003</v>
      </c>
      <c r="AF453" s="16">
        <v>4998.62</v>
      </c>
      <c r="AG453" s="16">
        <v>3332.41</v>
      </c>
      <c r="AH453" s="13">
        <v>1.5</v>
      </c>
      <c r="AI453" s="11">
        <v>1.2689999999999999</v>
      </c>
      <c r="AJ453" s="16">
        <v>7001.38</v>
      </c>
      <c r="AK453" s="16">
        <v>4667.59</v>
      </c>
      <c r="AL453" s="13">
        <v>1.5</v>
      </c>
      <c r="AM453" s="11">
        <v>1.2689999999999999</v>
      </c>
      <c r="AN453" s="16">
        <v>7001.38</v>
      </c>
      <c r="AO453" s="16">
        <v>4667.59</v>
      </c>
      <c r="AP453" s="13">
        <v>1.5</v>
      </c>
      <c r="AQ453" s="11">
        <v>1.0880000000000001</v>
      </c>
      <c r="AR453" s="16">
        <v>6002.76</v>
      </c>
      <c r="AS453" s="16">
        <v>4001.84</v>
      </c>
      <c r="AT453" s="13">
        <v>1.5</v>
      </c>
      <c r="AU453" s="11">
        <v>0.81599999999999995</v>
      </c>
      <c r="AV453" s="16">
        <v>4502.07</v>
      </c>
      <c r="AW453" s="16">
        <v>3001.38</v>
      </c>
      <c r="AX453" s="13">
        <v>1.5</v>
      </c>
      <c r="AY453" s="11">
        <v>9.0640000000000001</v>
      </c>
      <c r="AZ453" s="16">
        <v>50008.28</v>
      </c>
      <c r="BA453" s="16">
        <v>33338.86</v>
      </c>
      <c r="BB453" s="13">
        <v>1.5</v>
      </c>
    </row>
    <row r="454" spans="1:54" x14ac:dyDescent="0.25">
      <c r="A454" s="10" t="s">
        <v>141</v>
      </c>
      <c r="B454" s="10" t="s">
        <v>75</v>
      </c>
      <c r="C454" s="11">
        <v>0.56200000000000006</v>
      </c>
      <c r="D454" s="16">
        <v>15938.88</v>
      </c>
      <c r="E454" s="16">
        <v>11384.92</v>
      </c>
      <c r="F454" s="13">
        <v>1.4</v>
      </c>
      <c r="G454" s="11">
        <v>0.70299999999999996</v>
      </c>
      <c r="H454" s="16">
        <v>19937.78</v>
      </c>
      <c r="I454" s="16">
        <v>14241.28</v>
      </c>
      <c r="J454" s="13">
        <v>1.4</v>
      </c>
      <c r="K454" s="11">
        <v>0.84299999999999997</v>
      </c>
      <c r="L454" s="16">
        <v>23908.32</v>
      </c>
      <c r="M454" s="16">
        <v>17077.38</v>
      </c>
      <c r="N454" s="13">
        <v>1.4</v>
      </c>
      <c r="O454" s="11">
        <v>1.153</v>
      </c>
      <c r="P454" s="16">
        <v>32700.23</v>
      </c>
      <c r="Q454" s="16">
        <v>23357.31</v>
      </c>
      <c r="R454" s="13">
        <v>1.4</v>
      </c>
      <c r="S454" s="11">
        <v>0.98399999999999999</v>
      </c>
      <c r="T454" s="16">
        <v>27907.22</v>
      </c>
      <c r="U454" s="16">
        <v>19933.73</v>
      </c>
      <c r="V454" s="13">
        <v>1.4</v>
      </c>
      <c r="W454" s="11">
        <v>1.125</v>
      </c>
      <c r="X454" s="16">
        <v>31906.13</v>
      </c>
      <c r="Y454" s="16">
        <v>22790.09</v>
      </c>
      <c r="Z454" s="13">
        <v>1.4</v>
      </c>
      <c r="AA454" s="11">
        <v>1.125</v>
      </c>
      <c r="AB454" s="16">
        <v>31906.13</v>
      </c>
      <c r="AC454" s="16">
        <v>22790.09</v>
      </c>
      <c r="AD454" s="13">
        <v>1.4</v>
      </c>
      <c r="AE454" s="11">
        <v>0.98399999999999999</v>
      </c>
      <c r="AF454" s="16">
        <v>27907.22</v>
      </c>
      <c r="AG454" s="16">
        <v>19933.73</v>
      </c>
      <c r="AH454" s="13">
        <v>1.4</v>
      </c>
      <c r="AI454" s="11">
        <v>1.125</v>
      </c>
      <c r="AJ454" s="16">
        <v>31906.13</v>
      </c>
      <c r="AK454" s="16">
        <v>22790.09</v>
      </c>
      <c r="AL454" s="13">
        <v>1.4</v>
      </c>
      <c r="AM454" s="11">
        <v>1.504</v>
      </c>
      <c r="AN454" s="16">
        <v>42654.94</v>
      </c>
      <c r="AO454" s="16">
        <v>30467.82</v>
      </c>
      <c r="AP454" s="13">
        <v>1.4</v>
      </c>
      <c r="AQ454" s="11">
        <v>1.504</v>
      </c>
      <c r="AR454" s="16">
        <v>42654.94</v>
      </c>
      <c r="AS454" s="16">
        <v>30467.82</v>
      </c>
      <c r="AT454" s="13">
        <v>1.4</v>
      </c>
      <c r="AU454" s="11">
        <v>2.3889999999999998</v>
      </c>
      <c r="AV454" s="16">
        <v>67754.429999999993</v>
      </c>
      <c r="AW454" s="16">
        <v>48396.03</v>
      </c>
      <c r="AX454" s="13">
        <v>1.4</v>
      </c>
      <c r="AY454" s="11">
        <v>14.000999999999999</v>
      </c>
      <c r="AZ454" s="16">
        <v>397082.35</v>
      </c>
      <c r="BA454" s="16">
        <v>283630.28999999998</v>
      </c>
      <c r="BB454" s="13">
        <v>1.4</v>
      </c>
    </row>
    <row r="455" spans="1:54" x14ac:dyDescent="0.25">
      <c r="A455" s="10" t="s">
        <v>141</v>
      </c>
      <c r="B455" s="10" t="s">
        <v>77</v>
      </c>
      <c r="C455" s="11">
        <v>20</v>
      </c>
      <c r="D455" s="12">
        <v>21126.799999999999</v>
      </c>
      <c r="E455" s="12">
        <v>13630.2</v>
      </c>
      <c r="F455" s="13">
        <v>1.55</v>
      </c>
      <c r="G455" s="11">
        <v>25</v>
      </c>
      <c r="H455" s="12">
        <v>26408.5</v>
      </c>
      <c r="I455" s="16">
        <v>17037.75</v>
      </c>
      <c r="J455" s="13">
        <v>1.55</v>
      </c>
      <c r="K455" s="11">
        <v>30</v>
      </c>
      <c r="L455" s="12">
        <v>31690.2</v>
      </c>
      <c r="M455" s="12">
        <v>20445.3</v>
      </c>
      <c r="N455" s="13">
        <v>1.55</v>
      </c>
      <c r="O455" s="11">
        <v>35</v>
      </c>
      <c r="P455" s="12">
        <v>36971.9</v>
      </c>
      <c r="Q455" s="16">
        <v>23852.85</v>
      </c>
      <c r="R455" s="13">
        <v>1.55</v>
      </c>
      <c r="S455" s="11">
        <v>45</v>
      </c>
      <c r="T455" s="12">
        <v>47535.3</v>
      </c>
      <c r="U455" s="16">
        <v>30667.95</v>
      </c>
      <c r="V455" s="13">
        <v>1.55</v>
      </c>
      <c r="W455" s="11">
        <v>55</v>
      </c>
      <c r="X455" s="12">
        <v>58098.7</v>
      </c>
      <c r="Y455" s="16">
        <v>37483.050000000003</v>
      </c>
      <c r="Z455" s="13">
        <v>1.55</v>
      </c>
      <c r="AA455" s="11">
        <v>60</v>
      </c>
      <c r="AB455" s="12">
        <v>63380.4</v>
      </c>
      <c r="AC455" s="12">
        <v>40890.6</v>
      </c>
      <c r="AD455" s="13">
        <v>1.55</v>
      </c>
      <c r="AE455" s="11">
        <v>50</v>
      </c>
      <c r="AF455" s="15">
        <v>52817</v>
      </c>
      <c r="AG455" s="12">
        <v>34075.5</v>
      </c>
      <c r="AH455" s="13">
        <v>1.55</v>
      </c>
      <c r="AI455" s="11">
        <v>50</v>
      </c>
      <c r="AJ455" s="15">
        <v>52817</v>
      </c>
      <c r="AK455" s="12">
        <v>34075.5</v>
      </c>
      <c r="AL455" s="13">
        <v>1.55</v>
      </c>
      <c r="AM455" s="11">
        <v>40</v>
      </c>
      <c r="AN455" s="12">
        <v>42253.599999999999</v>
      </c>
      <c r="AO455" s="12">
        <v>27260.400000000001</v>
      </c>
      <c r="AP455" s="13">
        <v>1.55</v>
      </c>
      <c r="AQ455" s="11">
        <v>45</v>
      </c>
      <c r="AR455" s="12">
        <v>47535.3</v>
      </c>
      <c r="AS455" s="16">
        <v>30667.95</v>
      </c>
      <c r="AT455" s="13">
        <v>1.55</v>
      </c>
      <c r="AU455" s="11">
        <v>45</v>
      </c>
      <c r="AV455" s="12">
        <v>47535.3</v>
      </c>
      <c r="AW455" s="16">
        <v>30667.95</v>
      </c>
      <c r="AX455" s="13">
        <v>1.55</v>
      </c>
      <c r="AY455" s="11">
        <v>500</v>
      </c>
      <c r="AZ455" s="15">
        <v>528170</v>
      </c>
      <c r="BA455" s="15">
        <v>340755</v>
      </c>
      <c r="BB455" s="13">
        <v>1.55</v>
      </c>
    </row>
    <row r="456" spans="1:54" x14ac:dyDescent="0.25">
      <c r="A456" s="10" t="s">
        <v>141</v>
      </c>
      <c r="B456" s="10" t="s">
        <v>87</v>
      </c>
      <c r="C456" s="11">
        <v>30</v>
      </c>
      <c r="D456" s="12">
        <v>11983.5</v>
      </c>
      <c r="E456" s="15">
        <v>7989</v>
      </c>
      <c r="F456" s="13">
        <v>1.5</v>
      </c>
      <c r="G456" s="11">
        <v>50</v>
      </c>
      <c r="H456" s="12">
        <v>19972.5</v>
      </c>
      <c r="I456" s="15">
        <v>13315</v>
      </c>
      <c r="J456" s="13">
        <v>1.5</v>
      </c>
      <c r="K456" s="11">
        <v>80</v>
      </c>
      <c r="L456" s="15">
        <v>31956</v>
      </c>
      <c r="M456" s="15">
        <v>21304</v>
      </c>
      <c r="N456" s="13">
        <v>1.5</v>
      </c>
      <c r="O456" s="11">
        <v>110</v>
      </c>
      <c r="P456" s="12">
        <v>43939.5</v>
      </c>
      <c r="Q456" s="15">
        <v>29293</v>
      </c>
      <c r="R456" s="13">
        <v>1.5</v>
      </c>
      <c r="S456" s="11">
        <v>120</v>
      </c>
      <c r="T456" s="15">
        <v>47934</v>
      </c>
      <c r="U456" s="15">
        <v>31956</v>
      </c>
      <c r="V456" s="13">
        <v>1.5</v>
      </c>
      <c r="W456" s="11">
        <v>150</v>
      </c>
      <c r="X456" s="12">
        <v>59917.5</v>
      </c>
      <c r="Y456" s="15">
        <v>39945</v>
      </c>
      <c r="Z456" s="13">
        <v>1.5</v>
      </c>
      <c r="AA456" s="11">
        <v>130</v>
      </c>
      <c r="AB456" s="12">
        <v>51928.5</v>
      </c>
      <c r="AC456" s="15">
        <v>34619</v>
      </c>
      <c r="AD456" s="13">
        <v>1.5</v>
      </c>
      <c r="AE456" s="11">
        <v>80</v>
      </c>
      <c r="AF456" s="15">
        <v>31956</v>
      </c>
      <c r="AG456" s="15">
        <v>21304</v>
      </c>
      <c r="AH456" s="13">
        <v>1.5</v>
      </c>
      <c r="AI456" s="11">
        <v>70</v>
      </c>
      <c r="AJ456" s="12">
        <v>27961.5</v>
      </c>
      <c r="AK456" s="15">
        <v>18641</v>
      </c>
      <c r="AL456" s="13">
        <v>1.5</v>
      </c>
      <c r="AM456" s="11">
        <v>60</v>
      </c>
      <c r="AN456" s="15">
        <v>23967</v>
      </c>
      <c r="AO456" s="15">
        <v>15978</v>
      </c>
      <c r="AP456" s="13">
        <v>1.5</v>
      </c>
      <c r="AQ456" s="11">
        <v>60</v>
      </c>
      <c r="AR456" s="15">
        <v>23967</v>
      </c>
      <c r="AS456" s="15">
        <v>15978</v>
      </c>
      <c r="AT456" s="13">
        <v>1.5</v>
      </c>
      <c r="AU456" s="11">
        <v>60</v>
      </c>
      <c r="AV456" s="15">
        <v>23967</v>
      </c>
      <c r="AW456" s="15">
        <v>15978</v>
      </c>
      <c r="AX456" s="13">
        <v>1.5</v>
      </c>
      <c r="AY456" s="18">
        <v>1000</v>
      </c>
      <c r="AZ456" s="15">
        <v>399450</v>
      </c>
      <c r="BA456" s="15">
        <v>266300</v>
      </c>
      <c r="BB456" s="13">
        <v>1.5</v>
      </c>
    </row>
    <row r="457" spans="1:54" x14ac:dyDescent="0.25">
      <c r="A457" s="10" t="s">
        <v>141</v>
      </c>
      <c r="B457" s="10" t="s">
        <v>89</v>
      </c>
      <c r="C457" s="11">
        <v>60</v>
      </c>
      <c r="D457" s="12">
        <v>19750.8</v>
      </c>
      <c r="E457" s="15">
        <v>13167</v>
      </c>
      <c r="F457" s="13">
        <v>1.5</v>
      </c>
      <c r="G457" s="11">
        <v>100</v>
      </c>
      <c r="H457" s="15">
        <v>32918</v>
      </c>
      <c r="I457" s="15">
        <v>21945</v>
      </c>
      <c r="J457" s="13">
        <v>1.5</v>
      </c>
      <c r="K457" s="11">
        <v>160</v>
      </c>
      <c r="L457" s="12">
        <v>52668.800000000003</v>
      </c>
      <c r="M457" s="15">
        <v>35112</v>
      </c>
      <c r="N457" s="13">
        <v>1.5</v>
      </c>
      <c r="O457" s="11">
        <v>220</v>
      </c>
      <c r="P457" s="12">
        <v>72419.600000000006</v>
      </c>
      <c r="Q457" s="15">
        <v>48279</v>
      </c>
      <c r="R457" s="13">
        <v>1.5</v>
      </c>
      <c r="S457" s="11">
        <v>240</v>
      </c>
      <c r="T457" s="12">
        <v>79003.199999999997</v>
      </c>
      <c r="U457" s="15">
        <v>52668</v>
      </c>
      <c r="V457" s="13">
        <v>1.5</v>
      </c>
      <c r="W457" s="11">
        <v>300</v>
      </c>
      <c r="X457" s="15">
        <v>98754</v>
      </c>
      <c r="Y457" s="15">
        <v>65835</v>
      </c>
      <c r="Z457" s="13">
        <v>1.5</v>
      </c>
      <c r="AA457" s="11">
        <v>260</v>
      </c>
      <c r="AB457" s="12">
        <v>85586.8</v>
      </c>
      <c r="AC457" s="15">
        <v>57057</v>
      </c>
      <c r="AD457" s="13">
        <v>1.5</v>
      </c>
      <c r="AE457" s="11">
        <v>160</v>
      </c>
      <c r="AF457" s="12">
        <v>52668.800000000003</v>
      </c>
      <c r="AG457" s="15">
        <v>35112</v>
      </c>
      <c r="AH457" s="13">
        <v>1.5</v>
      </c>
      <c r="AI457" s="11">
        <v>140</v>
      </c>
      <c r="AJ457" s="12">
        <v>46085.2</v>
      </c>
      <c r="AK457" s="15">
        <v>30723</v>
      </c>
      <c r="AL457" s="13">
        <v>1.5</v>
      </c>
      <c r="AM457" s="11">
        <v>120</v>
      </c>
      <c r="AN457" s="12">
        <v>39501.599999999999</v>
      </c>
      <c r="AO457" s="15">
        <v>26334</v>
      </c>
      <c r="AP457" s="13">
        <v>1.5</v>
      </c>
      <c r="AQ457" s="11">
        <v>120</v>
      </c>
      <c r="AR457" s="12">
        <v>39501.599999999999</v>
      </c>
      <c r="AS457" s="15">
        <v>26334</v>
      </c>
      <c r="AT457" s="13">
        <v>1.5</v>
      </c>
      <c r="AU457" s="11">
        <v>120</v>
      </c>
      <c r="AV457" s="12">
        <v>39501.599999999999</v>
      </c>
      <c r="AW457" s="15">
        <v>26334</v>
      </c>
      <c r="AX457" s="13">
        <v>1.5</v>
      </c>
      <c r="AY457" s="18">
        <v>2000</v>
      </c>
      <c r="AZ457" s="15">
        <v>658360</v>
      </c>
      <c r="BA457" s="15">
        <v>438900</v>
      </c>
      <c r="BB457" s="13">
        <v>1.5</v>
      </c>
    </row>
    <row r="458" spans="1:54" x14ac:dyDescent="0.25">
      <c r="A458" s="10" t="s">
        <v>141</v>
      </c>
      <c r="B458" s="10" t="s">
        <v>93</v>
      </c>
      <c r="C458" s="11">
        <v>60</v>
      </c>
      <c r="D458" s="12">
        <v>17314.8</v>
      </c>
      <c r="E458" s="12">
        <v>11542.8</v>
      </c>
      <c r="F458" s="13">
        <v>1.5</v>
      </c>
      <c r="G458" s="11">
        <v>100</v>
      </c>
      <c r="H458" s="15">
        <v>28858</v>
      </c>
      <c r="I458" s="15">
        <v>19238</v>
      </c>
      <c r="J458" s="13">
        <v>1.5</v>
      </c>
      <c r="K458" s="11">
        <v>160</v>
      </c>
      <c r="L458" s="12">
        <v>46172.800000000003</v>
      </c>
      <c r="M458" s="12">
        <v>30780.799999999999</v>
      </c>
      <c r="N458" s="13">
        <v>1.5</v>
      </c>
      <c r="O458" s="11">
        <v>220</v>
      </c>
      <c r="P458" s="12">
        <v>63487.6</v>
      </c>
      <c r="Q458" s="12">
        <v>42323.6</v>
      </c>
      <c r="R458" s="13">
        <v>1.5</v>
      </c>
      <c r="S458" s="11">
        <v>240</v>
      </c>
      <c r="T458" s="12">
        <v>69259.199999999997</v>
      </c>
      <c r="U458" s="12">
        <v>46171.199999999997</v>
      </c>
      <c r="V458" s="13">
        <v>1.5</v>
      </c>
      <c r="W458" s="11">
        <v>300</v>
      </c>
      <c r="X458" s="15">
        <v>86574</v>
      </c>
      <c r="Y458" s="15">
        <v>57714</v>
      </c>
      <c r="Z458" s="13">
        <v>1.5</v>
      </c>
      <c r="AA458" s="11">
        <v>260</v>
      </c>
      <c r="AB458" s="12">
        <v>75030.8</v>
      </c>
      <c r="AC458" s="12">
        <v>50018.8</v>
      </c>
      <c r="AD458" s="13">
        <v>1.5</v>
      </c>
      <c r="AE458" s="11">
        <v>160</v>
      </c>
      <c r="AF458" s="12">
        <v>46172.800000000003</v>
      </c>
      <c r="AG458" s="12">
        <v>30780.799999999999</v>
      </c>
      <c r="AH458" s="13">
        <v>1.5</v>
      </c>
      <c r="AI458" s="11">
        <v>140</v>
      </c>
      <c r="AJ458" s="12">
        <v>40401.199999999997</v>
      </c>
      <c r="AK458" s="12">
        <v>26933.200000000001</v>
      </c>
      <c r="AL458" s="13">
        <v>1.5</v>
      </c>
      <c r="AM458" s="11">
        <v>120</v>
      </c>
      <c r="AN458" s="12">
        <v>34629.599999999999</v>
      </c>
      <c r="AO458" s="12">
        <v>23085.599999999999</v>
      </c>
      <c r="AP458" s="13">
        <v>1.5</v>
      </c>
      <c r="AQ458" s="11">
        <v>120</v>
      </c>
      <c r="AR458" s="12">
        <v>34629.599999999999</v>
      </c>
      <c r="AS458" s="12">
        <v>23085.599999999999</v>
      </c>
      <c r="AT458" s="13">
        <v>1.5</v>
      </c>
      <c r="AU458" s="11">
        <v>120</v>
      </c>
      <c r="AV458" s="12">
        <v>34629.599999999999</v>
      </c>
      <c r="AW458" s="12">
        <v>23085.599999999999</v>
      </c>
      <c r="AX458" s="13">
        <v>1.5</v>
      </c>
      <c r="AY458" s="18">
        <v>2000</v>
      </c>
      <c r="AZ458" s="15">
        <v>577160</v>
      </c>
      <c r="BA458" s="15">
        <v>384760</v>
      </c>
      <c r="BB458" s="13">
        <v>1.5</v>
      </c>
    </row>
    <row r="459" spans="1:54" x14ac:dyDescent="0.25">
      <c r="A459" s="10" t="s">
        <v>141</v>
      </c>
      <c r="B459" s="10" t="s">
        <v>122</v>
      </c>
      <c r="C459" s="11">
        <v>0.20100000000000001</v>
      </c>
      <c r="D459" s="16">
        <v>1127.6099999999999</v>
      </c>
      <c r="E459" s="17">
        <v>663.3</v>
      </c>
      <c r="F459" s="13">
        <v>1.7</v>
      </c>
      <c r="G459" s="11">
        <v>0.251</v>
      </c>
      <c r="H459" s="16">
        <v>1408.11</v>
      </c>
      <c r="I459" s="17">
        <v>828.3</v>
      </c>
      <c r="J459" s="13">
        <v>1.7</v>
      </c>
      <c r="K459" s="11">
        <v>0.30099999999999999</v>
      </c>
      <c r="L459" s="16">
        <v>1688.61</v>
      </c>
      <c r="M459" s="17">
        <v>993.3</v>
      </c>
      <c r="N459" s="13">
        <v>1.7</v>
      </c>
      <c r="O459" s="11">
        <v>0.41099999999999998</v>
      </c>
      <c r="P459" s="16">
        <v>2305.71</v>
      </c>
      <c r="Q459" s="12">
        <v>1356.3</v>
      </c>
      <c r="R459" s="13">
        <v>1.7</v>
      </c>
      <c r="S459" s="11">
        <v>0.35199999999999998</v>
      </c>
      <c r="T459" s="16">
        <v>1974.72</v>
      </c>
      <c r="U459" s="12">
        <v>1161.5999999999999</v>
      </c>
      <c r="V459" s="13">
        <v>1.7</v>
      </c>
      <c r="W459" s="11">
        <v>0.40100000000000002</v>
      </c>
      <c r="X459" s="16">
        <v>2249.61</v>
      </c>
      <c r="Y459" s="12">
        <v>1323.3</v>
      </c>
      <c r="Z459" s="13">
        <v>1.7</v>
      </c>
      <c r="AA459" s="11">
        <v>0.40100000000000002</v>
      </c>
      <c r="AB459" s="16">
        <v>2249.61</v>
      </c>
      <c r="AC459" s="12">
        <v>1323.3</v>
      </c>
      <c r="AD459" s="13">
        <v>1.7</v>
      </c>
      <c r="AE459" s="11">
        <v>0.35199999999999998</v>
      </c>
      <c r="AF459" s="16">
        <v>1974.72</v>
      </c>
      <c r="AG459" s="12">
        <v>1161.5999999999999</v>
      </c>
      <c r="AH459" s="13">
        <v>1.7</v>
      </c>
      <c r="AI459" s="11">
        <v>0.40100000000000002</v>
      </c>
      <c r="AJ459" s="16">
        <v>2249.61</v>
      </c>
      <c r="AK459" s="12">
        <v>1323.3</v>
      </c>
      <c r="AL459" s="13">
        <v>1.7</v>
      </c>
      <c r="AM459" s="11">
        <v>0.53700000000000003</v>
      </c>
      <c r="AN459" s="16">
        <v>3012.57</v>
      </c>
      <c r="AO459" s="12">
        <v>1772.1</v>
      </c>
      <c r="AP459" s="13">
        <v>1.7</v>
      </c>
      <c r="AQ459" s="11">
        <v>0.53700000000000003</v>
      </c>
      <c r="AR459" s="16">
        <v>3012.57</v>
      </c>
      <c r="AS459" s="12">
        <v>1772.1</v>
      </c>
      <c r="AT459" s="13">
        <v>1.7</v>
      </c>
      <c r="AU459" s="11">
        <v>0.85499999999999998</v>
      </c>
      <c r="AV459" s="16">
        <v>4796.55</v>
      </c>
      <c r="AW459" s="12">
        <v>2821.5</v>
      </c>
      <c r="AX459" s="13">
        <v>1.7</v>
      </c>
      <c r="AY459" s="11">
        <v>5</v>
      </c>
      <c r="AZ459" s="15">
        <v>28050</v>
      </c>
      <c r="BA459" s="15">
        <v>16500</v>
      </c>
      <c r="BB459" s="13">
        <v>1.7</v>
      </c>
    </row>
    <row r="460" spans="1:54" x14ac:dyDescent="0.25">
      <c r="A460" s="10" t="s">
        <v>141</v>
      </c>
      <c r="B460" s="10" t="s">
        <v>123</v>
      </c>
      <c r="C460" s="11">
        <v>1.6060000000000001</v>
      </c>
      <c r="D460" s="16">
        <v>3885.88</v>
      </c>
      <c r="E460" s="16">
        <v>2507.0100000000002</v>
      </c>
      <c r="F460" s="13">
        <v>1.55</v>
      </c>
      <c r="G460" s="11">
        <v>2.008</v>
      </c>
      <c r="H460" s="16">
        <v>4858.5600000000004</v>
      </c>
      <c r="I460" s="16">
        <v>3134.55</v>
      </c>
      <c r="J460" s="13">
        <v>1.55</v>
      </c>
      <c r="K460" s="11">
        <v>2.41</v>
      </c>
      <c r="L460" s="16">
        <v>5831.24</v>
      </c>
      <c r="M460" s="16">
        <v>3762.08</v>
      </c>
      <c r="N460" s="13">
        <v>1.55</v>
      </c>
      <c r="O460" s="11">
        <v>3.2930000000000001</v>
      </c>
      <c r="P460" s="16">
        <v>7967.74</v>
      </c>
      <c r="Q460" s="16">
        <v>5140.47</v>
      </c>
      <c r="R460" s="13">
        <v>1.55</v>
      </c>
      <c r="S460" s="11">
        <v>2.8109999999999999</v>
      </c>
      <c r="T460" s="12">
        <v>6801.5</v>
      </c>
      <c r="U460" s="16">
        <v>4388.0600000000004</v>
      </c>
      <c r="V460" s="13">
        <v>1.55</v>
      </c>
      <c r="W460" s="11">
        <v>3.2130000000000001</v>
      </c>
      <c r="X460" s="16">
        <v>7774.17</v>
      </c>
      <c r="Y460" s="16">
        <v>5015.59</v>
      </c>
      <c r="Z460" s="13">
        <v>1.55</v>
      </c>
      <c r="AA460" s="11">
        <v>3.2130000000000001</v>
      </c>
      <c r="AB460" s="16">
        <v>7774.17</v>
      </c>
      <c r="AC460" s="16">
        <v>5015.59</v>
      </c>
      <c r="AD460" s="13">
        <v>1.55</v>
      </c>
      <c r="AE460" s="11">
        <v>2.8109999999999999</v>
      </c>
      <c r="AF460" s="12">
        <v>6801.5</v>
      </c>
      <c r="AG460" s="16">
        <v>4388.0600000000004</v>
      </c>
      <c r="AH460" s="13">
        <v>1.55</v>
      </c>
      <c r="AI460" s="11">
        <v>3.2130000000000001</v>
      </c>
      <c r="AJ460" s="16">
        <v>7774.17</v>
      </c>
      <c r="AK460" s="16">
        <v>5015.59</v>
      </c>
      <c r="AL460" s="13">
        <v>1.55</v>
      </c>
      <c r="AM460" s="11">
        <v>4.2969999999999997</v>
      </c>
      <c r="AN460" s="16">
        <v>10397.02</v>
      </c>
      <c r="AO460" s="16">
        <v>6707.75</v>
      </c>
      <c r="AP460" s="13">
        <v>1.55</v>
      </c>
      <c r="AQ460" s="11">
        <v>4.2969999999999997</v>
      </c>
      <c r="AR460" s="16">
        <v>10397.02</v>
      </c>
      <c r="AS460" s="16">
        <v>6707.75</v>
      </c>
      <c r="AT460" s="13">
        <v>1.55</v>
      </c>
      <c r="AU460" s="11">
        <v>6.827</v>
      </c>
      <c r="AV460" s="16">
        <v>16518.61</v>
      </c>
      <c r="AW460" s="16">
        <v>10657.15</v>
      </c>
      <c r="AX460" s="13">
        <v>1.55</v>
      </c>
      <c r="AY460" s="11">
        <v>39.999000000000002</v>
      </c>
      <c r="AZ460" s="16">
        <v>96781.58</v>
      </c>
      <c r="BA460" s="16">
        <v>62439.65</v>
      </c>
      <c r="BB460" s="13">
        <v>1.55</v>
      </c>
    </row>
    <row r="461" spans="1:54" x14ac:dyDescent="0.25">
      <c r="A461" s="10" t="s">
        <v>141</v>
      </c>
      <c r="B461" s="10" t="s">
        <v>124</v>
      </c>
      <c r="C461" s="11">
        <v>3.0920000000000001</v>
      </c>
      <c r="D461" s="16">
        <v>9109.74</v>
      </c>
      <c r="E461" s="16">
        <v>5693.58</v>
      </c>
      <c r="F461" s="13">
        <v>1.6</v>
      </c>
      <c r="G461" s="11">
        <v>3.8660000000000001</v>
      </c>
      <c r="H461" s="16">
        <v>11390.13</v>
      </c>
      <c r="I461" s="16">
        <v>7118.81</v>
      </c>
      <c r="J461" s="13">
        <v>1.6</v>
      </c>
      <c r="K461" s="11">
        <v>4.6379999999999999</v>
      </c>
      <c r="L461" s="16">
        <v>13664.61</v>
      </c>
      <c r="M461" s="16">
        <v>8540.3700000000008</v>
      </c>
      <c r="N461" s="13">
        <v>1.6</v>
      </c>
      <c r="O461" s="11">
        <v>6.3390000000000004</v>
      </c>
      <c r="P461" s="16">
        <v>18676.150000000001</v>
      </c>
      <c r="Q461" s="16">
        <v>11672.57</v>
      </c>
      <c r="R461" s="13">
        <v>1.6</v>
      </c>
      <c r="S461" s="11">
        <v>5.4119999999999999</v>
      </c>
      <c r="T461" s="15">
        <v>15945</v>
      </c>
      <c r="U461" s="12">
        <v>9965.6</v>
      </c>
      <c r="V461" s="13">
        <v>1.6</v>
      </c>
      <c r="W461" s="11">
        <v>6.1849999999999996</v>
      </c>
      <c r="X461" s="16">
        <v>18222.43</v>
      </c>
      <c r="Y461" s="15">
        <v>11389</v>
      </c>
      <c r="Z461" s="13">
        <v>1.6</v>
      </c>
      <c r="AA461" s="11">
        <v>6.1849999999999996</v>
      </c>
      <c r="AB461" s="16">
        <v>18222.43</v>
      </c>
      <c r="AC461" s="15">
        <v>11389</v>
      </c>
      <c r="AD461" s="13">
        <v>1.6</v>
      </c>
      <c r="AE461" s="11">
        <v>5.4119999999999999</v>
      </c>
      <c r="AF461" s="15">
        <v>15945</v>
      </c>
      <c r="AG461" s="12">
        <v>9965.6</v>
      </c>
      <c r="AH461" s="13">
        <v>1.6</v>
      </c>
      <c r="AI461" s="11">
        <v>6.1849999999999996</v>
      </c>
      <c r="AJ461" s="16">
        <v>18222.43</v>
      </c>
      <c r="AK461" s="15">
        <v>11389</v>
      </c>
      <c r="AL461" s="13">
        <v>1.6</v>
      </c>
      <c r="AM461" s="11">
        <v>8.2720000000000002</v>
      </c>
      <c r="AN461" s="16">
        <v>24371.21</v>
      </c>
      <c r="AO461" s="16">
        <v>15231.98</v>
      </c>
      <c r="AP461" s="13">
        <v>1.6</v>
      </c>
      <c r="AQ461" s="11">
        <v>8.2720000000000002</v>
      </c>
      <c r="AR461" s="16">
        <v>24371.21</v>
      </c>
      <c r="AS461" s="16">
        <v>15231.98</v>
      </c>
      <c r="AT461" s="13">
        <v>1.6</v>
      </c>
      <c r="AU461" s="11">
        <v>13.143000000000001</v>
      </c>
      <c r="AV461" s="12">
        <v>38722.300000000003</v>
      </c>
      <c r="AW461" s="16">
        <v>24201.39</v>
      </c>
      <c r="AX461" s="13">
        <v>1.6</v>
      </c>
      <c r="AY461" s="11">
        <v>77.001000000000005</v>
      </c>
      <c r="AZ461" s="16">
        <v>226862.64</v>
      </c>
      <c r="BA461" s="16">
        <v>141788.88</v>
      </c>
      <c r="BB461" s="13">
        <v>1.6</v>
      </c>
    </row>
    <row r="462" spans="1:54" x14ac:dyDescent="0.25">
      <c r="A462" s="10" t="s">
        <v>141</v>
      </c>
      <c r="B462" s="10" t="s">
        <v>28</v>
      </c>
      <c r="C462" s="11">
        <v>8.7949999999999999</v>
      </c>
      <c r="D462" s="16">
        <v>11956.98</v>
      </c>
      <c r="E462" s="16">
        <v>9058.23</v>
      </c>
      <c r="F462" s="13">
        <v>1.32</v>
      </c>
      <c r="G462" s="11">
        <v>10.994</v>
      </c>
      <c r="H462" s="16">
        <v>14946.56</v>
      </c>
      <c r="I462" s="16">
        <v>11323.05</v>
      </c>
      <c r="J462" s="13">
        <v>1.32</v>
      </c>
      <c r="K462" s="11">
        <v>13.193</v>
      </c>
      <c r="L462" s="16">
        <v>17936.150000000001</v>
      </c>
      <c r="M462" s="16">
        <v>13587.87</v>
      </c>
      <c r="N462" s="13">
        <v>1.32</v>
      </c>
      <c r="O462" s="11">
        <v>18.03</v>
      </c>
      <c r="P462" s="16">
        <v>24512.15</v>
      </c>
      <c r="Q462" s="16">
        <v>18569.64</v>
      </c>
      <c r="R462" s="13">
        <v>1.32</v>
      </c>
      <c r="S462" s="11">
        <v>15.391999999999999</v>
      </c>
      <c r="T462" s="16">
        <v>20925.73</v>
      </c>
      <c r="U462" s="16">
        <v>15852.68</v>
      </c>
      <c r="V462" s="13">
        <v>1.32</v>
      </c>
      <c r="W462" s="11">
        <v>17.59</v>
      </c>
      <c r="X462" s="16">
        <v>23913.96</v>
      </c>
      <c r="Y462" s="16">
        <v>18116.47</v>
      </c>
      <c r="Z462" s="13">
        <v>1.32</v>
      </c>
      <c r="AA462" s="11">
        <v>17.59</v>
      </c>
      <c r="AB462" s="16">
        <v>23913.96</v>
      </c>
      <c r="AC462" s="16">
        <v>18116.47</v>
      </c>
      <c r="AD462" s="13">
        <v>1.32</v>
      </c>
      <c r="AE462" s="11">
        <v>15.391999999999999</v>
      </c>
      <c r="AF462" s="16">
        <v>20925.73</v>
      </c>
      <c r="AG462" s="16">
        <v>15852.68</v>
      </c>
      <c r="AH462" s="13">
        <v>1.32</v>
      </c>
      <c r="AI462" s="11">
        <v>17.59</v>
      </c>
      <c r="AJ462" s="16">
        <v>23913.96</v>
      </c>
      <c r="AK462" s="16">
        <v>18116.47</v>
      </c>
      <c r="AL462" s="13">
        <v>1.32</v>
      </c>
      <c r="AM462" s="11">
        <v>23.527000000000001</v>
      </c>
      <c r="AN462" s="16">
        <v>31985.43</v>
      </c>
      <c r="AO462" s="16">
        <v>24231.16</v>
      </c>
      <c r="AP462" s="13">
        <v>1.32</v>
      </c>
      <c r="AQ462" s="11">
        <v>23.527000000000001</v>
      </c>
      <c r="AR462" s="16">
        <v>31985.43</v>
      </c>
      <c r="AS462" s="16">
        <v>24231.16</v>
      </c>
      <c r="AT462" s="13">
        <v>1.32</v>
      </c>
      <c r="AU462" s="11">
        <v>37.378</v>
      </c>
      <c r="AV462" s="16">
        <v>50816.14</v>
      </c>
      <c r="AW462" s="16">
        <v>38496.720000000001</v>
      </c>
      <c r="AX462" s="13">
        <v>1.32</v>
      </c>
      <c r="AY462" s="11">
        <v>218.99799999999999</v>
      </c>
      <c r="AZ462" s="16">
        <v>297732.18</v>
      </c>
      <c r="BA462" s="12">
        <v>225552.6</v>
      </c>
      <c r="BB462" s="13">
        <v>1.32</v>
      </c>
    </row>
    <row r="463" spans="1:54" x14ac:dyDescent="0.25">
      <c r="A463" s="10" t="s">
        <v>141</v>
      </c>
      <c r="B463" s="10" t="s">
        <v>125</v>
      </c>
      <c r="C463" s="11">
        <v>0.36099999999999999</v>
      </c>
      <c r="D463" s="16">
        <v>6823.66</v>
      </c>
      <c r="E463" s="16">
        <v>5054.5600000000004</v>
      </c>
      <c r="F463" s="13">
        <v>1.35</v>
      </c>
      <c r="G463" s="11">
        <v>0.45200000000000001</v>
      </c>
      <c r="H463" s="16">
        <v>8543.75</v>
      </c>
      <c r="I463" s="16">
        <v>6328.71</v>
      </c>
      <c r="J463" s="13">
        <v>1.35</v>
      </c>
      <c r="K463" s="11">
        <v>0.54200000000000004</v>
      </c>
      <c r="L463" s="16">
        <v>10244.94</v>
      </c>
      <c r="M463" s="16">
        <v>7588.85</v>
      </c>
      <c r="N463" s="13">
        <v>1.35</v>
      </c>
      <c r="O463" s="11">
        <v>0.74099999999999999</v>
      </c>
      <c r="P463" s="16">
        <v>14006.46</v>
      </c>
      <c r="Q463" s="16">
        <v>10375.16</v>
      </c>
      <c r="R463" s="13">
        <v>1.35</v>
      </c>
      <c r="S463" s="11">
        <v>0.63300000000000001</v>
      </c>
      <c r="T463" s="16">
        <v>11965.04</v>
      </c>
      <c r="U463" s="16">
        <v>8862.99</v>
      </c>
      <c r="V463" s="13">
        <v>1.35</v>
      </c>
      <c r="W463" s="11">
        <v>0.72299999999999998</v>
      </c>
      <c r="X463" s="16">
        <v>13666.23</v>
      </c>
      <c r="Y463" s="16">
        <v>10123.129999999999</v>
      </c>
      <c r="Z463" s="13">
        <v>1.35</v>
      </c>
      <c r="AA463" s="11">
        <v>0.72299999999999998</v>
      </c>
      <c r="AB463" s="16">
        <v>13666.23</v>
      </c>
      <c r="AC463" s="16">
        <v>10123.129999999999</v>
      </c>
      <c r="AD463" s="13">
        <v>1.35</v>
      </c>
      <c r="AE463" s="11">
        <v>0.63300000000000001</v>
      </c>
      <c r="AF463" s="16">
        <v>11965.04</v>
      </c>
      <c r="AG463" s="16">
        <v>8862.99</v>
      </c>
      <c r="AH463" s="13">
        <v>1.35</v>
      </c>
      <c r="AI463" s="11">
        <v>0.72299999999999998</v>
      </c>
      <c r="AJ463" s="16">
        <v>13666.23</v>
      </c>
      <c r="AK463" s="16">
        <v>10123.129999999999</v>
      </c>
      <c r="AL463" s="13">
        <v>1.35</v>
      </c>
      <c r="AM463" s="11">
        <v>0.96699999999999997</v>
      </c>
      <c r="AN463" s="16">
        <v>18278.34</v>
      </c>
      <c r="AO463" s="16">
        <v>13539.51</v>
      </c>
      <c r="AP463" s="13">
        <v>1.35</v>
      </c>
      <c r="AQ463" s="11">
        <v>0.96699999999999997</v>
      </c>
      <c r="AR463" s="16">
        <v>18278.34</v>
      </c>
      <c r="AS463" s="16">
        <v>13539.51</v>
      </c>
      <c r="AT463" s="13">
        <v>1.35</v>
      </c>
      <c r="AU463" s="11">
        <v>1.536</v>
      </c>
      <c r="AV463" s="16">
        <v>29033.64</v>
      </c>
      <c r="AW463" s="12">
        <v>21506.400000000001</v>
      </c>
      <c r="AX463" s="13">
        <v>1.35</v>
      </c>
      <c r="AY463" s="11">
        <v>9.0009999999999994</v>
      </c>
      <c r="AZ463" s="12">
        <v>170137.9</v>
      </c>
      <c r="BA463" s="16">
        <v>126028.07</v>
      </c>
      <c r="BB463" s="13">
        <v>1.35</v>
      </c>
    </row>
    <row r="464" spans="1:54" x14ac:dyDescent="0.25">
      <c r="A464" s="10" t="s">
        <v>141</v>
      </c>
      <c r="B464" s="10" t="s">
        <v>164</v>
      </c>
      <c r="C464" s="11">
        <v>0.36099999999999999</v>
      </c>
      <c r="D464" s="16">
        <v>3411.81</v>
      </c>
      <c r="E464" s="16">
        <v>2527.2800000000002</v>
      </c>
      <c r="F464" s="13">
        <v>1.35</v>
      </c>
      <c r="G464" s="11">
        <v>0.45200000000000001</v>
      </c>
      <c r="H464" s="16">
        <v>4271.8500000000004</v>
      </c>
      <c r="I464" s="16">
        <v>3164.35</v>
      </c>
      <c r="J464" s="13">
        <v>1.35</v>
      </c>
      <c r="K464" s="11">
        <v>0.54200000000000004</v>
      </c>
      <c r="L464" s="16">
        <v>5122.4399999999996</v>
      </c>
      <c r="M464" s="16">
        <v>3794.42</v>
      </c>
      <c r="N464" s="13">
        <v>1.35</v>
      </c>
      <c r="O464" s="11">
        <v>0.74099999999999999</v>
      </c>
      <c r="P464" s="16">
        <v>7003.19</v>
      </c>
      <c r="Q464" s="16">
        <v>5187.58</v>
      </c>
      <c r="R464" s="13">
        <v>1.35</v>
      </c>
      <c r="S464" s="11">
        <v>0.63300000000000001</v>
      </c>
      <c r="T464" s="16">
        <v>5982.48</v>
      </c>
      <c r="U464" s="16">
        <v>4431.49</v>
      </c>
      <c r="V464" s="13">
        <v>1.35</v>
      </c>
      <c r="W464" s="11">
        <v>0.72299999999999998</v>
      </c>
      <c r="X464" s="16">
        <v>6833.07</v>
      </c>
      <c r="Y464" s="16">
        <v>5061.5600000000004</v>
      </c>
      <c r="Z464" s="13">
        <v>1.35</v>
      </c>
      <c r="AA464" s="11">
        <v>0.72299999999999998</v>
      </c>
      <c r="AB464" s="16">
        <v>6833.07</v>
      </c>
      <c r="AC464" s="16">
        <v>5061.5600000000004</v>
      </c>
      <c r="AD464" s="13">
        <v>1.35</v>
      </c>
      <c r="AE464" s="11">
        <v>0.63300000000000001</v>
      </c>
      <c r="AF464" s="16">
        <v>5982.48</v>
      </c>
      <c r="AG464" s="16">
        <v>4431.49</v>
      </c>
      <c r="AH464" s="13">
        <v>1.35</v>
      </c>
      <c r="AI464" s="11">
        <v>0.72299999999999998</v>
      </c>
      <c r="AJ464" s="16">
        <v>6833.07</v>
      </c>
      <c r="AK464" s="16">
        <v>5061.5600000000004</v>
      </c>
      <c r="AL464" s="13">
        <v>1.35</v>
      </c>
      <c r="AM464" s="11">
        <v>0.96699999999999997</v>
      </c>
      <c r="AN464" s="16">
        <v>9139.1200000000008</v>
      </c>
      <c r="AO464" s="16">
        <v>6769.75</v>
      </c>
      <c r="AP464" s="13">
        <v>1.35</v>
      </c>
      <c r="AQ464" s="11">
        <v>0.96699999999999997</v>
      </c>
      <c r="AR464" s="16">
        <v>9139.1200000000008</v>
      </c>
      <c r="AS464" s="16">
        <v>6769.75</v>
      </c>
      <c r="AT464" s="13">
        <v>1.35</v>
      </c>
      <c r="AU464" s="11">
        <v>1.536</v>
      </c>
      <c r="AV464" s="16">
        <v>14516.74</v>
      </c>
      <c r="AW464" s="12">
        <v>10753.2</v>
      </c>
      <c r="AX464" s="13">
        <v>1.35</v>
      </c>
      <c r="AY464" s="11">
        <v>9.0009999999999994</v>
      </c>
      <c r="AZ464" s="16">
        <v>85068.44</v>
      </c>
      <c r="BA464" s="16">
        <v>63013.99</v>
      </c>
      <c r="BB464" s="13">
        <v>1.35</v>
      </c>
    </row>
    <row r="465" spans="1:54" x14ac:dyDescent="0.25">
      <c r="A465" s="10" t="s">
        <v>141</v>
      </c>
      <c r="B465" s="10" t="s">
        <v>126</v>
      </c>
      <c r="C465" s="11">
        <v>0.80300000000000005</v>
      </c>
      <c r="D465" s="16">
        <v>44162.79</v>
      </c>
      <c r="E465" s="16">
        <v>31544.85</v>
      </c>
      <c r="F465" s="13">
        <v>1.4</v>
      </c>
      <c r="G465" s="11">
        <v>1.004</v>
      </c>
      <c r="H465" s="16">
        <v>55217.24</v>
      </c>
      <c r="I465" s="16">
        <v>39440.89</v>
      </c>
      <c r="J465" s="13">
        <v>1.4</v>
      </c>
      <c r="K465" s="11">
        <v>1.2050000000000001</v>
      </c>
      <c r="L465" s="16">
        <v>66271.69</v>
      </c>
      <c r="M465" s="16">
        <v>47336.92</v>
      </c>
      <c r="N465" s="13">
        <v>1.4</v>
      </c>
      <c r="O465" s="11">
        <v>1.647</v>
      </c>
      <c r="P465" s="16">
        <v>90580.47</v>
      </c>
      <c r="Q465" s="16">
        <v>64700.34</v>
      </c>
      <c r="R465" s="13">
        <v>1.4</v>
      </c>
      <c r="S465" s="11">
        <v>1.405</v>
      </c>
      <c r="T465" s="16">
        <v>77271.14</v>
      </c>
      <c r="U465" s="16">
        <v>55193.67</v>
      </c>
      <c r="V465" s="13">
        <v>1.4</v>
      </c>
      <c r="W465" s="11">
        <v>1.6060000000000001</v>
      </c>
      <c r="X465" s="16">
        <v>88325.58</v>
      </c>
      <c r="Y465" s="12">
        <v>63089.7</v>
      </c>
      <c r="Z465" s="13">
        <v>1.4</v>
      </c>
      <c r="AA465" s="11">
        <v>1.6060000000000001</v>
      </c>
      <c r="AB465" s="16">
        <v>88325.58</v>
      </c>
      <c r="AC465" s="12">
        <v>63089.7</v>
      </c>
      <c r="AD465" s="13">
        <v>1.4</v>
      </c>
      <c r="AE465" s="11">
        <v>1.405</v>
      </c>
      <c r="AF465" s="16">
        <v>77271.14</v>
      </c>
      <c r="AG465" s="16">
        <v>55193.67</v>
      </c>
      <c r="AH465" s="13">
        <v>1.4</v>
      </c>
      <c r="AI465" s="11">
        <v>1.6060000000000001</v>
      </c>
      <c r="AJ465" s="16">
        <v>88325.58</v>
      </c>
      <c r="AK465" s="12">
        <v>63089.7</v>
      </c>
      <c r="AL465" s="13">
        <v>1.4</v>
      </c>
      <c r="AM465" s="11">
        <v>2.149</v>
      </c>
      <c r="AN465" s="16">
        <v>118189.09</v>
      </c>
      <c r="AO465" s="16">
        <v>84420.78</v>
      </c>
      <c r="AP465" s="13">
        <v>1.4</v>
      </c>
      <c r="AQ465" s="11">
        <v>2.149</v>
      </c>
      <c r="AR465" s="16">
        <v>118189.09</v>
      </c>
      <c r="AS465" s="16">
        <v>84420.78</v>
      </c>
      <c r="AT465" s="13">
        <v>1.4</v>
      </c>
      <c r="AU465" s="11">
        <v>3.4140000000000001</v>
      </c>
      <c r="AV465" s="16">
        <v>187760.61</v>
      </c>
      <c r="AW465" s="16">
        <v>134114.72</v>
      </c>
      <c r="AX465" s="13">
        <v>1.4</v>
      </c>
      <c r="AY465" s="11">
        <v>19.998999999999999</v>
      </c>
      <c r="AZ465" s="15">
        <v>1099890</v>
      </c>
      <c r="BA465" s="16">
        <v>785635.72</v>
      </c>
      <c r="BB465" s="13">
        <v>1.4</v>
      </c>
    </row>
    <row r="466" spans="1:54" x14ac:dyDescent="0.25">
      <c r="A466" s="10" t="s">
        <v>141</v>
      </c>
      <c r="B466" s="10" t="s">
        <v>29</v>
      </c>
      <c r="C466" s="11">
        <v>11.343</v>
      </c>
      <c r="D466" s="16">
        <v>79618.67</v>
      </c>
      <c r="E466" s="12">
        <v>54533.4</v>
      </c>
      <c r="F466" s="13">
        <v>1.46</v>
      </c>
      <c r="G466" s="11">
        <v>17.013999999999999</v>
      </c>
      <c r="H466" s="12">
        <v>119424.5</v>
      </c>
      <c r="I466" s="12">
        <v>81797.7</v>
      </c>
      <c r="J466" s="13">
        <v>1.46</v>
      </c>
      <c r="K466" s="11">
        <v>19.850000000000001</v>
      </c>
      <c r="L466" s="16">
        <v>139330.92000000001</v>
      </c>
      <c r="M466" s="16">
        <v>95432.25</v>
      </c>
      <c r="N466" s="13">
        <v>1.46</v>
      </c>
      <c r="O466" s="11">
        <v>22.969000000000001</v>
      </c>
      <c r="P466" s="16">
        <v>161223.78</v>
      </c>
      <c r="Q466" s="16">
        <v>110427.37</v>
      </c>
      <c r="R466" s="13">
        <v>1.46</v>
      </c>
      <c r="S466" s="11">
        <v>22.969000000000001</v>
      </c>
      <c r="T466" s="16">
        <v>161223.78</v>
      </c>
      <c r="U466" s="16">
        <v>110427.37</v>
      </c>
      <c r="V466" s="13">
        <v>1.46</v>
      </c>
      <c r="W466" s="11">
        <v>22.969000000000001</v>
      </c>
      <c r="X466" s="16">
        <v>161223.78</v>
      </c>
      <c r="Y466" s="16">
        <v>110427.37</v>
      </c>
      <c r="Z466" s="13">
        <v>1.46</v>
      </c>
      <c r="AA466" s="11">
        <v>24.954000000000001</v>
      </c>
      <c r="AB466" s="16">
        <v>175156.87</v>
      </c>
      <c r="AC466" s="12">
        <v>119970.6</v>
      </c>
      <c r="AD466" s="13">
        <v>1.46</v>
      </c>
      <c r="AE466" s="11">
        <v>25.521000000000001</v>
      </c>
      <c r="AF466" s="16">
        <v>179136.75</v>
      </c>
      <c r="AG466" s="16">
        <v>122696.55</v>
      </c>
      <c r="AH466" s="13">
        <v>1.46</v>
      </c>
      <c r="AI466" s="11">
        <v>28.356999999999999</v>
      </c>
      <c r="AJ466" s="16">
        <v>199043.17</v>
      </c>
      <c r="AK466" s="12">
        <v>136331.1</v>
      </c>
      <c r="AL466" s="13">
        <v>1.46</v>
      </c>
      <c r="AM466" s="11">
        <v>27.506</v>
      </c>
      <c r="AN466" s="16">
        <v>193069.84</v>
      </c>
      <c r="AO466" s="16">
        <v>132239.76999999999</v>
      </c>
      <c r="AP466" s="13">
        <v>1.46</v>
      </c>
      <c r="AQ466" s="11">
        <v>28.356999999999999</v>
      </c>
      <c r="AR466" s="16">
        <v>199043.17</v>
      </c>
      <c r="AS466" s="12">
        <v>136331.1</v>
      </c>
      <c r="AT466" s="13">
        <v>1.46</v>
      </c>
      <c r="AU466" s="11">
        <v>31.190999999999999</v>
      </c>
      <c r="AV466" s="16">
        <v>218935.56</v>
      </c>
      <c r="AW466" s="16">
        <v>149956.03</v>
      </c>
      <c r="AX466" s="13">
        <v>1.46</v>
      </c>
      <c r="AY466" s="11">
        <v>283</v>
      </c>
      <c r="AZ466" s="16">
        <v>1986430.79</v>
      </c>
      <c r="BA466" s="16">
        <v>1360570.61</v>
      </c>
      <c r="BB466" s="13">
        <v>1.46</v>
      </c>
    </row>
    <row r="467" spans="1:54" x14ac:dyDescent="0.25">
      <c r="A467" s="10" t="s">
        <v>141</v>
      </c>
      <c r="B467" s="10" t="s">
        <v>129</v>
      </c>
      <c r="C467" s="11">
        <v>9.3379999999999992</v>
      </c>
      <c r="D467" s="16">
        <v>139077.09</v>
      </c>
      <c r="E467" s="16">
        <v>86923.15</v>
      </c>
      <c r="F467" s="13">
        <v>1.6</v>
      </c>
      <c r="G467" s="11">
        <v>14.007999999999999</v>
      </c>
      <c r="H467" s="16">
        <v>208630.53</v>
      </c>
      <c r="I467" s="16">
        <v>130394.03</v>
      </c>
      <c r="J467" s="13">
        <v>1.6</v>
      </c>
      <c r="K467" s="11">
        <v>16.343</v>
      </c>
      <c r="L467" s="16">
        <v>243407.25</v>
      </c>
      <c r="M467" s="16">
        <v>152129.47</v>
      </c>
      <c r="N467" s="13">
        <v>1.6</v>
      </c>
      <c r="O467" s="11">
        <v>18.911000000000001</v>
      </c>
      <c r="P467" s="16">
        <v>281654.19</v>
      </c>
      <c r="Q467" s="12">
        <v>176033.8</v>
      </c>
      <c r="R467" s="13">
        <v>1.6</v>
      </c>
      <c r="S467" s="11">
        <v>18.911000000000001</v>
      </c>
      <c r="T467" s="16">
        <v>281654.19</v>
      </c>
      <c r="U467" s="12">
        <v>176033.8</v>
      </c>
      <c r="V467" s="13">
        <v>1.6</v>
      </c>
      <c r="W467" s="11">
        <v>18.911000000000001</v>
      </c>
      <c r="X467" s="16">
        <v>281654.19</v>
      </c>
      <c r="Y467" s="12">
        <v>176033.8</v>
      </c>
      <c r="Z467" s="13">
        <v>1.6</v>
      </c>
      <c r="AA467" s="11">
        <v>20.545999999999999</v>
      </c>
      <c r="AB467" s="16">
        <v>306005.34000000003</v>
      </c>
      <c r="AC467" s="16">
        <v>191253.26</v>
      </c>
      <c r="AD467" s="13">
        <v>1.6</v>
      </c>
      <c r="AE467" s="11">
        <v>21.012</v>
      </c>
      <c r="AF467" s="16">
        <v>312945.78999999998</v>
      </c>
      <c r="AG467" s="16">
        <v>195591.04000000001</v>
      </c>
      <c r="AH467" s="13">
        <v>1.6</v>
      </c>
      <c r="AI467" s="11">
        <v>23.346</v>
      </c>
      <c r="AJ467" s="16">
        <v>347707.62</v>
      </c>
      <c r="AK467" s="16">
        <v>217317.17</v>
      </c>
      <c r="AL467" s="13">
        <v>1.6</v>
      </c>
      <c r="AM467" s="11">
        <v>22.646000000000001</v>
      </c>
      <c r="AN467" s="16">
        <v>337282.05</v>
      </c>
      <c r="AO467" s="12">
        <v>210801.2</v>
      </c>
      <c r="AP467" s="13">
        <v>1.6</v>
      </c>
      <c r="AQ467" s="11">
        <v>23.346</v>
      </c>
      <c r="AR467" s="16">
        <v>347707.62</v>
      </c>
      <c r="AS467" s="16">
        <v>217317.17</v>
      </c>
      <c r="AT467" s="13">
        <v>1.6</v>
      </c>
      <c r="AU467" s="11">
        <v>25.681999999999999</v>
      </c>
      <c r="AV467" s="16">
        <v>382499.23</v>
      </c>
      <c r="AW467" s="16">
        <v>239061.92</v>
      </c>
      <c r="AX467" s="13">
        <v>1.6</v>
      </c>
      <c r="AY467" s="11">
        <v>233</v>
      </c>
      <c r="AZ467" s="16">
        <v>3470225.09</v>
      </c>
      <c r="BA467" s="16">
        <v>2168889.81</v>
      </c>
      <c r="BB467" s="13">
        <v>1.6</v>
      </c>
    </row>
    <row r="468" spans="1:54" x14ac:dyDescent="0.25">
      <c r="A468" s="10" t="s">
        <v>141</v>
      </c>
      <c r="B468" s="10" t="s">
        <v>132</v>
      </c>
      <c r="C468" s="11">
        <v>4.97</v>
      </c>
      <c r="D468" s="16">
        <v>39832.160000000003</v>
      </c>
      <c r="E468" s="16">
        <v>24895.08</v>
      </c>
      <c r="F468" s="13">
        <v>1.6</v>
      </c>
      <c r="G468" s="11">
        <v>7.4539999999999997</v>
      </c>
      <c r="H468" s="16">
        <v>59740.23</v>
      </c>
      <c r="I468" s="16">
        <v>37337.61</v>
      </c>
      <c r="J468" s="13">
        <v>1.6</v>
      </c>
      <c r="K468" s="11">
        <v>8.6969999999999992</v>
      </c>
      <c r="L468" s="16">
        <v>69702.28</v>
      </c>
      <c r="M468" s="16">
        <v>43563.88</v>
      </c>
      <c r="N468" s="13">
        <v>1.6</v>
      </c>
      <c r="O468" s="11">
        <v>10.064</v>
      </c>
      <c r="P468" s="16">
        <v>80658.13</v>
      </c>
      <c r="Q468" s="16">
        <v>50411.28</v>
      </c>
      <c r="R468" s="13">
        <v>1.6</v>
      </c>
      <c r="S468" s="11">
        <v>10.064</v>
      </c>
      <c r="T468" s="16">
        <v>80658.13</v>
      </c>
      <c r="U468" s="16">
        <v>50411.28</v>
      </c>
      <c r="V468" s="13">
        <v>1.6</v>
      </c>
      <c r="W468" s="11">
        <v>10.064</v>
      </c>
      <c r="X468" s="16">
        <v>80658.13</v>
      </c>
      <c r="Y468" s="16">
        <v>50411.28</v>
      </c>
      <c r="Z468" s="13">
        <v>1.6</v>
      </c>
      <c r="AA468" s="11">
        <v>10.933999999999999</v>
      </c>
      <c r="AB468" s="16">
        <v>87630.76</v>
      </c>
      <c r="AC468" s="16">
        <v>54769.17</v>
      </c>
      <c r="AD468" s="13">
        <v>1.6</v>
      </c>
      <c r="AE468" s="11">
        <v>11.183</v>
      </c>
      <c r="AF468" s="16">
        <v>89626.38</v>
      </c>
      <c r="AG468" s="16">
        <v>56016.43</v>
      </c>
      <c r="AH468" s="13">
        <v>1.6</v>
      </c>
      <c r="AI468" s="11">
        <v>12.423999999999999</v>
      </c>
      <c r="AJ468" s="12">
        <v>99572.4</v>
      </c>
      <c r="AK468" s="16">
        <v>62232.69</v>
      </c>
      <c r="AL468" s="13">
        <v>1.6</v>
      </c>
      <c r="AM468" s="11">
        <v>12.052</v>
      </c>
      <c r="AN468" s="15">
        <v>96591</v>
      </c>
      <c r="AO468" s="16">
        <v>60369.31</v>
      </c>
      <c r="AP468" s="13">
        <v>1.6</v>
      </c>
      <c r="AQ468" s="11">
        <v>12.423999999999999</v>
      </c>
      <c r="AR468" s="12">
        <v>99572.4</v>
      </c>
      <c r="AS468" s="16">
        <v>62232.69</v>
      </c>
      <c r="AT468" s="13">
        <v>1.6</v>
      </c>
      <c r="AU468" s="11">
        <v>13.669</v>
      </c>
      <c r="AV468" s="16">
        <v>109550.47</v>
      </c>
      <c r="AW468" s="16">
        <v>68468.98</v>
      </c>
      <c r="AX468" s="13">
        <v>1.6</v>
      </c>
      <c r="AY468" s="11">
        <v>123.999</v>
      </c>
      <c r="AZ468" s="16">
        <v>993792.47</v>
      </c>
      <c r="BA468" s="16">
        <v>621119.68000000005</v>
      </c>
      <c r="BB468" s="13">
        <v>1.6</v>
      </c>
    </row>
    <row r="469" spans="1:54" x14ac:dyDescent="0.25">
      <c r="A469" s="10" t="s">
        <v>141</v>
      </c>
      <c r="B469" s="10" t="s">
        <v>134</v>
      </c>
      <c r="C469" s="11">
        <v>38.529000000000003</v>
      </c>
      <c r="D469" s="16">
        <v>277768.65999999997</v>
      </c>
      <c r="E469" s="16">
        <v>188701.56</v>
      </c>
      <c r="F469" s="13">
        <v>1.47</v>
      </c>
      <c r="G469" s="11">
        <v>57.793999999999997</v>
      </c>
      <c r="H469" s="12">
        <v>416656.6</v>
      </c>
      <c r="I469" s="16">
        <v>283054.78000000003</v>
      </c>
      <c r="J469" s="13">
        <v>1.47</v>
      </c>
      <c r="K469" s="11">
        <v>67.426000000000002</v>
      </c>
      <c r="L469" s="16">
        <v>486096.96</v>
      </c>
      <c r="M469" s="16">
        <v>330228.95</v>
      </c>
      <c r="N469" s="13">
        <v>1.47</v>
      </c>
      <c r="O469" s="11">
        <v>78.021000000000001</v>
      </c>
      <c r="P469" s="16">
        <v>562479.92000000004</v>
      </c>
      <c r="Q469" s="16">
        <v>382119.55</v>
      </c>
      <c r="R469" s="13">
        <v>1.47</v>
      </c>
      <c r="S469" s="11">
        <v>78.021000000000001</v>
      </c>
      <c r="T469" s="16">
        <v>562479.92000000004</v>
      </c>
      <c r="U469" s="16">
        <v>382119.55</v>
      </c>
      <c r="V469" s="13">
        <v>1.47</v>
      </c>
      <c r="W469" s="11">
        <v>78.021000000000001</v>
      </c>
      <c r="X469" s="16">
        <v>562479.92000000004</v>
      </c>
      <c r="Y469" s="16">
        <v>382119.55</v>
      </c>
      <c r="Z469" s="13">
        <v>1.47</v>
      </c>
      <c r="AA469" s="11">
        <v>84.763999999999996</v>
      </c>
      <c r="AB469" s="12">
        <v>611092.5</v>
      </c>
      <c r="AC469" s="12">
        <v>415144.4</v>
      </c>
      <c r="AD469" s="13">
        <v>1.47</v>
      </c>
      <c r="AE469" s="11">
        <v>86.691000000000003</v>
      </c>
      <c r="AF469" s="16">
        <v>624984.89</v>
      </c>
      <c r="AG469" s="16">
        <v>424582.18</v>
      </c>
      <c r="AH469" s="13">
        <v>1.47</v>
      </c>
      <c r="AI469" s="11">
        <v>96.322999999999993</v>
      </c>
      <c r="AJ469" s="16">
        <v>694425.26</v>
      </c>
      <c r="AK469" s="16">
        <v>471756.34</v>
      </c>
      <c r="AL469" s="13">
        <v>1.47</v>
      </c>
      <c r="AM469" s="11">
        <v>93.433999999999997</v>
      </c>
      <c r="AN469" s="16">
        <v>673597.47</v>
      </c>
      <c r="AO469" s="16">
        <v>457607.03</v>
      </c>
      <c r="AP469" s="13">
        <v>1.47</v>
      </c>
      <c r="AQ469" s="11">
        <v>96.322999999999993</v>
      </c>
      <c r="AR469" s="16">
        <v>694425.26</v>
      </c>
      <c r="AS469" s="16">
        <v>471756.34</v>
      </c>
      <c r="AT469" s="13">
        <v>1.47</v>
      </c>
      <c r="AU469" s="11">
        <v>105.956</v>
      </c>
      <c r="AV469" s="16">
        <v>763872.83</v>
      </c>
      <c r="AW469" s="12">
        <v>518935.4</v>
      </c>
      <c r="AX469" s="13">
        <v>1.47</v>
      </c>
      <c r="AY469" s="11">
        <v>961.303</v>
      </c>
      <c r="AZ469" s="16">
        <v>6930360.1900000004</v>
      </c>
      <c r="BA469" s="16">
        <v>4708125.63</v>
      </c>
      <c r="BB469" s="13">
        <v>1.47</v>
      </c>
    </row>
    <row r="470" spans="1:54" x14ac:dyDescent="0.25">
      <c r="A470" s="10" t="s">
        <v>141</v>
      </c>
      <c r="B470" s="10" t="s">
        <v>137</v>
      </c>
      <c r="C470" s="11">
        <v>21.88</v>
      </c>
      <c r="D470" s="16">
        <v>2127.83</v>
      </c>
      <c r="E470" s="16">
        <v>1576.24</v>
      </c>
      <c r="F470" s="13">
        <v>1.35</v>
      </c>
      <c r="G470" s="11">
        <v>32.819000000000003</v>
      </c>
      <c r="H470" s="16">
        <v>3191.65</v>
      </c>
      <c r="I470" s="16">
        <v>2364.2800000000002</v>
      </c>
      <c r="J470" s="13">
        <v>1.35</v>
      </c>
      <c r="K470" s="11">
        <v>32.819000000000003</v>
      </c>
      <c r="L470" s="16">
        <v>3191.65</v>
      </c>
      <c r="M470" s="16">
        <v>2364.2800000000002</v>
      </c>
      <c r="N470" s="13">
        <v>1.35</v>
      </c>
      <c r="O470" s="11">
        <v>32.819000000000003</v>
      </c>
      <c r="P470" s="16">
        <v>3191.65</v>
      </c>
      <c r="Q470" s="16">
        <v>2364.2800000000002</v>
      </c>
      <c r="R470" s="13">
        <v>1.35</v>
      </c>
      <c r="S470" s="11">
        <v>38.29</v>
      </c>
      <c r="T470" s="12">
        <v>3723.7</v>
      </c>
      <c r="U470" s="16">
        <v>2758.41</v>
      </c>
      <c r="V470" s="13">
        <v>1.35</v>
      </c>
      <c r="W470" s="11">
        <v>38.29</v>
      </c>
      <c r="X470" s="12">
        <v>3723.7</v>
      </c>
      <c r="Y470" s="16">
        <v>2758.41</v>
      </c>
      <c r="Z470" s="13">
        <v>1.35</v>
      </c>
      <c r="AA470" s="11">
        <v>43.76</v>
      </c>
      <c r="AB470" s="16">
        <v>4255.66</v>
      </c>
      <c r="AC470" s="16">
        <v>3152.47</v>
      </c>
      <c r="AD470" s="13">
        <v>1.35</v>
      </c>
      <c r="AE470" s="11">
        <v>43.76</v>
      </c>
      <c r="AF470" s="16">
        <v>4255.66</v>
      </c>
      <c r="AG470" s="16">
        <v>3152.47</v>
      </c>
      <c r="AH470" s="13">
        <v>1.35</v>
      </c>
      <c r="AI470" s="11">
        <v>54.7</v>
      </c>
      <c r="AJ470" s="16">
        <v>5319.58</v>
      </c>
      <c r="AK470" s="16">
        <v>3940.59</v>
      </c>
      <c r="AL470" s="13">
        <v>1.35</v>
      </c>
      <c r="AM470" s="11">
        <v>65.64</v>
      </c>
      <c r="AN470" s="16">
        <v>6383.49</v>
      </c>
      <c r="AO470" s="16">
        <v>4728.71</v>
      </c>
      <c r="AP470" s="13">
        <v>1.35</v>
      </c>
      <c r="AQ470" s="11">
        <v>76.581999999999994</v>
      </c>
      <c r="AR470" s="12">
        <v>7447.6</v>
      </c>
      <c r="AS470" s="16">
        <v>5516.97</v>
      </c>
      <c r="AT470" s="13">
        <v>1.35</v>
      </c>
      <c r="AU470" s="11">
        <v>65.64</v>
      </c>
      <c r="AV470" s="16">
        <v>6383.49</v>
      </c>
      <c r="AW470" s="16">
        <v>4728.71</v>
      </c>
      <c r="AX470" s="13">
        <v>1.35</v>
      </c>
      <c r="AY470" s="11">
        <v>546.99900000000002</v>
      </c>
      <c r="AZ470" s="16">
        <v>53195.66</v>
      </c>
      <c r="BA470" s="16">
        <v>39405.82</v>
      </c>
      <c r="BB470" s="13">
        <v>1.35</v>
      </c>
    </row>
    <row r="471" spans="1:54" x14ac:dyDescent="0.25">
      <c r="A471" s="10" t="s">
        <v>141</v>
      </c>
      <c r="B471" s="10" t="s">
        <v>138</v>
      </c>
      <c r="C471" s="11">
        <v>2.3199999999999998</v>
      </c>
      <c r="D471" s="12">
        <v>5319.6</v>
      </c>
      <c r="E471" s="16">
        <v>4123.7299999999996</v>
      </c>
      <c r="F471" s="13">
        <v>1.29</v>
      </c>
      <c r="G471" s="11">
        <v>3.48</v>
      </c>
      <c r="H471" s="12">
        <v>7979.4</v>
      </c>
      <c r="I471" s="12">
        <v>6185.6</v>
      </c>
      <c r="J471" s="13">
        <v>1.29</v>
      </c>
      <c r="K471" s="11">
        <v>3.48</v>
      </c>
      <c r="L471" s="12">
        <v>7979.4</v>
      </c>
      <c r="M471" s="12">
        <v>6185.6</v>
      </c>
      <c r="N471" s="13">
        <v>1.29</v>
      </c>
      <c r="O471" s="11">
        <v>3.48</v>
      </c>
      <c r="P471" s="12">
        <v>7979.4</v>
      </c>
      <c r="Q471" s="12">
        <v>6185.6</v>
      </c>
      <c r="R471" s="13">
        <v>1.29</v>
      </c>
      <c r="S471" s="11">
        <v>4.0599999999999996</v>
      </c>
      <c r="T471" s="12">
        <v>9309.2999999999993</v>
      </c>
      <c r="U471" s="16">
        <v>7216.53</v>
      </c>
      <c r="V471" s="13">
        <v>1.29</v>
      </c>
      <c r="W471" s="11">
        <v>4.0599999999999996</v>
      </c>
      <c r="X471" s="12">
        <v>9309.2999999999993</v>
      </c>
      <c r="Y471" s="16">
        <v>7216.53</v>
      </c>
      <c r="Z471" s="13">
        <v>1.29</v>
      </c>
      <c r="AA471" s="11">
        <v>4.6399999999999997</v>
      </c>
      <c r="AB471" s="12">
        <v>10639.2</v>
      </c>
      <c r="AC471" s="16">
        <v>8247.4599999999991</v>
      </c>
      <c r="AD471" s="13">
        <v>1.29</v>
      </c>
      <c r="AE471" s="11">
        <v>4.6399999999999997</v>
      </c>
      <c r="AF471" s="12">
        <v>10639.2</v>
      </c>
      <c r="AG471" s="16">
        <v>8247.4599999999991</v>
      </c>
      <c r="AH471" s="13">
        <v>1.29</v>
      </c>
      <c r="AI471" s="11">
        <v>5.8</v>
      </c>
      <c r="AJ471" s="16">
        <v>13298.99</v>
      </c>
      <c r="AK471" s="16">
        <v>10309.33</v>
      </c>
      <c r="AL471" s="13">
        <v>1.29</v>
      </c>
      <c r="AM471" s="11">
        <v>6.96</v>
      </c>
      <c r="AN471" s="16">
        <v>15958.79</v>
      </c>
      <c r="AO471" s="16">
        <v>12371.19</v>
      </c>
      <c r="AP471" s="13">
        <v>1.29</v>
      </c>
      <c r="AQ471" s="11">
        <v>8.1199999999999992</v>
      </c>
      <c r="AR471" s="16">
        <v>18618.59</v>
      </c>
      <c r="AS471" s="16">
        <v>14433.06</v>
      </c>
      <c r="AT471" s="13">
        <v>1.29</v>
      </c>
      <c r="AU471" s="11">
        <v>6.96</v>
      </c>
      <c r="AV471" s="16">
        <v>15958.79</v>
      </c>
      <c r="AW471" s="16">
        <v>12371.19</v>
      </c>
      <c r="AX471" s="13">
        <v>1.29</v>
      </c>
      <c r="AY471" s="11">
        <v>58</v>
      </c>
      <c r="AZ471" s="16">
        <v>132989.96</v>
      </c>
      <c r="BA471" s="16">
        <v>103093.28</v>
      </c>
      <c r="BB471" s="13">
        <v>1.29</v>
      </c>
    </row>
    <row r="472" spans="1:54" x14ac:dyDescent="0.25">
      <c r="A472" s="10" t="s">
        <v>141</v>
      </c>
      <c r="B472" s="10" t="s">
        <v>139</v>
      </c>
      <c r="C472" s="11">
        <v>8.0399999999999991</v>
      </c>
      <c r="D472" s="16">
        <v>51068.31</v>
      </c>
      <c r="E472" s="16">
        <v>35963.480000000003</v>
      </c>
      <c r="F472" s="13">
        <v>1.42</v>
      </c>
      <c r="G472" s="11">
        <v>12.06</v>
      </c>
      <c r="H472" s="16">
        <v>76602.47</v>
      </c>
      <c r="I472" s="16">
        <v>53945.22</v>
      </c>
      <c r="J472" s="13">
        <v>1.42</v>
      </c>
      <c r="K472" s="11">
        <v>12.06</v>
      </c>
      <c r="L472" s="16">
        <v>76602.47</v>
      </c>
      <c r="M472" s="16">
        <v>53945.22</v>
      </c>
      <c r="N472" s="13">
        <v>1.42</v>
      </c>
      <c r="O472" s="11">
        <v>12.06</v>
      </c>
      <c r="P472" s="16">
        <v>76602.47</v>
      </c>
      <c r="Q472" s="16">
        <v>53945.22</v>
      </c>
      <c r="R472" s="13">
        <v>1.42</v>
      </c>
      <c r="S472" s="11">
        <v>14.07</v>
      </c>
      <c r="T472" s="16">
        <v>89369.54</v>
      </c>
      <c r="U472" s="16">
        <v>62936.09</v>
      </c>
      <c r="V472" s="13">
        <v>1.42</v>
      </c>
      <c r="W472" s="11">
        <v>14.07</v>
      </c>
      <c r="X472" s="16">
        <v>89369.54</v>
      </c>
      <c r="Y472" s="16">
        <v>62936.09</v>
      </c>
      <c r="Z472" s="13">
        <v>1.42</v>
      </c>
      <c r="AA472" s="11">
        <v>16.079999999999998</v>
      </c>
      <c r="AB472" s="16">
        <v>102136.62</v>
      </c>
      <c r="AC472" s="16">
        <v>71926.97</v>
      </c>
      <c r="AD472" s="13">
        <v>1.42</v>
      </c>
      <c r="AE472" s="11">
        <v>16.079999999999998</v>
      </c>
      <c r="AF472" s="16">
        <v>102136.62</v>
      </c>
      <c r="AG472" s="16">
        <v>71926.97</v>
      </c>
      <c r="AH472" s="13">
        <v>1.42</v>
      </c>
      <c r="AI472" s="11">
        <v>20.100000000000001</v>
      </c>
      <c r="AJ472" s="16">
        <v>127670.78</v>
      </c>
      <c r="AK472" s="16">
        <v>89908.71</v>
      </c>
      <c r="AL472" s="13">
        <v>1.42</v>
      </c>
      <c r="AM472" s="11">
        <v>24.12</v>
      </c>
      <c r="AN472" s="16">
        <v>153204.93</v>
      </c>
      <c r="AO472" s="16">
        <v>107890.45</v>
      </c>
      <c r="AP472" s="13">
        <v>1.42</v>
      </c>
      <c r="AQ472" s="11">
        <v>28.138000000000002</v>
      </c>
      <c r="AR472" s="16">
        <v>178726.39</v>
      </c>
      <c r="AS472" s="16">
        <v>125863.24</v>
      </c>
      <c r="AT472" s="13">
        <v>1.42</v>
      </c>
      <c r="AU472" s="11">
        <v>24.12</v>
      </c>
      <c r="AV472" s="16">
        <v>153204.93</v>
      </c>
      <c r="AW472" s="16">
        <v>107890.45</v>
      </c>
      <c r="AX472" s="13">
        <v>1.42</v>
      </c>
      <c r="AY472" s="11">
        <v>200.99799999999999</v>
      </c>
      <c r="AZ472" s="16">
        <v>1276695.07</v>
      </c>
      <c r="BA472" s="16">
        <v>899078.11</v>
      </c>
      <c r="BB472" s="13">
        <v>1.42</v>
      </c>
    </row>
    <row r="473" spans="1:54" x14ac:dyDescent="0.25">
      <c r="A473" s="10" t="s">
        <v>143</v>
      </c>
      <c r="B473" s="10" t="s">
        <v>71</v>
      </c>
      <c r="C473" s="11">
        <v>0.36299999999999999</v>
      </c>
      <c r="D473" s="16">
        <v>2002.76</v>
      </c>
      <c r="E473" s="16">
        <v>1335.17</v>
      </c>
      <c r="F473" s="13">
        <v>1.5</v>
      </c>
      <c r="G473" s="11">
        <v>0.45300000000000001</v>
      </c>
      <c r="H473" s="16">
        <v>2499.31</v>
      </c>
      <c r="I473" s="16">
        <v>1666.21</v>
      </c>
      <c r="J473" s="13">
        <v>1.5</v>
      </c>
      <c r="K473" s="11">
        <v>0.54400000000000004</v>
      </c>
      <c r="L473" s="16">
        <v>3001.38</v>
      </c>
      <c r="M473" s="16">
        <v>2000.92</v>
      </c>
      <c r="N473" s="13">
        <v>1.5</v>
      </c>
      <c r="O473" s="11">
        <v>0.45300000000000001</v>
      </c>
      <c r="P473" s="16">
        <v>2499.31</v>
      </c>
      <c r="Q473" s="16">
        <v>1666.21</v>
      </c>
      <c r="R473" s="13">
        <v>1.5</v>
      </c>
      <c r="S473" s="11">
        <v>0.54400000000000004</v>
      </c>
      <c r="T473" s="16">
        <v>3001.38</v>
      </c>
      <c r="U473" s="16">
        <v>2000.92</v>
      </c>
      <c r="V473" s="13">
        <v>1.5</v>
      </c>
      <c r="W473" s="11">
        <v>0.72499999999999998</v>
      </c>
      <c r="X473" s="15">
        <v>4000</v>
      </c>
      <c r="Y473" s="16">
        <v>2666.67</v>
      </c>
      <c r="Z473" s="13">
        <v>1.5</v>
      </c>
      <c r="AA473" s="11">
        <v>0.63400000000000001</v>
      </c>
      <c r="AB473" s="16">
        <v>3497.93</v>
      </c>
      <c r="AC473" s="16">
        <v>2331.9499999999998</v>
      </c>
      <c r="AD473" s="13">
        <v>1.5</v>
      </c>
      <c r="AE473" s="11">
        <v>0.90600000000000003</v>
      </c>
      <c r="AF473" s="16">
        <v>4998.62</v>
      </c>
      <c r="AG473" s="16">
        <v>3332.41</v>
      </c>
      <c r="AH473" s="13">
        <v>1.5</v>
      </c>
      <c r="AI473" s="11">
        <v>1.2689999999999999</v>
      </c>
      <c r="AJ473" s="16">
        <v>7001.38</v>
      </c>
      <c r="AK473" s="16">
        <v>4667.59</v>
      </c>
      <c r="AL473" s="13">
        <v>1.5</v>
      </c>
      <c r="AM473" s="11">
        <v>1.2689999999999999</v>
      </c>
      <c r="AN473" s="16">
        <v>7001.38</v>
      </c>
      <c r="AO473" s="16">
        <v>4667.59</v>
      </c>
      <c r="AP473" s="13">
        <v>1.5</v>
      </c>
      <c r="AQ473" s="11">
        <v>1.0880000000000001</v>
      </c>
      <c r="AR473" s="16">
        <v>6002.76</v>
      </c>
      <c r="AS473" s="16">
        <v>4001.84</v>
      </c>
      <c r="AT473" s="13">
        <v>1.5</v>
      </c>
      <c r="AU473" s="11">
        <v>0.81599999999999995</v>
      </c>
      <c r="AV473" s="16">
        <v>4502.07</v>
      </c>
      <c r="AW473" s="16">
        <v>3001.38</v>
      </c>
      <c r="AX473" s="13">
        <v>1.5</v>
      </c>
      <c r="AY473" s="11">
        <v>9.0640000000000001</v>
      </c>
      <c r="AZ473" s="16">
        <v>50008.28</v>
      </c>
      <c r="BA473" s="16">
        <v>33338.86</v>
      </c>
      <c r="BB473" s="13">
        <v>1.5</v>
      </c>
    </row>
    <row r="474" spans="1:54" x14ac:dyDescent="0.25">
      <c r="A474" s="10" t="s">
        <v>143</v>
      </c>
      <c r="B474" s="10" t="s">
        <v>72</v>
      </c>
      <c r="C474" s="11">
        <v>19.777999999999999</v>
      </c>
      <c r="D474" s="16">
        <v>6000.05</v>
      </c>
      <c r="E474" s="16">
        <v>4444.51</v>
      </c>
      <c r="F474" s="13">
        <v>1.35</v>
      </c>
      <c r="G474" s="11">
        <v>24.722000000000001</v>
      </c>
      <c r="H474" s="16">
        <v>7499.91</v>
      </c>
      <c r="I474" s="16">
        <v>5555.53</v>
      </c>
      <c r="J474" s="13">
        <v>1.35</v>
      </c>
      <c r="K474" s="11">
        <v>29.667000000000002</v>
      </c>
      <c r="L474" s="16">
        <v>9000.08</v>
      </c>
      <c r="M474" s="16">
        <v>6666.77</v>
      </c>
      <c r="N474" s="13">
        <v>1.35</v>
      </c>
      <c r="O474" s="11">
        <v>24.722000000000001</v>
      </c>
      <c r="P474" s="16">
        <v>7499.91</v>
      </c>
      <c r="Q474" s="16">
        <v>5555.53</v>
      </c>
      <c r="R474" s="13">
        <v>1.35</v>
      </c>
      <c r="S474" s="11">
        <v>29.667000000000002</v>
      </c>
      <c r="T474" s="16">
        <v>9000.08</v>
      </c>
      <c r="U474" s="16">
        <v>6666.77</v>
      </c>
      <c r="V474" s="13">
        <v>1.35</v>
      </c>
      <c r="W474" s="11">
        <v>39.555999999999997</v>
      </c>
      <c r="X474" s="12">
        <v>12000.1</v>
      </c>
      <c r="Y474" s="16">
        <v>8889.02</v>
      </c>
      <c r="Z474" s="13">
        <v>1.35</v>
      </c>
      <c r="AA474" s="11">
        <v>34.610999999999997</v>
      </c>
      <c r="AB474" s="16">
        <v>10499.94</v>
      </c>
      <c r="AC474" s="16">
        <v>7777.78</v>
      </c>
      <c r="AD474" s="13">
        <v>1.35</v>
      </c>
      <c r="AE474" s="11">
        <v>49.445</v>
      </c>
      <c r="AF474" s="16">
        <v>15000.13</v>
      </c>
      <c r="AG474" s="16">
        <v>11111.28</v>
      </c>
      <c r="AH474" s="13">
        <v>1.35</v>
      </c>
      <c r="AI474" s="11">
        <v>69.221999999999994</v>
      </c>
      <c r="AJ474" s="16">
        <v>20999.88</v>
      </c>
      <c r="AK474" s="16">
        <v>15555.57</v>
      </c>
      <c r="AL474" s="13">
        <v>1.35</v>
      </c>
      <c r="AM474" s="11">
        <v>69.221999999999994</v>
      </c>
      <c r="AN474" s="16">
        <v>20999.88</v>
      </c>
      <c r="AO474" s="16">
        <v>15555.57</v>
      </c>
      <c r="AP474" s="13">
        <v>1.35</v>
      </c>
      <c r="AQ474" s="11">
        <v>59.332999999999998</v>
      </c>
      <c r="AR474" s="16">
        <v>17999.849999999999</v>
      </c>
      <c r="AS474" s="16">
        <v>13333.31</v>
      </c>
      <c r="AT474" s="13">
        <v>1.35</v>
      </c>
      <c r="AU474" s="11">
        <v>44.5</v>
      </c>
      <c r="AV474" s="16">
        <v>13499.97</v>
      </c>
      <c r="AW474" s="16">
        <v>10000.040000000001</v>
      </c>
      <c r="AX474" s="13">
        <v>1.35</v>
      </c>
      <c r="AY474" s="11">
        <v>494.44499999999999</v>
      </c>
      <c r="AZ474" s="16">
        <v>149999.78</v>
      </c>
      <c r="BA474" s="16">
        <v>111111.67999999999</v>
      </c>
      <c r="BB474" s="13">
        <v>1.35</v>
      </c>
    </row>
    <row r="475" spans="1:54" x14ac:dyDescent="0.25">
      <c r="A475" s="10" t="s">
        <v>143</v>
      </c>
      <c r="B475" s="10" t="s">
        <v>76</v>
      </c>
      <c r="C475" s="11">
        <v>0.3</v>
      </c>
      <c r="D475" s="13">
        <v>273.08999999999997</v>
      </c>
      <c r="E475" s="13">
        <v>182.06</v>
      </c>
      <c r="F475" s="13">
        <v>1.5</v>
      </c>
      <c r="G475" s="11">
        <v>0.9</v>
      </c>
      <c r="H475" s="13">
        <v>819.27</v>
      </c>
      <c r="I475" s="13">
        <v>546.17999999999995</v>
      </c>
      <c r="J475" s="13">
        <v>1.5</v>
      </c>
      <c r="K475" s="11">
        <v>1.8</v>
      </c>
      <c r="L475" s="16">
        <v>1638.54</v>
      </c>
      <c r="M475" s="16">
        <v>1092.3699999999999</v>
      </c>
      <c r="N475" s="13">
        <v>1.5</v>
      </c>
      <c r="O475" s="11">
        <v>3.3</v>
      </c>
      <c r="P475" s="16">
        <v>3003.99</v>
      </c>
      <c r="Q475" s="16">
        <v>2002.67</v>
      </c>
      <c r="R475" s="13">
        <v>1.5</v>
      </c>
      <c r="S475" s="11">
        <v>5.4</v>
      </c>
      <c r="T475" s="16">
        <v>4915.62</v>
      </c>
      <c r="U475" s="12">
        <v>3277.1</v>
      </c>
      <c r="V475" s="13">
        <v>1.5</v>
      </c>
      <c r="W475" s="11">
        <v>4.5</v>
      </c>
      <c r="X475" s="16">
        <v>4096.3500000000004</v>
      </c>
      <c r="Y475" s="16">
        <v>2730.92</v>
      </c>
      <c r="Z475" s="13">
        <v>1.5</v>
      </c>
      <c r="AA475" s="11">
        <v>3.9</v>
      </c>
      <c r="AB475" s="16">
        <v>3550.17</v>
      </c>
      <c r="AC475" s="16">
        <v>2366.79</v>
      </c>
      <c r="AD475" s="13">
        <v>1.5</v>
      </c>
      <c r="AE475" s="11">
        <v>2.4</v>
      </c>
      <c r="AF475" s="16">
        <v>2184.7199999999998</v>
      </c>
      <c r="AG475" s="16">
        <v>1456.49</v>
      </c>
      <c r="AH475" s="13">
        <v>1.5</v>
      </c>
      <c r="AI475" s="11">
        <v>2.1</v>
      </c>
      <c r="AJ475" s="16">
        <v>1911.63</v>
      </c>
      <c r="AK475" s="16">
        <v>1274.43</v>
      </c>
      <c r="AL475" s="13">
        <v>1.5</v>
      </c>
      <c r="AM475" s="11">
        <v>1.8</v>
      </c>
      <c r="AN475" s="16">
        <v>1638.54</v>
      </c>
      <c r="AO475" s="16">
        <v>1092.3699999999999</v>
      </c>
      <c r="AP475" s="13">
        <v>1.5</v>
      </c>
      <c r="AQ475" s="11">
        <v>1.8</v>
      </c>
      <c r="AR475" s="16">
        <v>1638.54</v>
      </c>
      <c r="AS475" s="16">
        <v>1092.3699999999999</v>
      </c>
      <c r="AT475" s="13">
        <v>1.5</v>
      </c>
      <c r="AU475" s="11">
        <v>1.8</v>
      </c>
      <c r="AV475" s="16">
        <v>1638.54</v>
      </c>
      <c r="AW475" s="16">
        <v>1092.3699999999999</v>
      </c>
      <c r="AX475" s="13">
        <v>1.5</v>
      </c>
      <c r="AY475" s="11">
        <v>30</v>
      </c>
      <c r="AZ475" s="15">
        <v>27309</v>
      </c>
      <c r="BA475" s="16">
        <v>18206.12</v>
      </c>
      <c r="BB475" s="13">
        <v>1.5</v>
      </c>
    </row>
    <row r="476" spans="1:54" x14ac:dyDescent="0.25">
      <c r="A476" s="10" t="s">
        <v>143</v>
      </c>
      <c r="B476" s="10" t="s">
        <v>132</v>
      </c>
      <c r="C476" s="11">
        <v>0.25</v>
      </c>
      <c r="D476" s="15">
        <v>1000</v>
      </c>
      <c r="E476" s="19">
        <v>625</v>
      </c>
      <c r="F476" s="13">
        <v>1.6</v>
      </c>
      <c r="G476" s="11">
        <v>0.25</v>
      </c>
      <c r="H476" s="15">
        <v>1000</v>
      </c>
      <c r="I476" s="19">
        <v>625</v>
      </c>
      <c r="J476" s="13">
        <v>1.6</v>
      </c>
      <c r="K476" s="11">
        <v>0.25</v>
      </c>
      <c r="L476" s="15">
        <v>1000</v>
      </c>
      <c r="M476" s="19">
        <v>625</v>
      </c>
      <c r="N476" s="13">
        <v>1.6</v>
      </c>
      <c r="O476" s="11">
        <v>0.45</v>
      </c>
      <c r="P476" s="15">
        <v>1800</v>
      </c>
      <c r="Q476" s="15">
        <v>1125</v>
      </c>
      <c r="R476" s="13">
        <v>1.6</v>
      </c>
      <c r="S476" s="11">
        <v>0.45</v>
      </c>
      <c r="T476" s="15">
        <v>1800</v>
      </c>
      <c r="U476" s="15">
        <v>1125</v>
      </c>
      <c r="V476" s="13">
        <v>1.6</v>
      </c>
      <c r="W476" s="11">
        <v>0.5</v>
      </c>
      <c r="X476" s="15">
        <v>2000</v>
      </c>
      <c r="Y476" s="15">
        <v>1250</v>
      </c>
      <c r="Z476" s="13">
        <v>1.6</v>
      </c>
      <c r="AA476" s="11">
        <v>0.45</v>
      </c>
      <c r="AB476" s="15">
        <v>1800</v>
      </c>
      <c r="AC476" s="15">
        <v>1125</v>
      </c>
      <c r="AD476" s="13">
        <v>1.6</v>
      </c>
      <c r="AE476" s="11">
        <v>0.45</v>
      </c>
      <c r="AF476" s="15">
        <v>1800</v>
      </c>
      <c r="AG476" s="15">
        <v>1125</v>
      </c>
      <c r="AH476" s="13">
        <v>1.6</v>
      </c>
      <c r="AI476" s="11">
        <v>0.5</v>
      </c>
      <c r="AJ476" s="15">
        <v>2000</v>
      </c>
      <c r="AK476" s="15">
        <v>1250</v>
      </c>
      <c r="AL476" s="13">
        <v>1.6</v>
      </c>
      <c r="AM476" s="11">
        <v>0.45</v>
      </c>
      <c r="AN476" s="15">
        <v>1800</v>
      </c>
      <c r="AO476" s="15">
        <v>1125</v>
      </c>
      <c r="AP476" s="13">
        <v>1.6</v>
      </c>
      <c r="AQ476" s="11">
        <v>0.5</v>
      </c>
      <c r="AR476" s="15">
        <v>2000</v>
      </c>
      <c r="AS476" s="15">
        <v>1250</v>
      </c>
      <c r="AT476" s="13">
        <v>1.6</v>
      </c>
      <c r="AU476" s="11">
        <v>0.5</v>
      </c>
      <c r="AV476" s="15">
        <v>2000</v>
      </c>
      <c r="AW476" s="15">
        <v>1250</v>
      </c>
      <c r="AX476" s="13">
        <v>1.6</v>
      </c>
      <c r="AY476" s="11">
        <v>5</v>
      </c>
      <c r="AZ476" s="15">
        <v>20000</v>
      </c>
      <c r="BA476" s="15">
        <v>12500</v>
      </c>
      <c r="BB476" s="13">
        <v>1.6</v>
      </c>
    </row>
    <row r="477" spans="1:54" x14ac:dyDescent="0.25">
      <c r="A477" s="10" t="s">
        <v>143</v>
      </c>
      <c r="B477" s="10" t="s">
        <v>138</v>
      </c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1">
        <v>0.6</v>
      </c>
      <c r="P477" s="19">
        <v>600</v>
      </c>
      <c r="Q477" s="19">
        <v>400</v>
      </c>
      <c r="R477" s="13">
        <v>1.5</v>
      </c>
      <c r="S477" s="11">
        <v>1</v>
      </c>
      <c r="T477" s="15">
        <v>1000</v>
      </c>
      <c r="U477" s="13">
        <v>666.67</v>
      </c>
      <c r="V477" s="13">
        <v>1.5</v>
      </c>
      <c r="W477" s="11">
        <v>1.2</v>
      </c>
      <c r="X477" s="15">
        <v>1200</v>
      </c>
      <c r="Y477" s="19">
        <v>800</v>
      </c>
      <c r="Z477" s="13">
        <v>1.5</v>
      </c>
      <c r="AA477" s="11">
        <v>1.2</v>
      </c>
      <c r="AB477" s="15">
        <v>1200</v>
      </c>
      <c r="AC477" s="19">
        <v>800</v>
      </c>
      <c r="AD477" s="13">
        <v>1.5</v>
      </c>
      <c r="AE477" s="11">
        <v>1.2</v>
      </c>
      <c r="AF477" s="15">
        <v>1200</v>
      </c>
      <c r="AG477" s="19">
        <v>800</v>
      </c>
      <c r="AH477" s="13">
        <v>1.5</v>
      </c>
      <c r="AI477" s="11">
        <v>1.2</v>
      </c>
      <c r="AJ477" s="15">
        <v>1200</v>
      </c>
      <c r="AK477" s="19">
        <v>800</v>
      </c>
      <c r="AL477" s="13">
        <v>1.5</v>
      </c>
      <c r="AM477" s="11">
        <v>1.2</v>
      </c>
      <c r="AN477" s="15">
        <v>1200</v>
      </c>
      <c r="AO477" s="19">
        <v>800</v>
      </c>
      <c r="AP477" s="13">
        <v>1.5</v>
      </c>
      <c r="AQ477" s="11">
        <v>1.2</v>
      </c>
      <c r="AR477" s="15">
        <v>1200</v>
      </c>
      <c r="AS477" s="19">
        <v>800</v>
      </c>
      <c r="AT477" s="13">
        <v>1.5</v>
      </c>
      <c r="AU477" s="11">
        <v>1.2</v>
      </c>
      <c r="AV477" s="15">
        <v>1200</v>
      </c>
      <c r="AW477" s="19">
        <v>800</v>
      </c>
      <c r="AX477" s="13">
        <v>1.5</v>
      </c>
      <c r="AY477" s="11">
        <v>10</v>
      </c>
      <c r="AZ477" s="15">
        <v>10000</v>
      </c>
      <c r="BA477" s="16">
        <v>6666.67</v>
      </c>
      <c r="BB477" s="13">
        <v>1.5</v>
      </c>
    </row>
    <row r="478" spans="1:54" x14ac:dyDescent="0.25">
      <c r="A478" s="10" t="s">
        <v>144</v>
      </c>
      <c r="B478" s="10" t="s">
        <v>330</v>
      </c>
      <c r="C478" s="11">
        <v>20</v>
      </c>
      <c r="D478" s="12">
        <v>1345.2</v>
      </c>
      <c r="E478" s="17">
        <v>952.6</v>
      </c>
      <c r="F478" s="13">
        <v>1.41</v>
      </c>
      <c r="G478" s="11">
        <v>20</v>
      </c>
      <c r="H478" s="12">
        <v>1345.2</v>
      </c>
      <c r="I478" s="17">
        <v>952.6</v>
      </c>
      <c r="J478" s="13">
        <v>1.41</v>
      </c>
      <c r="K478" s="11">
        <v>20</v>
      </c>
      <c r="L478" s="12">
        <v>1345.2</v>
      </c>
      <c r="M478" s="17">
        <v>952.6</v>
      </c>
      <c r="N478" s="13">
        <v>1.41</v>
      </c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1">
        <v>40</v>
      </c>
      <c r="AF478" s="12">
        <v>2690.4</v>
      </c>
      <c r="AG478" s="12">
        <v>1905.2</v>
      </c>
      <c r="AH478" s="13">
        <v>1.41</v>
      </c>
      <c r="AI478" s="11">
        <v>120</v>
      </c>
      <c r="AJ478" s="12">
        <v>8071.2</v>
      </c>
      <c r="AK478" s="12">
        <v>5715.6</v>
      </c>
      <c r="AL478" s="13">
        <v>1.41</v>
      </c>
      <c r="AM478" s="11">
        <v>120</v>
      </c>
      <c r="AN478" s="12">
        <v>8071.2</v>
      </c>
      <c r="AO478" s="12">
        <v>5715.6</v>
      </c>
      <c r="AP478" s="13">
        <v>1.41</v>
      </c>
      <c r="AQ478" s="11">
        <v>40</v>
      </c>
      <c r="AR478" s="12">
        <v>2690.4</v>
      </c>
      <c r="AS478" s="12">
        <v>1905.2</v>
      </c>
      <c r="AT478" s="13">
        <v>1.41</v>
      </c>
      <c r="AU478" s="11">
        <v>20</v>
      </c>
      <c r="AV478" s="12">
        <v>1345.2</v>
      </c>
      <c r="AW478" s="17">
        <v>952.6</v>
      </c>
      <c r="AX478" s="13">
        <v>1.41</v>
      </c>
      <c r="AY478" s="11">
        <v>400</v>
      </c>
      <c r="AZ478" s="15">
        <v>26904</v>
      </c>
      <c r="BA478" s="15">
        <v>19052</v>
      </c>
      <c r="BB478" s="13">
        <v>1.41</v>
      </c>
    </row>
    <row r="479" spans="1:54" x14ac:dyDescent="0.25">
      <c r="A479" s="10" t="s">
        <v>144</v>
      </c>
      <c r="B479" s="10" t="s">
        <v>349</v>
      </c>
      <c r="C479" s="11">
        <v>0.3</v>
      </c>
      <c r="D479" s="13">
        <v>123.29</v>
      </c>
      <c r="E479" s="13">
        <v>91.11</v>
      </c>
      <c r="F479" s="13">
        <v>1.35</v>
      </c>
      <c r="G479" s="11">
        <v>0.6</v>
      </c>
      <c r="H479" s="13">
        <v>246.58</v>
      </c>
      <c r="I479" s="13">
        <v>182.21</v>
      </c>
      <c r="J479" s="13">
        <v>1.35</v>
      </c>
      <c r="K479" s="11">
        <v>4.5</v>
      </c>
      <c r="L479" s="16">
        <v>1849.32</v>
      </c>
      <c r="M479" s="16">
        <v>1366.61</v>
      </c>
      <c r="N479" s="13">
        <v>1.35</v>
      </c>
      <c r="O479" s="11">
        <v>5.4</v>
      </c>
      <c r="P479" s="16">
        <v>2219.1799999999998</v>
      </c>
      <c r="Q479" s="16">
        <v>1639.93</v>
      </c>
      <c r="R479" s="13">
        <v>1.35</v>
      </c>
      <c r="S479" s="11">
        <v>3.6</v>
      </c>
      <c r="T479" s="16">
        <v>1479.46</v>
      </c>
      <c r="U479" s="16">
        <v>1093.28</v>
      </c>
      <c r="V479" s="13">
        <v>1.35</v>
      </c>
      <c r="W479" s="11">
        <v>2.4</v>
      </c>
      <c r="X479" s="17">
        <v>986.3</v>
      </c>
      <c r="Y479" s="13">
        <v>728.86</v>
      </c>
      <c r="Z479" s="13">
        <v>1.35</v>
      </c>
      <c r="AA479" s="11">
        <v>2</v>
      </c>
      <c r="AB479" s="13">
        <v>821.92</v>
      </c>
      <c r="AC479" s="13">
        <v>607.38</v>
      </c>
      <c r="AD479" s="13">
        <v>1.35</v>
      </c>
      <c r="AE479" s="11">
        <v>0.2</v>
      </c>
      <c r="AF479" s="13">
        <v>82.19</v>
      </c>
      <c r="AG479" s="13">
        <v>60.74</v>
      </c>
      <c r="AH479" s="13">
        <v>1.35</v>
      </c>
      <c r="AI479" s="11">
        <v>0.2</v>
      </c>
      <c r="AJ479" s="13">
        <v>82.19</v>
      </c>
      <c r="AK479" s="13">
        <v>60.74</v>
      </c>
      <c r="AL479" s="13">
        <v>1.35</v>
      </c>
      <c r="AM479" s="11">
        <v>0.2</v>
      </c>
      <c r="AN479" s="13">
        <v>82.19</v>
      </c>
      <c r="AO479" s="13">
        <v>60.74</v>
      </c>
      <c r="AP479" s="13">
        <v>1.35</v>
      </c>
      <c r="AQ479" s="11">
        <v>0.3</v>
      </c>
      <c r="AR479" s="13">
        <v>123.29</v>
      </c>
      <c r="AS479" s="13">
        <v>91.11</v>
      </c>
      <c r="AT479" s="13">
        <v>1.35</v>
      </c>
      <c r="AU479" s="11">
        <v>0.3</v>
      </c>
      <c r="AV479" s="13">
        <v>123.29</v>
      </c>
      <c r="AW479" s="13">
        <v>91.11</v>
      </c>
      <c r="AX479" s="13">
        <v>1.35</v>
      </c>
      <c r="AY479" s="11">
        <v>20</v>
      </c>
      <c r="AZ479" s="12">
        <v>8219.2000000000007</v>
      </c>
      <c r="BA479" s="16">
        <v>6073.82</v>
      </c>
      <c r="BB479" s="13">
        <v>1.35</v>
      </c>
    </row>
    <row r="480" spans="1:54" x14ac:dyDescent="0.25">
      <c r="A480" s="10" t="s">
        <v>144</v>
      </c>
      <c r="B480" s="10" t="s">
        <v>333</v>
      </c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1">
        <v>20</v>
      </c>
      <c r="P480" s="12">
        <v>6192.4</v>
      </c>
      <c r="Q480" s="15">
        <v>4210</v>
      </c>
      <c r="R480" s="13">
        <v>1.47</v>
      </c>
      <c r="S480" s="11">
        <v>20</v>
      </c>
      <c r="T480" s="12">
        <v>6192.4</v>
      </c>
      <c r="U480" s="15">
        <v>4210</v>
      </c>
      <c r="V480" s="13">
        <v>1.47</v>
      </c>
      <c r="W480" s="11">
        <v>20</v>
      </c>
      <c r="X480" s="12">
        <v>6192.4</v>
      </c>
      <c r="Y480" s="15">
        <v>4210</v>
      </c>
      <c r="Z480" s="13">
        <v>1.47</v>
      </c>
      <c r="AA480" s="11">
        <v>20</v>
      </c>
      <c r="AB480" s="12">
        <v>6192.4</v>
      </c>
      <c r="AC480" s="15">
        <v>4210</v>
      </c>
      <c r="AD480" s="13">
        <v>1.47</v>
      </c>
      <c r="AE480" s="11">
        <v>20</v>
      </c>
      <c r="AF480" s="12">
        <v>6192.4</v>
      </c>
      <c r="AG480" s="15">
        <v>4210</v>
      </c>
      <c r="AH480" s="13">
        <v>1.47</v>
      </c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1">
        <v>100</v>
      </c>
      <c r="AZ480" s="15">
        <v>30962</v>
      </c>
      <c r="BA480" s="15">
        <v>21050</v>
      </c>
      <c r="BB480" s="13">
        <v>1.47</v>
      </c>
    </row>
    <row r="481" spans="1:54" x14ac:dyDescent="0.25">
      <c r="A481" s="10" t="s">
        <v>144</v>
      </c>
      <c r="B481" s="10" t="s">
        <v>334</v>
      </c>
      <c r="C481" s="14"/>
      <c r="D481" s="14"/>
      <c r="E481" s="14"/>
      <c r="F481" s="14"/>
      <c r="G481" s="14"/>
      <c r="H481" s="14"/>
      <c r="I481" s="14"/>
      <c r="J481" s="14"/>
      <c r="K481" s="11">
        <v>200</v>
      </c>
      <c r="L481" s="15">
        <v>2896</v>
      </c>
      <c r="M481" s="15">
        <v>2052</v>
      </c>
      <c r="N481" s="13">
        <v>1.41</v>
      </c>
      <c r="O481" s="11">
        <v>700</v>
      </c>
      <c r="P481" s="15">
        <v>10136</v>
      </c>
      <c r="Q481" s="15">
        <v>7182</v>
      </c>
      <c r="R481" s="13">
        <v>1.41</v>
      </c>
      <c r="S481" s="11">
        <v>700</v>
      </c>
      <c r="T481" s="15">
        <v>10136</v>
      </c>
      <c r="U481" s="15">
        <v>7182</v>
      </c>
      <c r="V481" s="13">
        <v>1.41</v>
      </c>
      <c r="W481" s="11">
        <v>400</v>
      </c>
      <c r="X481" s="15">
        <v>5792</v>
      </c>
      <c r="Y481" s="15">
        <v>4104</v>
      </c>
      <c r="Z481" s="13">
        <v>1.41</v>
      </c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8">
        <v>2000</v>
      </c>
      <c r="AZ481" s="15">
        <v>28960</v>
      </c>
      <c r="BA481" s="15">
        <v>20520</v>
      </c>
      <c r="BB481" s="13">
        <v>1.41</v>
      </c>
    </row>
    <row r="482" spans="1:54" x14ac:dyDescent="0.25">
      <c r="A482" s="10" t="s">
        <v>144</v>
      </c>
      <c r="B482" s="10" t="s">
        <v>350</v>
      </c>
      <c r="C482" s="11">
        <v>125</v>
      </c>
      <c r="D482" s="16">
        <v>9986.25</v>
      </c>
      <c r="E482" s="16">
        <v>7071.25</v>
      </c>
      <c r="F482" s="13">
        <v>1.41</v>
      </c>
      <c r="G482" s="11">
        <v>125</v>
      </c>
      <c r="H482" s="16">
        <v>9986.25</v>
      </c>
      <c r="I482" s="16">
        <v>7071.25</v>
      </c>
      <c r="J482" s="13">
        <v>1.41</v>
      </c>
      <c r="K482" s="11">
        <v>125</v>
      </c>
      <c r="L482" s="16">
        <v>9986.25</v>
      </c>
      <c r="M482" s="16">
        <v>7071.25</v>
      </c>
      <c r="N482" s="13">
        <v>1.41</v>
      </c>
      <c r="O482" s="11">
        <v>125</v>
      </c>
      <c r="P482" s="16">
        <v>9986.25</v>
      </c>
      <c r="Q482" s="16">
        <v>7071.25</v>
      </c>
      <c r="R482" s="13">
        <v>1.41</v>
      </c>
      <c r="S482" s="11">
        <v>125</v>
      </c>
      <c r="T482" s="16">
        <v>9986.25</v>
      </c>
      <c r="U482" s="16">
        <v>7071.25</v>
      </c>
      <c r="V482" s="13">
        <v>1.41</v>
      </c>
      <c r="W482" s="11">
        <v>125</v>
      </c>
      <c r="X482" s="16">
        <v>9986.25</v>
      </c>
      <c r="Y482" s="16">
        <v>7071.25</v>
      </c>
      <c r="Z482" s="13">
        <v>1.41</v>
      </c>
      <c r="AA482" s="11">
        <v>125</v>
      </c>
      <c r="AB482" s="16">
        <v>9986.25</v>
      </c>
      <c r="AC482" s="16">
        <v>7071.25</v>
      </c>
      <c r="AD482" s="13">
        <v>1.41</v>
      </c>
      <c r="AE482" s="11">
        <v>125</v>
      </c>
      <c r="AF482" s="16">
        <v>9986.25</v>
      </c>
      <c r="AG482" s="16">
        <v>7071.25</v>
      </c>
      <c r="AH482" s="13">
        <v>1.41</v>
      </c>
      <c r="AI482" s="11">
        <v>125</v>
      </c>
      <c r="AJ482" s="16">
        <v>9986.25</v>
      </c>
      <c r="AK482" s="16">
        <v>7071.25</v>
      </c>
      <c r="AL482" s="13">
        <v>1.41</v>
      </c>
      <c r="AM482" s="11">
        <v>125</v>
      </c>
      <c r="AN482" s="16">
        <v>9986.25</v>
      </c>
      <c r="AO482" s="16">
        <v>7071.25</v>
      </c>
      <c r="AP482" s="13">
        <v>1.41</v>
      </c>
      <c r="AQ482" s="11">
        <v>125</v>
      </c>
      <c r="AR482" s="16">
        <v>9986.25</v>
      </c>
      <c r="AS482" s="16">
        <v>7071.25</v>
      </c>
      <c r="AT482" s="13">
        <v>1.41</v>
      </c>
      <c r="AU482" s="11">
        <v>125</v>
      </c>
      <c r="AV482" s="16">
        <v>9986.25</v>
      </c>
      <c r="AW482" s="16">
        <v>7071.25</v>
      </c>
      <c r="AX482" s="13">
        <v>1.41</v>
      </c>
      <c r="AY482" s="18">
        <v>1500</v>
      </c>
      <c r="AZ482" s="15">
        <v>119835</v>
      </c>
      <c r="BA482" s="15">
        <v>84855</v>
      </c>
      <c r="BB482" s="13">
        <v>1.41</v>
      </c>
    </row>
    <row r="483" spans="1:54" x14ac:dyDescent="0.25">
      <c r="A483" s="10" t="s">
        <v>144</v>
      </c>
      <c r="B483" s="10" t="s">
        <v>351</v>
      </c>
      <c r="C483" s="11">
        <v>40</v>
      </c>
      <c r="D483" s="12">
        <v>2383.6</v>
      </c>
      <c r="E483" s="15">
        <v>1688</v>
      </c>
      <c r="F483" s="13">
        <v>1.41</v>
      </c>
      <c r="G483" s="11">
        <v>40</v>
      </c>
      <c r="H483" s="12">
        <v>2383.6</v>
      </c>
      <c r="I483" s="15">
        <v>1688</v>
      </c>
      <c r="J483" s="13">
        <v>1.41</v>
      </c>
      <c r="K483" s="11">
        <v>40</v>
      </c>
      <c r="L483" s="12">
        <v>2383.6</v>
      </c>
      <c r="M483" s="15">
        <v>1688</v>
      </c>
      <c r="N483" s="13">
        <v>1.41</v>
      </c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1">
        <v>120</v>
      </c>
      <c r="AF483" s="12">
        <v>7150.8</v>
      </c>
      <c r="AG483" s="15">
        <v>5064</v>
      </c>
      <c r="AH483" s="13">
        <v>1.41</v>
      </c>
      <c r="AI483" s="11">
        <v>160</v>
      </c>
      <c r="AJ483" s="12">
        <v>9534.4</v>
      </c>
      <c r="AK483" s="15">
        <v>6752</v>
      </c>
      <c r="AL483" s="13">
        <v>1.41</v>
      </c>
      <c r="AM483" s="11">
        <v>120</v>
      </c>
      <c r="AN483" s="12">
        <v>7150.8</v>
      </c>
      <c r="AO483" s="15">
        <v>5064</v>
      </c>
      <c r="AP483" s="13">
        <v>1.41</v>
      </c>
      <c r="AQ483" s="11">
        <v>160</v>
      </c>
      <c r="AR483" s="12">
        <v>9534.4</v>
      </c>
      <c r="AS483" s="15">
        <v>6752</v>
      </c>
      <c r="AT483" s="13">
        <v>1.41</v>
      </c>
      <c r="AU483" s="11">
        <v>120</v>
      </c>
      <c r="AV483" s="12">
        <v>7150.8</v>
      </c>
      <c r="AW483" s="15">
        <v>5064</v>
      </c>
      <c r="AX483" s="13">
        <v>1.41</v>
      </c>
      <c r="AY483" s="11">
        <v>800</v>
      </c>
      <c r="AZ483" s="15">
        <v>47672</v>
      </c>
      <c r="BA483" s="15">
        <v>33760</v>
      </c>
      <c r="BB483" s="13">
        <v>1.41</v>
      </c>
    </row>
    <row r="484" spans="1:54" x14ac:dyDescent="0.25">
      <c r="A484" s="10" t="s">
        <v>144</v>
      </c>
      <c r="B484" s="10" t="s">
        <v>352</v>
      </c>
      <c r="C484" s="11">
        <v>20</v>
      </c>
      <c r="D484" s="15">
        <v>1263</v>
      </c>
      <c r="E484" s="17">
        <v>894.4</v>
      </c>
      <c r="F484" s="13">
        <v>1.41</v>
      </c>
      <c r="G484" s="11">
        <v>20</v>
      </c>
      <c r="H484" s="15">
        <v>1263</v>
      </c>
      <c r="I484" s="17">
        <v>894.4</v>
      </c>
      <c r="J484" s="13">
        <v>1.41</v>
      </c>
      <c r="K484" s="11">
        <v>20</v>
      </c>
      <c r="L484" s="15">
        <v>1263</v>
      </c>
      <c r="M484" s="17">
        <v>894.4</v>
      </c>
      <c r="N484" s="13">
        <v>1.41</v>
      </c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1">
        <v>60</v>
      </c>
      <c r="AF484" s="15">
        <v>3789</v>
      </c>
      <c r="AG484" s="12">
        <v>2683.2</v>
      </c>
      <c r="AH484" s="13">
        <v>1.41</v>
      </c>
      <c r="AI484" s="11">
        <v>80</v>
      </c>
      <c r="AJ484" s="15">
        <v>5052</v>
      </c>
      <c r="AK484" s="12">
        <v>3577.6</v>
      </c>
      <c r="AL484" s="13">
        <v>1.41</v>
      </c>
      <c r="AM484" s="11">
        <v>60</v>
      </c>
      <c r="AN484" s="15">
        <v>3789</v>
      </c>
      <c r="AO484" s="12">
        <v>2683.2</v>
      </c>
      <c r="AP484" s="13">
        <v>1.41</v>
      </c>
      <c r="AQ484" s="11">
        <v>80</v>
      </c>
      <c r="AR484" s="15">
        <v>5052</v>
      </c>
      <c r="AS484" s="12">
        <v>3577.6</v>
      </c>
      <c r="AT484" s="13">
        <v>1.41</v>
      </c>
      <c r="AU484" s="11">
        <v>60</v>
      </c>
      <c r="AV484" s="15">
        <v>3789</v>
      </c>
      <c r="AW484" s="12">
        <v>2683.2</v>
      </c>
      <c r="AX484" s="13">
        <v>1.41</v>
      </c>
      <c r="AY484" s="11">
        <v>400</v>
      </c>
      <c r="AZ484" s="15">
        <v>25260</v>
      </c>
      <c r="BA484" s="15">
        <v>17888</v>
      </c>
      <c r="BB484" s="13">
        <v>1.41</v>
      </c>
    </row>
    <row r="485" spans="1:54" x14ac:dyDescent="0.25">
      <c r="A485" s="10" t="s">
        <v>144</v>
      </c>
      <c r="B485" s="10" t="s">
        <v>353</v>
      </c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1">
        <v>187.5</v>
      </c>
      <c r="AF485" s="16">
        <v>17671.88</v>
      </c>
      <c r="AG485" s="12">
        <v>12187.5</v>
      </c>
      <c r="AH485" s="13">
        <v>1.45</v>
      </c>
      <c r="AI485" s="11">
        <v>375</v>
      </c>
      <c r="AJ485" s="16">
        <v>35343.75</v>
      </c>
      <c r="AK485" s="15">
        <v>24375</v>
      </c>
      <c r="AL485" s="13">
        <v>1.45</v>
      </c>
      <c r="AM485" s="11">
        <v>375</v>
      </c>
      <c r="AN485" s="16">
        <v>35343.75</v>
      </c>
      <c r="AO485" s="15">
        <v>24375</v>
      </c>
      <c r="AP485" s="13">
        <v>1.45</v>
      </c>
      <c r="AQ485" s="11">
        <v>187.5</v>
      </c>
      <c r="AR485" s="16">
        <v>17671.88</v>
      </c>
      <c r="AS485" s="12">
        <v>12187.5</v>
      </c>
      <c r="AT485" s="13">
        <v>1.45</v>
      </c>
      <c r="AU485" s="11">
        <v>125</v>
      </c>
      <c r="AV485" s="16">
        <v>11781.25</v>
      </c>
      <c r="AW485" s="15">
        <v>8125</v>
      </c>
      <c r="AX485" s="13">
        <v>1.45</v>
      </c>
      <c r="AY485" s="18">
        <v>1250</v>
      </c>
      <c r="AZ485" s="16">
        <v>117812.51</v>
      </c>
      <c r="BA485" s="15">
        <v>81250</v>
      </c>
      <c r="BB485" s="13">
        <v>1.45</v>
      </c>
    </row>
    <row r="486" spans="1:54" x14ac:dyDescent="0.25">
      <c r="A486" s="10" t="s">
        <v>144</v>
      </c>
      <c r="B486" s="10" t="s">
        <v>354</v>
      </c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1">
        <v>187.5</v>
      </c>
      <c r="AF486" s="16">
        <v>20390.63</v>
      </c>
      <c r="AG486" s="12">
        <v>14062.5</v>
      </c>
      <c r="AH486" s="13">
        <v>1.45</v>
      </c>
      <c r="AI486" s="11">
        <v>375</v>
      </c>
      <c r="AJ486" s="16">
        <v>40781.25</v>
      </c>
      <c r="AK486" s="15">
        <v>28125</v>
      </c>
      <c r="AL486" s="13">
        <v>1.45</v>
      </c>
      <c r="AM486" s="11">
        <v>375</v>
      </c>
      <c r="AN486" s="16">
        <v>40781.25</v>
      </c>
      <c r="AO486" s="15">
        <v>28125</v>
      </c>
      <c r="AP486" s="13">
        <v>1.45</v>
      </c>
      <c r="AQ486" s="11">
        <v>187.5</v>
      </c>
      <c r="AR486" s="16">
        <v>20390.63</v>
      </c>
      <c r="AS486" s="12">
        <v>14062.5</v>
      </c>
      <c r="AT486" s="13">
        <v>1.45</v>
      </c>
      <c r="AU486" s="11">
        <v>125</v>
      </c>
      <c r="AV486" s="16">
        <v>13593.75</v>
      </c>
      <c r="AW486" s="15">
        <v>9375</v>
      </c>
      <c r="AX486" s="13">
        <v>1.45</v>
      </c>
      <c r="AY486" s="18">
        <v>1250</v>
      </c>
      <c r="AZ486" s="16">
        <v>135937.51</v>
      </c>
      <c r="BA486" s="15">
        <v>93750</v>
      </c>
      <c r="BB486" s="13">
        <v>1.45</v>
      </c>
    </row>
    <row r="487" spans="1:54" x14ac:dyDescent="0.25">
      <c r="A487" s="10" t="s">
        <v>144</v>
      </c>
      <c r="B487" s="10" t="s">
        <v>355</v>
      </c>
      <c r="C487" s="14"/>
      <c r="D487" s="14"/>
      <c r="E487" s="14"/>
      <c r="F487" s="14"/>
      <c r="G487" s="14"/>
      <c r="H487" s="14"/>
      <c r="I487" s="14"/>
      <c r="J487" s="14"/>
      <c r="K487" s="11">
        <v>78</v>
      </c>
      <c r="L487" s="16">
        <v>12430.86</v>
      </c>
      <c r="M487" s="16">
        <v>13198.38</v>
      </c>
      <c r="N487" s="13">
        <v>0.94</v>
      </c>
      <c r="O487" s="11">
        <v>132.6</v>
      </c>
      <c r="P487" s="16">
        <v>21132.46</v>
      </c>
      <c r="Q487" s="16">
        <v>22437.25</v>
      </c>
      <c r="R487" s="13">
        <v>0.94</v>
      </c>
      <c r="S487" s="11">
        <v>140.4</v>
      </c>
      <c r="T487" s="16">
        <v>22375.55</v>
      </c>
      <c r="U487" s="16">
        <v>23757.08</v>
      </c>
      <c r="V487" s="13">
        <v>0.94</v>
      </c>
      <c r="W487" s="11">
        <v>156</v>
      </c>
      <c r="X487" s="16">
        <v>24861.72</v>
      </c>
      <c r="Y487" s="16">
        <v>26396.76</v>
      </c>
      <c r="Z487" s="13">
        <v>0.94</v>
      </c>
      <c r="AA487" s="11">
        <v>187.2</v>
      </c>
      <c r="AB487" s="16">
        <v>29834.06</v>
      </c>
      <c r="AC487" s="16">
        <v>31676.11</v>
      </c>
      <c r="AD487" s="13">
        <v>0.94</v>
      </c>
      <c r="AE487" s="11">
        <v>54.6</v>
      </c>
      <c r="AF487" s="12">
        <v>8701.6</v>
      </c>
      <c r="AG487" s="16">
        <v>9238.8700000000008</v>
      </c>
      <c r="AH487" s="13">
        <v>0.94</v>
      </c>
      <c r="AI487" s="11">
        <v>15.6</v>
      </c>
      <c r="AJ487" s="16">
        <v>2486.17</v>
      </c>
      <c r="AK487" s="16">
        <v>2639.68</v>
      </c>
      <c r="AL487" s="13">
        <v>0.94</v>
      </c>
      <c r="AM487" s="11">
        <v>15.6</v>
      </c>
      <c r="AN487" s="16">
        <v>2486.17</v>
      </c>
      <c r="AO487" s="16">
        <v>2639.68</v>
      </c>
      <c r="AP487" s="13">
        <v>0.94</v>
      </c>
      <c r="AQ487" s="14"/>
      <c r="AR487" s="14"/>
      <c r="AS487" s="14"/>
      <c r="AT487" s="14"/>
      <c r="AU487" s="14"/>
      <c r="AV487" s="14"/>
      <c r="AW487" s="14"/>
      <c r="AX487" s="14"/>
      <c r="AY487" s="11">
        <v>780</v>
      </c>
      <c r="AZ487" s="16">
        <v>124308.59</v>
      </c>
      <c r="BA487" s="16">
        <v>131983.81</v>
      </c>
      <c r="BB487" s="13">
        <v>0.94</v>
      </c>
    </row>
    <row r="488" spans="1:54" x14ac:dyDescent="0.25">
      <c r="A488" s="10" t="s">
        <v>144</v>
      </c>
      <c r="B488" s="10" t="s">
        <v>356</v>
      </c>
      <c r="C488" s="14"/>
      <c r="D488" s="14"/>
      <c r="E488" s="14"/>
      <c r="F488" s="14"/>
      <c r="G488" s="14"/>
      <c r="H488" s="14"/>
      <c r="I488" s="14"/>
      <c r="J488" s="14"/>
      <c r="K488" s="11">
        <v>80</v>
      </c>
      <c r="L488" s="12">
        <v>14249.6</v>
      </c>
      <c r="M488" s="12">
        <v>14784.8</v>
      </c>
      <c r="N488" s="13">
        <v>0.96</v>
      </c>
      <c r="O488" s="11">
        <v>136</v>
      </c>
      <c r="P488" s="16">
        <v>24224.32</v>
      </c>
      <c r="Q488" s="16">
        <v>25134.16</v>
      </c>
      <c r="R488" s="13">
        <v>0.96</v>
      </c>
      <c r="S488" s="11">
        <v>144</v>
      </c>
      <c r="T488" s="16">
        <v>25649.279999999999</v>
      </c>
      <c r="U488" s="16">
        <v>26612.639999999999</v>
      </c>
      <c r="V488" s="13">
        <v>0.96</v>
      </c>
      <c r="W488" s="11">
        <v>160</v>
      </c>
      <c r="X488" s="12">
        <v>28499.200000000001</v>
      </c>
      <c r="Y488" s="12">
        <v>29569.599999999999</v>
      </c>
      <c r="Z488" s="13">
        <v>0.96</v>
      </c>
      <c r="AA488" s="11">
        <v>192</v>
      </c>
      <c r="AB488" s="16">
        <v>34199.040000000001</v>
      </c>
      <c r="AC488" s="16">
        <v>35483.519999999997</v>
      </c>
      <c r="AD488" s="13">
        <v>0.96</v>
      </c>
      <c r="AE488" s="11">
        <v>56</v>
      </c>
      <c r="AF488" s="16">
        <v>9974.7199999999993</v>
      </c>
      <c r="AG488" s="16">
        <v>10349.36</v>
      </c>
      <c r="AH488" s="13">
        <v>0.96</v>
      </c>
      <c r="AI488" s="11">
        <v>16</v>
      </c>
      <c r="AJ488" s="16">
        <v>2849.92</v>
      </c>
      <c r="AK488" s="16">
        <v>2956.96</v>
      </c>
      <c r="AL488" s="13">
        <v>0.96</v>
      </c>
      <c r="AM488" s="11">
        <v>16</v>
      </c>
      <c r="AN488" s="16">
        <v>2849.92</v>
      </c>
      <c r="AO488" s="16">
        <v>2956.96</v>
      </c>
      <c r="AP488" s="13">
        <v>0.96</v>
      </c>
      <c r="AQ488" s="14"/>
      <c r="AR488" s="14"/>
      <c r="AS488" s="14"/>
      <c r="AT488" s="14"/>
      <c r="AU488" s="14"/>
      <c r="AV488" s="14"/>
      <c r="AW488" s="14"/>
      <c r="AX488" s="14"/>
      <c r="AY488" s="11">
        <v>800</v>
      </c>
      <c r="AZ488" s="15">
        <v>142496</v>
      </c>
      <c r="BA488" s="15">
        <v>147848</v>
      </c>
      <c r="BB488" s="13">
        <v>0.96</v>
      </c>
    </row>
    <row r="489" spans="1:54" x14ac:dyDescent="0.25">
      <c r="A489" s="10" t="s">
        <v>144</v>
      </c>
      <c r="B489" s="10" t="s">
        <v>335</v>
      </c>
      <c r="C489" s="11">
        <v>40</v>
      </c>
      <c r="D489" s="17">
        <v>750.4</v>
      </c>
      <c r="E489" s="17">
        <v>531.20000000000005</v>
      </c>
      <c r="F489" s="13">
        <v>1.41</v>
      </c>
      <c r="G489" s="11">
        <v>40</v>
      </c>
      <c r="H489" s="17">
        <v>750.4</v>
      </c>
      <c r="I489" s="17">
        <v>531.20000000000005</v>
      </c>
      <c r="J489" s="13">
        <v>1.41</v>
      </c>
      <c r="K489" s="11">
        <v>40</v>
      </c>
      <c r="L489" s="17">
        <v>750.4</v>
      </c>
      <c r="M489" s="17">
        <v>531.20000000000005</v>
      </c>
      <c r="N489" s="13">
        <v>1.41</v>
      </c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1">
        <v>80</v>
      </c>
      <c r="AF489" s="12">
        <v>1500.8</v>
      </c>
      <c r="AG489" s="12">
        <v>1062.4000000000001</v>
      </c>
      <c r="AH489" s="13">
        <v>1.41</v>
      </c>
      <c r="AI489" s="11">
        <v>240</v>
      </c>
      <c r="AJ489" s="12">
        <v>4502.3999999999996</v>
      </c>
      <c r="AK489" s="12">
        <v>3187.2</v>
      </c>
      <c r="AL489" s="13">
        <v>1.41</v>
      </c>
      <c r="AM489" s="11">
        <v>240</v>
      </c>
      <c r="AN489" s="12">
        <v>4502.3999999999996</v>
      </c>
      <c r="AO489" s="12">
        <v>3187.2</v>
      </c>
      <c r="AP489" s="13">
        <v>1.41</v>
      </c>
      <c r="AQ489" s="11">
        <v>80</v>
      </c>
      <c r="AR489" s="12">
        <v>1500.8</v>
      </c>
      <c r="AS489" s="12">
        <v>1062.4000000000001</v>
      </c>
      <c r="AT489" s="13">
        <v>1.41</v>
      </c>
      <c r="AU489" s="11">
        <v>40</v>
      </c>
      <c r="AV489" s="17">
        <v>750.4</v>
      </c>
      <c r="AW489" s="17">
        <v>531.20000000000005</v>
      </c>
      <c r="AX489" s="13">
        <v>1.41</v>
      </c>
      <c r="AY489" s="11">
        <v>800</v>
      </c>
      <c r="AZ489" s="15">
        <v>15008</v>
      </c>
      <c r="BA489" s="15">
        <v>10624</v>
      </c>
      <c r="BB489" s="13">
        <v>1.41</v>
      </c>
    </row>
    <row r="490" spans="1:54" x14ac:dyDescent="0.25">
      <c r="A490" s="10" t="s">
        <v>144</v>
      </c>
      <c r="B490" s="10" t="s">
        <v>336</v>
      </c>
      <c r="C490" s="11">
        <v>100</v>
      </c>
      <c r="D490" s="15">
        <v>1616</v>
      </c>
      <c r="E490" s="15">
        <v>1145</v>
      </c>
      <c r="F490" s="13">
        <v>1.41</v>
      </c>
      <c r="G490" s="11">
        <v>100</v>
      </c>
      <c r="H490" s="15">
        <v>1616</v>
      </c>
      <c r="I490" s="15">
        <v>1145</v>
      </c>
      <c r="J490" s="13">
        <v>1.41</v>
      </c>
      <c r="K490" s="11">
        <v>100</v>
      </c>
      <c r="L490" s="15">
        <v>1616</v>
      </c>
      <c r="M490" s="15">
        <v>1145</v>
      </c>
      <c r="N490" s="13">
        <v>1.41</v>
      </c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1">
        <v>200</v>
      </c>
      <c r="AF490" s="15">
        <v>3232</v>
      </c>
      <c r="AG490" s="15">
        <v>2290</v>
      </c>
      <c r="AH490" s="13">
        <v>1.41</v>
      </c>
      <c r="AI490" s="11">
        <v>600</v>
      </c>
      <c r="AJ490" s="15">
        <v>9696</v>
      </c>
      <c r="AK490" s="15">
        <v>6870</v>
      </c>
      <c r="AL490" s="13">
        <v>1.41</v>
      </c>
      <c r="AM490" s="11">
        <v>600</v>
      </c>
      <c r="AN490" s="15">
        <v>9696</v>
      </c>
      <c r="AO490" s="15">
        <v>6870</v>
      </c>
      <c r="AP490" s="13">
        <v>1.41</v>
      </c>
      <c r="AQ490" s="11">
        <v>200</v>
      </c>
      <c r="AR490" s="15">
        <v>3232</v>
      </c>
      <c r="AS490" s="15">
        <v>2290</v>
      </c>
      <c r="AT490" s="13">
        <v>1.41</v>
      </c>
      <c r="AU490" s="11">
        <v>100</v>
      </c>
      <c r="AV490" s="15">
        <v>1616</v>
      </c>
      <c r="AW490" s="15">
        <v>1145</v>
      </c>
      <c r="AX490" s="13">
        <v>1.41</v>
      </c>
      <c r="AY490" s="18">
        <v>2000</v>
      </c>
      <c r="AZ490" s="15">
        <v>32320</v>
      </c>
      <c r="BA490" s="15">
        <v>22900</v>
      </c>
      <c r="BB490" s="13">
        <v>1.41</v>
      </c>
    </row>
    <row r="491" spans="1:54" x14ac:dyDescent="0.25">
      <c r="A491" s="10" t="s">
        <v>144</v>
      </c>
      <c r="B491" s="10" t="s">
        <v>337</v>
      </c>
      <c r="C491" s="14"/>
      <c r="D491" s="14"/>
      <c r="E491" s="14"/>
      <c r="F491" s="14"/>
      <c r="G491" s="14"/>
      <c r="H491" s="14"/>
      <c r="I491" s="14"/>
      <c r="J491" s="14"/>
      <c r="K491" s="11">
        <v>160</v>
      </c>
      <c r="L491" s="12">
        <v>56998.400000000001</v>
      </c>
      <c r="M491" s="12">
        <v>28062.400000000001</v>
      </c>
      <c r="N491" s="13">
        <v>2.0299999999999998</v>
      </c>
      <c r="O491" s="11">
        <v>272</v>
      </c>
      <c r="P491" s="16">
        <v>96897.279999999999</v>
      </c>
      <c r="Q491" s="16">
        <v>47706.080000000002</v>
      </c>
      <c r="R491" s="13">
        <v>2.0299999999999998</v>
      </c>
      <c r="S491" s="11">
        <v>288</v>
      </c>
      <c r="T491" s="16">
        <v>102597.12</v>
      </c>
      <c r="U491" s="16">
        <v>50512.32</v>
      </c>
      <c r="V491" s="13">
        <v>2.0299999999999998</v>
      </c>
      <c r="W491" s="11">
        <v>320</v>
      </c>
      <c r="X491" s="12">
        <v>113996.8</v>
      </c>
      <c r="Y491" s="12">
        <v>56124.800000000003</v>
      </c>
      <c r="Z491" s="13">
        <v>2.0299999999999998</v>
      </c>
      <c r="AA491" s="11">
        <v>384</v>
      </c>
      <c r="AB491" s="16">
        <v>136796.16</v>
      </c>
      <c r="AC491" s="16">
        <v>67349.759999999995</v>
      </c>
      <c r="AD491" s="13">
        <v>2.0299999999999998</v>
      </c>
      <c r="AE491" s="11">
        <v>112</v>
      </c>
      <c r="AF491" s="16">
        <v>39898.879999999997</v>
      </c>
      <c r="AG491" s="16">
        <v>19643.68</v>
      </c>
      <c r="AH491" s="13">
        <v>2.0299999999999998</v>
      </c>
      <c r="AI491" s="11">
        <v>32</v>
      </c>
      <c r="AJ491" s="16">
        <v>11399.68</v>
      </c>
      <c r="AK491" s="16">
        <v>5612.48</v>
      </c>
      <c r="AL491" s="13">
        <v>2.0299999999999998</v>
      </c>
      <c r="AM491" s="11">
        <v>32</v>
      </c>
      <c r="AN491" s="16">
        <v>11399.68</v>
      </c>
      <c r="AO491" s="16">
        <v>5612.48</v>
      </c>
      <c r="AP491" s="13">
        <v>2.0299999999999998</v>
      </c>
      <c r="AQ491" s="14"/>
      <c r="AR491" s="14"/>
      <c r="AS491" s="14"/>
      <c r="AT491" s="14"/>
      <c r="AU491" s="14"/>
      <c r="AV491" s="14"/>
      <c r="AW491" s="14"/>
      <c r="AX491" s="14"/>
      <c r="AY491" s="18">
        <v>1600</v>
      </c>
      <c r="AZ491" s="15">
        <v>569984</v>
      </c>
      <c r="BA491" s="15">
        <v>280624</v>
      </c>
      <c r="BB491" s="13">
        <v>2.0299999999999998</v>
      </c>
    </row>
    <row r="492" spans="1:54" x14ac:dyDescent="0.25">
      <c r="A492" s="10" t="s">
        <v>144</v>
      </c>
      <c r="B492" s="10" t="s">
        <v>338</v>
      </c>
      <c r="C492" s="14"/>
      <c r="D492" s="14"/>
      <c r="E492" s="14"/>
      <c r="F492" s="14"/>
      <c r="G492" s="14"/>
      <c r="H492" s="14"/>
      <c r="I492" s="14"/>
      <c r="J492" s="14"/>
      <c r="K492" s="11">
        <v>400</v>
      </c>
      <c r="L492" s="15">
        <v>149996</v>
      </c>
      <c r="M492" s="15">
        <v>74248</v>
      </c>
      <c r="N492" s="13">
        <v>2.02</v>
      </c>
      <c r="O492" s="11">
        <v>680</v>
      </c>
      <c r="P492" s="12">
        <v>254993.2</v>
      </c>
      <c r="Q492" s="12">
        <v>126221.6</v>
      </c>
      <c r="R492" s="13">
        <v>2.02</v>
      </c>
      <c r="S492" s="11">
        <v>720</v>
      </c>
      <c r="T492" s="12">
        <v>269992.8</v>
      </c>
      <c r="U492" s="12">
        <v>133646.39999999999</v>
      </c>
      <c r="V492" s="13">
        <v>2.02</v>
      </c>
      <c r="W492" s="11">
        <v>800</v>
      </c>
      <c r="X492" s="15">
        <v>299992</v>
      </c>
      <c r="Y492" s="15">
        <v>148496</v>
      </c>
      <c r="Z492" s="13">
        <v>2.02</v>
      </c>
      <c r="AA492" s="11">
        <v>960</v>
      </c>
      <c r="AB492" s="12">
        <v>359990.4</v>
      </c>
      <c r="AC492" s="12">
        <v>178195.20000000001</v>
      </c>
      <c r="AD492" s="13">
        <v>2.02</v>
      </c>
      <c r="AE492" s="11">
        <v>280</v>
      </c>
      <c r="AF492" s="12">
        <v>104997.2</v>
      </c>
      <c r="AG492" s="12">
        <v>51973.599999999999</v>
      </c>
      <c r="AH492" s="13">
        <v>2.02</v>
      </c>
      <c r="AI492" s="11">
        <v>80</v>
      </c>
      <c r="AJ492" s="12">
        <v>29999.200000000001</v>
      </c>
      <c r="AK492" s="12">
        <v>14849.6</v>
      </c>
      <c r="AL492" s="13">
        <v>2.02</v>
      </c>
      <c r="AM492" s="11">
        <v>80</v>
      </c>
      <c r="AN492" s="12">
        <v>29999.200000000001</v>
      </c>
      <c r="AO492" s="12">
        <v>14849.6</v>
      </c>
      <c r="AP492" s="13">
        <v>2.02</v>
      </c>
      <c r="AQ492" s="14"/>
      <c r="AR492" s="14"/>
      <c r="AS492" s="14"/>
      <c r="AT492" s="14"/>
      <c r="AU492" s="14"/>
      <c r="AV492" s="14"/>
      <c r="AW492" s="14"/>
      <c r="AX492" s="14"/>
      <c r="AY492" s="18">
        <v>4000</v>
      </c>
      <c r="AZ492" s="15">
        <v>1499960</v>
      </c>
      <c r="BA492" s="15">
        <v>742480</v>
      </c>
      <c r="BB492" s="13">
        <v>2.02</v>
      </c>
    </row>
    <row r="493" spans="1:54" x14ac:dyDescent="0.25">
      <c r="A493" s="10" t="s">
        <v>144</v>
      </c>
      <c r="B493" s="10" t="s">
        <v>339</v>
      </c>
      <c r="C493" s="14"/>
      <c r="D493" s="14"/>
      <c r="E493" s="14"/>
      <c r="F493" s="14"/>
      <c r="G493" s="14"/>
      <c r="H493" s="14"/>
      <c r="I493" s="14"/>
      <c r="J493" s="14"/>
      <c r="K493" s="11">
        <v>240</v>
      </c>
      <c r="L493" s="12">
        <v>101248.8</v>
      </c>
      <c r="M493" s="12">
        <v>49780.800000000003</v>
      </c>
      <c r="N493" s="13">
        <v>2.0299999999999998</v>
      </c>
      <c r="O493" s="11">
        <v>408</v>
      </c>
      <c r="P493" s="16">
        <v>172122.96</v>
      </c>
      <c r="Q493" s="16">
        <v>84627.36</v>
      </c>
      <c r="R493" s="13">
        <v>2.0299999999999998</v>
      </c>
      <c r="S493" s="11">
        <v>432</v>
      </c>
      <c r="T493" s="16">
        <v>182247.84</v>
      </c>
      <c r="U493" s="16">
        <v>89605.440000000002</v>
      </c>
      <c r="V493" s="13">
        <v>2.0299999999999998</v>
      </c>
      <c r="W493" s="11">
        <v>480</v>
      </c>
      <c r="X493" s="12">
        <v>202497.6</v>
      </c>
      <c r="Y493" s="12">
        <v>99561.600000000006</v>
      </c>
      <c r="Z493" s="13">
        <v>2.0299999999999998</v>
      </c>
      <c r="AA493" s="11">
        <v>576</v>
      </c>
      <c r="AB493" s="16">
        <v>242997.12</v>
      </c>
      <c r="AC493" s="16">
        <v>119473.92</v>
      </c>
      <c r="AD493" s="13">
        <v>2.0299999999999998</v>
      </c>
      <c r="AE493" s="11">
        <v>168</v>
      </c>
      <c r="AF493" s="16">
        <v>70874.16</v>
      </c>
      <c r="AG493" s="16">
        <v>34846.559999999998</v>
      </c>
      <c r="AH493" s="13">
        <v>2.0299999999999998</v>
      </c>
      <c r="AI493" s="11">
        <v>48</v>
      </c>
      <c r="AJ493" s="16">
        <v>20249.759999999998</v>
      </c>
      <c r="AK493" s="16">
        <v>9956.16</v>
      </c>
      <c r="AL493" s="13">
        <v>2.0299999999999998</v>
      </c>
      <c r="AM493" s="11">
        <v>48</v>
      </c>
      <c r="AN493" s="16">
        <v>20249.759999999998</v>
      </c>
      <c r="AO493" s="16">
        <v>9956.16</v>
      </c>
      <c r="AP493" s="13">
        <v>2.0299999999999998</v>
      </c>
      <c r="AQ493" s="14"/>
      <c r="AR493" s="14"/>
      <c r="AS493" s="14"/>
      <c r="AT493" s="14"/>
      <c r="AU493" s="14"/>
      <c r="AV493" s="14"/>
      <c r="AW493" s="14"/>
      <c r="AX493" s="14"/>
      <c r="AY493" s="18">
        <v>2400</v>
      </c>
      <c r="AZ493" s="15">
        <v>1012488</v>
      </c>
      <c r="BA493" s="15">
        <v>497808</v>
      </c>
      <c r="BB493" s="13">
        <v>2.0299999999999998</v>
      </c>
    </row>
    <row r="494" spans="1:54" x14ac:dyDescent="0.25">
      <c r="A494" s="10" t="s">
        <v>144</v>
      </c>
      <c r="B494" s="10" t="s">
        <v>357</v>
      </c>
      <c r="C494" s="14"/>
      <c r="D494" s="14"/>
      <c r="E494" s="14"/>
      <c r="F494" s="14"/>
      <c r="G494" s="14"/>
      <c r="H494" s="14"/>
      <c r="I494" s="14"/>
      <c r="J494" s="14"/>
      <c r="K494" s="11">
        <v>64</v>
      </c>
      <c r="L494" s="16">
        <v>14399.36</v>
      </c>
      <c r="M494" s="16">
        <v>7877.12</v>
      </c>
      <c r="N494" s="13">
        <v>1.83</v>
      </c>
      <c r="O494" s="11">
        <v>96</v>
      </c>
      <c r="P494" s="16">
        <v>21599.040000000001</v>
      </c>
      <c r="Q494" s="16">
        <v>11815.68</v>
      </c>
      <c r="R494" s="13">
        <v>1.83</v>
      </c>
      <c r="S494" s="11">
        <v>240</v>
      </c>
      <c r="T494" s="12">
        <v>53997.599999999999</v>
      </c>
      <c r="U494" s="12">
        <v>29539.200000000001</v>
      </c>
      <c r="V494" s="13">
        <v>1.83</v>
      </c>
      <c r="W494" s="11">
        <v>480</v>
      </c>
      <c r="X494" s="12">
        <v>107995.2</v>
      </c>
      <c r="Y494" s="12">
        <v>59078.400000000001</v>
      </c>
      <c r="Z494" s="13">
        <v>1.83</v>
      </c>
      <c r="AA494" s="11">
        <v>640</v>
      </c>
      <c r="AB494" s="12">
        <v>143993.60000000001</v>
      </c>
      <c r="AC494" s="12">
        <v>78771.199999999997</v>
      </c>
      <c r="AD494" s="13">
        <v>1.83</v>
      </c>
      <c r="AE494" s="11">
        <v>80</v>
      </c>
      <c r="AF494" s="12">
        <v>17999.2</v>
      </c>
      <c r="AG494" s="12">
        <v>9846.4</v>
      </c>
      <c r="AH494" s="13">
        <v>1.83</v>
      </c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8">
        <v>1600</v>
      </c>
      <c r="AZ494" s="15">
        <v>359984</v>
      </c>
      <c r="BA494" s="15">
        <v>196928</v>
      </c>
      <c r="BB494" s="13">
        <v>1.83</v>
      </c>
    </row>
    <row r="495" spans="1:54" x14ac:dyDescent="0.25">
      <c r="A495" s="10" t="s">
        <v>144</v>
      </c>
      <c r="B495" s="10" t="s">
        <v>358</v>
      </c>
      <c r="C495" s="14"/>
      <c r="D495" s="14"/>
      <c r="E495" s="14"/>
      <c r="F495" s="14"/>
      <c r="G495" s="14"/>
      <c r="H495" s="14"/>
      <c r="I495" s="14"/>
      <c r="J495" s="14"/>
      <c r="K495" s="11">
        <v>64</v>
      </c>
      <c r="L495" s="16">
        <v>16199.68</v>
      </c>
      <c r="M495" s="16">
        <v>8768.64</v>
      </c>
      <c r="N495" s="13">
        <v>1.85</v>
      </c>
      <c r="O495" s="11">
        <v>96</v>
      </c>
      <c r="P495" s="16">
        <v>24299.52</v>
      </c>
      <c r="Q495" s="16">
        <v>13152.96</v>
      </c>
      <c r="R495" s="13">
        <v>1.85</v>
      </c>
      <c r="S495" s="11">
        <v>240</v>
      </c>
      <c r="T495" s="12">
        <v>60748.800000000003</v>
      </c>
      <c r="U495" s="12">
        <v>32882.400000000001</v>
      </c>
      <c r="V495" s="13">
        <v>1.85</v>
      </c>
      <c r="W495" s="11">
        <v>480</v>
      </c>
      <c r="X495" s="12">
        <v>121497.60000000001</v>
      </c>
      <c r="Y495" s="12">
        <v>65764.800000000003</v>
      </c>
      <c r="Z495" s="13">
        <v>1.85</v>
      </c>
      <c r="AA495" s="11">
        <v>640</v>
      </c>
      <c r="AB495" s="12">
        <v>161996.79999999999</v>
      </c>
      <c r="AC495" s="12">
        <v>87686.399999999994</v>
      </c>
      <c r="AD495" s="13">
        <v>1.85</v>
      </c>
      <c r="AE495" s="11">
        <v>80</v>
      </c>
      <c r="AF495" s="12">
        <v>20249.599999999999</v>
      </c>
      <c r="AG495" s="12">
        <v>10960.8</v>
      </c>
      <c r="AH495" s="13">
        <v>1.85</v>
      </c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8">
        <v>1600</v>
      </c>
      <c r="AZ495" s="15">
        <v>404992</v>
      </c>
      <c r="BA495" s="15">
        <v>219216</v>
      </c>
      <c r="BB495" s="13">
        <v>1.85</v>
      </c>
    </row>
    <row r="496" spans="1:54" x14ac:dyDescent="0.25">
      <c r="A496" s="10" t="s">
        <v>144</v>
      </c>
      <c r="B496" s="10" t="s">
        <v>359</v>
      </c>
      <c r="C496" s="14"/>
      <c r="D496" s="14"/>
      <c r="E496" s="14"/>
      <c r="F496" s="14"/>
      <c r="G496" s="14"/>
      <c r="H496" s="14"/>
      <c r="I496" s="14"/>
      <c r="J496" s="14"/>
      <c r="K496" s="11">
        <v>32</v>
      </c>
      <c r="L496" s="16">
        <v>11999.68</v>
      </c>
      <c r="M496" s="16">
        <v>6333.44</v>
      </c>
      <c r="N496" s="13">
        <v>1.89</v>
      </c>
      <c r="O496" s="11">
        <v>48</v>
      </c>
      <c r="P496" s="16">
        <v>17999.52</v>
      </c>
      <c r="Q496" s="16">
        <v>9500.16</v>
      </c>
      <c r="R496" s="13">
        <v>1.89</v>
      </c>
      <c r="S496" s="11">
        <v>120</v>
      </c>
      <c r="T496" s="12">
        <v>44998.8</v>
      </c>
      <c r="U496" s="12">
        <v>23750.400000000001</v>
      </c>
      <c r="V496" s="13">
        <v>1.89</v>
      </c>
      <c r="W496" s="11">
        <v>240</v>
      </c>
      <c r="X496" s="12">
        <v>89997.6</v>
      </c>
      <c r="Y496" s="12">
        <v>47500.800000000003</v>
      </c>
      <c r="Z496" s="13">
        <v>1.89</v>
      </c>
      <c r="AA496" s="11">
        <v>320</v>
      </c>
      <c r="AB496" s="12">
        <v>119996.8</v>
      </c>
      <c r="AC496" s="12">
        <v>63334.400000000001</v>
      </c>
      <c r="AD496" s="13">
        <v>1.89</v>
      </c>
      <c r="AE496" s="11">
        <v>40</v>
      </c>
      <c r="AF496" s="12">
        <v>14999.6</v>
      </c>
      <c r="AG496" s="12">
        <v>7916.8</v>
      </c>
      <c r="AH496" s="13">
        <v>1.89</v>
      </c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1">
        <v>800</v>
      </c>
      <c r="AZ496" s="15">
        <v>299992</v>
      </c>
      <c r="BA496" s="15">
        <v>158336</v>
      </c>
      <c r="BB496" s="13">
        <v>1.89</v>
      </c>
    </row>
    <row r="497" spans="1:54" x14ac:dyDescent="0.25">
      <c r="A497" s="10" t="s">
        <v>144</v>
      </c>
      <c r="B497" s="10" t="s">
        <v>360</v>
      </c>
      <c r="C497" s="11">
        <v>0.75</v>
      </c>
      <c r="D497" s="13">
        <v>102.35</v>
      </c>
      <c r="E497" s="13">
        <v>66.91</v>
      </c>
      <c r="F497" s="13">
        <v>1.53</v>
      </c>
      <c r="G497" s="11">
        <v>1.5</v>
      </c>
      <c r="H497" s="13">
        <v>204.71</v>
      </c>
      <c r="I497" s="13">
        <v>133.82</v>
      </c>
      <c r="J497" s="13">
        <v>1.53</v>
      </c>
      <c r="K497" s="11">
        <v>11.25</v>
      </c>
      <c r="L497" s="16">
        <v>1535.29</v>
      </c>
      <c r="M497" s="16">
        <v>1003.61</v>
      </c>
      <c r="N497" s="13">
        <v>1.53</v>
      </c>
      <c r="O497" s="11">
        <v>13.5</v>
      </c>
      <c r="P497" s="16">
        <v>1842.35</v>
      </c>
      <c r="Q497" s="16">
        <v>1204.3399999999999</v>
      </c>
      <c r="R497" s="13">
        <v>1.53</v>
      </c>
      <c r="S497" s="11">
        <v>9</v>
      </c>
      <c r="T497" s="16">
        <v>1228.23</v>
      </c>
      <c r="U497" s="13">
        <v>802.89</v>
      </c>
      <c r="V497" s="13">
        <v>1.53</v>
      </c>
      <c r="W497" s="11">
        <v>6</v>
      </c>
      <c r="X497" s="13">
        <v>818.82</v>
      </c>
      <c r="Y497" s="13">
        <v>535.26</v>
      </c>
      <c r="Z497" s="13">
        <v>1.53</v>
      </c>
      <c r="AA497" s="11">
        <v>5</v>
      </c>
      <c r="AB497" s="13">
        <v>682.35</v>
      </c>
      <c r="AC497" s="13">
        <v>446.05</v>
      </c>
      <c r="AD497" s="13">
        <v>1.53</v>
      </c>
      <c r="AE497" s="11">
        <v>0.5</v>
      </c>
      <c r="AF497" s="13">
        <v>68.239999999999995</v>
      </c>
      <c r="AG497" s="13">
        <v>44.61</v>
      </c>
      <c r="AH497" s="13">
        <v>1.53</v>
      </c>
      <c r="AI497" s="11">
        <v>0.5</v>
      </c>
      <c r="AJ497" s="13">
        <v>68.239999999999995</v>
      </c>
      <c r="AK497" s="13">
        <v>44.61</v>
      </c>
      <c r="AL497" s="13">
        <v>1.53</v>
      </c>
      <c r="AM497" s="11">
        <v>0.5</v>
      </c>
      <c r="AN497" s="13">
        <v>68.239999999999995</v>
      </c>
      <c r="AO497" s="13">
        <v>44.61</v>
      </c>
      <c r="AP497" s="13">
        <v>1.53</v>
      </c>
      <c r="AQ497" s="11">
        <v>0.75</v>
      </c>
      <c r="AR497" s="13">
        <v>102.35</v>
      </c>
      <c r="AS497" s="13">
        <v>66.91</v>
      </c>
      <c r="AT497" s="13">
        <v>1.53</v>
      </c>
      <c r="AU497" s="11">
        <v>0.75</v>
      </c>
      <c r="AV497" s="13">
        <v>102.35</v>
      </c>
      <c r="AW497" s="13">
        <v>66.91</v>
      </c>
      <c r="AX497" s="13">
        <v>1.53</v>
      </c>
      <c r="AY497" s="11">
        <v>50</v>
      </c>
      <c r="AZ497" s="16">
        <v>6823.52</v>
      </c>
      <c r="BA497" s="16">
        <v>4460.53</v>
      </c>
      <c r="BB497" s="13">
        <v>1.53</v>
      </c>
    </row>
    <row r="498" spans="1:54" x14ac:dyDescent="0.25">
      <c r="A498" s="10" t="s">
        <v>144</v>
      </c>
      <c r="B498" s="10" t="s">
        <v>361</v>
      </c>
      <c r="C498" s="11">
        <v>1.5</v>
      </c>
      <c r="D498" s="13">
        <v>214.85</v>
      </c>
      <c r="E498" s="13">
        <v>140.44999999999999</v>
      </c>
      <c r="F498" s="13">
        <v>1.53</v>
      </c>
      <c r="G498" s="11">
        <v>3</v>
      </c>
      <c r="H498" s="13">
        <v>429.69</v>
      </c>
      <c r="I498" s="13">
        <v>280.89</v>
      </c>
      <c r="J498" s="13">
        <v>1.53</v>
      </c>
      <c r="K498" s="11">
        <v>22.5</v>
      </c>
      <c r="L498" s="16">
        <v>3222.68</v>
      </c>
      <c r="M498" s="16">
        <v>2106.6799999999998</v>
      </c>
      <c r="N498" s="13">
        <v>1.53</v>
      </c>
      <c r="O498" s="11">
        <v>27</v>
      </c>
      <c r="P498" s="16">
        <v>3867.21</v>
      </c>
      <c r="Q498" s="16">
        <v>2528.0100000000002</v>
      </c>
      <c r="R498" s="13">
        <v>1.53</v>
      </c>
      <c r="S498" s="11">
        <v>18</v>
      </c>
      <c r="T498" s="16">
        <v>2578.14</v>
      </c>
      <c r="U498" s="16">
        <v>1685.34</v>
      </c>
      <c r="V498" s="13">
        <v>1.53</v>
      </c>
      <c r="W498" s="11">
        <v>12</v>
      </c>
      <c r="X498" s="16">
        <v>1718.76</v>
      </c>
      <c r="Y498" s="16">
        <v>1123.56</v>
      </c>
      <c r="Z498" s="13">
        <v>1.53</v>
      </c>
      <c r="AA498" s="11">
        <v>10</v>
      </c>
      <c r="AB498" s="12">
        <v>1432.3</v>
      </c>
      <c r="AC498" s="17">
        <v>936.3</v>
      </c>
      <c r="AD498" s="13">
        <v>1.53</v>
      </c>
      <c r="AE498" s="11">
        <v>1</v>
      </c>
      <c r="AF498" s="13">
        <v>143.22999999999999</v>
      </c>
      <c r="AG498" s="13">
        <v>93.63</v>
      </c>
      <c r="AH498" s="13">
        <v>1.53</v>
      </c>
      <c r="AI498" s="11">
        <v>1</v>
      </c>
      <c r="AJ498" s="13">
        <v>143.22999999999999</v>
      </c>
      <c r="AK498" s="13">
        <v>93.63</v>
      </c>
      <c r="AL498" s="13">
        <v>1.53</v>
      </c>
      <c r="AM498" s="11">
        <v>1</v>
      </c>
      <c r="AN498" s="13">
        <v>143.22999999999999</v>
      </c>
      <c r="AO498" s="13">
        <v>93.63</v>
      </c>
      <c r="AP498" s="13">
        <v>1.53</v>
      </c>
      <c r="AQ498" s="11">
        <v>1.5</v>
      </c>
      <c r="AR498" s="13">
        <v>214.85</v>
      </c>
      <c r="AS498" s="13">
        <v>140.44999999999999</v>
      </c>
      <c r="AT498" s="13">
        <v>1.53</v>
      </c>
      <c r="AU498" s="11">
        <v>1.5</v>
      </c>
      <c r="AV498" s="13">
        <v>214.85</v>
      </c>
      <c r="AW498" s="13">
        <v>140.44999999999999</v>
      </c>
      <c r="AX498" s="13">
        <v>1.53</v>
      </c>
      <c r="AY498" s="11">
        <v>100</v>
      </c>
      <c r="AZ498" s="16">
        <v>14323.02</v>
      </c>
      <c r="BA498" s="16">
        <v>9363.02</v>
      </c>
      <c r="BB498" s="13">
        <v>1.53</v>
      </c>
    </row>
    <row r="499" spans="1:54" x14ac:dyDescent="0.25">
      <c r="A499" s="10" t="s">
        <v>144</v>
      </c>
      <c r="B499" s="10" t="s">
        <v>340</v>
      </c>
      <c r="C499" s="11">
        <v>0.15</v>
      </c>
      <c r="D499" s="13">
        <v>80.73</v>
      </c>
      <c r="E499" s="13">
        <v>49.01</v>
      </c>
      <c r="F499" s="13">
        <v>1.65</v>
      </c>
      <c r="G499" s="11">
        <v>0.3</v>
      </c>
      <c r="H499" s="13">
        <v>161.46</v>
      </c>
      <c r="I499" s="13">
        <v>98.01</v>
      </c>
      <c r="J499" s="13">
        <v>1.65</v>
      </c>
      <c r="K499" s="11">
        <v>2.25</v>
      </c>
      <c r="L499" s="16">
        <v>1210.97</v>
      </c>
      <c r="M499" s="13">
        <v>735.08</v>
      </c>
      <c r="N499" s="13">
        <v>1.65</v>
      </c>
      <c r="O499" s="11">
        <v>2.7</v>
      </c>
      <c r="P499" s="16">
        <v>1453.17</v>
      </c>
      <c r="Q499" s="13">
        <v>882.09</v>
      </c>
      <c r="R499" s="13">
        <v>1.65</v>
      </c>
      <c r="S499" s="11">
        <v>1.8</v>
      </c>
      <c r="T499" s="13">
        <v>968.78</v>
      </c>
      <c r="U499" s="13">
        <v>588.05999999999995</v>
      </c>
      <c r="V499" s="13">
        <v>1.65</v>
      </c>
      <c r="W499" s="11">
        <v>1.2</v>
      </c>
      <c r="X499" s="13">
        <v>645.85</v>
      </c>
      <c r="Y499" s="13">
        <v>392.04</v>
      </c>
      <c r="Z499" s="13">
        <v>1.65</v>
      </c>
      <c r="AA499" s="11">
        <v>1</v>
      </c>
      <c r="AB499" s="13">
        <v>538.21</v>
      </c>
      <c r="AC499" s="17">
        <v>326.7</v>
      </c>
      <c r="AD499" s="13">
        <v>1.65</v>
      </c>
      <c r="AE499" s="11">
        <v>0.1</v>
      </c>
      <c r="AF499" s="13">
        <v>53.82</v>
      </c>
      <c r="AG499" s="13">
        <v>32.67</v>
      </c>
      <c r="AH499" s="13">
        <v>1.65</v>
      </c>
      <c r="AI499" s="11">
        <v>0.1</v>
      </c>
      <c r="AJ499" s="13">
        <v>53.82</v>
      </c>
      <c r="AK499" s="13">
        <v>32.67</v>
      </c>
      <c r="AL499" s="13">
        <v>1.65</v>
      </c>
      <c r="AM499" s="11">
        <v>0.1</v>
      </c>
      <c r="AN499" s="13">
        <v>53.82</v>
      </c>
      <c r="AO499" s="13">
        <v>32.67</v>
      </c>
      <c r="AP499" s="13">
        <v>1.65</v>
      </c>
      <c r="AQ499" s="11">
        <v>0.15</v>
      </c>
      <c r="AR499" s="13">
        <v>80.73</v>
      </c>
      <c r="AS499" s="13">
        <v>49.01</v>
      </c>
      <c r="AT499" s="13">
        <v>1.65</v>
      </c>
      <c r="AU499" s="11">
        <v>0.15</v>
      </c>
      <c r="AV499" s="13">
        <v>80.73</v>
      </c>
      <c r="AW499" s="13">
        <v>49.01</v>
      </c>
      <c r="AX499" s="13">
        <v>1.65</v>
      </c>
      <c r="AY499" s="11">
        <v>10</v>
      </c>
      <c r="AZ499" s="16">
        <v>5382.09</v>
      </c>
      <c r="BA499" s="16">
        <v>3267.02</v>
      </c>
      <c r="BB499" s="13">
        <v>1.65</v>
      </c>
    </row>
    <row r="500" spans="1:54" x14ac:dyDescent="0.25">
      <c r="A500" s="10" t="s">
        <v>144</v>
      </c>
      <c r="B500" s="10" t="s">
        <v>341</v>
      </c>
      <c r="C500" s="11">
        <v>0.3</v>
      </c>
      <c r="D500" s="13">
        <v>244.48</v>
      </c>
      <c r="E500" s="13">
        <v>159.82</v>
      </c>
      <c r="F500" s="13">
        <v>1.53</v>
      </c>
      <c r="G500" s="11">
        <v>0.6</v>
      </c>
      <c r="H500" s="13">
        <v>488.95</v>
      </c>
      <c r="I500" s="13">
        <v>319.63</v>
      </c>
      <c r="J500" s="13">
        <v>1.53</v>
      </c>
      <c r="K500" s="11">
        <v>4.5</v>
      </c>
      <c r="L500" s="16">
        <v>3667.14</v>
      </c>
      <c r="M500" s="16">
        <v>2397.2399999999998</v>
      </c>
      <c r="N500" s="13">
        <v>1.53</v>
      </c>
      <c r="O500" s="11">
        <v>5.4</v>
      </c>
      <c r="P500" s="16">
        <v>4400.57</v>
      </c>
      <c r="Q500" s="16">
        <v>2876.69</v>
      </c>
      <c r="R500" s="13">
        <v>1.53</v>
      </c>
      <c r="S500" s="11">
        <v>3.6</v>
      </c>
      <c r="T500" s="16">
        <v>2933.71</v>
      </c>
      <c r="U500" s="16">
        <v>1917.79</v>
      </c>
      <c r="V500" s="13">
        <v>1.53</v>
      </c>
      <c r="W500" s="11">
        <v>2.4</v>
      </c>
      <c r="X500" s="16">
        <v>1955.81</v>
      </c>
      <c r="Y500" s="16">
        <v>1278.53</v>
      </c>
      <c r="Z500" s="13">
        <v>1.53</v>
      </c>
      <c r="AA500" s="11">
        <v>2</v>
      </c>
      <c r="AB500" s="16">
        <v>1629.84</v>
      </c>
      <c r="AC500" s="16">
        <v>1065.44</v>
      </c>
      <c r="AD500" s="13">
        <v>1.53</v>
      </c>
      <c r="AE500" s="11">
        <v>0.2</v>
      </c>
      <c r="AF500" s="13">
        <v>162.97999999999999</v>
      </c>
      <c r="AG500" s="13">
        <v>106.54</v>
      </c>
      <c r="AH500" s="13">
        <v>1.53</v>
      </c>
      <c r="AI500" s="11">
        <v>0.2</v>
      </c>
      <c r="AJ500" s="13">
        <v>162.97999999999999</v>
      </c>
      <c r="AK500" s="13">
        <v>106.54</v>
      </c>
      <c r="AL500" s="13">
        <v>1.53</v>
      </c>
      <c r="AM500" s="11">
        <v>0.2</v>
      </c>
      <c r="AN500" s="13">
        <v>162.97999999999999</v>
      </c>
      <c r="AO500" s="13">
        <v>106.54</v>
      </c>
      <c r="AP500" s="13">
        <v>1.53</v>
      </c>
      <c r="AQ500" s="11">
        <v>0.3</v>
      </c>
      <c r="AR500" s="13">
        <v>244.48</v>
      </c>
      <c r="AS500" s="13">
        <v>159.82</v>
      </c>
      <c r="AT500" s="13">
        <v>1.53</v>
      </c>
      <c r="AU500" s="11">
        <v>0.3</v>
      </c>
      <c r="AV500" s="13">
        <v>244.48</v>
      </c>
      <c r="AW500" s="13">
        <v>159.82</v>
      </c>
      <c r="AX500" s="13">
        <v>1.53</v>
      </c>
      <c r="AY500" s="11">
        <v>20</v>
      </c>
      <c r="AZ500" s="12">
        <v>16298.4</v>
      </c>
      <c r="BA500" s="12">
        <v>10654.4</v>
      </c>
      <c r="BB500" s="13">
        <v>1.53</v>
      </c>
    </row>
    <row r="501" spans="1:54" x14ac:dyDescent="0.25">
      <c r="A501" s="10" t="s">
        <v>144</v>
      </c>
      <c r="B501" s="10" t="s">
        <v>342</v>
      </c>
      <c r="C501" s="11">
        <v>0.75</v>
      </c>
      <c r="D501" s="13">
        <v>418.66</v>
      </c>
      <c r="E501" s="13">
        <v>273.68</v>
      </c>
      <c r="F501" s="13">
        <v>1.53</v>
      </c>
      <c r="G501" s="11">
        <v>1.5</v>
      </c>
      <c r="H501" s="13">
        <v>837.32</v>
      </c>
      <c r="I501" s="13">
        <v>547.37</v>
      </c>
      <c r="J501" s="13">
        <v>1.53</v>
      </c>
      <c r="K501" s="11">
        <v>11.25</v>
      </c>
      <c r="L501" s="16">
        <v>6279.86</v>
      </c>
      <c r="M501" s="16">
        <v>4105.24</v>
      </c>
      <c r="N501" s="13">
        <v>1.53</v>
      </c>
      <c r="O501" s="11">
        <v>13.5</v>
      </c>
      <c r="P501" s="16">
        <v>7535.84</v>
      </c>
      <c r="Q501" s="16">
        <v>4926.29</v>
      </c>
      <c r="R501" s="13">
        <v>1.53</v>
      </c>
      <c r="S501" s="11">
        <v>9</v>
      </c>
      <c r="T501" s="16">
        <v>5023.8900000000003</v>
      </c>
      <c r="U501" s="16">
        <v>3284.19</v>
      </c>
      <c r="V501" s="13">
        <v>1.53</v>
      </c>
      <c r="W501" s="11">
        <v>6</v>
      </c>
      <c r="X501" s="16">
        <v>3349.26</v>
      </c>
      <c r="Y501" s="16">
        <v>2189.46</v>
      </c>
      <c r="Z501" s="13">
        <v>1.53</v>
      </c>
      <c r="AA501" s="11">
        <v>5</v>
      </c>
      <c r="AB501" s="16">
        <v>2791.05</v>
      </c>
      <c r="AC501" s="16">
        <v>1824.55</v>
      </c>
      <c r="AD501" s="13">
        <v>1.53</v>
      </c>
      <c r="AE501" s="11">
        <v>0.5</v>
      </c>
      <c r="AF501" s="13">
        <v>279.11</v>
      </c>
      <c r="AG501" s="13">
        <v>182.46</v>
      </c>
      <c r="AH501" s="13">
        <v>1.53</v>
      </c>
      <c r="AI501" s="11">
        <v>0.5</v>
      </c>
      <c r="AJ501" s="13">
        <v>279.11</v>
      </c>
      <c r="AK501" s="13">
        <v>182.46</v>
      </c>
      <c r="AL501" s="13">
        <v>1.53</v>
      </c>
      <c r="AM501" s="11">
        <v>0.5</v>
      </c>
      <c r="AN501" s="13">
        <v>279.11</v>
      </c>
      <c r="AO501" s="13">
        <v>182.46</v>
      </c>
      <c r="AP501" s="13">
        <v>1.53</v>
      </c>
      <c r="AQ501" s="11">
        <v>0.75</v>
      </c>
      <c r="AR501" s="13">
        <v>418.66</v>
      </c>
      <c r="AS501" s="13">
        <v>273.68</v>
      </c>
      <c r="AT501" s="13">
        <v>1.53</v>
      </c>
      <c r="AU501" s="11">
        <v>0.75</v>
      </c>
      <c r="AV501" s="13">
        <v>418.66</v>
      </c>
      <c r="AW501" s="13">
        <v>273.68</v>
      </c>
      <c r="AX501" s="13">
        <v>1.53</v>
      </c>
      <c r="AY501" s="11">
        <v>50</v>
      </c>
      <c r="AZ501" s="16">
        <v>27910.53</v>
      </c>
      <c r="BA501" s="16">
        <v>18245.52</v>
      </c>
      <c r="BB501" s="13">
        <v>1.53</v>
      </c>
    </row>
    <row r="502" spans="1:54" x14ac:dyDescent="0.25">
      <c r="A502" s="10" t="s">
        <v>144</v>
      </c>
      <c r="B502" s="10" t="s">
        <v>168</v>
      </c>
      <c r="C502" s="14"/>
      <c r="D502" s="14"/>
      <c r="E502" s="14"/>
      <c r="F502" s="14"/>
      <c r="G502" s="14"/>
      <c r="H502" s="14"/>
      <c r="I502" s="14"/>
      <c r="J502" s="14"/>
      <c r="K502" s="11">
        <v>55</v>
      </c>
      <c r="L502" s="12">
        <v>1402.5</v>
      </c>
      <c r="M502" s="19">
        <v>825</v>
      </c>
      <c r="N502" s="13">
        <v>1.7</v>
      </c>
      <c r="O502" s="11">
        <v>93.5</v>
      </c>
      <c r="P502" s="16">
        <v>2384.25</v>
      </c>
      <c r="Q502" s="12">
        <v>1402.5</v>
      </c>
      <c r="R502" s="13">
        <v>1.7</v>
      </c>
      <c r="S502" s="11">
        <v>99</v>
      </c>
      <c r="T502" s="12">
        <v>2524.5</v>
      </c>
      <c r="U502" s="15">
        <v>1485</v>
      </c>
      <c r="V502" s="13">
        <v>1.7</v>
      </c>
      <c r="W502" s="11">
        <v>110</v>
      </c>
      <c r="X502" s="15">
        <v>2805</v>
      </c>
      <c r="Y502" s="15">
        <v>1650</v>
      </c>
      <c r="Z502" s="13">
        <v>1.7</v>
      </c>
      <c r="AA502" s="11">
        <v>132</v>
      </c>
      <c r="AB502" s="15">
        <v>3366</v>
      </c>
      <c r="AC502" s="15">
        <v>1980</v>
      </c>
      <c r="AD502" s="13">
        <v>1.7</v>
      </c>
      <c r="AE502" s="11">
        <v>38.5</v>
      </c>
      <c r="AF502" s="13">
        <v>981.75</v>
      </c>
      <c r="AG502" s="17">
        <v>577.5</v>
      </c>
      <c r="AH502" s="13">
        <v>1.7</v>
      </c>
      <c r="AI502" s="11">
        <v>11</v>
      </c>
      <c r="AJ502" s="17">
        <v>280.5</v>
      </c>
      <c r="AK502" s="19">
        <v>165</v>
      </c>
      <c r="AL502" s="13">
        <v>1.7</v>
      </c>
      <c r="AM502" s="11">
        <v>11</v>
      </c>
      <c r="AN502" s="17">
        <v>280.5</v>
      </c>
      <c r="AO502" s="19">
        <v>165</v>
      </c>
      <c r="AP502" s="13">
        <v>1.7</v>
      </c>
      <c r="AQ502" s="14"/>
      <c r="AR502" s="14"/>
      <c r="AS502" s="14"/>
      <c r="AT502" s="14"/>
      <c r="AU502" s="14"/>
      <c r="AV502" s="14"/>
      <c r="AW502" s="14"/>
      <c r="AX502" s="14"/>
      <c r="AY502" s="11">
        <v>550</v>
      </c>
      <c r="AZ502" s="15">
        <v>14025</v>
      </c>
      <c r="BA502" s="15">
        <v>8250</v>
      </c>
      <c r="BB502" s="13">
        <v>1.7</v>
      </c>
    </row>
    <row r="503" spans="1:54" x14ac:dyDescent="0.25">
      <c r="A503" s="10" t="s">
        <v>144</v>
      </c>
      <c r="B503" s="10" t="s">
        <v>174</v>
      </c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1">
        <v>2</v>
      </c>
      <c r="T503" s="17">
        <v>173.4</v>
      </c>
      <c r="U503" s="19">
        <v>102</v>
      </c>
      <c r="V503" s="13">
        <v>1.7</v>
      </c>
      <c r="W503" s="11">
        <v>2</v>
      </c>
      <c r="X503" s="17">
        <v>173.4</v>
      </c>
      <c r="Y503" s="19">
        <v>102</v>
      </c>
      <c r="Z503" s="13">
        <v>1.7</v>
      </c>
      <c r="AA503" s="11">
        <v>2</v>
      </c>
      <c r="AB503" s="17">
        <v>173.4</v>
      </c>
      <c r="AC503" s="19">
        <v>102</v>
      </c>
      <c r="AD503" s="13">
        <v>1.7</v>
      </c>
      <c r="AE503" s="11">
        <v>2</v>
      </c>
      <c r="AF503" s="17">
        <v>173.4</v>
      </c>
      <c r="AG503" s="19">
        <v>102</v>
      </c>
      <c r="AH503" s="13">
        <v>1.7</v>
      </c>
      <c r="AI503" s="11">
        <v>2</v>
      </c>
      <c r="AJ503" s="17">
        <v>173.4</v>
      </c>
      <c r="AK503" s="19">
        <v>102</v>
      </c>
      <c r="AL503" s="13">
        <v>1.7</v>
      </c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1">
        <v>10</v>
      </c>
      <c r="AZ503" s="19">
        <v>867</v>
      </c>
      <c r="BA503" s="19">
        <v>510</v>
      </c>
      <c r="BB503" s="13">
        <v>1.7</v>
      </c>
    </row>
    <row r="504" spans="1:54" x14ac:dyDescent="0.25">
      <c r="A504" s="10" t="s">
        <v>144</v>
      </c>
      <c r="B504" s="10" t="s">
        <v>67</v>
      </c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1">
        <v>1</v>
      </c>
      <c r="P504" s="13">
        <v>461.38</v>
      </c>
      <c r="Q504" s="13">
        <v>318.19</v>
      </c>
      <c r="R504" s="13">
        <v>1.45</v>
      </c>
      <c r="S504" s="11">
        <v>3</v>
      </c>
      <c r="T504" s="16">
        <v>1384.14</v>
      </c>
      <c r="U504" s="13">
        <v>954.57</v>
      </c>
      <c r="V504" s="13">
        <v>1.45</v>
      </c>
      <c r="W504" s="11">
        <v>3</v>
      </c>
      <c r="X504" s="16">
        <v>1384.14</v>
      </c>
      <c r="Y504" s="13">
        <v>954.57</v>
      </c>
      <c r="Z504" s="13">
        <v>1.45</v>
      </c>
      <c r="AA504" s="11">
        <v>3</v>
      </c>
      <c r="AB504" s="16">
        <v>1384.14</v>
      </c>
      <c r="AC504" s="13">
        <v>954.57</v>
      </c>
      <c r="AD504" s="13">
        <v>1.45</v>
      </c>
      <c r="AE504" s="11">
        <v>3</v>
      </c>
      <c r="AF504" s="16">
        <v>1384.14</v>
      </c>
      <c r="AG504" s="13">
        <v>954.57</v>
      </c>
      <c r="AH504" s="13">
        <v>1.45</v>
      </c>
      <c r="AI504" s="11">
        <v>3</v>
      </c>
      <c r="AJ504" s="16">
        <v>1384.14</v>
      </c>
      <c r="AK504" s="13">
        <v>954.57</v>
      </c>
      <c r="AL504" s="13">
        <v>1.45</v>
      </c>
      <c r="AM504" s="11">
        <v>3</v>
      </c>
      <c r="AN504" s="16">
        <v>1384.14</v>
      </c>
      <c r="AO504" s="13">
        <v>954.57</v>
      </c>
      <c r="AP504" s="13">
        <v>1.45</v>
      </c>
      <c r="AQ504" s="11">
        <v>3</v>
      </c>
      <c r="AR504" s="16">
        <v>1384.14</v>
      </c>
      <c r="AS504" s="13">
        <v>954.57</v>
      </c>
      <c r="AT504" s="13">
        <v>1.45</v>
      </c>
      <c r="AU504" s="14"/>
      <c r="AV504" s="14"/>
      <c r="AW504" s="14"/>
      <c r="AX504" s="14"/>
      <c r="AY504" s="11">
        <v>22</v>
      </c>
      <c r="AZ504" s="16">
        <v>10150.36</v>
      </c>
      <c r="BA504" s="16">
        <v>7000.18</v>
      </c>
      <c r="BB504" s="13">
        <v>1.45</v>
      </c>
    </row>
    <row r="505" spans="1:54" x14ac:dyDescent="0.25">
      <c r="A505" s="10" t="s">
        <v>144</v>
      </c>
      <c r="B505" s="10" t="s">
        <v>72</v>
      </c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1">
        <v>3</v>
      </c>
      <c r="P505" s="13">
        <v>977.52</v>
      </c>
      <c r="Q505" s="13">
        <v>674.16</v>
      </c>
      <c r="R505" s="13">
        <v>1.45</v>
      </c>
      <c r="S505" s="11">
        <v>5</v>
      </c>
      <c r="T505" s="12">
        <v>1629.2</v>
      </c>
      <c r="U505" s="12">
        <v>1123.5999999999999</v>
      </c>
      <c r="V505" s="13">
        <v>1.45</v>
      </c>
      <c r="W505" s="11">
        <v>5</v>
      </c>
      <c r="X505" s="12">
        <v>1629.2</v>
      </c>
      <c r="Y505" s="12">
        <v>1123.5999999999999</v>
      </c>
      <c r="Z505" s="13">
        <v>1.45</v>
      </c>
      <c r="AA505" s="11">
        <v>50</v>
      </c>
      <c r="AB505" s="15">
        <v>16292</v>
      </c>
      <c r="AC505" s="15">
        <v>11236</v>
      </c>
      <c r="AD505" s="13">
        <v>1.45</v>
      </c>
      <c r="AE505" s="11">
        <v>50</v>
      </c>
      <c r="AF505" s="15">
        <v>16292</v>
      </c>
      <c r="AG505" s="15">
        <v>11236</v>
      </c>
      <c r="AH505" s="13">
        <v>1.45</v>
      </c>
      <c r="AI505" s="11">
        <v>5</v>
      </c>
      <c r="AJ505" s="12">
        <v>1629.2</v>
      </c>
      <c r="AK505" s="12">
        <v>1123.5999999999999</v>
      </c>
      <c r="AL505" s="13">
        <v>1.45</v>
      </c>
      <c r="AM505" s="11">
        <v>5</v>
      </c>
      <c r="AN505" s="12">
        <v>1629.2</v>
      </c>
      <c r="AO505" s="12">
        <v>1123.5999999999999</v>
      </c>
      <c r="AP505" s="13">
        <v>1.45</v>
      </c>
      <c r="AQ505" s="14"/>
      <c r="AR505" s="14"/>
      <c r="AS505" s="14"/>
      <c r="AT505" s="14"/>
      <c r="AU505" s="14"/>
      <c r="AV505" s="14"/>
      <c r="AW505" s="14"/>
      <c r="AX505" s="14"/>
      <c r="AY505" s="11">
        <v>123</v>
      </c>
      <c r="AZ505" s="16">
        <v>40078.32</v>
      </c>
      <c r="BA505" s="16">
        <v>27640.560000000001</v>
      </c>
      <c r="BB505" s="13">
        <v>1.45</v>
      </c>
    </row>
    <row r="506" spans="1:54" x14ac:dyDescent="0.25">
      <c r="A506" s="10" t="s">
        <v>144</v>
      </c>
      <c r="B506" s="10" t="s">
        <v>343</v>
      </c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1">
        <v>2</v>
      </c>
      <c r="P506" s="16">
        <v>1834.48</v>
      </c>
      <c r="Q506" s="12">
        <v>1154.8</v>
      </c>
      <c r="R506" s="13">
        <v>1.59</v>
      </c>
      <c r="S506" s="11">
        <v>2</v>
      </c>
      <c r="T506" s="16">
        <v>1834.48</v>
      </c>
      <c r="U506" s="12">
        <v>1154.8</v>
      </c>
      <c r="V506" s="13">
        <v>1.59</v>
      </c>
      <c r="W506" s="11">
        <v>2</v>
      </c>
      <c r="X506" s="16">
        <v>1834.48</v>
      </c>
      <c r="Y506" s="12">
        <v>1154.8</v>
      </c>
      <c r="Z506" s="13">
        <v>1.59</v>
      </c>
      <c r="AA506" s="11">
        <v>2</v>
      </c>
      <c r="AB506" s="16">
        <v>1834.48</v>
      </c>
      <c r="AC506" s="12">
        <v>1154.8</v>
      </c>
      <c r="AD506" s="13">
        <v>1.59</v>
      </c>
      <c r="AE506" s="11">
        <v>2</v>
      </c>
      <c r="AF506" s="16">
        <v>1834.48</v>
      </c>
      <c r="AG506" s="12">
        <v>1154.8</v>
      </c>
      <c r="AH506" s="13">
        <v>1.59</v>
      </c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1">
        <v>10</v>
      </c>
      <c r="AZ506" s="12">
        <v>9172.4</v>
      </c>
      <c r="BA506" s="15">
        <v>5774</v>
      </c>
      <c r="BB506" s="13">
        <v>1.59</v>
      </c>
    </row>
    <row r="507" spans="1:54" x14ac:dyDescent="0.25">
      <c r="A507" s="10" t="s">
        <v>144</v>
      </c>
      <c r="B507" s="10" t="s">
        <v>344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1">
        <v>5</v>
      </c>
      <c r="P507" s="12">
        <v>4636.2</v>
      </c>
      <c r="Q507" s="12">
        <v>2918.5</v>
      </c>
      <c r="R507" s="13">
        <v>1.59</v>
      </c>
      <c r="S507" s="11">
        <v>5</v>
      </c>
      <c r="T507" s="12">
        <v>4636.2</v>
      </c>
      <c r="U507" s="12">
        <v>2918.5</v>
      </c>
      <c r="V507" s="13">
        <v>1.59</v>
      </c>
      <c r="W507" s="11">
        <v>5</v>
      </c>
      <c r="X507" s="12">
        <v>4636.2</v>
      </c>
      <c r="Y507" s="12">
        <v>2918.5</v>
      </c>
      <c r="Z507" s="13">
        <v>1.59</v>
      </c>
      <c r="AA507" s="11">
        <v>5</v>
      </c>
      <c r="AB507" s="12">
        <v>4636.2</v>
      </c>
      <c r="AC507" s="12">
        <v>2918.5</v>
      </c>
      <c r="AD507" s="13">
        <v>1.59</v>
      </c>
      <c r="AE507" s="11">
        <v>5</v>
      </c>
      <c r="AF507" s="12">
        <v>4636.2</v>
      </c>
      <c r="AG507" s="12">
        <v>2918.5</v>
      </c>
      <c r="AH507" s="13">
        <v>1.59</v>
      </c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1">
        <v>25</v>
      </c>
      <c r="AZ507" s="15">
        <v>23181</v>
      </c>
      <c r="BA507" s="12">
        <v>14592.5</v>
      </c>
      <c r="BB507" s="13">
        <v>1.59</v>
      </c>
    </row>
    <row r="508" spans="1:54" x14ac:dyDescent="0.25">
      <c r="A508" s="10" t="s">
        <v>144</v>
      </c>
      <c r="B508" s="10" t="s">
        <v>345</v>
      </c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1">
        <v>5</v>
      </c>
      <c r="P508" s="16">
        <v>5334.85</v>
      </c>
      <c r="Q508" s="12">
        <v>3358.3</v>
      </c>
      <c r="R508" s="13">
        <v>1.59</v>
      </c>
      <c r="S508" s="11">
        <v>5</v>
      </c>
      <c r="T508" s="16">
        <v>5334.85</v>
      </c>
      <c r="U508" s="12">
        <v>3358.3</v>
      </c>
      <c r="V508" s="13">
        <v>1.59</v>
      </c>
      <c r="W508" s="11">
        <v>5</v>
      </c>
      <c r="X508" s="16">
        <v>5334.85</v>
      </c>
      <c r="Y508" s="12">
        <v>3358.3</v>
      </c>
      <c r="Z508" s="13">
        <v>1.59</v>
      </c>
      <c r="AA508" s="11">
        <v>5</v>
      </c>
      <c r="AB508" s="16">
        <v>5334.85</v>
      </c>
      <c r="AC508" s="12">
        <v>3358.3</v>
      </c>
      <c r="AD508" s="13">
        <v>1.59</v>
      </c>
      <c r="AE508" s="11">
        <v>5</v>
      </c>
      <c r="AF508" s="16">
        <v>5334.85</v>
      </c>
      <c r="AG508" s="12">
        <v>3358.3</v>
      </c>
      <c r="AH508" s="13">
        <v>1.59</v>
      </c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1">
        <v>25</v>
      </c>
      <c r="AZ508" s="16">
        <v>26674.25</v>
      </c>
      <c r="BA508" s="12">
        <v>16791.5</v>
      </c>
      <c r="BB508" s="13">
        <v>1.59</v>
      </c>
    </row>
    <row r="509" spans="1:54" x14ac:dyDescent="0.25">
      <c r="A509" s="10" t="s">
        <v>144</v>
      </c>
      <c r="B509" s="10" t="s">
        <v>362</v>
      </c>
      <c r="C509" s="14"/>
      <c r="D509" s="14"/>
      <c r="E509" s="14"/>
      <c r="F509" s="14"/>
      <c r="G509" s="14"/>
      <c r="H509" s="14"/>
      <c r="I509" s="14"/>
      <c r="J509" s="14"/>
      <c r="K509" s="11">
        <v>225</v>
      </c>
      <c r="L509" s="16">
        <v>3836.25</v>
      </c>
      <c r="M509" s="12">
        <v>2902.5</v>
      </c>
      <c r="N509" s="13">
        <v>1.32</v>
      </c>
      <c r="O509" s="11">
        <v>675</v>
      </c>
      <c r="P509" s="16">
        <v>11508.75</v>
      </c>
      <c r="Q509" s="12">
        <v>8707.5</v>
      </c>
      <c r="R509" s="13">
        <v>1.32</v>
      </c>
      <c r="S509" s="18">
        <v>1125</v>
      </c>
      <c r="T509" s="16">
        <v>19181.25</v>
      </c>
      <c r="U509" s="12">
        <v>14512.5</v>
      </c>
      <c r="V509" s="13">
        <v>1.32</v>
      </c>
      <c r="W509" s="18">
        <v>1800</v>
      </c>
      <c r="X509" s="15">
        <v>30690</v>
      </c>
      <c r="Y509" s="15">
        <v>23220</v>
      </c>
      <c r="Z509" s="13">
        <v>1.32</v>
      </c>
      <c r="AA509" s="11">
        <v>675</v>
      </c>
      <c r="AB509" s="16">
        <v>11508.75</v>
      </c>
      <c r="AC509" s="12">
        <v>8707.5</v>
      </c>
      <c r="AD509" s="13">
        <v>1.32</v>
      </c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8">
        <v>4500</v>
      </c>
      <c r="AZ509" s="15">
        <v>76725</v>
      </c>
      <c r="BA509" s="15">
        <v>58050</v>
      </c>
      <c r="BB509" s="13">
        <v>1.32</v>
      </c>
    </row>
    <row r="510" spans="1:54" x14ac:dyDescent="0.25">
      <c r="A510" s="10" t="s">
        <v>144</v>
      </c>
      <c r="B510" s="10" t="s">
        <v>347</v>
      </c>
      <c r="C510" s="14"/>
      <c r="D510" s="14"/>
      <c r="E510" s="14"/>
      <c r="F510" s="14"/>
      <c r="G510" s="14"/>
      <c r="H510" s="14"/>
      <c r="I510" s="14"/>
      <c r="J510" s="14"/>
      <c r="K510" s="11">
        <v>250</v>
      </c>
      <c r="L510" s="15">
        <v>4180</v>
      </c>
      <c r="M510" s="15">
        <v>2960</v>
      </c>
      <c r="N510" s="13">
        <v>1.41</v>
      </c>
      <c r="O510" s="11">
        <v>875</v>
      </c>
      <c r="P510" s="15">
        <v>14630</v>
      </c>
      <c r="Q510" s="15">
        <v>10360</v>
      </c>
      <c r="R510" s="13">
        <v>1.41</v>
      </c>
      <c r="S510" s="11">
        <v>875</v>
      </c>
      <c r="T510" s="15">
        <v>14630</v>
      </c>
      <c r="U510" s="15">
        <v>10360</v>
      </c>
      <c r="V510" s="13">
        <v>1.41</v>
      </c>
      <c r="W510" s="11">
        <v>500</v>
      </c>
      <c r="X510" s="15">
        <v>8360</v>
      </c>
      <c r="Y510" s="15">
        <v>5920</v>
      </c>
      <c r="Z510" s="13">
        <v>1.41</v>
      </c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8">
        <v>2500</v>
      </c>
      <c r="AZ510" s="15">
        <v>41800</v>
      </c>
      <c r="BA510" s="15">
        <v>29600</v>
      </c>
      <c r="BB510" s="13">
        <v>1.41</v>
      </c>
    </row>
    <row r="511" spans="1:54" x14ac:dyDescent="0.25">
      <c r="A511" s="10" t="s">
        <v>148</v>
      </c>
      <c r="B511" s="10" t="s">
        <v>145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8">
        <v>1281.365</v>
      </c>
      <c r="AB511" s="16">
        <v>101586.62</v>
      </c>
      <c r="AC511" s="16">
        <v>65541.820000000007</v>
      </c>
      <c r="AD511" s="13">
        <v>1.55</v>
      </c>
      <c r="AE511" s="11">
        <v>345.10899999999998</v>
      </c>
      <c r="AF511" s="16">
        <v>27360.240000000002</v>
      </c>
      <c r="AG511" s="16">
        <v>17652.330000000002</v>
      </c>
      <c r="AH511" s="13">
        <v>1.55</v>
      </c>
      <c r="AI511" s="11">
        <v>200.48</v>
      </c>
      <c r="AJ511" s="16">
        <v>15894.05</v>
      </c>
      <c r="AK511" s="16">
        <v>10254.549999999999</v>
      </c>
      <c r="AL511" s="13">
        <v>1.55</v>
      </c>
      <c r="AM511" s="11">
        <v>113.621</v>
      </c>
      <c r="AN511" s="16">
        <v>9007.8700000000008</v>
      </c>
      <c r="AO511" s="16">
        <v>5811.71</v>
      </c>
      <c r="AP511" s="13">
        <v>1.55</v>
      </c>
      <c r="AQ511" s="11">
        <v>111.19</v>
      </c>
      <c r="AR511" s="16">
        <v>8815.14</v>
      </c>
      <c r="AS511" s="16">
        <v>5687.37</v>
      </c>
      <c r="AT511" s="13">
        <v>1.55</v>
      </c>
      <c r="AU511" s="11">
        <v>102.236</v>
      </c>
      <c r="AV511" s="16">
        <v>8105.27</v>
      </c>
      <c r="AW511" s="16">
        <v>5229.37</v>
      </c>
      <c r="AX511" s="13">
        <v>1.55</v>
      </c>
      <c r="AY511" s="18">
        <v>2154.0010000000002</v>
      </c>
      <c r="AZ511" s="16">
        <v>170769.19</v>
      </c>
      <c r="BA511" s="16">
        <v>110177.15</v>
      </c>
      <c r="BB511" s="13">
        <v>1.55</v>
      </c>
    </row>
    <row r="512" spans="1:54" x14ac:dyDescent="0.25">
      <c r="A512" s="10" t="s">
        <v>148</v>
      </c>
      <c r="B512" s="10" t="s">
        <v>146</v>
      </c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8">
        <v>1336.1120000000001</v>
      </c>
      <c r="AB512" s="16">
        <v>53417.760000000002</v>
      </c>
      <c r="AC512" s="16">
        <v>34458.33</v>
      </c>
      <c r="AD512" s="13">
        <v>1.55</v>
      </c>
      <c r="AE512" s="11">
        <v>365.31799999999998</v>
      </c>
      <c r="AF512" s="16">
        <v>14605.41</v>
      </c>
      <c r="AG512" s="16">
        <v>9421.5499999999993</v>
      </c>
      <c r="AH512" s="13">
        <v>1.55</v>
      </c>
      <c r="AI512" s="11">
        <v>213.501</v>
      </c>
      <c r="AJ512" s="16">
        <v>8535.77</v>
      </c>
      <c r="AK512" s="16">
        <v>5506.19</v>
      </c>
      <c r="AL512" s="13">
        <v>1.55</v>
      </c>
      <c r="AM512" s="11">
        <v>119.75700000000001</v>
      </c>
      <c r="AN512" s="16">
        <v>4787.88</v>
      </c>
      <c r="AO512" s="16">
        <v>3088.53</v>
      </c>
      <c r="AP512" s="13">
        <v>1.55</v>
      </c>
      <c r="AQ512" s="11">
        <v>119.078</v>
      </c>
      <c r="AR512" s="16">
        <v>4760.74</v>
      </c>
      <c r="AS512" s="16">
        <v>3071.02</v>
      </c>
      <c r="AT512" s="13">
        <v>1.55</v>
      </c>
      <c r="AU512" s="11">
        <v>109.23399999999999</v>
      </c>
      <c r="AV512" s="16">
        <v>4367.18</v>
      </c>
      <c r="AW512" s="16">
        <v>2817.14</v>
      </c>
      <c r="AX512" s="13">
        <v>1.55</v>
      </c>
      <c r="AY512" s="18">
        <v>2263</v>
      </c>
      <c r="AZ512" s="16">
        <v>90474.74</v>
      </c>
      <c r="BA512" s="16">
        <v>58362.76</v>
      </c>
      <c r="BB512" s="13">
        <v>1.55</v>
      </c>
    </row>
    <row r="513" spans="1:54" x14ac:dyDescent="0.25">
      <c r="A513" s="10" t="s">
        <v>148</v>
      </c>
      <c r="B513" s="10" t="s">
        <v>363</v>
      </c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1">
        <v>404.404</v>
      </c>
      <c r="AB513" s="16">
        <v>121968.25</v>
      </c>
      <c r="AC513" s="16">
        <v>84116.03</v>
      </c>
      <c r="AD513" s="13">
        <v>1.45</v>
      </c>
      <c r="AE513" s="11">
        <v>379.98200000000003</v>
      </c>
      <c r="AF513" s="16">
        <v>114602.57</v>
      </c>
      <c r="AG513" s="16">
        <v>79036.259999999995</v>
      </c>
      <c r="AH513" s="13">
        <v>1.45</v>
      </c>
      <c r="AI513" s="11">
        <v>390.74900000000002</v>
      </c>
      <c r="AJ513" s="12">
        <v>117849.9</v>
      </c>
      <c r="AK513" s="16">
        <v>81275.789999999994</v>
      </c>
      <c r="AL513" s="13">
        <v>1.45</v>
      </c>
      <c r="AM513" s="11">
        <v>456.661</v>
      </c>
      <c r="AN513" s="16">
        <v>137728.95999999999</v>
      </c>
      <c r="AO513" s="16">
        <v>94985.49</v>
      </c>
      <c r="AP513" s="13">
        <v>1.45</v>
      </c>
      <c r="AQ513" s="11">
        <v>519.423</v>
      </c>
      <c r="AR513" s="16">
        <v>156657.98000000001</v>
      </c>
      <c r="AS513" s="16">
        <v>108039.98</v>
      </c>
      <c r="AT513" s="13">
        <v>1.45</v>
      </c>
      <c r="AU513" s="11">
        <v>474.78100000000001</v>
      </c>
      <c r="AV513" s="16">
        <v>143193.95000000001</v>
      </c>
      <c r="AW513" s="16">
        <v>98754.45</v>
      </c>
      <c r="AX513" s="13">
        <v>1.45</v>
      </c>
      <c r="AY513" s="18">
        <v>2626</v>
      </c>
      <c r="AZ513" s="16">
        <v>792001.61</v>
      </c>
      <c r="BA513" s="15">
        <v>546208</v>
      </c>
      <c r="BB513" s="13">
        <v>1.45</v>
      </c>
    </row>
    <row r="514" spans="1:54" x14ac:dyDescent="0.25">
      <c r="A514" s="10" t="s">
        <v>148</v>
      </c>
      <c r="B514" s="10" t="s">
        <v>149</v>
      </c>
      <c r="C514" s="11">
        <v>57.463999999999999</v>
      </c>
      <c r="D514" s="16">
        <v>16664.560000000001</v>
      </c>
      <c r="E514" s="12">
        <v>11492.8</v>
      </c>
      <c r="F514" s="13">
        <v>1.45</v>
      </c>
      <c r="G514" s="11">
        <v>93.858000000000004</v>
      </c>
      <c r="H514" s="16">
        <v>27218.82</v>
      </c>
      <c r="I514" s="12">
        <v>18771.599999999999</v>
      </c>
      <c r="J514" s="13">
        <v>1.45</v>
      </c>
      <c r="K514" s="11">
        <v>187.71600000000001</v>
      </c>
      <c r="L514" s="16">
        <v>54437.64</v>
      </c>
      <c r="M514" s="12">
        <v>37543.199999999997</v>
      </c>
      <c r="N514" s="13">
        <v>1.45</v>
      </c>
      <c r="O514" s="11">
        <v>254.75700000000001</v>
      </c>
      <c r="P514" s="16">
        <v>73879.53</v>
      </c>
      <c r="Q514" s="12">
        <v>50951.4</v>
      </c>
      <c r="R514" s="13">
        <v>1.45</v>
      </c>
      <c r="S514" s="11">
        <v>340.76100000000002</v>
      </c>
      <c r="T514" s="16">
        <v>98820.69</v>
      </c>
      <c r="U514" s="12">
        <v>68152.2</v>
      </c>
      <c r="V514" s="13">
        <v>1.45</v>
      </c>
      <c r="W514" s="11">
        <v>417.48899999999998</v>
      </c>
      <c r="X514" s="16">
        <v>121071.81</v>
      </c>
      <c r="Y514" s="12">
        <v>83497.8</v>
      </c>
      <c r="Z514" s="13">
        <v>1.45</v>
      </c>
      <c r="AA514" s="11">
        <v>339.75299999999999</v>
      </c>
      <c r="AB514" s="16">
        <v>98528.37</v>
      </c>
      <c r="AC514" s="12">
        <v>67950.600000000006</v>
      </c>
      <c r="AD514" s="13">
        <v>1.45</v>
      </c>
      <c r="AE514" s="11">
        <v>152.96</v>
      </c>
      <c r="AF514" s="12">
        <v>44358.400000000001</v>
      </c>
      <c r="AG514" s="15">
        <v>30592</v>
      </c>
      <c r="AH514" s="13">
        <v>1.45</v>
      </c>
      <c r="AI514" s="11">
        <v>90.028000000000006</v>
      </c>
      <c r="AJ514" s="16">
        <v>26108.12</v>
      </c>
      <c r="AK514" s="12">
        <v>18005.599999999999</v>
      </c>
      <c r="AL514" s="13">
        <v>1.45</v>
      </c>
      <c r="AM514" s="11">
        <v>89.870999999999995</v>
      </c>
      <c r="AN514" s="16">
        <v>26062.59</v>
      </c>
      <c r="AO514" s="12">
        <v>17974.2</v>
      </c>
      <c r="AP514" s="13">
        <v>1.45</v>
      </c>
      <c r="AQ514" s="11">
        <v>90.228999999999999</v>
      </c>
      <c r="AR514" s="16">
        <v>26166.41</v>
      </c>
      <c r="AS514" s="12">
        <v>18045.8</v>
      </c>
      <c r="AT514" s="13">
        <v>1.45</v>
      </c>
      <c r="AU514" s="11">
        <v>97.113</v>
      </c>
      <c r="AV514" s="16">
        <v>28162.77</v>
      </c>
      <c r="AW514" s="12">
        <v>19422.599999999999</v>
      </c>
      <c r="AX514" s="13">
        <v>1.45</v>
      </c>
      <c r="AY514" s="18">
        <v>2211.9989999999998</v>
      </c>
      <c r="AZ514" s="16">
        <v>641479.71</v>
      </c>
      <c r="BA514" s="12">
        <v>442399.8</v>
      </c>
      <c r="BB514" s="13">
        <v>1.45</v>
      </c>
    </row>
    <row r="515" spans="1:54" x14ac:dyDescent="0.25">
      <c r="A515" s="10" t="s">
        <v>148</v>
      </c>
      <c r="B515" s="10" t="s">
        <v>150</v>
      </c>
      <c r="C515" s="11">
        <v>48.942999999999998</v>
      </c>
      <c r="D515" s="16">
        <v>14193.47</v>
      </c>
      <c r="E515" s="12">
        <v>9788.6</v>
      </c>
      <c r="F515" s="13">
        <v>1.45</v>
      </c>
      <c r="G515" s="11">
        <v>79.941000000000003</v>
      </c>
      <c r="H515" s="16">
        <v>23182.89</v>
      </c>
      <c r="I515" s="12">
        <v>15988.2</v>
      </c>
      <c r="J515" s="13">
        <v>1.45</v>
      </c>
      <c r="K515" s="11">
        <v>159.881</v>
      </c>
      <c r="L515" s="16">
        <v>46365.49</v>
      </c>
      <c r="M515" s="12">
        <v>31976.2</v>
      </c>
      <c r="N515" s="13">
        <v>1.45</v>
      </c>
      <c r="O515" s="11">
        <v>216.98099999999999</v>
      </c>
      <c r="P515" s="16">
        <v>62924.49</v>
      </c>
      <c r="Q515" s="12">
        <v>43396.2</v>
      </c>
      <c r="R515" s="13">
        <v>1.45</v>
      </c>
      <c r="S515" s="11">
        <v>290.233</v>
      </c>
      <c r="T515" s="16">
        <v>84167.57</v>
      </c>
      <c r="U515" s="12">
        <v>58046.6</v>
      </c>
      <c r="V515" s="13">
        <v>1.45</v>
      </c>
      <c r="W515" s="11">
        <v>355.58300000000003</v>
      </c>
      <c r="X515" s="16">
        <v>103119.07</v>
      </c>
      <c r="Y515" s="12">
        <v>71116.600000000006</v>
      </c>
      <c r="Z515" s="13">
        <v>1.45</v>
      </c>
      <c r="AA515" s="11">
        <v>289.37400000000002</v>
      </c>
      <c r="AB515" s="16">
        <v>83918.46</v>
      </c>
      <c r="AC515" s="12">
        <v>57874.8</v>
      </c>
      <c r="AD515" s="13">
        <v>1.45</v>
      </c>
      <c r="AE515" s="11">
        <v>130.279</v>
      </c>
      <c r="AF515" s="16">
        <v>37780.910000000003</v>
      </c>
      <c r="AG515" s="12">
        <v>26055.8</v>
      </c>
      <c r="AH515" s="13">
        <v>1.45</v>
      </c>
      <c r="AI515" s="11">
        <v>76.677999999999997</v>
      </c>
      <c r="AJ515" s="16">
        <v>22236.62</v>
      </c>
      <c r="AK515" s="12">
        <v>15335.6</v>
      </c>
      <c r="AL515" s="13">
        <v>1.45</v>
      </c>
      <c r="AM515" s="11">
        <v>76.543999999999997</v>
      </c>
      <c r="AN515" s="16">
        <v>22197.759999999998</v>
      </c>
      <c r="AO515" s="12">
        <v>15308.8</v>
      </c>
      <c r="AP515" s="13">
        <v>1.45</v>
      </c>
      <c r="AQ515" s="11">
        <v>76.849999999999994</v>
      </c>
      <c r="AR515" s="12">
        <v>22286.5</v>
      </c>
      <c r="AS515" s="15">
        <v>15370</v>
      </c>
      <c r="AT515" s="13">
        <v>1.45</v>
      </c>
      <c r="AU515" s="11">
        <v>82.712999999999994</v>
      </c>
      <c r="AV515" s="16">
        <v>23986.77</v>
      </c>
      <c r="AW515" s="12">
        <v>16542.599999999999</v>
      </c>
      <c r="AX515" s="13">
        <v>1.45</v>
      </c>
      <c r="AY515" s="18">
        <v>1884</v>
      </c>
      <c r="AZ515" s="15">
        <v>546360</v>
      </c>
      <c r="BA515" s="15">
        <v>376800</v>
      </c>
      <c r="BB515" s="13">
        <v>1.45</v>
      </c>
    </row>
    <row r="516" spans="1:54" x14ac:dyDescent="0.25">
      <c r="A516" s="10" t="s">
        <v>148</v>
      </c>
      <c r="B516" s="10" t="s">
        <v>364</v>
      </c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8">
        <v>1478.125</v>
      </c>
      <c r="AB516" s="16">
        <v>315062.34000000003</v>
      </c>
      <c r="AC516" s="16">
        <v>217284.38</v>
      </c>
      <c r="AD516" s="13">
        <v>1.45</v>
      </c>
      <c r="AE516" s="11">
        <v>988.125</v>
      </c>
      <c r="AF516" s="16">
        <v>210618.84</v>
      </c>
      <c r="AG516" s="16">
        <v>145254.38</v>
      </c>
      <c r="AH516" s="13">
        <v>1.45</v>
      </c>
      <c r="AI516" s="11">
        <v>838.125</v>
      </c>
      <c r="AJ516" s="16">
        <v>178646.34</v>
      </c>
      <c r="AK516" s="16">
        <v>123204.38</v>
      </c>
      <c r="AL516" s="13">
        <v>1.45</v>
      </c>
      <c r="AM516" s="11">
        <v>942.5</v>
      </c>
      <c r="AN516" s="16">
        <v>200893.88</v>
      </c>
      <c r="AO516" s="12">
        <v>138547.5</v>
      </c>
      <c r="AP516" s="13">
        <v>1.45</v>
      </c>
      <c r="AQ516" s="11">
        <v>951.25</v>
      </c>
      <c r="AR516" s="16">
        <v>202758.94</v>
      </c>
      <c r="AS516" s="16">
        <v>139833.75</v>
      </c>
      <c r="AT516" s="13">
        <v>1.45</v>
      </c>
      <c r="AU516" s="18">
        <v>1051.875</v>
      </c>
      <c r="AV516" s="16">
        <v>224207.16</v>
      </c>
      <c r="AW516" s="16">
        <v>154625.63</v>
      </c>
      <c r="AX516" s="13">
        <v>1.45</v>
      </c>
      <c r="AY516" s="18">
        <v>6250</v>
      </c>
      <c r="AZ516" s="12">
        <v>1332187.5</v>
      </c>
      <c r="BA516" s="16">
        <v>918750.02</v>
      </c>
      <c r="BB516" s="13">
        <v>1.45</v>
      </c>
    </row>
    <row r="517" spans="1:54" x14ac:dyDescent="0.25">
      <c r="A517" s="10" t="s">
        <v>148</v>
      </c>
      <c r="B517" s="10" t="s">
        <v>151</v>
      </c>
      <c r="C517" s="11">
        <v>95.106999999999999</v>
      </c>
      <c r="D517" s="16">
        <v>17135.43</v>
      </c>
      <c r="E517" s="16">
        <v>11982.53</v>
      </c>
      <c r="F517" s="13">
        <v>1.43</v>
      </c>
      <c r="G517" s="11">
        <v>155.34100000000001</v>
      </c>
      <c r="H517" s="16">
        <v>27987.79</v>
      </c>
      <c r="I517" s="16">
        <v>19571.41</v>
      </c>
      <c r="J517" s="13">
        <v>1.43</v>
      </c>
      <c r="K517" s="11">
        <v>310.68200000000002</v>
      </c>
      <c r="L517" s="16">
        <v>55975.58</v>
      </c>
      <c r="M517" s="16">
        <v>39142.83</v>
      </c>
      <c r="N517" s="13">
        <v>1.43</v>
      </c>
      <c r="O517" s="11">
        <v>421.64</v>
      </c>
      <c r="P517" s="16">
        <v>75966.880000000005</v>
      </c>
      <c r="Q517" s="16">
        <v>53122.42</v>
      </c>
      <c r="R517" s="13">
        <v>1.43</v>
      </c>
      <c r="S517" s="11">
        <v>563.98199999999997</v>
      </c>
      <c r="T517" s="16">
        <v>101612.64</v>
      </c>
      <c r="U517" s="16">
        <v>71056.09</v>
      </c>
      <c r="V517" s="13">
        <v>1.43</v>
      </c>
      <c r="W517" s="11">
        <v>690.97</v>
      </c>
      <c r="X517" s="16">
        <v>124492.06</v>
      </c>
      <c r="Y517" s="16">
        <v>87055.31</v>
      </c>
      <c r="Z517" s="13">
        <v>1.43</v>
      </c>
      <c r="AA517" s="11">
        <v>562.31299999999999</v>
      </c>
      <c r="AB517" s="16">
        <v>101311.93</v>
      </c>
      <c r="AC517" s="16">
        <v>70845.81</v>
      </c>
      <c r="AD517" s="13">
        <v>1.43</v>
      </c>
      <c r="AE517" s="11">
        <v>253.15899999999999</v>
      </c>
      <c r="AF517" s="16">
        <v>45611.66</v>
      </c>
      <c r="AG517" s="12">
        <v>31895.5</v>
      </c>
      <c r="AH517" s="13">
        <v>1.43</v>
      </c>
      <c r="AI517" s="11">
        <v>149.001</v>
      </c>
      <c r="AJ517" s="16">
        <v>26845.51</v>
      </c>
      <c r="AK517" s="16">
        <v>18772.64</v>
      </c>
      <c r="AL517" s="13">
        <v>1.43</v>
      </c>
      <c r="AM517" s="11">
        <v>148.74199999999999</v>
      </c>
      <c r="AN517" s="16">
        <v>26798.85</v>
      </c>
      <c r="AO517" s="15">
        <v>18740</v>
      </c>
      <c r="AP517" s="13">
        <v>1.43</v>
      </c>
      <c r="AQ517" s="11">
        <v>149.33500000000001</v>
      </c>
      <c r="AR517" s="16">
        <v>26905.69</v>
      </c>
      <c r="AS517" s="16">
        <v>18814.72</v>
      </c>
      <c r="AT517" s="13">
        <v>1.43</v>
      </c>
      <c r="AU517" s="11">
        <v>160.72800000000001</v>
      </c>
      <c r="AV517" s="16">
        <v>28958.36</v>
      </c>
      <c r="AW517" s="16">
        <v>20250.12</v>
      </c>
      <c r="AX517" s="13">
        <v>1.43</v>
      </c>
      <c r="AY517" s="18">
        <v>3661</v>
      </c>
      <c r="AZ517" s="16">
        <v>659602.38</v>
      </c>
      <c r="BA517" s="16">
        <v>461249.38</v>
      </c>
      <c r="BB517" s="13">
        <v>1.43</v>
      </c>
    </row>
    <row r="518" spans="1:54" x14ac:dyDescent="0.25">
      <c r="A518" s="10" t="s">
        <v>148</v>
      </c>
      <c r="B518" s="10" t="s">
        <v>152</v>
      </c>
      <c r="C518" s="11">
        <v>29.407</v>
      </c>
      <c r="D518" s="16">
        <v>6434.25</v>
      </c>
      <c r="E518" s="16">
        <v>4499.57</v>
      </c>
      <c r="F518" s="13">
        <v>1.43</v>
      </c>
      <c r="G518" s="11">
        <v>48.031999999999996</v>
      </c>
      <c r="H518" s="12">
        <v>10509.4</v>
      </c>
      <c r="I518" s="16">
        <v>7349.38</v>
      </c>
      <c r="J518" s="13">
        <v>1.43</v>
      </c>
      <c r="K518" s="11">
        <v>96.063999999999993</v>
      </c>
      <c r="L518" s="12">
        <v>21018.799999999999</v>
      </c>
      <c r="M518" s="16">
        <v>14698.75</v>
      </c>
      <c r="N518" s="13">
        <v>1.43</v>
      </c>
      <c r="O518" s="11">
        <v>130.37299999999999</v>
      </c>
      <c r="P518" s="16">
        <v>28525.61</v>
      </c>
      <c r="Q518" s="16">
        <v>19948.37</v>
      </c>
      <c r="R518" s="13">
        <v>1.43</v>
      </c>
      <c r="S518" s="11">
        <v>174.386</v>
      </c>
      <c r="T518" s="16">
        <v>38155.660000000003</v>
      </c>
      <c r="U518" s="12">
        <v>26682.799999999999</v>
      </c>
      <c r="V518" s="13">
        <v>1.43</v>
      </c>
      <c r="W518" s="11">
        <v>213.65199999999999</v>
      </c>
      <c r="X518" s="16">
        <v>46747.06</v>
      </c>
      <c r="Y518" s="16">
        <v>32690.89</v>
      </c>
      <c r="Z518" s="13">
        <v>1.43</v>
      </c>
      <c r="AA518" s="11">
        <v>173.87</v>
      </c>
      <c r="AB518" s="16">
        <v>38042.76</v>
      </c>
      <c r="AC518" s="16">
        <v>26603.85</v>
      </c>
      <c r="AD518" s="13">
        <v>1.43</v>
      </c>
      <c r="AE518" s="11">
        <v>78.278000000000006</v>
      </c>
      <c r="AF518" s="16">
        <v>17127.23</v>
      </c>
      <c r="AG518" s="16">
        <v>11977.32</v>
      </c>
      <c r="AH518" s="13">
        <v>1.43</v>
      </c>
      <c r="AI518" s="11">
        <v>46.072000000000003</v>
      </c>
      <c r="AJ518" s="16">
        <v>10080.549999999999</v>
      </c>
      <c r="AK518" s="16">
        <v>7049.48</v>
      </c>
      <c r="AL518" s="13">
        <v>1.43</v>
      </c>
      <c r="AM518" s="11">
        <v>45.991999999999997</v>
      </c>
      <c r="AN518" s="16">
        <v>10063.049999999999</v>
      </c>
      <c r="AO518" s="16">
        <v>7037.24</v>
      </c>
      <c r="AP518" s="13">
        <v>1.43</v>
      </c>
      <c r="AQ518" s="11">
        <v>46.174999999999997</v>
      </c>
      <c r="AR518" s="16">
        <v>10103.09</v>
      </c>
      <c r="AS518" s="16">
        <v>7065.24</v>
      </c>
      <c r="AT518" s="13">
        <v>1.43</v>
      </c>
      <c r="AU518" s="11">
        <v>49.698</v>
      </c>
      <c r="AV518" s="16">
        <v>10873.92</v>
      </c>
      <c r="AW518" s="16">
        <v>7604.29</v>
      </c>
      <c r="AX518" s="13">
        <v>1.43</v>
      </c>
      <c r="AY518" s="18">
        <v>1131.999</v>
      </c>
      <c r="AZ518" s="16">
        <v>247681.38</v>
      </c>
      <c r="BA518" s="16">
        <v>173207.18</v>
      </c>
      <c r="BB518" s="13">
        <v>1.43</v>
      </c>
    </row>
    <row r="519" spans="1:54" x14ac:dyDescent="0.25">
      <c r="A519" s="10" t="s">
        <v>148</v>
      </c>
      <c r="B519" s="10" t="s">
        <v>153</v>
      </c>
      <c r="C519" s="11">
        <v>79.182000000000002</v>
      </c>
      <c r="D519" s="16">
        <v>29173.82</v>
      </c>
      <c r="E519" s="16">
        <v>17161.11</v>
      </c>
      <c r="F519" s="13">
        <v>1.7</v>
      </c>
      <c r="G519" s="11">
        <v>129.33099999999999</v>
      </c>
      <c r="H519" s="16">
        <v>47650.71</v>
      </c>
      <c r="I519" s="16">
        <v>28029.91</v>
      </c>
      <c r="J519" s="13">
        <v>1.7</v>
      </c>
      <c r="K519" s="11">
        <v>258.661</v>
      </c>
      <c r="L519" s="16">
        <v>95301.06</v>
      </c>
      <c r="M519" s="12">
        <v>56059.6</v>
      </c>
      <c r="N519" s="13">
        <v>1.7</v>
      </c>
      <c r="O519" s="11">
        <v>351.04</v>
      </c>
      <c r="P519" s="16">
        <v>129337.18</v>
      </c>
      <c r="Q519" s="12">
        <v>76080.899999999994</v>
      </c>
      <c r="R519" s="13">
        <v>1.7</v>
      </c>
      <c r="S519" s="11">
        <v>469.548</v>
      </c>
      <c r="T519" s="16">
        <v>173000.27</v>
      </c>
      <c r="U519" s="16">
        <v>101765.14</v>
      </c>
      <c r="V519" s="13">
        <v>1.7</v>
      </c>
      <c r="W519" s="11">
        <v>575.274</v>
      </c>
      <c r="X519" s="16">
        <v>211953.95</v>
      </c>
      <c r="Y519" s="16">
        <v>124679.13</v>
      </c>
      <c r="Z519" s="13">
        <v>1.7</v>
      </c>
      <c r="AA519" s="11">
        <v>468.15899999999999</v>
      </c>
      <c r="AB519" s="12">
        <v>172488.5</v>
      </c>
      <c r="AC519" s="12">
        <v>101464.1</v>
      </c>
      <c r="AD519" s="13">
        <v>1.7</v>
      </c>
      <c r="AE519" s="11">
        <v>210.77</v>
      </c>
      <c r="AF519" s="12">
        <v>77656.100000000006</v>
      </c>
      <c r="AG519" s="16">
        <v>45680.18</v>
      </c>
      <c r="AH519" s="13">
        <v>1.7</v>
      </c>
      <c r="AI519" s="11">
        <v>124.053</v>
      </c>
      <c r="AJ519" s="16">
        <v>45706.09</v>
      </c>
      <c r="AK519" s="16">
        <v>26886.01</v>
      </c>
      <c r="AL519" s="13">
        <v>1.7</v>
      </c>
      <c r="AM519" s="11">
        <v>123.836</v>
      </c>
      <c r="AN519" s="16">
        <v>45626.14</v>
      </c>
      <c r="AO519" s="16">
        <v>26838.98</v>
      </c>
      <c r="AP519" s="13">
        <v>1.7</v>
      </c>
      <c r="AQ519" s="11">
        <v>124.33</v>
      </c>
      <c r="AR519" s="16">
        <v>45808.15</v>
      </c>
      <c r="AS519" s="16">
        <v>26946.04</v>
      </c>
      <c r="AT519" s="13">
        <v>1.7</v>
      </c>
      <c r="AU519" s="11">
        <v>133.816</v>
      </c>
      <c r="AV519" s="16">
        <v>49303.17</v>
      </c>
      <c r="AW519" s="16">
        <v>29001.94</v>
      </c>
      <c r="AX519" s="13">
        <v>1.7</v>
      </c>
      <c r="AY519" s="18">
        <v>3048</v>
      </c>
      <c r="AZ519" s="16">
        <v>1123005.1399999999</v>
      </c>
      <c r="BA519" s="16">
        <v>660593.04</v>
      </c>
      <c r="BB519" s="13">
        <v>1.7</v>
      </c>
    </row>
    <row r="520" spans="1:54" x14ac:dyDescent="0.25">
      <c r="A520" s="10" t="s">
        <v>148</v>
      </c>
      <c r="B520" s="10" t="s">
        <v>365</v>
      </c>
      <c r="C520" s="11">
        <v>30.904</v>
      </c>
      <c r="D520" s="16">
        <v>10216.86</v>
      </c>
      <c r="E520" s="16">
        <v>7046.11</v>
      </c>
      <c r="F520" s="13">
        <v>1.45</v>
      </c>
      <c r="G520" s="11">
        <v>50.475999999999999</v>
      </c>
      <c r="H520" s="16">
        <v>16687.37</v>
      </c>
      <c r="I520" s="16">
        <v>11508.53</v>
      </c>
      <c r="J520" s="13">
        <v>1.45</v>
      </c>
      <c r="K520" s="11">
        <v>100.953</v>
      </c>
      <c r="L520" s="16">
        <v>33375.06</v>
      </c>
      <c r="M520" s="16">
        <v>23017.279999999999</v>
      </c>
      <c r="N520" s="13">
        <v>1.45</v>
      </c>
      <c r="O520" s="11">
        <v>137.00700000000001</v>
      </c>
      <c r="P520" s="16">
        <v>45294.51</v>
      </c>
      <c r="Q520" s="12">
        <v>31237.599999999999</v>
      </c>
      <c r="R520" s="13">
        <v>1.45</v>
      </c>
      <c r="S520" s="11">
        <v>183.25899999999999</v>
      </c>
      <c r="T520" s="16">
        <v>60585.43</v>
      </c>
      <c r="U520" s="16">
        <v>41783.050000000003</v>
      </c>
      <c r="V520" s="13">
        <v>1.45</v>
      </c>
      <c r="W520" s="11">
        <v>224.523</v>
      </c>
      <c r="X520" s="12">
        <v>74227.3</v>
      </c>
      <c r="Y520" s="16">
        <v>51191.24</v>
      </c>
      <c r="Z520" s="13">
        <v>1.45</v>
      </c>
      <c r="AA520" s="11">
        <v>182.71700000000001</v>
      </c>
      <c r="AB520" s="16">
        <v>60406.239999999998</v>
      </c>
      <c r="AC520" s="16">
        <v>41659.480000000003</v>
      </c>
      <c r="AD520" s="13">
        <v>1.45</v>
      </c>
      <c r="AE520" s="11">
        <v>82.260999999999996</v>
      </c>
      <c r="AF520" s="16">
        <v>27195.49</v>
      </c>
      <c r="AG520" s="16">
        <v>18755.509999999998</v>
      </c>
      <c r="AH520" s="13">
        <v>1.45</v>
      </c>
      <c r="AI520" s="11">
        <v>48.415999999999997</v>
      </c>
      <c r="AJ520" s="16">
        <v>16006.33</v>
      </c>
      <c r="AK520" s="16">
        <v>11038.85</v>
      </c>
      <c r="AL520" s="13">
        <v>1.45</v>
      </c>
      <c r="AM520" s="11">
        <v>48.332000000000001</v>
      </c>
      <c r="AN520" s="16">
        <v>15978.56</v>
      </c>
      <c r="AO520" s="12">
        <v>11019.7</v>
      </c>
      <c r="AP520" s="13">
        <v>1.45</v>
      </c>
      <c r="AQ520" s="11">
        <v>48.524999999999999</v>
      </c>
      <c r="AR520" s="16">
        <v>16042.37</v>
      </c>
      <c r="AS520" s="12">
        <v>11063.7</v>
      </c>
      <c r="AT520" s="13">
        <v>1.45</v>
      </c>
      <c r="AU520" s="11">
        <v>52.226999999999997</v>
      </c>
      <c r="AV520" s="16">
        <v>17266.25</v>
      </c>
      <c r="AW520" s="16">
        <v>11907.76</v>
      </c>
      <c r="AX520" s="13">
        <v>1.45</v>
      </c>
      <c r="AY520" s="18">
        <v>1189.5999999999999</v>
      </c>
      <c r="AZ520" s="16">
        <v>393281.77</v>
      </c>
      <c r="BA520" s="16">
        <v>271228.81</v>
      </c>
      <c r="BB520" s="13">
        <v>1.45</v>
      </c>
    </row>
    <row r="521" spans="1:54" x14ac:dyDescent="0.25">
      <c r="A521" s="10" t="s">
        <v>148</v>
      </c>
      <c r="B521" s="10" t="s">
        <v>154</v>
      </c>
      <c r="C521" s="11">
        <v>123.179</v>
      </c>
      <c r="D521" s="12">
        <v>37941.599999999999</v>
      </c>
      <c r="E521" s="12">
        <v>22318.799999999999</v>
      </c>
      <c r="F521" s="13">
        <v>1.7</v>
      </c>
      <c r="G521" s="11">
        <v>201.19200000000001</v>
      </c>
      <c r="H521" s="16">
        <v>61971.16</v>
      </c>
      <c r="I521" s="16">
        <v>36453.980000000003</v>
      </c>
      <c r="J521" s="13">
        <v>1.7</v>
      </c>
      <c r="K521" s="11">
        <v>402.38400000000001</v>
      </c>
      <c r="L521" s="16">
        <v>123942.32</v>
      </c>
      <c r="M521" s="16">
        <v>72907.960000000006</v>
      </c>
      <c r="N521" s="13">
        <v>1.7</v>
      </c>
      <c r="O521" s="11">
        <v>546.09299999999996</v>
      </c>
      <c r="P521" s="16">
        <v>168207.57</v>
      </c>
      <c r="Q521" s="16">
        <v>98946.59</v>
      </c>
      <c r="R521" s="13">
        <v>1.7</v>
      </c>
      <c r="S521" s="11">
        <v>730.44899999999996</v>
      </c>
      <c r="T521" s="12">
        <v>224992.9</v>
      </c>
      <c r="U521" s="16">
        <v>132350.04999999999</v>
      </c>
      <c r="V521" s="13">
        <v>1.7</v>
      </c>
      <c r="W521" s="11">
        <v>894.92100000000005</v>
      </c>
      <c r="X521" s="16">
        <v>275653.57</v>
      </c>
      <c r="Y521" s="16">
        <v>162150.74</v>
      </c>
      <c r="Z521" s="13">
        <v>1.7</v>
      </c>
      <c r="AA521" s="11">
        <v>728.28899999999999</v>
      </c>
      <c r="AB521" s="16">
        <v>224327.58</v>
      </c>
      <c r="AC521" s="16">
        <v>131958.68</v>
      </c>
      <c r="AD521" s="13">
        <v>1.7</v>
      </c>
      <c r="AE521" s="11">
        <v>327.88299999999998</v>
      </c>
      <c r="AF521" s="16">
        <v>100994.52</v>
      </c>
      <c r="AG521" s="16">
        <v>59409.120000000003</v>
      </c>
      <c r="AH521" s="13">
        <v>1.7</v>
      </c>
      <c r="AI521" s="11">
        <v>192.982</v>
      </c>
      <c r="AJ521" s="16">
        <v>59442.32</v>
      </c>
      <c r="AK521" s="16">
        <v>34966.410000000003</v>
      </c>
      <c r="AL521" s="13">
        <v>1.7</v>
      </c>
      <c r="AM521" s="11">
        <v>192.64500000000001</v>
      </c>
      <c r="AN521" s="16">
        <v>59338.51</v>
      </c>
      <c r="AO521" s="16">
        <v>34905.35</v>
      </c>
      <c r="AP521" s="13">
        <v>1.7</v>
      </c>
      <c r="AQ521" s="11">
        <v>193.41300000000001</v>
      </c>
      <c r="AR521" s="16">
        <v>59575.07</v>
      </c>
      <c r="AS521" s="12">
        <v>35044.5</v>
      </c>
      <c r="AT521" s="13">
        <v>1.7</v>
      </c>
      <c r="AU521" s="11">
        <v>208.17</v>
      </c>
      <c r="AV521" s="16">
        <v>64120.52</v>
      </c>
      <c r="AW521" s="16">
        <v>37718.32</v>
      </c>
      <c r="AX521" s="13">
        <v>1.7</v>
      </c>
      <c r="AY521" s="18">
        <v>4741.6000000000004</v>
      </c>
      <c r="AZ521" s="16">
        <v>1460507.64</v>
      </c>
      <c r="BA521" s="12">
        <v>859130.5</v>
      </c>
      <c r="BB521" s="13">
        <v>1.7</v>
      </c>
    </row>
    <row r="522" spans="1:54" x14ac:dyDescent="0.25">
      <c r="A522" s="10" t="s">
        <v>148</v>
      </c>
      <c r="B522" s="10" t="s">
        <v>366</v>
      </c>
      <c r="C522" s="11">
        <v>24.835000000000001</v>
      </c>
      <c r="D522" s="16">
        <v>6624.98</v>
      </c>
      <c r="E522" s="16">
        <v>4246.79</v>
      </c>
      <c r="F522" s="13">
        <v>1.56</v>
      </c>
      <c r="G522" s="11">
        <v>40.564</v>
      </c>
      <c r="H522" s="16">
        <v>10820.85</v>
      </c>
      <c r="I522" s="16">
        <v>6936.44</v>
      </c>
      <c r="J522" s="13">
        <v>1.56</v>
      </c>
      <c r="K522" s="11">
        <v>81.129000000000005</v>
      </c>
      <c r="L522" s="16">
        <v>21641.97</v>
      </c>
      <c r="M522" s="16">
        <v>13873.06</v>
      </c>
      <c r="N522" s="13">
        <v>1.56</v>
      </c>
      <c r="O522" s="11">
        <v>110.10299999999999</v>
      </c>
      <c r="P522" s="16">
        <v>29371.08</v>
      </c>
      <c r="Q522" s="16">
        <v>18827.61</v>
      </c>
      <c r="R522" s="13">
        <v>1.56</v>
      </c>
      <c r="S522" s="11">
        <v>147.273</v>
      </c>
      <c r="T522" s="16">
        <v>39286.550000000003</v>
      </c>
      <c r="U522" s="16">
        <v>25183.68</v>
      </c>
      <c r="V522" s="13">
        <v>1.56</v>
      </c>
      <c r="W522" s="11">
        <v>180.434</v>
      </c>
      <c r="X522" s="16">
        <v>48132.57</v>
      </c>
      <c r="Y522" s="16">
        <v>30854.21</v>
      </c>
      <c r="Z522" s="13">
        <v>1.56</v>
      </c>
      <c r="AA522" s="11">
        <v>146.83699999999999</v>
      </c>
      <c r="AB522" s="16">
        <v>39170.239999999998</v>
      </c>
      <c r="AC522" s="16">
        <v>25109.13</v>
      </c>
      <c r="AD522" s="13">
        <v>1.56</v>
      </c>
      <c r="AE522" s="11">
        <v>66.108000000000004</v>
      </c>
      <c r="AF522" s="16">
        <v>17634.97</v>
      </c>
      <c r="AG522" s="16">
        <v>11304.47</v>
      </c>
      <c r="AH522" s="13">
        <v>1.56</v>
      </c>
      <c r="AI522" s="11">
        <v>38.908999999999999</v>
      </c>
      <c r="AJ522" s="16">
        <v>10379.36</v>
      </c>
      <c r="AK522" s="16">
        <v>6653.44</v>
      </c>
      <c r="AL522" s="13">
        <v>1.56</v>
      </c>
      <c r="AM522" s="11">
        <v>38.841000000000001</v>
      </c>
      <c r="AN522" s="16">
        <v>10361.23</v>
      </c>
      <c r="AO522" s="16">
        <v>6641.81</v>
      </c>
      <c r="AP522" s="13">
        <v>1.56</v>
      </c>
      <c r="AQ522" s="11">
        <v>38.996000000000002</v>
      </c>
      <c r="AR522" s="16">
        <v>10402.57</v>
      </c>
      <c r="AS522" s="16">
        <v>6668.32</v>
      </c>
      <c r="AT522" s="13">
        <v>1.56</v>
      </c>
      <c r="AU522" s="11">
        <v>41.970999999999997</v>
      </c>
      <c r="AV522" s="16">
        <v>11196.18</v>
      </c>
      <c r="AW522" s="16">
        <v>7177.04</v>
      </c>
      <c r="AX522" s="13">
        <v>1.56</v>
      </c>
      <c r="AY522" s="11">
        <v>956</v>
      </c>
      <c r="AZ522" s="16">
        <v>255022.55</v>
      </c>
      <c r="BA522" s="15">
        <v>163476</v>
      </c>
      <c r="BB522" s="13">
        <v>1.56</v>
      </c>
    </row>
    <row r="523" spans="1:54" x14ac:dyDescent="0.25">
      <c r="A523" s="10" t="s">
        <v>148</v>
      </c>
      <c r="B523" s="10" t="s">
        <v>37</v>
      </c>
      <c r="C523" s="11">
        <v>18.184999999999999</v>
      </c>
      <c r="D523" s="12">
        <v>5606.8</v>
      </c>
      <c r="E523" s="16">
        <v>3418.78</v>
      </c>
      <c r="F523" s="13">
        <v>1.64</v>
      </c>
      <c r="G523" s="11">
        <v>29.702000000000002</v>
      </c>
      <c r="H523" s="16">
        <v>9157.7199999999993</v>
      </c>
      <c r="I523" s="16">
        <v>5583.98</v>
      </c>
      <c r="J523" s="13">
        <v>1.64</v>
      </c>
      <c r="K523" s="11">
        <v>59.404000000000003</v>
      </c>
      <c r="L523" s="16">
        <v>18315.439999999999</v>
      </c>
      <c r="M523" s="16">
        <v>11167.95</v>
      </c>
      <c r="N523" s="13">
        <v>1.64</v>
      </c>
      <c r="O523" s="11">
        <v>80.619</v>
      </c>
      <c r="P523" s="16">
        <v>24856.45</v>
      </c>
      <c r="Q523" s="16">
        <v>15156.37</v>
      </c>
      <c r="R523" s="13">
        <v>1.64</v>
      </c>
      <c r="S523" s="11">
        <v>107.836</v>
      </c>
      <c r="T523" s="15">
        <v>33248</v>
      </c>
      <c r="U523" s="16">
        <v>20273.169999999998</v>
      </c>
      <c r="V523" s="13">
        <v>1.64</v>
      </c>
      <c r="W523" s="11">
        <v>132.11699999999999</v>
      </c>
      <c r="X523" s="16">
        <v>40734.31</v>
      </c>
      <c r="Y523" s="15">
        <v>24838</v>
      </c>
      <c r="Z523" s="13">
        <v>1.64</v>
      </c>
      <c r="AA523" s="11">
        <v>107.517</v>
      </c>
      <c r="AB523" s="16">
        <v>33149.64</v>
      </c>
      <c r="AC523" s="12">
        <v>20213.2</v>
      </c>
      <c r="AD523" s="13">
        <v>1.64</v>
      </c>
      <c r="AE523" s="11">
        <v>48.405000000000001</v>
      </c>
      <c r="AF523" s="16">
        <v>14924.23</v>
      </c>
      <c r="AG523" s="16">
        <v>9100.14</v>
      </c>
      <c r="AH523" s="13">
        <v>1.64</v>
      </c>
      <c r="AI523" s="11">
        <v>28.49</v>
      </c>
      <c r="AJ523" s="16">
        <v>8784.0400000000009</v>
      </c>
      <c r="AK523" s="16">
        <v>5356.12</v>
      </c>
      <c r="AL523" s="13">
        <v>1.64</v>
      </c>
      <c r="AM523" s="11">
        <v>28.44</v>
      </c>
      <c r="AN523" s="16">
        <v>8768.6200000000008</v>
      </c>
      <c r="AO523" s="16">
        <v>5346.72</v>
      </c>
      <c r="AP523" s="13">
        <v>1.64</v>
      </c>
      <c r="AQ523" s="11">
        <v>28.553999999999998</v>
      </c>
      <c r="AR523" s="16">
        <v>8803.77</v>
      </c>
      <c r="AS523" s="16">
        <v>5368.15</v>
      </c>
      <c r="AT523" s="13">
        <v>1.64</v>
      </c>
      <c r="AU523" s="11">
        <v>30.731999999999999</v>
      </c>
      <c r="AV523" s="16">
        <v>9475.2900000000009</v>
      </c>
      <c r="AW523" s="16">
        <v>5777.62</v>
      </c>
      <c r="AX523" s="13">
        <v>1.64</v>
      </c>
      <c r="AY523" s="11">
        <v>700.00099999999998</v>
      </c>
      <c r="AZ523" s="16">
        <v>215824.31</v>
      </c>
      <c r="BA523" s="12">
        <v>131600.20000000001</v>
      </c>
      <c r="BB523" s="13">
        <v>1.64</v>
      </c>
    </row>
    <row r="524" spans="1:54" x14ac:dyDescent="0.25">
      <c r="A524" s="10" t="s">
        <v>148</v>
      </c>
      <c r="B524" s="10" t="s">
        <v>39</v>
      </c>
      <c r="C524" s="11">
        <v>28.315999999999999</v>
      </c>
      <c r="D524" s="16">
        <v>7256.82</v>
      </c>
      <c r="E524" s="16">
        <v>4219.08</v>
      </c>
      <c r="F524" s="13">
        <v>1.72</v>
      </c>
      <c r="G524" s="11">
        <v>46.25</v>
      </c>
      <c r="H524" s="16">
        <v>11852.95</v>
      </c>
      <c r="I524" s="16">
        <v>6891.25</v>
      </c>
      <c r="J524" s="13">
        <v>1.72</v>
      </c>
      <c r="K524" s="11">
        <v>92.5</v>
      </c>
      <c r="L524" s="12">
        <v>23705.9</v>
      </c>
      <c r="M524" s="12">
        <v>13782.5</v>
      </c>
      <c r="N524" s="13">
        <v>1.72</v>
      </c>
      <c r="O524" s="11">
        <v>125.536</v>
      </c>
      <c r="P524" s="16">
        <v>32172.37</v>
      </c>
      <c r="Q524" s="16">
        <v>18704.86</v>
      </c>
      <c r="R524" s="13">
        <v>1.72</v>
      </c>
      <c r="S524" s="11">
        <v>167.916</v>
      </c>
      <c r="T524" s="16">
        <v>43033.51</v>
      </c>
      <c r="U524" s="16">
        <v>25019.48</v>
      </c>
      <c r="V524" s="13">
        <v>1.72</v>
      </c>
      <c r="W524" s="11">
        <v>205.72499999999999</v>
      </c>
      <c r="X524" s="12">
        <v>52723.199999999997</v>
      </c>
      <c r="Y524" s="16">
        <v>30653.03</v>
      </c>
      <c r="Z524" s="13">
        <v>1.72</v>
      </c>
      <c r="AA524" s="11">
        <v>167.41900000000001</v>
      </c>
      <c r="AB524" s="16">
        <v>42906.14</v>
      </c>
      <c r="AC524" s="16">
        <v>24945.43</v>
      </c>
      <c r="AD524" s="13">
        <v>1.72</v>
      </c>
      <c r="AE524" s="11">
        <v>75.373999999999995</v>
      </c>
      <c r="AF524" s="16">
        <v>19316.849999999999</v>
      </c>
      <c r="AG524" s="16">
        <v>11230.73</v>
      </c>
      <c r="AH524" s="13">
        <v>1.72</v>
      </c>
      <c r="AI524" s="11">
        <v>44.363</v>
      </c>
      <c r="AJ524" s="16">
        <v>11369.35</v>
      </c>
      <c r="AK524" s="16">
        <v>6610.09</v>
      </c>
      <c r="AL524" s="13">
        <v>1.72</v>
      </c>
      <c r="AM524" s="11">
        <v>44.284999999999997</v>
      </c>
      <c r="AN524" s="16">
        <v>11349.36</v>
      </c>
      <c r="AO524" s="16">
        <v>6598.47</v>
      </c>
      <c r="AP524" s="13">
        <v>1.72</v>
      </c>
      <c r="AQ524" s="11">
        <v>44.462000000000003</v>
      </c>
      <c r="AR524" s="16">
        <v>11394.72</v>
      </c>
      <c r="AS524" s="16">
        <v>6624.84</v>
      </c>
      <c r="AT524" s="13">
        <v>1.72</v>
      </c>
      <c r="AU524" s="11">
        <v>47.853999999999999</v>
      </c>
      <c r="AV524" s="16">
        <v>12264.02</v>
      </c>
      <c r="AW524" s="16">
        <v>7130.25</v>
      </c>
      <c r="AX524" s="13">
        <v>1.72</v>
      </c>
      <c r="AY524" s="18">
        <v>1090</v>
      </c>
      <c r="AZ524" s="16">
        <v>279345.19</v>
      </c>
      <c r="BA524" s="16">
        <v>162410.01</v>
      </c>
      <c r="BB524" s="13">
        <v>1.72</v>
      </c>
    </row>
    <row r="525" spans="1:54" x14ac:dyDescent="0.25">
      <c r="A525" s="10" t="s">
        <v>148</v>
      </c>
      <c r="B525" s="10" t="s">
        <v>147</v>
      </c>
      <c r="C525" s="11">
        <v>8.3130000000000006</v>
      </c>
      <c r="D525" s="16">
        <v>1652.62</v>
      </c>
      <c r="E525" s="16">
        <v>1180.45</v>
      </c>
      <c r="F525" s="13">
        <v>1.4</v>
      </c>
      <c r="G525" s="11">
        <v>13.577999999999999</v>
      </c>
      <c r="H525" s="16">
        <v>2699.31</v>
      </c>
      <c r="I525" s="16">
        <v>1928.08</v>
      </c>
      <c r="J525" s="13">
        <v>1.4</v>
      </c>
      <c r="K525" s="11">
        <v>27.155999999999999</v>
      </c>
      <c r="L525" s="16">
        <v>5398.61</v>
      </c>
      <c r="M525" s="16">
        <v>3856.15</v>
      </c>
      <c r="N525" s="13">
        <v>1.4</v>
      </c>
      <c r="O525" s="11">
        <v>36.854999999999997</v>
      </c>
      <c r="P525" s="16">
        <v>7326.77</v>
      </c>
      <c r="Q525" s="16">
        <v>5233.41</v>
      </c>
      <c r="R525" s="13">
        <v>1.4</v>
      </c>
      <c r="S525" s="11">
        <v>49.295999999999999</v>
      </c>
      <c r="T525" s="16">
        <v>9800.0400000000009</v>
      </c>
      <c r="U525" s="16">
        <v>7000.03</v>
      </c>
      <c r="V525" s="13">
        <v>1.4</v>
      </c>
      <c r="W525" s="11">
        <v>60.396000000000001</v>
      </c>
      <c r="X525" s="16">
        <v>12006.72</v>
      </c>
      <c r="Y525" s="16">
        <v>8576.23</v>
      </c>
      <c r="Z525" s="13">
        <v>1.4</v>
      </c>
      <c r="AA525" s="11">
        <v>49.151000000000003</v>
      </c>
      <c r="AB525" s="16">
        <v>9771.2199999999993</v>
      </c>
      <c r="AC525" s="16">
        <v>6979.44</v>
      </c>
      <c r="AD525" s="13">
        <v>1.4</v>
      </c>
      <c r="AE525" s="11">
        <v>22.128</v>
      </c>
      <c r="AF525" s="16">
        <v>4399.05</v>
      </c>
      <c r="AG525" s="16">
        <v>3142.18</v>
      </c>
      <c r="AH525" s="13">
        <v>1.4</v>
      </c>
      <c r="AI525" s="11">
        <v>13.023999999999999</v>
      </c>
      <c r="AJ525" s="16">
        <v>2589.17</v>
      </c>
      <c r="AK525" s="16">
        <v>1849.41</v>
      </c>
      <c r="AL525" s="13">
        <v>1.4</v>
      </c>
      <c r="AM525" s="11">
        <v>13.000999999999999</v>
      </c>
      <c r="AN525" s="12">
        <v>2584.6</v>
      </c>
      <c r="AO525" s="16">
        <v>1846.14</v>
      </c>
      <c r="AP525" s="13">
        <v>1.4</v>
      </c>
      <c r="AQ525" s="11">
        <v>13.053000000000001</v>
      </c>
      <c r="AR525" s="16">
        <v>2594.94</v>
      </c>
      <c r="AS525" s="16">
        <v>1853.53</v>
      </c>
      <c r="AT525" s="13">
        <v>1.4</v>
      </c>
      <c r="AU525" s="11">
        <v>14.048999999999999</v>
      </c>
      <c r="AV525" s="16">
        <v>2792.94</v>
      </c>
      <c r="AW525" s="16">
        <v>1994.96</v>
      </c>
      <c r="AX525" s="13">
        <v>1.4</v>
      </c>
      <c r="AY525" s="11">
        <v>320</v>
      </c>
      <c r="AZ525" s="16">
        <v>63615.99</v>
      </c>
      <c r="BA525" s="16">
        <v>45440.01</v>
      </c>
      <c r="BB525" s="13">
        <v>1.4</v>
      </c>
    </row>
    <row r="526" spans="1:54" x14ac:dyDescent="0.25">
      <c r="A526" s="10" t="s">
        <v>148</v>
      </c>
      <c r="B526" s="10" t="s">
        <v>175</v>
      </c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1">
        <v>70</v>
      </c>
      <c r="AF526" s="15">
        <v>7854</v>
      </c>
      <c r="AG526" s="15">
        <v>4620</v>
      </c>
      <c r="AH526" s="13">
        <v>1.7</v>
      </c>
      <c r="AI526" s="11">
        <v>210</v>
      </c>
      <c r="AJ526" s="15">
        <v>23562</v>
      </c>
      <c r="AK526" s="15">
        <v>13860</v>
      </c>
      <c r="AL526" s="13">
        <v>1.7</v>
      </c>
      <c r="AM526" s="11">
        <v>210</v>
      </c>
      <c r="AN526" s="15">
        <v>23562</v>
      </c>
      <c r="AO526" s="15">
        <v>13860</v>
      </c>
      <c r="AP526" s="13">
        <v>1.7</v>
      </c>
      <c r="AQ526" s="11">
        <v>140</v>
      </c>
      <c r="AR526" s="15">
        <v>15708</v>
      </c>
      <c r="AS526" s="15">
        <v>9240</v>
      </c>
      <c r="AT526" s="13">
        <v>1.7</v>
      </c>
      <c r="AU526" s="11">
        <v>70</v>
      </c>
      <c r="AV526" s="15">
        <v>7854</v>
      </c>
      <c r="AW526" s="15">
        <v>4620</v>
      </c>
      <c r="AX526" s="13">
        <v>1.7</v>
      </c>
      <c r="AY526" s="11">
        <v>700</v>
      </c>
      <c r="AZ526" s="15">
        <v>78540</v>
      </c>
      <c r="BA526" s="15">
        <v>46200</v>
      </c>
      <c r="BB526" s="13">
        <v>1.7</v>
      </c>
    </row>
    <row r="527" spans="1:54" x14ac:dyDescent="0.25">
      <c r="A527" s="10" t="s">
        <v>148</v>
      </c>
      <c r="B527" s="10" t="s">
        <v>171</v>
      </c>
      <c r="C527" s="14"/>
      <c r="D527" s="14"/>
      <c r="E527" s="14"/>
      <c r="F527" s="14"/>
      <c r="G527" s="14"/>
      <c r="H527" s="14"/>
      <c r="I527" s="14"/>
      <c r="J527" s="14"/>
      <c r="K527" s="11">
        <v>29.04</v>
      </c>
      <c r="L527" s="17">
        <v>816.6</v>
      </c>
      <c r="M527" s="13">
        <v>397.56</v>
      </c>
      <c r="N527" s="13">
        <v>2.0499999999999998</v>
      </c>
      <c r="O527" s="11">
        <v>54.45</v>
      </c>
      <c r="P527" s="16">
        <v>1531.13</v>
      </c>
      <c r="Q527" s="13">
        <v>745.42</v>
      </c>
      <c r="R527" s="13">
        <v>2.0499999999999998</v>
      </c>
      <c r="S527" s="11">
        <v>72.599999999999994</v>
      </c>
      <c r="T527" s="16">
        <v>2041.51</v>
      </c>
      <c r="U527" s="13">
        <v>993.89</v>
      </c>
      <c r="V527" s="13">
        <v>2.0499999999999998</v>
      </c>
      <c r="W527" s="11">
        <v>90.75</v>
      </c>
      <c r="X527" s="16">
        <v>2551.89</v>
      </c>
      <c r="Y527" s="16">
        <v>1242.3699999999999</v>
      </c>
      <c r="Z527" s="13">
        <v>2.0499999999999998</v>
      </c>
      <c r="AA527" s="11">
        <v>61.71</v>
      </c>
      <c r="AB527" s="16">
        <v>1735.29</v>
      </c>
      <c r="AC527" s="13">
        <v>844.81</v>
      </c>
      <c r="AD527" s="13">
        <v>2.0499999999999998</v>
      </c>
      <c r="AE527" s="11">
        <v>43.56</v>
      </c>
      <c r="AF527" s="16">
        <v>1224.9100000000001</v>
      </c>
      <c r="AG527" s="13">
        <v>596.34</v>
      </c>
      <c r="AH527" s="13">
        <v>2.0499999999999998</v>
      </c>
      <c r="AI527" s="11">
        <v>10.89</v>
      </c>
      <c r="AJ527" s="13">
        <v>306.23</v>
      </c>
      <c r="AK527" s="13">
        <v>149.08000000000001</v>
      </c>
      <c r="AL527" s="13">
        <v>2.0499999999999998</v>
      </c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1">
        <v>363</v>
      </c>
      <c r="AZ527" s="16">
        <v>10207.56</v>
      </c>
      <c r="BA527" s="16">
        <v>4969.47</v>
      </c>
      <c r="BB527" s="13">
        <v>2.0499999999999998</v>
      </c>
    </row>
    <row r="528" spans="1:54" x14ac:dyDescent="0.25">
      <c r="A528" s="10" t="s">
        <v>148</v>
      </c>
      <c r="B528" s="10" t="s">
        <v>173</v>
      </c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1">
        <v>16</v>
      </c>
      <c r="T528" s="13">
        <v>881.76</v>
      </c>
      <c r="U528" s="19">
        <v>416</v>
      </c>
      <c r="V528" s="13">
        <v>2.12</v>
      </c>
      <c r="W528" s="11">
        <v>25.6</v>
      </c>
      <c r="X528" s="16">
        <v>1410.82</v>
      </c>
      <c r="Y528" s="17">
        <v>665.6</v>
      </c>
      <c r="Z528" s="13">
        <v>2.12</v>
      </c>
      <c r="AA528" s="11">
        <v>27.2</v>
      </c>
      <c r="AB528" s="16">
        <v>1498.99</v>
      </c>
      <c r="AC528" s="17">
        <v>707.2</v>
      </c>
      <c r="AD528" s="13">
        <v>2.12</v>
      </c>
      <c r="AE528" s="11">
        <v>6.4</v>
      </c>
      <c r="AF528" s="17">
        <v>352.7</v>
      </c>
      <c r="AG528" s="17">
        <v>166.4</v>
      </c>
      <c r="AH528" s="13">
        <v>2.12</v>
      </c>
      <c r="AI528" s="11">
        <v>3.2</v>
      </c>
      <c r="AJ528" s="13">
        <v>176.35</v>
      </c>
      <c r="AK528" s="17">
        <v>83.2</v>
      </c>
      <c r="AL528" s="13">
        <v>2.12</v>
      </c>
      <c r="AM528" s="11">
        <v>1.6</v>
      </c>
      <c r="AN528" s="13">
        <v>88.18</v>
      </c>
      <c r="AO528" s="17">
        <v>41.6</v>
      </c>
      <c r="AP528" s="13">
        <v>2.12</v>
      </c>
      <c r="AQ528" s="14"/>
      <c r="AR528" s="14"/>
      <c r="AS528" s="14"/>
      <c r="AT528" s="14"/>
      <c r="AU528" s="14"/>
      <c r="AV528" s="14"/>
      <c r="AW528" s="14"/>
      <c r="AX528" s="14"/>
      <c r="AY528" s="11">
        <v>80</v>
      </c>
      <c r="AZ528" s="12">
        <v>4408.8</v>
      </c>
      <c r="BA528" s="15">
        <v>2080</v>
      </c>
      <c r="BB528" s="13">
        <v>2.12</v>
      </c>
    </row>
    <row r="529" spans="1:54" x14ac:dyDescent="0.25">
      <c r="A529" s="10" t="s">
        <v>148</v>
      </c>
      <c r="B529" s="10" t="s">
        <v>168</v>
      </c>
      <c r="C529" s="14"/>
      <c r="D529" s="14"/>
      <c r="E529" s="14"/>
      <c r="F529" s="14"/>
      <c r="G529" s="14"/>
      <c r="H529" s="14"/>
      <c r="I529" s="14"/>
      <c r="J529" s="14"/>
      <c r="K529" s="11">
        <v>250.08</v>
      </c>
      <c r="L529" s="16">
        <v>6099.45</v>
      </c>
      <c r="M529" s="16">
        <v>3701.18</v>
      </c>
      <c r="N529" s="13">
        <v>1.65</v>
      </c>
      <c r="O529" s="11">
        <v>343.86</v>
      </c>
      <c r="P529" s="16">
        <v>8386.75</v>
      </c>
      <c r="Q529" s="16">
        <v>5089.13</v>
      </c>
      <c r="R529" s="13">
        <v>1.65</v>
      </c>
      <c r="S529" s="11">
        <v>312.60000000000002</v>
      </c>
      <c r="T529" s="16">
        <v>7624.31</v>
      </c>
      <c r="U529" s="16">
        <v>4626.4799999999996</v>
      </c>
      <c r="V529" s="13">
        <v>1.65</v>
      </c>
      <c r="W529" s="11">
        <v>500.16</v>
      </c>
      <c r="X529" s="12">
        <v>12198.9</v>
      </c>
      <c r="Y529" s="16">
        <v>7402.37</v>
      </c>
      <c r="Z529" s="13">
        <v>1.65</v>
      </c>
      <c r="AA529" s="11">
        <v>531.41999999999996</v>
      </c>
      <c r="AB529" s="16">
        <v>12961.33</v>
      </c>
      <c r="AC529" s="16">
        <v>7865.02</v>
      </c>
      <c r="AD529" s="13">
        <v>1.65</v>
      </c>
      <c r="AE529" s="11">
        <v>250.08</v>
      </c>
      <c r="AF529" s="16">
        <v>6099.45</v>
      </c>
      <c r="AG529" s="16">
        <v>3701.18</v>
      </c>
      <c r="AH529" s="13">
        <v>1.65</v>
      </c>
      <c r="AI529" s="11">
        <v>93.78</v>
      </c>
      <c r="AJ529" s="16">
        <v>2287.29</v>
      </c>
      <c r="AK529" s="16">
        <v>1387.94</v>
      </c>
      <c r="AL529" s="13">
        <v>1.65</v>
      </c>
      <c r="AM529" s="11">
        <v>250.08</v>
      </c>
      <c r="AN529" s="16">
        <v>6099.45</v>
      </c>
      <c r="AO529" s="16">
        <v>3701.18</v>
      </c>
      <c r="AP529" s="13">
        <v>1.65</v>
      </c>
      <c r="AQ529" s="11">
        <v>281.33999999999997</v>
      </c>
      <c r="AR529" s="16">
        <v>6861.88</v>
      </c>
      <c r="AS529" s="16">
        <v>4163.83</v>
      </c>
      <c r="AT529" s="13">
        <v>1.65</v>
      </c>
      <c r="AU529" s="11">
        <v>312.60000000000002</v>
      </c>
      <c r="AV529" s="16">
        <v>7624.31</v>
      </c>
      <c r="AW529" s="16">
        <v>4626.4799999999996</v>
      </c>
      <c r="AX529" s="13">
        <v>1.65</v>
      </c>
      <c r="AY529" s="18">
        <v>3126</v>
      </c>
      <c r="AZ529" s="16">
        <v>76243.12</v>
      </c>
      <c r="BA529" s="16">
        <v>46264.79</v>
      </c>
      <c r="BB529" s="13">
        <v>1.65</v>
      </c>
    </row>
    <row r="530" spans="1:54" x14ac:dyDescent="0.25">
      <c r="A530" s="10" t="s">
        <v>148</v>
      </c>
      <c r="B530" s="10" t="s">
        <v>174</v>
      </c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1">
        <v>38.4</v>
      </c>
      <c r="P530" s="16">
        <v>5072.26</v>
      </c>
      <c r="Q530" s="12">
        <v>1958.4</v>
      </c>
      <c r="R530" s="13">
        <v>2.59</v>
      </c>
      <c r="S530" s="11">
        <v>51.2</v>
      </c>
      <c r="T530" s="16">
        <v>6763.01</v>
      </c>
      <c r="U530" s="12">
        <v>2611.1999999999998</v>
      </c>
      <c r="V530" s="13">
        <v>2.59</v>
      </c>
      <c r="W530" s="11">
        <v>64</v>
      </c>
      <c r="X530" s="16">
        <v>8453.76</v>
      </c>
      <c r="Y530" s="15">
        <v>3264</v>
      </c>
      <c r="Z530" s="13">
        <v>2.59</v>
      </c>
      <c r="AA530" s="11">
        <v>80</v>
      </c>
      <c r="AB530" s="12">
        <v>10567.2</v>
      </c>
      <c r="AC530" s="15">
        <v>4080</v>
      </c>
      <c r="AD530" s="13">
        <v>2.59</v>
      </c>
      <c r="AE530" s="11">
        <v>60.8</v>
      </c>
      <c r="AF530" s="16">
        <v>8031.07</v>
      </c>
      <c r="AG530" s="12">
        <v>3100.8</v>
      </c>
      <c r="AH530" s="13">
        <v>2.59</v>
      </c>
      <c r="AI530" s="11">
        <v>25.6</v>
      </c>
      <c r="AJ530" s="12">
        <v>3381.5</v>
      </c>
      <c r="AK530" s="12">
        <v>1305.5999999999999</v>
      </c>
      <c r="AL530" s="13">
        <v>2.59</v>
      </c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1">
        <v>320</v>
      </c>
      <c r="AZ530" s="12">
        <v>42268.800000000003</v>
      </c>
      <c r="BA530" s="15">
        <v>16320</v>
      </c>
      <c r="BB530" s="13">
        <v>2.59</v>
      </c>
    </row>
    <row r="531" spans="1:54" x14ac:dyDescent="0.25">
      <c r="A531" s="10" t="s">
        <v>148</v>
      </c>
      <c r="B531" s="10" t="s">
        <v>176</v>
      </c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1">
        <v>50</v>
      </c>
      <c r="AF531" s="15">
        <v>5950</v>
      </c>
      <c r="AG531" s="15">
        <v>3500</v>
      </c>
      <c r="AH531" s="13">
        <v>1.7</v>
      </c>
      <c r="AI531" s="11">
        <v>150</v>
      </c>
      <c r="AJ531" s="15">
        <v>17850</v>
      </c>
      <c r="AK531" s="15">
        <v>10500</v>
      </c>
      <c r="AL531" s="13">
        <v>1.7</v>
      </c>
      <c r="AM531" s="11">
        <v>150</v>
      </c>
      <c r="AN531" s="15">
        <v>17850</v>
      </c>
      <c r="AO531" s="15">
        <v>10500</v>
      </c>
      <c r="AP531" s="13">
        <v>1.7</v>
      </c>
      <c r="AQ531" s="11">
        <v>100</v>
      </c>
      <c r="AR531" s="15">
        <v>11900</v>
      </c>
      <c r="AS531" s="15">
        <v>7000</v>
      </c>
      <c r="AT531" s="13">
        <v>1.7</v>
      </c>
      <c r="AU531" s="11">
        <v>50</v>
      </c>
      <c r="AV531" s="15">
        <v>5950</v>
      </c>
      <c r="AW531" s="15">
        <v>3500</v>
      </c>
      <c r="AX531" s="13">
        <v>1.7</v>
      </c>
      <c r="AY531" s="11">
        <v>500</v>
      </c>
      <c r="AZ531" s="15">
        <v>59500</v>
      </c>
      <c r="BA531" s="15">
        <v>35000</v>
      </c>
      <c r="BB531" s="13">
        <v>1.7</v>
      </c>
    </row>
    <row r="532" spans="1:54" x14ac:dyDescent="0.25">
      <c r="A532" s="10" t="s">
        <v>148</v>
      </c>
      <c r="B532" s="10" t="s">
        <v>177</v>
      </c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1">
        <v>35</v>
      </c>
      <c r="AF532" s="16">
        <v>3123.75</v>
      </c>
      <c r="AG532" s="12">
        <v>1837.5</v>
      </c>
      <c r="AH532" s="13">
        <v>1.7</v>
      </c>
      <c r="AI532" s="11">
        <v>105</v>
      </c>
      <c r="AJ532" s="16">
        <v>9371.25</v>
      </c>
      <c r="AK532" s="12">
        <v>5512.5</v>
      </c>
      <c r="AL532" s="13">
        <v>1.7</v>
      </c>
      <c r="AM532" s="11">
        <v>105</v>
      </c>
      <c r="AN532" s="16">
        <v>9371.25</v>
      </c>
      <c r="AO532" s="12">
        <v>5512.5</v>
      </c>
      <c r="AP532" s="13">
        <v>1.7</v>
      </c>
      <c r="AQ532" s="11">
        <v>70</v>
      </c>
      <c r="AR532" s="12">
        <v>6247.5</v>
      </c>
      <c r="AS532" s="15">
        <v>3675</v>
      </c>
      <c r="AT532" s="13">
        <v>1.7</v>
      </c>
      <c r="AU532" s="11">
        <v>35</v>
      </c>
      <c r="AV532" s="16">
        <v>3123.75</v>
      </c>
      <c r="AW532" s="12">
        <v>1837.5</v>
      </c>
      <c r="AX532" s="13">
        <v>1.7</v>
      </c>
      <c r="AY532" s="11">
        <v>350</v>
      </c>
      <c r="AZ532" s="12">
        <v>31237.5</v>
      </c>
      <c r="BA532" s="15">
        <v>18375</v>
      </c>
      <c r="BB532" s="13">
        <v>1.7</v>
      </c>
    </row>
    <row r="533" spans="1:54" x14ac:dyDescent="0.25">
      <c r="A533" s="10" t="s">
        <v>148</v>
      </c>
      <c r="B533" s="10" t="s">
        <v>155</v>
      </c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1">
        <v>126.764</v>
      </c>
      <c r="AB533" s="16">
        <v>50393.760000000002</v>
      </c>
      <c r="AC533" s="16">
        <v>30352.37</v>
      </c>
      <c r="AD533" s="13">
        <v>1.66</v>
      </c>
      <c r="AE533" s="11">
        <v>84.742000000000004</v>
      </c>
      <c r="AF533" s="16">
        <v>33688.33</v>
      </c>
      <c r="AG533" s="16">
        <v>20290.62</v>
      </c>
      <c r="AH533" s="13">
        <v>1.66</v>
      </c>
      <c r="AI533" s="11">
        <v>71.878</v>
      </c>
      <c r="AJ533" s="16">
        <v>28574.38</v>
      </c>
      <c r="AK533" s="16">
        <v>17210.47</v>
      </c>
      <c r="AL533" s="13">
        <v>1.66</v>
      </c>
      <c r="AM533" s="11">
        <v>80.828999999999994</v>
      </c>
      <c r="AN533" s="16">
        <v>32132.76</v>
      </c>
      <c r="AO533" s="12">
        <v>19353.7</v>
      </c>
      <c r="AP533" s="13">
        <v>1.66</v>
      </c>
      <c r="AQ533" s="11">
        <v>81.578999999999994</v>
      </c>
      <c r="AR533" s="16">
        <v>32430.92</v>
      </c>
      <c r="AS533" s="16">
        <v>19533.28</v>
      </c>
      <c r="AT533" s="13">
        <v>1.66</v>
      </c>
      <c r="AU533" s="11">
        <v>90.209000000000003</v>
      </c>
      <c r="AV533" s="16">
        <v>35861.69</v>
      </c>
      <c r="AW533" s="16">
        <v>21599.64</v>
      </c>
      <c r="AX533" s="13">
        <v>1.66</v>
      </c>
      <c r="AY533" s="11">
        <v>536.00099999999998</v>
      </c>
      <c r="AZ533" s="16">
        <v>213081.84</v>
      </c>
      <c r="BA533" s="16">
        <v>128340.08</v>
      </c>
      <c r="BB533" s="13">
        <v>1.66</v>
      </c>
    </row>
    <row r="534" spans="1:54" x14ac:dyDescent="0.25">
      <c r="A534" s="10" t="s">
        <v>148</v>
      </c>
      <c r="B534" s="10" t="s">
        <v>156</v>
      </c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1">
        <v>52.975999999999999</v>
      </c>
      <c r="AB534" s="16">
        <v>12848.27</v>
      </c>
      <c r="AC534" s="16">
        <v>8622.3700000000008</v>
      </c>
      <c r="AD534" s="13">
        <v>1.49</v>
      </c>
      <c r="AE534" s="11">
        <v>49.777000000000001</v>
      </c>
      <c r="AF534" s="16">
        <v>12072.42</v>
      </c>
      <c r="AG534" s="12">
        <v>8101.7</v>
      </c>
      <c r="AH534" s="13">
        <v>1.49</v>
      </c>
      <c r="AI534" s="11">
        <v>51.186999999999998</v>
      </c>
      <c r="AJ534" s="16">
        <v>12414.38</v>
      </c>
      <c r="AK534" s="12">
        <v>8331.2000000000007</v>
      </c>
      <c r="AL534" s="13">
        <v>1.49</v>
      </c>
      <c r="AM534" s="11">
        <v>59.822000000000003</v>
      </c>
      <c r="AN534" s="16">
        <v>14508.63</v>
      </c>
      <c r="AO534" s="16">
        <v>9736.6299999999992</v>
      </c>
      <c r="AP534" s="13">
        <v>1.49</v>
      </c>
      <c r="AQ534" s="11">
        <v>68.043000000000006</v>
      </c>
      <c r="AR534" s="16">
        <v>16502.47</v>
      </c>
      <c r="AS534" s="16">
        <v>11074.68</v>
      </c>
      <c r="AT534" s="13">
        <v>1.49</v>
      </c>
      <c r="AU534" s="11">
        <v>62.195</v>
      </c>
      <c r="AV534" s="16">
        <v>15084.15</v>
      </c>
      <c r="AW534" s="16">
        <v>10122.86</v>
      </c>
      <c r="AX534" s="13">
        <v>1.49</v>
      </c>
      <c r="AY534" s="11">
        <v>344</v>
      </c>
      <c r="AZ534" s="16">
        <v>83430.320000000007</v>
      </c>
      <c r="BA534" s="16">
        <v>55989.440000000002</v>
      </c>
      <c r="BB534" s="13">
        <v>1.49</v>
      </c>
    </row>
    <row r="535" spans="1:54" x14ac:dyDescent="0.25">
      <c r="A535" s="10" t="s">
        <v>148</v>
      </c>
      <c r="B535" s="10" t="s">
        <v>67</v>
      </c>
      <c r="C535" s="11">
        <v>5.1219999999999999</v>
      </c>
      <c r="D535" s="16">
        <v>2200.16</v>
      </c>
      <c r="E535" s="16">
        <v>1629.77</v>
      </c>
      <c r="F535" s="13">
        <v>1.35</v>
      </c>
      <c r="G535" s="11">
        <v>6.4020000000000001</v>
      </c>
      <c r="H535" s="16">
        <v>2749.98</v>
      </c>
      <c r="I535" s="16">
        <v>2037.05</v>
      </c>
      <c r="J535" s="13">
        <v>1.35</v>
      </c>
      <c r="K535" s="11">
        <v>7.6820000000000004</v>
      </c>
      <c r="L535" s="12">
        <v>3299.8</v>
      </c>
      <c r="M535" s="16">
        <v>2444.34</v>
      </c>
      <c r="N535" s="13">
        <v>1.35</v>
      </c>
      <c r="O535" s="11">
        <v>6.4020000000000001</v>
      </c>
      <c r="P535" s="16">
        <v>2749.98</v>
      </c>
      <c r="Q535" s="16">
        <v>2037.05</v>
      </c>
      <c r="R535" s="13">
        <v>1.35</v>
      </c>
      <c r="S535" s="11">
        <v>7.6820000000000004</v>
      </c>
      <c r="T535" s="12">
        <v>3299.8</v>
      </c>
      <c r="U535" s="16">
        <v>2444.34</v>
      </c>
      <c r="V535" s="13">
        <v>1.35</v>
      </c>
      <c r="W535" s="11">
        <v>10.243</v>
      </c>
      <c r="X535" s="16">
        <v>4399.88</v>
      </c>
      <c r="Y535" s="16">
        <v>3259.22</v>
      </c>
      <c r="Z535" s="13">
        <v>1.35</v>
      </c>
      <c r="AA535" s="11">
        <v>8.9629999999999992</v>
      </c>
      <c r="AB535" s="16">
        <v>3850.06</v>
      </c>
      <c r="AC535" s="16">
        <v>2851.94</v>
      </c>
      <c r="AD535" s="13">
        <v>1.35</v>
      </c>
      <c r="AE535" s="11">
        <v>12.804</v>
      </c>
      <c r="AF535" s="16">
        <v>5499.96</v>
      </c>
      <c r="AG535" s="12">
        <v>4074.1</v>
      </c>
      <c r="AH535" s="13">
        <v>1.35</v>
      </c>
      <c r="AI535" s="11">
        <v>17.925999999999998</v>
      </c>
      <c r="AJ535" s="16">
        <v>7700.11</v>
      </c>
      <c r="AK535" s="16">
        <v>5703.87</v>
      </c>
      <c r="AL535" s="13">
        <v>1.35</v>
      </c>
      <c r="AM535" s="11">
        <v>17.925999999999998</v>
      </c>
      <c r="AN535" s="16">
        <v>7700.11</v>
      </c>
      <c r="AO535" s="16">
        <v>5703.87</v>
      </c>
      <c r="AP535" s="13">
        <v>1.35</v>
      </c>
      <c r="AQ535" s="11">
        <v>15.365</v>
      </c>
      <c r="AR535" s="16">
        <v>6600.04</v>
      </c>
      <c r="AS535" s="16">
        <v>4888.99</v>
      </c>
      <c r="AT535" s="13">
        <v>1.35</v>
      </c>
      <c r="AU535" s="11">
        <v>11.523999999999999</v>
      </c>
      <c r="AV535" s="16">
        <v>4950.13</v>
      </c>
      <c r="AW535" s="16">
        <v>3666.82</v>
      </c>
      <c r="AX535" s="13">
        <v>1.35</v>
      </c>
      <c r="AY535" s="11">
        <v>128.041</v>
      </c>
      <c r="AZ535" s="16">
        <v>55000.01</v>
      </c>
      <c r="BA535" s="16">
        <v>40741.360000000001</v>
      </c>
      <c r="BB535" s="13">
        <v>1.35</v>
      </c>
    </row>
    <row r="536" spans="1:54" x14ac:dyDescent="0.25">
      <c r="A536" s="10" t="s">
        <v>148</v>
      </c>
      <c r="B536" s="10" t="s">
        <v>73</v>
      </c>
      <c r="C536" s="11">
        <v>1.282</v>
      </c>
      <c r="D536" s="13">
        <v>599.94000000000005</v>
      </c>
      <c r="E536" s="13">
        <v>444.41</v>
      </c>
      <c r="F536" s="13">
        <v>1.35</v>
      </c>
      <c r="G536" s="11">
        <v>1.603</v>
      </c>
      <c r="H536" s="13">
        <v>750.16</v>
      </c>
      <c r="I536" s="13">
        <v>555.67999999999995</v>
      </c>
      <c r="J536" s="13">
        <v>1.35</v>
      </c>
      <c r="K536" s="11">
        <v>1.923</v>
      </c>
      <c r="L536" s="13">
        <v>899.91</v>
      </c>
      <c r="M536" s="13">
        <v>666.61</v>
      </c>
      <c r="N536" s="13">
        <v>1.35</v>
      </c>
      <c r="O536" s="11">
        <v>1.603</v>
      </c>
      <c r="P536" s="13">
        <v>750.16</v>
      </c>
      <c r="Q536" s="13">
        <v>555.67999999999995</v>
      </c>
      <c r="R536" s="13">
        <v>1.35</v>
      </c>
      <c r="S536" s="11">
        <v>1.923</v>
      </c>
      <c r="T536" s="13">
        <v>899.91</v>
      </c>
      <c r="U536" s="13">
        <v>666.61</v>
      </c>
      <c r="V536" s="13">
        <v>1.35</v>
      </c>
      <c r="W536" s="11">
        <v>2.5640000000000001</v>
      </c>
      <c r="X536" s="16">
        <v>1199.8800000000001</v>
      </c>
      <c r="Y536" s="13">
        <v>888.81</v>
      </c>
      <c r="Z536" s="13">
        <v>1.35</v>
      </c>
      <c r="AA536" s="11">
        <v>2.2440000000000002</v>
      </c>
      <c r="AB536" s="16">
        <v>1050.1199999999999</v>
      </c>
      <c r="AC536" s="13">
        <v>777.88</v>
      </c>
      <c r="AD536" s="13">
        <v>1.35</v>
      </c>
      <c r="AE536" s="11">
        <v>3.2050000000000001</v>
      </c>
      <c r="AF536" s="16">
        <v>1499.84</v>
      </c>
      <c r="AG536" s="16">
        <v>1111.01</v>
      </c>
      <c r="AH536" s="13">
        <v>1.35</v>
      </c>
      <c r="AI536" s="11">
        <v>4.4870000000000001</v>
      </c>
      <c r="AJ536" s="16">
        <v>2099.7800000000002</v>
      </c>
      <c r="AK536" s="16">
        <v>1555.42</v>
      </c>
      <c r="AL536" s="13">
        <v>1.35</v>
      </c>
      <c r="AM536" s="11">
        <v>4.4870000000000001</v>
      </c>
      <c r="AN536" s="16">
        <v>2099.7800000000002</v>
      </c>
      <c r="AO536" s="16">
        <v>1555.42</v>
      </c>
      <c r="AP536" s="13">
        <v>1.35</v>
      </c>
      <c r="AQ536" s="11">
        <v>3.8460000000000001</v>
      </c>
      <c r="AR536" s="16">
        <v>1799.81</v>
      </c>
      <c r="AS536" s="16">
        <v>1333.22</v>
      </c>
      <c r="AT536" s="13">
        <v>1.35</v>
      </c>
      <c r="AU536" s="11">
        <v>2.8849999999999998</v>
      </c>
      <c r="AV536" s="16">
        <v>1350.09</v>
      </c>
      <c r="AW536" s="16">
        <v>1000.09</v>
      </c>
      <c r="AX536" s="13">
        <v>1.35</v>
      </c>
      <c r="AY536" s="11">
        <v>32.052</v>
      </c>
      <c r="AZ536" s="16">
        <v>14999.38</v>
      </c>
      <c r="BA536" s="16">
        <v>11110.84</v>
      </c>
      <c r="BB536" s="13">
        <v>1.35</v>
      </c>
    </row>
    <row r="537" spans="1:54" x14ac:dyDescent="0.25">
      <c r="A537" s="10" t="s">
        <v>148</v>
      </c>
      <c r="B537" s="10" t="s">
        <v>367</v>
      </c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1">
        <v>297.5</v>
      </c>
      <c r="AF537" s="12">
        <v>81681.600000000006</v>
      </c>
      <c r="AG537" s="15">
        <v>52360</v>
      </c>
      <c r="AH537" s="13">
        <v>1.56</v>
      </c>
      <c r="AI537" s="11">
        <v>247.917</v>
      </c>
      <c r="AJ537" s="16">
        <v>68068.09</v>
      </c>
      <c r="AK537" s="16">
        <v>43633.39</v>
      </c>
      <c r="AL537" s="13">
        <v>1.56</v>
      </c>
      <c r="AM537" s="11">
        <v>223.125</v>
      </c>
      <c r="AN537" s="12">
        <v>61261.2</v>
      </c>
      <c r="AO537" s="15">
        <v>39270</v>
      </c>
      <c r="AP537" s="13">
        <v>1.56</v>
      </c>
      <c r="AQ537" s="11">
        <v>198.333</v>
      </c>
      <c r="AR537" s="16">
        <v>54454.31</v>
      </c>
      <c r="AS537" s="16">
        <v>34906.61</v>
      </c>
      <c r="AT537" s="13">
        <v>1.56</v>
      </c>
      <c r="AU537" s="11">
        <v>223.125</v>
      </c>
      <c r="AV537" s="12">
        <v>61261.2</v>
      </c>
      <c r="AW537" s="15">
        <v>39270</v>
      </c>
      <c r="AX537" s="13">
        <v>1.56</v>
      </c>
      <c r="AY537" s="18">
        <v>1190</v>
      </c>
      <c r="AZ537" s="12">
        <v>326726.40000000002</v>
      </c>
      <c r="BA537" s="15">
        <v>209440</v>
      </c>
      <c r="BB537" s="13">
        <v>1.56</v>
      </c>
    </row>
    <row r="538" spans="1:54" x14ac:dyDescent="0.25">
      <c r="A538" s="10" t="s">
        <v>148</v>
      </c>
      <c r="B538" s="10" t="s">
        <v>368</v>
      </c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1">
        <v>350</v>
      </c>
      <c r="AF538" s="15">
        <v>112476</v>
      </c>
      <c r="AG538" s="15">
        <v>72100</v>
      </c>
      <c r="AH538" s="13">
        <v>1.56</v>
      </c>
      <c r="AI538" s="11">
        <v>291.66699999999997</v>
      </c>
      <c r="AJ538" s="16">
        <v>93730.11</v>
      </c>
      <c r="AK538" s="12">
        <v>60083.4</v>
      </c>
      <c r="AL538" s="13">
        <v>1.56</v>
      </c>
      <c r="AM538" s="11">
        <v>262.5</v>
      </c>
      <c r="AN538" s="15">
        <v>84357</v>
      </c>
      <c r="AO538" s="15">
        <v>54075</v>
      </c>
      <c r="AP538" s="13">
        <v>1.56</v>
      </c>
      <c r="AQ538" s="11">
        <v>233.333</v>
      </c>
      <c r="AR538" s="16">
        <v>74983.89</v>
      </c>
      <c r="AS538" s="12">
        <v>48066.6</v>
      </c>
      <c r="AT538" s="13">
        <v>1.56</v>
      </c>
      <c r="AU538" s="11">
        <v>262.5</v>
      </c>
      <c r="AV538" s="15">
        <v>84357</v>
      </c>
      <c r="AW538" s="15">
        <v>54075</v>
      </c>
      <c r="AX538" s="13">
        <v>1.56</v>
      </c>
      <c r="AY538" s="18">
        <v>1400</v>
      </c>
      <c r="AZ538" s="15">
        <v>449904</v>
      </c>
      <c r="BA538" s="15">
        <v>288400</v>
      </c>
      <c r="BB538" s="13">
        <v>1.56</v>
      </c>
    </row>
    <row r="539" spans="1:54" x14ac:dyDescent="0.25">
      <c r="A539" s="10" t="s">
        <v>148</v>
      </c>
      <c r="B539" s="10" t="s">
        <v>101</v>
      </c>
      <c r="C539" s="11">
        <v>2.3380000000000001</v>
      </c>
      <c r="D539" s="16">
        <v>1507.12</v>
      </c>
      <c r="E539" s="13">
        <v>728.08</v>
      </c>
      <c r="F539" s="13">
        <v>2.0699999999999998</v>
      </c>
      <c r="G539" s="11">
        <v>3.819</v>
      </c>
      <c r="H539" s="12">
        <v>2461.8000000000002</v>
      </c>
      <c r="I539" s="16">
        <v>1189.27</v>
      </c>
      <c r="J539" s="13">
        <v>2.0699999999999998</v>
      </c>
      <c r="K539" s="11">
        <v>7.6379999999999999</v>
      </c>
      <c r="L539" s="16">
        <v>4923.6099999999997</v>
      </c>
      <c r="M539" s="16">
        <v>2378.5500000000002</v>
      </c>
      <c r="N539" s="13">
        <v>2.0699999999999998</v>
      </c>
      <c r="O539" s="11">
        <v>10.365</v>
      </c>
      <c r="P539" s="16">
        <v>6681.49</v>
      </c>
      <c r="Q539" s="16">
        <v>3227.76</v>
      </c>
      <c r="R539" s="13">
        <v>2.0699999999999998</v>
      </c>
      <c r="S539" s="11">
        <v>13.865</v>
      </c>
      <c r="T539" s="16">
        <v>8937.66</v>
      </c>
      <c r="U539" s="12">
        <v>4317.7</v>
      </c>
      <c r="V539" s="13">
        <v>2.0699999999999998</v>
      </c>
      <c r="W539" s="11">
        <v>16.986000000000001</v>
      </c>
      <c r="X539" s="16">
        <v>10949.52</v>
      </c>
      <c r="Y539" s="16">
        <v>5289.61</v>
      </c>
      <c r="Z539" s="13">
        <v>2.0699999999999998</v>
      </c>
      <c r="AA539" s="11">
        <v>13.824</v>
      </c>
      <c r="AB539" s="16">
        <v>8911.23</v>
      </c>
      <c r="AC539" s="16">
        <v>4304.93</v>
      </c>
      <c r="AD539" s="13">
        <v>2.0699999999999998</v>
      </c>
      <c r="AE539" s="11">
        <v>6.2240000000000002</v>
      </c>
      <c r="AF539" s="16">
        <v>4012.11</v>
      </c>
      <c r="AG539" s="16">
        <v>1938.22</v>
      </c>
      <c r="AH539" s="13">
        <v>2.0699999999999998</v>
      </c>
      <c r="AI539" s="11">
        <v>3.6629999999999998</v>
      </c>
      <c r="AJ539" s="16">
        <v>2361.2399999999998</v>
      </c>
      <c r="AK539" s="16">
        <v>1140.69</v>
      </c>
      <c r="AL539" s="13">
        <v>2.0699999999999998</v>
      </c>
      <c r="AM539" s="11">
        <v>3.657</v>
      </c>
      <c r="AN539" s="16">
        <v>2357.38</v>
      </c>
      <c r="AO539" s="16">
        <v>1138.83</v>
      </c>
      <c r="AP539" s="13">
        <v>2.0699999999999998</v>
      </c>
      <c r="AQ539" s="11">
        <v>3.6709999999999998</v>
      </c>
      <c r="AR539" s="12">
        <v>2366.4</v>
      </c>
      <c r="AS539" s="16">
        <v>1143.19</v>
      </c>
      <c r="AT539" s="13">
        <v>2.0699999999999998</v>
      </c>
      <c r="AU539" s="11">
        <v>3.9510000000000001</v>
      </c>
      <c r="AV539" s="16">
        <v>2546.89</v>
      </c>
      <c r="AW539" s="16">
        <v>1230.3800000000001</v>
      </c>
      <c r="AX539" s="13">
        <v>2.0699999999999998</v>
      </c>
      <c r="AY539" s="11">
        <v>90.001000000000005</v>
      </c>
      <c r="AZ539" s="16">
        <v>58016.45</v>
      </c>
      <c r="BA539" s="16">
        <v>28027.21</v>
      </c>
      <c r="BB539" s="13">
        <v>2.0699999999999998</v>
      </c>
    </row>
    <row r="540" spans="1:54" x14ac:dyDescent="0.25">
      <c r="A540" s="10" t="s">
        <v>148</v>
      </c>
      <c r="B540" s="10" t="s">
        <v>102</v>
      </c>
      <c r="C540" s="11">
        <v>1.2989999999999999</v>
      </c>
      <c r="D540" s="19">
        <v>719</v>
      </c>
      <c r="E540" s="13">
        <v>435.76</v>
      </c>
      <c r="F540" s="13">
        <v>1.65</v>
      </c>
      <c r="G540" s="11">
        <v>2.1219999999999999</v>
      </c>
      <c r="H540" s="16">
        <v>1174.53</v>
      </c>
      <c r="I540" s="13">
        <v>711.85</v>
      </c>
      <c r="J540" s="13">
        <v>1.65</v>
      </c>
      <c r="K540" s="11">
        <v>4.2430000000000003</v>
      </c>
      <c r="L540" s="12">
        <v>2348.5</v>
      </c>
      <c r="M540" s="16">
        <v>1423.36</v>
      </c>
      <c r="N540" s="13">
        <v>1.65</v>
      </c>
      <c r="O540" s="11">
        <v>5.7590000000000003</v>
      </c>
      <c r="P540" s="16">
        <v>3187.61</v>
      </c>
      <c r="Q540" s="16">
        <v>1931.91</v>
      </c>
      <c r="R540" s="13">
        <v>1.65</v>
      </c>
      <c r="S540" s="11">
        <v>7.7030000000000003</v>
      </c>
      <c r="T540" s="16">
        <v>4263.6099999999997</v>
      </c>
      <c r="U540" s="16">
        <v>2584.0500000000002</v>
      </c>
      <c r="V540" s="13">
        <v>1.65</v>
      </c>
      <c r="W540" s="11">
        <v>9.4369999999999994</v>
      </c>
      <c r="X540" s="16">
        <v>5223.38</v>
      </c>
      <c r="Y540" s="16">
        <v>3165.74</v>
      </c>
      <c r="Z540" s="13">
        <v>1.65</v>
      </c>
      <c r="AA540" s="11">
        <v>7.68</v>
      </c>
      <c r="AB540" s="16">
        <v>4250.88</v>
      </c>
      <c r="AC540" s="16">
        <v>2576.33</v>
      </c>
      <c r="AD540" s="13">
        <v>1.65</v>
      </c>
      <c r="AE540" s="11">
        <v>3.4580000000000002</v>
      </c>
      <c r="AF540" s="15">
        <v>1914</v>
      </c>
      <c r="AG540" s="16">
        <v>1160.02</v>
      </c>
      <c r="AH540" s="13">
        <v>1.65</v>
      </c>
      <c r="AI540" s="11">
        <v>2.0350000000000001</v>
      </c>
      <c r="AJ540" s="16">
        <v>1126.3699999999999</v>
      </c>
      <c r="AK540" s="13">
        <v>682.66</v>
      </c>
      <c r="AL540" s="13">
        <v>1.65</v>
      </c>
      <c r="AM540" s="11">
        <v>2.0310000000000001</v>
      </c>
      <c r="AN540" s="16">
        <v>1124.1600000000001</v>
      </c>
      <c r="AO540" s="13">
        <v>681.32</v>
      </c>
      <c r="AP540" s="13">
        <v>1.65</v>
      </c>
      <c r="AQ540" s="11">
        <v>2.04</v>
      </c>
      <c r="AR540" s="16">
        <v>1129.1400000000001</v>
      </c>
      <c r="AS540" s="13">
        <v>684.34</v>
      </c>
      <c r="AT540" s="13">
        <v>1.65</v>
      </c>
      <c r="AU540" s="11">
        <v>2.1949999999999998</v>
      </c>
      <c r="AV540" s="16">
        <v>1214.93</v>
      </c>
      <c r="AW540" s="13">
        <v>736.33</v>
      </c>
      <c r="AX540" s="13">
        <v>1.65</v>
      </c>
      <c r="AY540" s="11">
        <v>50.002000000000002</v>
      </c>
      <c r="AZ540" s="16">
        <v>27676.11</v>
      </c>
      <c r="BA540" s="16">
        <v>16773.669999999998</v>
      </c>
      <c r="BB540" s="13">
        <v>1.65</v>
      </c>
    </row>
    <row r="541" spans="1:54" x14ac:dyDescent="0.25">
      <c r="A541" s="10" t="s">
        <v>148</v>
      </c>
      <c r="B541" s="10" t="s">
        <v>104</v>
      </c>
      <c r="C541" s="11">
        <v>0.52</v>
      </c>
      <c r="D541" s="13">
        <v>429.62</v>
      </c>
      <c r="E541" s="13">
        <v>209.57</v>
      </c>
      <c r="F541" s="13">
        <v>2.0499999999999998</v>
      </c>
      <c r="G541" s="11">
        <v>0.84899999999999998</v>
      </c>
      <c r="H541" s="13">
        <v>701.44</v>
      </c>
      <c r="I541" s="13">
        <v>342.16</v>
      </c>
      <c r="J541" s="13">
        <v>2.0499999999999998</v>
      </c>
      <c r="K541" s="11">
        <v>1.6970000000000001</v>
      </c>
      <c r="L541" s="16">
        <v>1402.04</v>
      </c>
      <c r="M541" s="13">
        <v>683.92</v>
      </c>
      <c r="N541" s="13">
        <v>2.0499999999999998</v>
      </c>
      <c r="O541" s="11">
        <v>2.3029999999999999</v>
      </c>
      <c r="P541" s="16">
        <v>1902.72</v>
      </c>
      <c r="Q541" s="13">
        <v>928.16</v>
      </c>
      <c r="R541" s="13">
        <v>2.0499999999999998</v>
      </c>
      <c r="S541" s="11">
        <v>3.081</v>
      </c>
      <c r="T541" s="16">
        <v>2545.4899999999998</v>
      </c>
      <c r="U541" s="12">
        <v>1241.7</v>
      </c>
      <c r="V541" s="13">
        <v>2.0499999999999998</v>
      </c>
      <c r="W541" s="11">
        <v>3.7749999999999999</v>
      </c>
      <c r="X541" s="16">
        <v>3118.87</v>
      </c>
      <c r="Y541" s="12">
        <v>1521.4</v>
      </c>
      <c r="Z541" s="13">
        <v>2.0499999999999998</v>
      </c>
      <c r="AA541" s="11">
        <v>3.0720000000000001</v>
      </c>
      <c r="AB541" s="16">
        <v>2538.06</v>
      </c>
      <c r="AC541" s="16">
        <v>1238.08</v>
      </c>
      <c r="AD541" s="13">
        <v>2.0499999999999998</v>
      </c>
      <c r="AE541" s="11">
        <v>1.383</v>
      </c>
      <c r="AF541" s="16">
        <v>1142.6199999999999</v>
      </c>
      <c r="AG541" s="13">
        <v>557.38</v>
      </c>
      <c r="AH541" s="13">
        <v>2.0499999999999998</v>
      </c>
      <c r="AI541" s="11">
        <v>0.81399999999999995</v>
      </c>
      <c r="AJ541" s="13">
        <v>672.52</v>
      </c>
      <c r="AK541" s="13">
        <v>328.06</v>
      </c>
      <c r="AL541" s="13">
        <v>2.0499999999999998</v>
      </c>
      <c r="AM541" s="11">
        <v>0.81299999999999994</v>
      </c>
      <c r="AN541" s="13">
        <v>671.69</v>
      </c>
      <c r="AO541" s="13">
        <v>327.66000000000003</v>
      </c>
      <c r="AP541" s="13">
        <v>2.0499999999999998</v>
      </c>
      <c r="AQ541" s="11">
        <v>0.81599999999999995</v>
      </c>
      <c r="AR541" s="13">
        <v>674.17</v>
      </c>
      <c r="AS541" s="13">
        <v>328.86</v>
      </c>
      <c r="AT541" s="13">
        <v>2.0499999999999998</v>
      </c>
      <c r="AU541" s="11">
        <v>0.878</v>
      </c>
      <c r="AV541" s="13">
        <v>725.39</v>
      </c>
      <c r="AW541" s="13">
        <v>353.85</v>
      </c>
      <c r="AX541" s="13">
        <v>2.0499999999999998</v>
      </c>
      <c r="AY541" s="11">
        <v>20.001000000000001</v>
      </c>
      <c r="AZ541" s="16">
        <v>16524.63</v>
      </c>
      <c r="BA541" s="12">
        <v>8060.8</v>
      </c>
      <c r="BB541" s="13">
        <v>2.0499999999999998</v>
      </c>
    </row>
    <row r="542" spans="1:54" x14ac:dyDescent="0.25">
      <c r="A542" s="10" t="s">
        <v>148</v>
      </c>
      <c r="B542" s="10" t="s">
        <v>105</v>
      </c>
      <c r="C542" s="11">
        <v>3.8969999999999998</v>
      </c>
      <c r="D542" s="16">
        <v>3297.02</v>
      </c>
      <c r="E542" s="16">
        <v>1498.63</v>
      </c>
      <c r="F542" s="13">
        <v>2.2000000000000002</v>
      </c>
      <c r="G542" s="11">
        <v>6.3650000000000002</v>
      </c>
      <c r="H542" s="16">
        <v>5385.04</v>
      </c>
      <c r="I542" s="16">
        <v>2447.7199999999998</v>
      </c>
      <c r="J542" s="13">
        <v>2.2000000000000002</v>
      </c>
      <c r="K542" s="11">
        <v>12.728999999999999</v>
      </c>
      <c r="L542" s="16">
        <v>10769.24</v>
      </c>
      <c r="M542" s="16">
        <v>4895.0600000000004</v>
      </c>
      <c r="N542" s="13">
        <v>2.2000000000000002</v>
      </c>
      <c r="O542" s="11">
        <v>17.276</v>
      </c>
      <c r="P542" s="16">
        <v>14616.19</v>
      </c>
      <c r="Q542" s="16">
        <v>6643.66</v>
      </c>
      <c r="R542" s="13">
        <v>2.2000000000000002</v>
      </c>
      <c r="S542" s="11">
        <v>23.108000000000001</v>
      </c>
      <c r="T542" s="16">
        <v>19550.29</v>
      </c>
      <c r="U542" s="16">
        <v>8886.41</v>
      </c>
      <c r="V542" s="13">
        <v>2.2000000000000002</v>
      </c>
      <c r="W542" s="11">
        <v>28.311</v>
      </c>
      <c r="X542" s="16">
        <v>23952.240000000002</v>
      </c>
      <c r="Y542" s="16">
        <v>10887.28</v>
      </c>
      <c r="Z542" s="13">
        <v>2.2000000000000002</v>
      </c>
      <c r="AA542" s="11">
        <v>23.039000000000001</v>
      </c>
      <c r="AB542" s="16">
        <v>19491.919999999998</v>
      </c>
      <c r="AC542" s="16">
        <v>8859.8799999999992</v>
      </c>
      <c r="AD542" s="13">
        <v>2.2000000000000002</v>
      </c>
      <c r="AE542" s="11">
        <v>10.372999999999999</v>
      </c>
      <c r="AF542" s="16">
        <v>8775.9699999999993</v>
      </c>
      <c r="AG542" s="16">
        <v>3989.04</v>
      </c>
      <c r="AH542" s="13">
        <v>2.2000000000000002</v>
      </c>
      <c r="AI542" s="11">
        <v>6.1050000000000004</v>
      </c>
      <c r="AJ542" s="16">
        <v>5165.07</v>
      </c>
      <c r="AK542" s="16">
        <v>2347.7399999999998</v>
      </c>
      <c r="AL542" s="13">
        <v>2.2000000000000002</v>
      </c>
      <c r="AM542" s="11">
        <v>6.0940000000000003</v>
      </c>
      <c r="AN542" s="16">
        <v>5155.7700000000004</v>
      </c>
      <c r="AO542" s="16">
        <v>2343.5100000000002</v>
      </c>
      <c r="AP542" s="13">
        <v>2.2000000000000002</v>
      </c>
      <c r="AQ542" s="11">
        <v>6.1189999999999998</v>
      </c>
      <c r="AR542" s="16">
        <v>5176.92</v>
      </c>
      <c r="AS542" s="16">
        <v>2353.12</v>
      </c>
      <c r="AT542" s="13">
        <v>2.2000000000000002</v>
      </c>
      <c r="AU542" s="11">
        <v>6.585</v>
      </c>
      <c r="AV542" s="16">
        <v>5571.17</v>
      </c>
      <c r="AW542" s="16">
        <v>2532.33</v>
      </c>
      <c r="AX542" s="13">
        <v>2.2000000000000002</v>
      </c>
      <c r="AY542" s="11">
        <v>150.001</v>
      </c>
      <c r="AZ542" s="16">
        <v>126906.84</v>
      </c>
      <c r="BA542" s="16">
        <v>57684.38</v>
      </c>
      <c r="BB542" s="13">
        <v>2.2000000000000002</v>
      </c>
    </row>
    <row r="543" spans="1:54" x14ac:dyDescent="0.25">
      <c r="A543" s="10" t="s">
        <v>148</v>
      </c>
      <c r="B543" s="10" t="s">
        <v>106</v>
      </c>
      <c r="C543" s="11">
        <v>3.8969999999999998</v>
      </c>
      <c r="D543" s="16">
        <v>2207.65</v>
      </c>
      <c r="E543" s="16">
        <v>1132.1199999999999</v>
      </c>
      <c r="F543" s="13">
        <v>1.95</v>
      </c>
      <c r="G543" s="11">
        <v>6.3650000000000002</v>
      </c>
      <c r="H543" s="16">
        <v>3605.77</v>
      </c>
      <c r="I543" s="12">
        <v>1849.1</v>
      </c>
      <c r="J543" s="13">
        <v>1.95</v>
      </c>
      <c r="K543" s="11">
        <v>12.728999999999999</v>
      </c>
      <c r="L543" s="16">
        <v>7210.98</v>
      </c>
      <c r="M543" s="12">
        <v>3697.9</v>
      </c>
      <c r="N543" s="13">
        <v>1.95</v>
      </c>
      <c r="O543" s="11">
        <v>17.276</v>
      </c>
      <c r="P543" s="16">
        <v>9786.85</v>
      </c>
      <c r="Q543" s="16">
        <v>5018.8500000000004</v>
      </c>
      <c r="R543" s="13">
        <v>1.95</v>
      </c>
      <c r="S543" s="11">
        <v>23.108000000000001</v>
      </c>
      <c r="T543" s="16">
        <v>13090.68</v>
      </c>
      <c r="U543" s="16">
        <v>6713.11</v>
      </c>
      <c r="V543" s="13">
        <v>1.95</v>
      </c>
      <c r="W543" s="11">
        <v>28.311</v>
      </c>
      <c r="X543" s="16">
        <v>16038.18</v>
      </c>
      <c r="Y543" s="16">
        <v>8224.6299999999992</v>
      </c>
      <c r="Z543" s="13">
        <v>1.95</v>
      </c>
      <c r="AA543" s="11">
        <v>23.039000000000001</v>
      </c>
      <c r="AB543" s="16">
        <v>13051.59</v>
      </c>
      <c r="AC543" s="16">
        <v>6693.06</v>
      </c>
      <c r="AD543" s="13">
        <v>1.95</v>
      </c>
      <c r="AE543" s="11">
        <v>10.372999999999999</v>
      </c>
      <c r="AF543" s="12">
        <v>5876.3</v>
      </c>
      <c r="AG543" s="16">
        <v>3013.46</v>
      </c>
      <c r="AH543" s="13">
        <v>1.95</v>
      </c>
      <c r="AI543" s="11">
        <v>6.1050000000000004</v>
      </c>
      <c r="AJ543" s="16">
        <v>3458.48</v>
      </c>
      <c r="AK543" s="16">
        <v>1773.56</v>
      </c>
      <c r="AL543" s="13">
        <v>1.95</v>
      </c>
      <c r="AM543" s="11">
        <v>6.0940000000000003</v>
      </c>
      <c r="AN543" s="16">
        <v>3452.25</v>
      </c>
      <c r="AO543" s="16">
        <v>1770.37</v>
      </c>
      <c r="AP543" s="13">
        <v>1.95</v>
      </c>
      <c r="AQ543" s="11">
        <v>6.1189999999999998</v>
      </c>
      <c r="AR543" s="16">
        <v>3466.41</v>
      </c>
      <c r="AS543" s="16">
        <v>1777.63</v>
      </c>
      <c r="AT543" s="13">
        <v>1.95</v>
      </c>
      <c r="AU543" s="11">
        <v>6.585</v>
      </c>
      <c r="AV543" s="12">
        <v>3730.4</v>
      </c>
      <c r="AW543" s="16">
        <v>1913.01</v>
      </c>
      <c r="AX543" s="13">
        <v>1.95</v>
      </c>
      <c r="AY543" s="11">
        <v>150.001</v>
      </c>
      <c r="AZ543" s="16">
        <v>84975.54</v>
      </c>
      <c r="BA543" s="12">
        <v>43576.800000000003</v>
      </c>
      <c r="BB543" s="13">
        <v>1.95</v>
      </c>
    </row>
    <row r="544" spans="1:54" x14ac:dyDescent="0.25">
      <c r="A544" s="10" t="s">
        <v>148</v>
      </c>
      <c r="B544" s="10" t="s">
        <v>107</v>
      </c>
      <c r="C544" s="11">
        <v>9.0920000000000005</v>
      </c>
      <c r="D544" s="16">
        <v>3830.82</v>
      </c>
      <c r="E544" s="16">
        <v>2128.2600000000002</v>
      </c>
      <c r="F544" s="13">
        <v>1.8</v>
      </c>
      <c r="G544" s="11">
        <v>14.851000000000001</v>
      </c>
      <c r="H544" s="16">
        <v>6257.32</v>
      </c>
      <c r="I544" s="16">
        <v>3476.32</v>
      </c>
      <c r="J544" s="13">
        <v>1.8</v>
      </c>
      <c r="K544" s="11">
        <v>29.702000000000002</v>
      </c>
      <c r="L544" s="16">
        <v>12514.64</v>
      </c>
      <c r="M544" s="16">
        <v>6952.64</v>
      </c>
      <c r="N544" s="13">
        <v>1.8</v>
      </c>
      <c r="O544" s="11">
        <v>40.31</v>
      </c>
      <c r="P544" s="16">
        <v>16984.22</v>
      </c>
      <c r="Q544" s="16">
        <v>9435.76</v>
      </c>
      <c r="R544" s="13">
        <v>1.8</v>
      </c>
      <c r="S544" s="11">
        <v>53.917999999999999</v>
      </c>
      <c r="T544" s="16">
        <v>22717.81</v>
      </c>
      <c r="U544" s="16">
        <v>12621.13</v>
      </c>
      <c r="V544" s="13">
        <v>1.8</v>
      </c>
      <c r="W544" s="11">
        <v>66.058000000000007</v>
      </c>
      <c r="X544" s="16">
        <v>27832.880000000001</v>
      </c>
      <c r="Y544" s="16">
        <v>15462.86</v>
      </c>
      <c r="Z544" s="13">
        <v>1.8</v>
      </c>
      <c r="AA544" s="11">
        <v>53.758000000000003</v>
      </c>
      <c r="AB544" s="12">
        <v>22650.400000000001</v>
      </c>
      <c r="AC544" s="16">
        <v>12583.67</v>
      </c>
      <c r="AD544" s="13">
        <v>1.8</v>
      </c>
      <c r="AE544" s="11">
        <v>24.202999999999999</v>
      </c>
      <c r="AF544" s="16">
        <v>10197.69</v>
      </c>
      <c r="AG544" s="16">
        <v>5665.44</v>
      </c>
      <c r="AH544" s="13">
        <v>1.8</v>
      </c>
      <c r="AI544" s="11">
        <v>14.244999999999999</v>
      </c>
      <c r="AJ544" s="16">
        <v>6001.99</v>
      </c>
      <c r="AK544" s="16">
        <v>3334.47</v>
      </c>
      <c r="AL544" s="13">
        <v>1.8</v>
      </c>
      <c r="AM544" s="11">
        <v>14.22</v>
      </c>
      <c r="AN544" s="16">
        <v>5991.45</v>
      </c>
      <c r="AO544" s="16">
        <v>3328.62</v>
      </c>
      <c r="AP544" s="13">
        <v>1.8</v>
      </c>
      <c r="AQ544" s="11">
        <v>14.276999999999999</v>
      </c>
      <c r="AR544" s="16">
        <v>6015.47</v>
      </c>
      <c r="AS544" s="16">
        <v>3341.96</v>
      </c>
      <c r="AT544" s="13">
        <v>1.8</v>
      </c>
      <c r="AU544" s="11">
        <v>15.366</v>
      </c>
      <c r="AV544" s="16">
        <v>6474.31</v>
      </c>
      <c r="AW544" s="16">
        <v>3596.87</v>
      </c>
      <c r="AX544" s="13">
        <v>1.8</v>
      </c>
      <c r="AY544" s="11">
        <v>350</v>
      </c>
      <c r="AZ544" s="15">
        <v>147469</v>
      </c>
      <c r="BA544" s="15">
        <v>81928</v>
      </c>
      <c r="BB544" s="13">
        <v>1.8</v>
      </c>
    </row>
    <row r="545" spans="1:54" x14ac:dyDescent="0.25">
      <c r="A545" s="10" t="s">
        <v>148</v>
      </c>
      <c r="B545" s="10" t="s">
        <v>369</v>
      </c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1">
        <v>235</v>
      </c>
      <c r="AF545" s="12">
        <v>76619.399999999994</v>
      </c>
      <c r="AG545" s="15">
        <v>49115</v>
      </c>
      <c r="AH545" s="13">
        <v>1.56</v>
      </c>
      <c r="AI545" s="11">
        <v>195.833</v>
      </c>
      <c r="AJ545" s="16">
        <v>63849.39</v>
      </c>
      <c r="AK545" s="12">
        <v>40929.1</v>
      </c>
      <c r="AL545" s="13">
        <v>1.56</v>
      </c>
      <c r="AM545" s="11">
        <v>176.25</v>
      </c>
      <c r="AN545" s="16">
        <v>57464.55</v>
      </c>
      <c r="AO545" s="16">
        <v>36836.25</v>
      </c>
      <c r="AP545" s="13">
        <v>1.56</v>
      </c>
      <c r="AQ545" s="11">
        <v>156.667</v>
      </c>
      <c r="AR545" s="16">
        <v>51079.71</v>
      </c>
      <c r="AS545" s="12">
        <v>32743.4</v>
      </c>
      <c r="AT545" s="13">
        <v>1.56</v>
      </c>
      <c r="AU545" s="11">
        <v>176.25</v>
      </c>
      <c r="AV545" s="16">
        <v>57464.55</v>
      </c>
      <c r="AW545" s="16">
        <v>36836.25</v>
      </c>
      <c r="AX545" s="13">
        <v>1.56</v>
      </c>
      <c r="AY545" s="11">
        <v>940</v>
      </c>
      <c r="AZ545" s="12">
        <v>306477.59999999998</v>
      </c>
      <c r="BA545" s="15">
        <v>196460</v>
      </c>
      <c r="BB545" s="13">
        <v>1.56</v>
      </c>
    </row>
    <row r="546" spans="1:54" x14ac:dyDescent="0.25">
      <c r="A546" s="10" t="s">
        <v>148</v>
      </c>
      <c r="B546" s="10" t="s">
        <v>111</v>
      </c>
      <c r="C546" s="11">
        <v>6.4950000000000001</v>
      </c>
      <c r="D546" s="16">
        <v>2674.58</v>
      </c>
      <c r="E546" s="16">
        <v>1445.72</v>
      </c>
      <c r="F546" s="13">
        <v>1.85</v>
      </c>
      <c r="G546" s="11">
        <v>10.608000000000001</v>
      </c>
      <c r="H546" s="16">
        <v>4368.2700000000004</v>
      </c>
      <c r="I546" s="16">
        <v>2361.23</v>
      </c>
      <c r="J546" s="13">
        <v>1.85</v>
      </c>
      <c r="K546" s="11">
        <v>21.216000000000001</v>
      </c>
      <c r="L546" s="16">
        <v>8736.5400000000009</v>
      </c>
      <c r="M546" s="16">
        <v>4722.47</v>
      </c>
      <c r="N546" s="13">
        <v>1.85</v>
      </c>
      <c r="O546" s="11">
        <v>28.792999999999999</v>
      </c>
      <c r="P546" s="16">
        <v>11856.67</v>
      </c>
      <c r="Q546" s="16">
        <v>6409.03</v>
      </c>
      <c r="R546" s="13">
        <v>1.85</v>
      </c>
      <c r="S546" s="11">
        <v>38.512999999999998</v>
      </c>
      <c r="T546" s="16">
        <v>15859.27</v>
      </c>
      <c r="U546" s="16">
        <v>8572.61</v>
      </c>
      <c r="V546" s="13">
        <v>1.85</v>
      </c>
      <c r="W546" s="11">
        <v>47.185000000000002</v>
      </c>
      <c r="X546" s="16">
        <v>19430.310000000001</v>
      </c>
      <c r="Y546" s="16">
        <v>10502.91</v>
      </c>
      <c r="Z546" s="13">
        <v>1.85</v>
      </c>
      <c r="AA546" s="11">
        <v>38.399000000000001</v>
      </c>
      <c r="AB546" s="16">
        <v>15812.32</v>
      </c>
      <c r="AC546" s="16">
        <v>8547.23</v>
      </c>
      <c r="AD546" s="13">
        <v>1.85</v>
      </c>
      <c r="AE546" s="11">
        <v>17.288</v>
      </c>
      <c r="AF546" s="16">
        <v>7119.03</v>
      </c>
      <c r="AG546" s="16">
        <v>3848.14</v>
      </c>
      <c r="AH546" s="13">
        <v>1.85</v>
      </c>
      <c r="AI546" s="11">
        <v>10.175000000000001</v>
      </c>
      <c r="AJ546" s="16">
        <v>4189.96</v>
      </c>
      <c r="AK546" s="16">
        <v>2264.85</v>
      </c>
      <c r="AL546" s="13">
        <v>1.85</v>
      </c>
      <c r="AM546" s="11">
        <v>10.157</v>
      </c>
      <c r="AN546" s="16">
        <v>4182.55</v>
      </c>
      <c r="AO546" s="16">
        <v>2260.85</v>
      </c>
      <c r="AP546" s="13">
        <v>1.85</v>
      </c>
      <c r="AQ546" s="11">
        <v>10.198</v>
      </c>
      <c r="AR546" s="16">
        <v>4199.43</v>
      </c>
      <c r="AS546" s="16">
        <v>2269.9699999999998</v>
      </c>
      <c r="AT546" s="13">
        <v>1.85</v>
      </c>
      <c r="AU546" s="11">
        <v>10.976000000000001</v>
      </c>
      <c r="AV546" s="16">
        <v>4519.8100000000004</v>
      </c>
      <c r="AW546" s="16">
        <v>2443.15</v>
      </c>
      <c r="AX546" s="13">
        <v>1.85</v>
      </c>
      <c r="AY546" s="11">
        <v>250.00299999999999</v>
      </c>
      <c r="AZ546" s="16">
        <v>102948.74</v>
      </c>
      <c r="BA546" s="16">
        <v>55648.160000000003</v>
      </c>
      <c r="BB546" s="13">
        <v>1.85</v>
      </c>
    </row>
    <row r="547" spans="1:54" x14ac:dyDescent="0.25">
      <c r="A547" s="10" t="s">
        <v>148</v>
      </c>
      <c r="B547" s="10" t="s">
        <v>112</v>
      </c>
      <c r="C547" s="11">
        <v>14.288</v>
      </c>
      <c r="D547" s="16">
        <v>5173.54</v>
      </c>
      <c r="E547" s="16">
        <v>2956.33</v>
      </c>
      <c r="F547" s="13">
        <v>1.75</v>
      </c>
      <c r="G547" s="11">
        <v>23.337</v>
      </c>
      <c r="H547" s="16">
        <v>8450.09</v>
      </c>
      <c r="I547" s="16">
        <v>4828.66</v>
      </c>
      <c r="J547" s="13">
        <v>1.75</v>
      </c>
      <c r="K547" s="11">
        <v>46.673999999999999</v>
      </c>
      <c r="L547" s="16">
        <v>16900.189999999999</v>
      </c>
      <c r="M547" s="16">
        <v>9657.32</v>
      </c>
      <c r="N547" s="13">
        <v>1.75</v>
      </c>
      <c r="O547" s="11">
        <v>63.344000000000001</v>
      </c>
      <c r="P547" s="16">
        <v>22936.23</v>
      </c>
      <c r="Q547" s="16">
        <v>13106.51</v>
      </c>
      <c r="R547" s="13">
        <v>1.75</v>
      </c>
      <c r="S547" s="11">
        <v>84.727999999999994</v>
      </c>
      <c r="T547" s="16">
        <v>30679.16</v>
      </c>
      <c r="U547" s="16">
        <v>17531.07</v>
      </c>
      <c r="V547" s="13">
        <v>1.75</v>
      </c>
      <c r="W547" s="11">
        <v>103.806</v>
      </c>
      <c r="X547" s="16">
        <v>37587.11</v>
      </c>
      <c r="Y547" s="12">
        <v>21478.5</v>
      </c>
      <c r="Z547" s="13">
        <v>1.75</v>
      </c>
      <c r="AA547" s="11">
        <v>84.477999999999994</v>
      </c>
      <c r="AB547" s="16">
        <v>30588.639999999999</v>
      </c>
      <c r="AC547" s="16">
        <v>17479.34</v>
      </c>
      <c r="AD547" s="13">
        <v>1.75</v>
      </c>
      <c r="AE547" s="11">
        <v>38.033000000000001</v>
      </c>
      <c r="AF547" s="16">
        <v>13771.37</v>
      </c>
      <c r="AG547" s="16">
        <v>7869.41</v>
      </c>
      <c r="AH547" s="13">
        <v>1.75</v>
      </c>
      <c r="AI547" s="11">
        <v>22.385000000000002</v>
      </c>
      <c r="AJ547" s="16">
        <v>8105.38</v>
      </c>
      <c r="AK547" s="16">
        <v>4631.68</v>
      </c>
      <c r="AL547" s="13">
        <v>1.75</v>
      </c>
      <c r="AM547" s="11">
        <v>22.346</v>
      </c>
      <c r="AN547" s="16">
        <v>8091.26</v>
      </c>
      <c r="AO547" s="16">
        <v>4623.6099999999997</v>
      </c>
      <c r="AP547" s="13">
        <v>1.75</v>
      </c>
      <c r="AQ547" s="11">
        <v>22.434999999999999</v>
      </c>
      <c r="AR547" s="16">
        <v>8123.49</v>
      </c>
      <c r="AS547" s="16">
        <v>4642.03</v>
      </c>
      <c r="AT547" s="13">
        <v>1.75</v>
      </c>
      <c r="AU547" s="11">
        <v>24.146999999999998</v>
      </c>
      <c r="AV547" s="16">
        <v>8743.39</v>
      </c>
      <c r="AW547" s="16">
        <v>4996.26</v>
      </c>
      <c r="AX547" s="13">
        <v>1.75</v>
      </c>
      <c r="AY547" s="11">
        <v>550.00099999999998</v>
      </c>
      <c r="AZ547" s="16">
        <v>199149.85</v>
      </c>
      <c r="BA547" s="16">
        <v>113800.72</v>
      </c>
      <c r="BB547" s="13">
        <v>1.75</v>
      </c>
    </row>
    <row r="548" spans="1:54" x14ac:dyDescent="0.25">
      <c r="A548" s="10" t="s">
        <v>148</v>
      </c>
      <c r="B548" s="10" t="s">
        <v>370</v>
      </c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1">
        <v>277.5</v>
      </c>
      <c r="AF548" s="12">
        <v>76190.399999999994</v>
      </c>
      <c r="AG548" s="15">
        <v>48840</v>
      </c>
      <c r="AH548" s="13">
        <v>1.56</v>
      </c>
      <c r="AI548" s="11">
        <v>231.25</v>
      </c>
      <c r="AJ548" s="15">
        <v>63492</v>
      </c>
      <c r="AK548" s="15">
        <v>40700</v>
      </c>
      <c r="AL548" s="13">
        <v>1.56</v>
      </c>
      <c r="AM548" s="11">
        <v>208.125</v>
      </c>
      <c r="AN548" s="12">
        <v>57142.8</v>
      </c>
      <c r="AO548" s="15">
        <v>36630</v>
      </c>
      <c r="AP548" s="13">
        <v>1.56</v>
      </c>
      <c r="AQ548" s="11">
        <v>185</v>
      </c>
      <c r="AR548" s="12">
        <v>50793.599999999999</v>
      </c>
      <c r="AS548" s="15">
        <v>32560</v>
      </c>
      <c r="AT548" s="13">
        <v>1.56</v>
      </c>
      <c r="AU548" s="11">
        <v>208.125</v>
      </c>
      <c r="AV548" s="12">
        <v>57142.8</v>
      </c>
      <c r="AW548" s="15">
        <v>36630</v>
      </c>
      <c r="AX548" s="13">
        <v>1.56</v>
      </c>
      <c r="AY548" s="18">
        <v>1110</v>
      </c>
      <c r="AZ548" s="12">
        <v>304761.59999999998</v>
      </c>
      <c r="BA548" s="15">
        <v>195360</v>
      </c>
      <c r="BB548" s="13">
        <v>1.56</v>
      </c>
    </row>
    <row r="549" spans="1:54" x14ac:dyDescent="0.25">
      <c r="A549" s="10" t="s">
        <v>148</v>
      </c>
      <c r="B549" s="10" t="s">
        <v>157</v>
      </c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1">
        <v>632.04300000000001</v>
      </c>
      <c r="T549" s="16">
        <v>133108.26</v>
      </c>
      <c r="U549" s="16">
        <v>85325.81</v>
      </c>
      <c r="V549" s="13">
        <v>1.56</v>
      </c>
      <c r="W549" s="18">
        <v>1702.355</v>
      </c>
      <c r="X549" s="16">
        <v>358515.96</v>
      </c>
      <c r="Y549" s="16">
        <v>229817.93</v>
      </c>
      <c r="Z549" s="13">
        <v>1.56</v>
      </c>
      <c r="AA549" s="18">
        <v>1281.8599999999999</v>
      </c>
      <c r="AB549" s="16">
        <v>269959.71999999997</v>
      </c>
      <c r="AC549" s="12">
        <v>173051.1</v>
      </c>
      <c r="AD549" s="13">
        <v>1.56</v>
      </c>
      <c r="AE549" s="11">
        <v>396.21899999999999</v>
      </c>
      <c r="AF549" s="16">
        <v>83443.72</v>
      </c>
      <c r="AG549" s="16">
        <v>53489.57</v>
      </c>
      <c r="AH549" s="13">
        <v>1.56</v>
      </c>
      <c r="AI549" s="11">
        <v>100.139</v>
      </c>
      <c r="AJ549" s="16">
        <v>21089.27</v>
      </c>
      <c r="AK549" s="16">
        <v>13518.77</v>
      </c>
      <c r="AL549" s="13">
        <v>1.56</v>
      </c>
      <c r="AM549" s="11">
        <v>64.158000000000001</v>
      </c>
      <c r="AN549" s="16">
        <v>13511.67</v>
      </c>
      <c r="AO549" s="16">
        <v>8661.33</v>
      </c>
      <c r="AP549" s="13">
        <v>1.56</v>
      </c>
      <c r="AQ549" s="11">
        <v>70.227000000000004</v>
      </c>
      <c r="AR549" s="16">
        <v>14789.81</v>
      </c>
      <c r="AS549" s="16">
        <v>9480.65</v>
      </c>
      <c r="AT549" s="13">
        <v>1.56</v>
      </c>
      <c r="AU549" s="11">
        <v>88</v>
      </c>
      <c r="AV549" s="12">
        <v>18532.8</v>
      </c>
      <c r="AW549" s="15">
        <v>11880</v>
      </c>
      <c r="AX549" s="13">
        <v>1.56</v>
      </c>
      <c r="AY549" s="18">
        <v>4335.0010000000002</v>
      </c>
      <c r="AZ549" s="16">
        <v>912951.21</v>
      </c>
      <c r="BA549" s="16">
        <v>585225.16</v>
      </c>
      <c r="BB549" s="13">
        <v>1.56</v>
      </c>
    </row>
    <row r="550" spans="1:54" x14ac:dyDescent="0.25">
      <c r="A550" s="10" t="s">
        <v>148</v>
      </c>
      <c r="B550" s="10" t="s">
        <v>115</v>
      </c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1">
        <v>4.3739999999999997</v>
      </c>
      <c r="T550" s="12">
        <v>1947.3</v>
      </c>
      <c r="U550" s="16">
        <v>1224.72</v>
      </c>
      <c r="V550" s="13">
        <v>1.59</v>
      </c>
      <c r="W550" s="11">
        <v>11.781000000000001</v>
      </c>
      <c r="X550" s="12">
        <v>5244.9</v>
      </c>
      <c r="Y550" s="16">
        <v>3298.68</v>
      </c>
      <c r="Z550" s="13">
        <v>1.59</v>
      </c>
      <c r="AA550" s="11">
        <v>8.8710000000000004</v>
      </c>
      <c r="AB550" s="16">
        <v>3949.37</v>
      </c>
      <c r="AC550" s="16">
        <v>2483.88</v>
      </c>
      <c r="AD550" s="13">
        <v>1.59</v>
      </c>
      <c r="AE550" s="11">
        <v>2.742</v>
      </c>
      <c r="AF550" s="16">
        <v>1220.74</v>
      </c>
      <c r="AG550" s="13">
        <v>767.76</v>
      </c>
      <c r="AH550" s="13">
        <v>1.59</v>
      </c>
      <c r="AI550" s="11">
        <v>0.69299999999999995</v>
      </c>
      <c r="AJ550" s="13">
        <v>308.52</v>
      </c>
      <c r="AK550" s="13">
        <v>194.04</v>
      </c>
      <c r="AL550" s="13">
        <v>1.59</v>
      </c>
      <c r="AM550" s="11">
        <v>0.44400000000000001</v>
      </c>
      <c r="AN550" s="13">
        <v>197.67</v>
      </c>
      <c r="AO550" s="13">
        <v>124.32</v>
      </c>
      <c r="AP550" s="13">
        <v>1.59</v>
      </c>
      <c r="AQ550" s="11">
        <v>0.48599999999999999</v>
      </c>
      <c r="AR550" s="13">
        <v>216.37</v>
      </c>
      <c r="AS550" s="13">
        <v>136.08000000000001</v>
      </c>
      <c r="AT550" s="13">
        <v>1.59</v>
      </c>
      <c r="AU550" s="11">
        <v>0.60899999999999999</v>
      </c>
      <c r="AV550" s="13">
        <v>271.13</v>
      </c>
      <c r="AW550" s="13">
        <v>170.52</v>
      </c>
      <c r="AX550" s="13">
        <v>1.59</v>
      </c>
      <c r="AY550" s="11">
        <v>30</v>
      </c>
      <c r="AZ550" s="15">
        <v>13356</v>
      </c>
      <c r="BA550" s="15">
        <v>8400</v>
      </c>
      <c r="BB550" s="13">
        <v>1.59</v>
      </c>
    </row>
    <row r="551" spans="1:54" x14ac:dyDescent="0.25">
      <c r="A551" s="10" t="s">
        <v>148</v>
      </c>
      <c r="B551" s="10" t="s">
        <v>116</v>
      </c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1">
        <v>247.86</v>
      </c>
      <c r="T551" s="16">
        <v>60207.67</v>
      </c>
      <c r="U551" s="16">
        <v>38594.28</v>
      </c>
      <c r="V551" s="13">
        <v>1.56</v>
      </c>
      <c r="W551" s="11">
        <v>667.59</v>
      </c>
      <c r="X551" s="16">
        <v>162164.29</v>
      </c>
      <c r="Y551" s="16">
        <v>103950.44</v>
      </c>
      <c r="Z551" s="13">
        <v>1.56</v>
      </c>
      <c r="AA551" s="11">
        <v>502.69</v>
      </c>
      <c r="AB551" s="16">
        <v>122108.43</v>
      </c>
      <c r="AC551" s="16">
        <v>78273.86</v>
      </c>
      <c r="AD551" s="13">
        <v>1.56</v>
      </c>
      <c r="AE551" s="11">
        <v>155.38</v>
      </c>
      <c r="AF551" s="16">
        <v>37743.360000000001</v>
      </c>
      <c r="AG551" s="16">
        <v>24194.22</v>
      </c>
      <c r="AH551" s="13">
        <v>1.56</v>
      </c>
      <c r="AI551" s="11">
        <v>39.270000000000003</v>
      </c>
      <c r="AJ551" s="16">
        <v>9539.08</v>
      </c>
      <c r="AK551" s="16">
        <v>6114.73</v>
      </c>
      <c r="AL551" s="13">
        <v>1.56</v>
      </c>
      <c r="AM551" s="11">
        <v>25.16</v>
      </c>
      <c r="AN551" s="16">
        <v>6111.62</v>
      </c>
      <c r="AO551" s="16">
        <v>3917.66</v>
      </c>
      <c r="AP551" s="13">
        <v>1.56</v>
      </c>
      <c r="AQ551" s="11">
        <v>27.54</v>
      </c>
      <c r="AR551" s="16">
        <v>6689.74</v>
      </c>
      <c r="AS551" s="16">
        <v>4288.25</v>
      </c>
      <c r="AT551" s="13">
        <v>1.56</v>
      </c>
      <c r="AU551" s="11">
        <v>34.51</v>
      </c>
      <c r="AV551" s="16">
        <v>8382.82</v>
      </c>
      <c r="AW551" s="16">
        <v>5373.55</v>
      </c>
      <c r="AX551" s="13">
        <v>1.56</v>
      </c>
      <c r="AY551" s="18">
        <v>1700</v>
      </c>
      <c r="AZ551" s="16">
        <v>412947.01</v>
      </c>
      <c r="BA551" s="16">
        <v>264706.99</v>
      </c>
      <c r="BB551" s="13">
        <v>1.56</v>
      </c>
    </row>
    <row r="552" spans="1:54" x14ac:dyDescent="0.25">
      <c r="A552" s="10" t="s">
        <v>148</v>
      </c>
      <c r="B552" s="10" t="s">
        <v>158</v>
      </c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1">
        <v>65</v>
      </c>
      <c r="AB552" s="12">
        <v>31028.400000000001</v>
      </c>
      <c r="AC552" s="15">
        <v>19890</v>
      </c>
      <c r="AD552" s="13">
        <v>1.56</v>
      </c>
      <c r="AE552" s="11">
        <v>59.085000000000001</v>
      </c>
      <c r="AF552" s="16">
        <v>28204.82</v>
      </c>
      <c r="AG552" s="16">
        <v>18080.009999999998</v>
      </c>
      <c r="AH552" s="13">
        <v>1.56</v>
      </c>
      <c r="AI552" s="11">
        <v>53.17</v>
      </c>
      <c r="AJ552" s="16">
        <v>25381.23</v>
      </c>
      <c r="AK552" s="16">
        <v>16270.02</v>
      </c>
      <c r="AL552" s="13">
        <v>1.56</v>
      </c>
      <c r="AM552" s="11">
        <v>47.287999999999997</v>
      </c>
      <c r="AN552" s="12">
        <v>22573.4</v>
      </c>
      <c r="AO552" s="16">
        <v>14470.13</v>
      </c>
      <c r="AP552" s="13">
        <v>1.56</v>
      </c>
      <c r="AQ552" s="11">
        <v>47.287999999999997</v>
      </c>
      <c r="AR552" s="12">
        <v>22573.4</v>
      </c>
      <c r="AS552" s="16">
        <v>14470.13</v>
      </c>
      <c r="AT552" s="13">
        <v>1.56</v>
      </c>
      <c r="AU552" s="11">
        <v>53.17</v>
      </c>
      <c r="AV552" s="16">
        <v>25381.23</v>
      </c>
      <c r="AW552" s="16">
        <v>16270.02</v>
      </c>
      <c r="AX552" s="13">
        <v>1.56</v>
      </c>
      <c r="AY552" s="11">
        <v>325.00099999999998</v>
      </c>
      <c r="AZ552" s="16">
        <v>155142.48000000001</v>
      </c>
      <c r="BA552" s="16">
        <v>99450.31</v>
      </c>
      <c r="BB552" s="13">
        <v>1.56</v>
      </c>
    </row>
    <row r="553" spans="1:54" x14ac:dyDescent="0.25">
      <c r="A553" s="10" t="s">
        <v>148</v>
      </c>
      <c r="B553" s="10" t="s">
        <v>128</v>
      </c>
      <c r="C553" s="11">
        <v>77.960999999999999</v>
      </c>
      <c r="D553" s="16">
        <v>21146.92</v>
      </c>
      <c r="E553" s="16">
        <v>12083.96</v>
      </c>
      <c r="F553" s="13">
        <v>1.75</v>
      </c>
      <c r="G553" s="11">
        <v>127.336</v>
      </c>
      <c r="H553" s="16">
        <v>34539.89</v>
      </c>
      <c r="I553" s="16">
        <v>19737.080000000002</v>
      </c>
      <c r="J553" s="13">
        <v>1.75</v>
      </c>
      <c r="K553" s="11">
        <v>254.673</v>
      </c>
      <c r="L553" s="16">
        <v>69080.05</v>
      </c>
      <c r="M553" s="16">
        <v>39474.32</v>
      </c>
      <c r="N553" s="13">
        <v>1.75</v>
      </c>
      <c r="O553" s="11">
        <v>345.62700000000001</v>
      </c>
      <c r="P553" s="16">
        <v>93751.32</v>
      </c>
      <c r="Q553" s="16">
        <v>53572.19</v>
      </c>
      <c r="R553" s="13">
        <v>1.75</v>
      </c>
      <c r="S553" s="11">
        <v>462.30799999999999</v>
      </c>
      <c r="T553" s="16">
        <v>125401.05</v>
      </c>
      <c r="U553" s="16">
        <v>71657.740000000005</v>
      </c>
      <c r="V553" s="13">
        <v>1.75</v>
      </c>
      <c r="W553" s="11">
        <v>566.40300000000002</v>
      </c>
      <c r="X553" s="16">
        <v>153636.81</v>
      </c>
      <c r="Y553" s="16">
        <v>87792.47</v>
      </c>
      <c r="Z553" s="13">
        <v>1.75</v>
      </c>
      <c r="AA553" s="11">
        <v>460.94</v>
      </c>
      <c r="AB553" s="16">
        <v>125029.98</v>
      </c>
      <c r="AC553" s="12">
        <v>71445.7</v>
      </c>
      <c r="AD553" s="13">
        <v>1.75</v>
      </c>
      <c r="AE553" s="11">
        <v>207.52</v>
      </c>
      <c r="AF553" s="12">
        <v>56289.8</v>
      </c>
      <c r="AG553" s="12">
        <v>32165.599999999999</v>
      </c>
      <c r="AH553" s="13">
        <v>1.75</v>
      </c>
      <c r="AI553" s="11">
        <v>122.14</v>
      </c>
      <c r="AJ553" s="16">
        <v>33130.480000000003</v>
      </c>
      <c r="AK553" s="12">
        <v>18931.7</v>
      </c>
      <c r="AL553" s="13">
        <v>1.75</v>
      </c>
      <c r="AM553" s="11">
        <v>121.92700000000001</v>
      </c>
      <c r="AN553" s="12">
        <v>33072.699999999997</v>
      </c>
      <c r="AO553" s="16">
        <v>18898.689999999999</v>
      </c>
      <c r="AP553" s="13">
        <v>1.75</v>
      </c>
      <c r="AQ553" s="11">
        <v>122.413</v>
      </c>
      <c r="AR553" s="16">
        <v>33204.53</v>
      </c>
      <c r="AS553" s="16">
        <v>18974.02</v>
      </c>
      <c r="AT553" s="13">
        <v>1.75</v>
      </c>
      <c r="AU553" s="11">
        <v>131.75200000000001</v>
      </c>
      <c r="AV553" s="16">
        <v>35737.730000000003</v>
      </c>
      <c r="AW553" s="16">
        <v>20421.560000000001</v>
      </c>
      <c r="AX553" s="13">
        <v>1.75</v>
      </c>
      <c r="AY553" s="18">
        <v>3001</v>
      </c>
      <c r="AZ553" s="16">
        <v>814021.26</v>
      </c>
      <c r="BA553" s="16">
        <v>465155.03</v>
      </c>
      <c r="BB553" s="13">
        <v>1.75</v>
      </c>
    </row>
    <row r="554" spans="1:54" x14ac:dyDescent="0.25">
      <c r="A554" s="10" t="s">
        <v>144</v>
      </c>
      <c r="B554" s="10" t="s">
        <v>331</v>
      </c>
      <c r="C554" s="14"/>
      <c r="D554" s="14"/>
      <c r="E554" s="14"/>
      <c r="F554" s="14"/>
      <c r="G554" s="14"/>
      <c r="H554" s="14"/>
      <c r="I554" s="14"/>
      <c r="J554" s="14"/>
      <c r="K554" s="11">
        <v>180</v>
      </c>
      <c r="L554" s="12">
        <v>31649.4</v>
      </c>
      <c r="M554" s="12">
        <v>22413.599999999999</v>
      </c>
      <c r="N554" s="13">
        <v>1.41</v>
      </c>
      <c r="O554" s="11">
        <v>180</v>
      </c>
      <c r="P554" s="12">
        <v>31649.4</v>
      </c>
      <c r="Q554" s="12">
        <v>22413.599999999999</v>
      </c>
      <c r="R554" s="13">
        <v>1.41</v>
      </c>
      <c r="S554" s="11">
        <v>180</v>
      </c>
      <c r="T554" s="12">
        <v>31649.4</v>
      </c>
      <c r="U554" s="12">
        <v>22413.599999999999</v>
      </c>
      <c r="V554" s="13">
        <v>1.41</v>
      </c>
      <c r="W554" s="11">
        <v>180</v>
      </c>
      <c r="X554" s="12">
        <v>31649.4</v>
      </c>
      <c r="Y554" s="12">
        <v>22413.599999999999</v>
      </c>
      <c r="Z554" s="13">
        <v>1.41</v>
      </c>
      <c r="AA554" s="11">
        <v>180</v>
      </c>
      <c r="AB554" s="12">
        <v>31649.4</v>
      </c>
      <c r="AC554" s="12">
        <v>22413.599999999999</v>
      </c>
      <c r="AD554" s="13">
        <v>1.41</v>
      </c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1">
        <v>900</v>
      </c>
      <c r="AZ554" s="15">
        <v>158247</v>
      </c>
      <c r="BA554" s="15">
        <v>112068</v>
      </c>
      <c r="BB554" s="13">
        <v>1.41</v>
      </c>
    </row>
    <row r="555" spans="1:54" x14ac:dyDescent="0.25">
      <c r="A555" s="10" t="s">
        <v>144</v>
      </c>
      <c r="B555" s="10" t="s">
        <v>371</v>
      </c>
      <c r="C555" s="14"/>
      <c r="D555" s="14"/>
      <c r="E555" s="14"/>
      <c r="F555" s="14"/>
      <c r="G555" s="14"/>
      <c r="H555" s="14"/>
      <c r="I555" s="14"/>
      <c r="J555" s="14"/>
      <c r="K555" s="11">
        <v>250</v>
      </c>
      <c r="L555" s="15">
        <v>3835</v>
      </c>
      <c r="M555" s="15">
        <v>2715</v>
      </c>
      <c r="N555" s="13">
        <v>1.41</v>
      </c>
      <c r="O555" s="11">
        <v>875</v>
      </c>
      <c r="P555" s="12">
        <v>13422.5</v>
      </c>
      <c r="Q555" s="12">
        <v>9502.5</v>
      </c>
      <c r="R555" s="13">
        <v>1.41</v>
      </c>
      <c r="S555" s="11">
        <v>875</v>
      </c>
      <c r="T555" s="12">
        <v>13422.5</v>
      </c>
      <c r="U555" s="12">
        <v>9502.5</v>
      </c>
      <c r="V555" s="13">
        <v>1.41</v>
      </c>
      <c r="W555" s="11">
        <v>500</v>
      </c>
      <c r="X555" s="15">
        <v>7670</v>
      </c>
      <c r="Y555" s="15">
        <v>5430</v>
      </c>
      <c r="Z555" s="13">
        <v>1.41</v>
      </c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8">
        <v>2500</v>
      </c>
      <c r="AZ555" s="15">
        <v>38350</v>
      </c>
      <c r="BA555" s="15">
        <v>27150</v>
      </c>
      <c r="BB555" s="13">
        <v>1.41</v>
      </c>
    </row>
    <row r="556" spans="1:54" x14ac:dyDescent="0.25">
      <c r="A556" s="10" t="s">
        <v>144</v>
      </c>
      <c r="B556" s="10" t="s">
        <v>332</v>
      </c>
      <c r="C556" s="14"/>
      <c r="D556" s="14"/>
      <c r="E556" s="14"/>
      <c r="F556" s="14"/>
      <c r="G556" s="14"/>
      <c r="H556" s="14"/>
      <c r="I556" s="14"/>
      <c r="J556" s="14"/>
      <c r="K556" s="11">
        <v>160</v>
      </c>
      <c r="L556" s="12">
        <v>30678.400000000001</v>
      </c>
      <c r="M556" s="12">
        <v>21726.400000000001</v>
      </c>
      <c r="N556" s="13">
        <v>1.41</v>
      </c>
      <c r="O556" s="11">
        <v>160</v>
      </c>
      <c r="P556" s="12">
        <v>30678.400000000001</v>
      </c>
      <c r="Q556" s="12">
        <v>21726.400000000001</v>
      </c>
      <c r="R556" s="13">
        <v>1.41</v>
      </c>
      <c r="S556" s="11">
        <v>160</v>
      </c>
      <c r="T556" s="12">
        <v>30678.400000000001</v>
      </c>
      <c r="U556" s="12">
        <v>21726.400000000001</v>
      </c>
      <c r="V556" s="13">
        <v>1.41</v>
      </c>
      <c r="W556" s="11">
        <v>160</v>
      </c>
      <c r="X556" s="12">
        <v>30678.400000000001</v>
      </c>
      <c r="Y556" s="12">
        <v>21726.400000000001</v>
      </c>
      <c r="Z556" s="13">
        <v>1.41</v>
      </c>
      <c r="AA556" s="11">
        <v>160</v>
      </c>
      <c r="AB556" s="12">
        <v>30678.400000000001</v>
      </c>
      <c r="AC556" s="12">
        <v>21726.400000000001</v>
      </c>
      <c r="AD556" s="13">
        <v>1.41</v>
      </c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1">
        <v>800</v>
      </c>
      <c r="AZ556" s="15">
        <v>153392</v>
      </c>
      <c r="BA556" s="15">
        <v>108632</v>
      </c>
      <c r="BB556" s="13">
        <v>1.41</v>
      </c>
    </row>
    <row r="557" spans="1:54" x14ac:dyDescent="0.25">
      <c r="A557" s="10" t="s">
        <v>144</v>
      </c>
      <c r="B557" s="10" t="s">
        <v>346</v>
      </c>
      <c r="C557" s="14"/>
      <c r="D557" s="14"/>
      <c r="E557" s="14"/>
      <c r="F557" s="14"/>
      <c r="G557" s="14"/>
      <c r="H557" s="14"/>
      <c r="I557" s="14"/>
      <c r="J557" s="14"/>
      <c r="K557" s="11">
        <v>160</v>
      </c>
      <c r="L557" s="12">
        <v>2764.8</v>
      </c>
      <c r="M557" s="12">
        <v>1958.4</v>
      </c>
      <c r="N557" s="13">
        <v>1.41</v>
      </c>
      <c r="O557" s="11">
        <v>560</v>
      </c>
      <c r="P557" s="12">
        <v>9676.7999999999993</v>
      </c>
      <c r="Q557" s="12">
        <v>6854.4</v>
      </c>
      <c r="R557" s="13">
        <v>1.41</v>
      </c>
      <c r="S557" s="11">
        <v>560</v>
      </c>
      <c r="T557" s="12">
        <v>9676.7999999999993</v>
      </c>
      <c r="U557" s="12">
        <v>6854.4</v>
      </c>
      <c r="V557" s="13">
        <v>1.41</v>
      </c>
      <c r="W557" s="11">
        <v>320</v>
      </c>
      <c r="X557" s="12">
        <v>5529.6</v>
      </c>
      <c r="Y557" s="12">
        <v>3916.8</v>
      </c>
      <c r="Z557" s="13">
        <v>1.41</v>
      </c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8">
        <v>1600</v>
      </c>
      <c r="AZ557" s="15">
        <v>27648</v>
      </c>
      <c r="BA557" s="15">
        <v>19584</v>
      </c>
      <c r="BB557" s="13">
        <v>1.41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2E936-8931-46F2-BB06-79DEA3C43CD7}">
  <dimension ref="A1:E366"/>
  <sheetViews>
    <sheetView workbookViewId="0">
      <selection activeCell="K11" sqref="K11"/>
    </sheetView>
  </sheetViews>
  <sheetFormatPr defaultRowHeight="15" x14ac:dyDescent="0.25"/>
  <cols>
    <col min="1" max="1" width="10.140625" bestFit="1" customWidth="1"/>
  </cols>
  <sheetData>
    <row r="1" spans="1:5" x14ac:dyDescent="0.25">
      <c r="A1" t="s">
        <v>159</v>
      </c>
      <c r="B1" t="s">
        <v>160</v>
      </c>
      <c r="D1" t="s">
        <v>161</v>
      </c>
      <c r="E1" t="s">
        <v>162</v>
      </c>
    </row>
    <row r="2" spans="1:5" x14ac:dyDescent="0.25">
      <c r="A2" s="1">
        <v>46023</v>
      </c>
      <c r="B2">
        <v>0</v>
      </c>
      <c r="D2">
        <f>WEEKDAY(A2,2)</f>
        <v>4</v>
      </c>
      <c r="E2">
        <f>MONTH(A2)</f>
        <v>1</v>
      </c>
    </row>
    <row r="3" spans="1:5" x14ac:dyDescent="0.25">
      <c r="A3" s="1">
        <v>46024</v>
      </c>
      <c r="B3">
        <v>0</v>
      </c>
      <c r="D3">
        <f t="shared" ref="D3:D66" si="0">WEEKDAY(A3,2)</f>
        <v>5</v>
      </c>
      <c r="E3">
        <f t="shared" ref="E3:E66" si="1">MONTH(A3)</f>
        <v>1</v>
      </c>
    </row>
    <row r="4" spans="1:5" x14ac:dyDescent="0.25">
      <c r="A4" s="1">
        <v>46025</v>
      </c>
      <c r="B4">
        <v>0</v>
      </c>
      <c r="D4">
        <f t="shared" si="0"/>
        <v>6</v>
      </c>
      <c r="E4">
        <f t="shared" si="1"/>
        <v>1</v>
      </c>
    </row>
    <row r="5" spans="1:5" x14ac:dyDescent="0.25">
      <c r="A5" s="1">
        <v>46026</v>
      </c>
      <c r="B5">
        <v>0</v>
      </c>
      <c r="D5">
        <f t="shared" si="0"/>
        <v>7</v>
      </c>
      <c r="E5">
        <f t="shared" si="1"/>
        <v>1</v>
      </c>
    </row>
    <row r="6" spans="1:5" x14ac:dyDescent="0.25">
      <c r="A6" s="1">
        <v>46027</v>
      </c>
      <c r="B6">
        <v>0</v>
      </c>
      <c r="D6">
        <f t="shared" si="0"/>
        <v>1</v>
      </c>
      <c r="E6">
        <f t="shared" si="1"/>
        <v>1</v>
      </c>
    </row>
    <row r="7" spans="1:5" x14ac:dyDescent="0.25">
      <c r="A7" s="1">
        <v>46028</v>
      </c>
      <c r="B7">
        <v>0</v>
      </c>
      <c r="D7">
        <f t="shared" si="0"/>
        <v>2</v>
      </c>
      <c r="E7">
        <f t="shared" si="1"/>
        <v>1</v>
      </c>
    </row>
    <row r="8" spans="1:5" x14ac:dyDescent="0.25">
      <c r="A8" s="1">
        <v>46029</v>
      </c>
      <c r="B8">
        <v>0</v>
      </c>
      <c r="D8">
        <f t="shared" si="0"/>
        <v>3</v>
      </c>
      <c r="E8">
        <f t="shared" si="1"/>
        <v>1</v>
      </c>
    </row>
    <row r="9" spans="1:5" x14ac:dyDescent="0.25">
      <c r="A9" s="1">
        <v>46030</v>
      </c>
      <c r="B9">
        <v>0</v>
      </c>
      <c r="D9">
        <f t="shared" si="0"/>
        <v>4</v>
      </c>
      <c r="E9">
        <f t="shared" si="1"/>
        <v>1</v>
      </c>
    </row>
    <row r="10" spans="1:5" x14ac:dyDescent="0.25">
      <c r="A10" s="1">
        <v>46031</v>
      </c>
      <c r="B10">
        <v>0</v>
      </c>
      <c r="D10">
        <f t="shared" si="0"/>
        <v>5</v>
      </c>
      <c r="E10">
        <f t="shared" si="1"/>
        <v>1</v>
      </c>
    </row>
    <row r="11" spans="1:5" x14ac:dyDescent="0.25">
      <c r="A11" s="1">
        <v>46032</v>
      </c>
      <c r="B11">
        <v>0</v>
      </c>
      <c r="D11">
        <f t="shared" si="0"/>
        <v>6</v>
      </c>
      <c r="E11">
        <f t="shared" si="1"/>
        <v>1</v>
      </c>
    </row>
    <row r="12" spans="1:5" x14ac:dyDescent="0.25">
      <c r="A12" s="1">
        <v>46033</v>
      </c>
      <c r="B12">
        <v>0</v>
      </c>
      <c r="D12">
        <f t="shared" si="0"/>
        <v>7</v>
      </c>
      <c r="E12">
        <f t="shared" si="1"/>
        <v>1</v>
      </c>
    </row>
    <row r="13" spans="1:5" x14ac:dyDescent="0.25">
      <c r="A13" s="1">
        <v>46034</v>
      </c>
      <c r="B13">
        <v>1</v>
      </c>
      <c r="D13">
        <f t="shared" si="0"/>
        <v>1</v>
      </c>
      <c r="E13">
        <f t="shared" si="1"/>
        <v>1</v>
      </c>
    </row>
    <row r="14" spans="1:5" x14ac:dyDescent="0.25">
      <c r="A14" s="1">
        <v>46035</v>
      </c>
      <c r="B14">
        <v>1</v>
      </c>
      <c r="D14">
        <f t="shared" si="0"/>
        <v>2</v>
      </c>
      <c r="E14">
        <f t="shared" si="1"/>
        <v>1</v>
      </c>
    </row>
    <row r="15" spans="1:5" x14ac:dyDescent="0.25">
      <c r="A15" s="1">
        <v>46036</v>
      </c>
      <c r="B15">
        <v>1</v>
      </c>
      <c r="D15">
        <f t="shared" si="0"/>
        <v>3</v>
      </c>
      <c r="E15">
        <f t="shared" si="1"/>
        <v>1</v>
      </c>
    </row>
    <row r="16" spans="1:5" x14ac:dyDescent="0.25">
      <c r="A16" s="1">
        <v>46037</v>
      </c>
      <c r="B16">
        <v>1</v>
      </c>
      <c r="D16">
        <f t="shared" si="0"/>
        <v>4</v>
      </c>
      <c r="E16">
        <f t="shared" si="1"/>
        <v>1</v>
      </c>
    </row>
    <row r="17" spans="1:5" x14ac:dyDescent="0.25">
      <c r="A17" s="1">
        <v>46038</v>
      </c>
      <c r="B17">
        <v>1</v>
      </c>
      <c r="D17">
        <f t="shared" si="0"/>
        <v>5</v>
      </c>
      <c r="E17">
        <f t="shared" si="1"/>
        <v>1</v>
      </c>
    </row>
    <row r="18" spans="1:5" x14ac:dyDescent="0.25">
      <c r="A18" s="1">
        <v>46039</v>
      </c>
      <c r="B18">
        <v>0</v>
      </c>
      <c r="D18">
        <f t="shared" si="0"/>
        <v>6</v>
      </c>
      <c r="E18">
        <f t="shared" si="1"/>
        <v>1</v>
      </c>
    </row>
    <row r="19" spans="1:5" x14ac:dyDescent="0.25">
      <c r="A19" s="1">
        <v>46040</v>
      </c>
      <c r="B19">
        <v>0</v>
      </c>
      <c r="D19">
        <f t="shared" si="0"/>
        <v>7</v>
      </c>
      <c r="E19">
        <f t="shared" si="1"/>
        <v>1</v>
      </c>
    </row>
    <row r="20" spans="1:5" x14ac:dyDescent="0.25">
      <c r="A20" s="1">
        <v>46041</v>
      </c>
      <c r="B20">
        <v>1</v>
      </c>
      <c r="D20">
        <f t="shared" si="0"/>
        <v>1</v>
      </c>
      <c r="E20">
        <f t="shared" si="1"/>
        <v>1</v>
      </c>
    </row>
    <row r="21" spans="1:5" x14ac:dyDescent="0.25">
      <c r="A21" s="1">
        <v>46042</v>
      </c>
      <c r="B21">
        <v>1</v>
      </c>
      <c r="D21">
        <f t="shared" si="0"/>
        <v>2</v>
      </c>
      <c r="E21">
        <f t="shared" si="1"/>
        <v>1</v>
      </c>
    </row>
    <row r="22" spans="1:5" x14ac:dyDescent="0.25">
      <c r="A22" s="1">
        <v>46043</v>
      </c>
      <c r="B22">
        <v>1</v>
      </c>
      <c r="D22">
        <f t="shared" si="0"/>
        <v>3</v>
      </c>
      <c r="E22">
        <f t="shared" si="1"/>
        <v>1</v>
      </c>
    </row>
    <row r="23" spans="1:5" x14ac:dyDescent="0.25">
      <c r="A23" s="1">
        <v>46044</v>
      </c>
      <c r="B23">
        <v>1</v>
      </c>
      <c r="D23">
        <f t="shared" si="0"/>
        <v>4</v>
      </c>
      <c r="E23">
        <f t="shared" si="1"/>
        <v>1</v>
      </c>
    </row>
    <row r="24" spans="1:5" x14ac:dyDescent="0.25">
      <c r="A24" s="1">
        <v>46045</v>
      </c>
      <c r="B24">
        <v>1</v>
      </c>
      <c r="D24">
        <f t="shared" si="0"/>
        <v>5</v>
      </c>
      <c r="E24">
        <f t="shared" si="1"/>
        <v>1</v>
      </c>
    </row>
    <row r="25" spans="1:5" x14ac:dyDescent="0.25">
      <c r="A25" s="1">
        <v>46046</v>
      </c>
      <c r="B25">
        <v>0</v>
      </c>
      <c r="D25">
        <f t="shared" si="0"/>
        <v>6</v>
      </c>
      <c r="E25">
        <f t="shared" si="1"/>
        <v>1</v>
      </c>
    </row>
    <row r="26" spans="1:5" x14ac:dyDescent="0.25">
      <c r="A26" s="1">
        <v>46047</v>
      </c>
      <c r="B26">
        <v>0</v>
      </c>
      <c r="D26">
        <f t="shared" si="0"/>
        <v>7</v>
      </c>
      <c r="E26">
        <f t="shared" si="1"/>
        <v>1</v>
      </c>
    </row>
    <row r="27" spans="1:5" x14ac:dyDescent="0.25">
      <c r="A27" s="1">
        <v>46048</v>
      </c>
      <c r="B27">
        <v>1</v>
      </c>
      <c r="D27">
        <f t="shared" si="0"/>
        <v>1</v>
      </c>
      <c r="E27">
        <f t="shared" si="1"/>
        <v>1</v>
      </c>
    </row>
    <row r="28" spans="1:5" x14ac:dyDescent="0.25">
      <c r="A28" s="1">
        <v>46049</v>
      </c>
      <c r="B28">
        <v>1</v>
      </c>
      <c r="D28">
        <f t="shared" si="0"/>
        <v>2</v>
      </c>
      <c r="E28">
        <f t="shared" si="1"/>
        <v>1</v>
      </c>
    </row>
    <row r="29" spans="1:5" x14ac:dyDescent="0.25">
      <c r="A29" s="1">
        <v>46050</v>
      </c>
      <c r="B29">
        <v>1</v>
      </c>
      <c r="D29">
        <f t="shared" si="0"/>
        <v>3</v>
      </c>
      <c r="E29">
        <f t="shared" si="1"/>
        <v>1</v>
      </c>
    </row>
    <row r="30" spans="1:5" x14ac:dyDescent="0.25">
      <c r="A30" s="1">
        <v>46051</v>
      </c>
      <c r="B30">
        <v>1</v>
      </c>
      <c r="D30">
        <f t="shared" si="0"/>
        <v>4</v>
      </c>
      <c r="E30">
        <f t="shared" si="1"/>
        <v>1</v>
      </c>
    </row>
    <row r="31" spans="1:5" x14ac:dyDescent="0.25">
      <c r="A31" s="1">
        <v>46052</v>
      </c>
      <c r="B31">
        <v>1</v>
      </c>
      <c r="D31">
        <f t="shared" si="0"/>
        <v>5</v>
      </c>
      <c r="E31">
        <f t="shared" si="1"/>
        <v>1</v>
      </c>
    </row>
    <row r="32" spans="1:5" x14ac:dyDescent="0.25">
      <c r="A32" s="1">
        <v>46053</v>
      </c>
      <c r="B32">
        <v>0</v>
      </c>
      <c r="D32">
        <f t="shared" si="0"/>
        <v>6</v>
      </c>
      <c r="E32">
        <f t="shared" si="1"/>
        <v>1</v>
      </c>
    </row>
    <row r="33" spans="1:5" x14ac:dyDescent="0.25">
      <c r="A33" s="1">
        <v>46054</v>
      </c>
      <c r="B33">
        <v>0</v>
      </c>
      <c r="D33">
        <f t="shared" si="0"/>
        <v>7</v>
      </c>
      <c r="E33">
        <f t="shared" si="1"/>
        <v>2</v>
      </c>
    </row>
    <row r="34" spans="1:5" x14ac:dyDescent="0.25">
      <c r="A34" s="1">
        <v>46055</v>
      </c>
      <c r="B34">
        <v>1</v>
      </c>
      <c r="D34">
        <f t="shared" si="0"/>
        <v>1</v>
      </c>
      <c r="E34">
        <f t="shared" si="1"/>
        <v>2</v>
      </c>
    </row>
    <row r="35" spans="1:5" x14ac:dyDescent="0.25">
      <c r="A35" s="1">
        <v>46056</v>
      </c>
      <c r="B35">
        <v>1</v>
      </c>
      <c r="D35">
        <f t="shared" si="0"/>
        <v>2</v>
      </c>
      <c r="E35">
        <f t="shared" si="1"/>
        <v>2</v>
      </c>
    </row>
    <row r="36" spans="1:5" x14ac:dyDescent="0.25">
      <c r="A36" s="1">
        <v>46057</v>
      </c>
      <c r="B36">
        <v>1</v>
      </c>
      <c r="D36">
        <f t="shared" si="0"/>
        <v>3</v>
      </c>
      <c r="E36">
        <f t="shared" si="1"/>
        <v>2</v>
      </c>
    </row>
    <row r="37" spans="1:5" x14ac:dyDescent="0.25">
      <c r="A37" s="1">
        <v>46058</v>
      </c>
      <c r="B37">
        <v>1</v>
      </c>
      <c r="D37">
        <f t="shared" si="0"/>
        <v>4</v>
      </c>
      <c r="E37">
        <f t="shared" si="1"/>
        <v>2</v>
      </c>
    </row>
    <row r="38" spans="1:5" x14ac:dyDescent="0.25">
      <c r="A38" s="1">
        <v>46059</v>
      </c>
      <c r="B38">
        <v>1</v>
      </c>
      <c r="D38">
        <f t="shared" si="0"/>
        <v>5</v>
      </c>
      <c r="E38">
        <f t="shared" si="1"/>
        <v>2</v>
      </c>
    </row>
    <row r="39" spans="1:5" x14ac:dyDescent="0.25">
      <c r="A39" s="1">
        <v>46060</v>
      </c>
      <c r="B39">
        <v>0</v>
      </c>
      <c r="D39">
        <f t="shared" si="0"/>
        <v>6</v>
      </c>
      <c r="E39">
        <f t="shared" si="1"/>
        <v>2</v>
      </c>
    </row>
    <row r="40" spans="1:5" x14ac:dyDescent="0.25">
      <c r="A40" s="1">
        <v>46061</v>
      </c>
      <c r="B40">
        <v>0</v>
      </c>
      <c r="D40">
        <f t="shared" si="0"/>
        <v>7</v>
      </c>
      <c r="E40">
        <f t="shared" si="1"/>
        <v>2</v>
      </c>
    </row>
    <row r="41" spans="1:5" x14ac:dyDescent="0.25">
      <c r="A41" s="1">
        <v>46062</v>
      </c>
      <c r="B41">
        <v>1</v>
      </c>
      <c r="D41">
        <f t="shared" si="0"/>
        <v>1</v>
      </c>
      <c r="E41">
        <f t="shared" si="1"/>
        <v>2</v>
      </c>
    </row>
    <row r="42" spans="1:5" x14ac:dyDescent="0.25">
      <c r="A42" s="1">
        <v>46063</v>
      </c>
      <c r="B42">
        <v>1</v>
      </c>
      <c r="D42">
        <f t="shared" si="0"/>
        <v>2</v>
      </c>
      <c r="E42">
        <f t="shared" si="1"/>
        <v>2</v>
      </c>
    </row>
    <row r="43" spans="1:5" x14ac:dyDescent="0.25">
      <c r="A43" s="1">
        <v>46064</v>
      </c>
      <c r="B43">
        <v>1</v>
      </c>
      <c r="D43">
        <f t="shared" si="0"/>
        <v>3</v>
      </c>
      <c r="E43">
        <f t="shared" si="1"/>
        <v>2</v>
      </c>
    </row>
    <row r="44" spans="1:5" x14ac:dyDescent="0.25">
      <c r="A44" s="1">
        <v>46065</v>
      </c>
      <c r="B44">
        <v>1</v>
      </c>
      <c r="D44">
        <f t="shared" si="0"/>
        <v>4</v>
      </c>
      <c r="E44">
        <f t="shared" si="1"/>
        <v>2</v>
      </c>
    </row>
    <row r="45" spans="1:5" x14ac:dyDescent="0.25">
      <c r="A45" s="1">
        <v>46066</v>
      </c>
      <c r="B45">
        <v>1</v>
      </c>
      <c r="D45">
        <f t="shared" si="0"/>
        <v>5</v>
      </c>
      <c r="E45">
        <f t="shared" si="1"/>
        <v>2</v>
      </c>
    </row>
    <row r="46" spans="1:5" x14ac:dyDescent="0.25">
      <c r="A46" s="1">
        <v>46067</v>
      </c>
      <c r="B46">
        <v>0</v>
      </c>
      <c r="D46">
        <f t="shared" si="0"/>
        <v>6</v>
      </c>
      <c r="E46">
        <f t="shared" si="1"/>
        <v>2</v>
      </c>
    </row>
    <row r="47" spans="1:5" x14ac:dyDescent="0.25">
      <c r="A47" s="1">
        <v>46068</v>
      </c>
      <c r="B47">
        <v>0</v>
      </c>
      <c r="D47">
        <f t="shared" si="0"/>
        <v>7</v>
      </c>
      <c r="E47">
        <f t="shared" si="1"/>
        <v>2</v>
      </c>
    </row>
    <row r="48" spans="1:5" x14ac:dyDescent="0.25">
      <c r="A48" s="1">
        <v>46069</v>
      </c>
      <c r="B48">
        <v>1</v>
      </c>
      <c r="D48">
        <f t="shared" si="0"/>
        <v>1</v>
      </c>
      <c r="E48">
        <f t="shared" si="1"/>
        <v>2</v>
      </c>
    </row>
    <row r="49" spans="1:5" x14ac:dyDescent="0.25">
      <c r="A49" s="1">
        <v>46070</v>
      </c>
      <c r="B49">
        <v>1</v>
      </c>
      <c r="D49">
        <f t="shared" si="0"/>
        <v>2</v>
      </c>
      <c r="E49">
        <f t="shared" si="1"/>
        <v>2</v>
      </c>
    </row>
    <row r="50" spans="1:5" x14ac:dyDescent="0.25">
      <c r="A50" s="1">
        <v>46071</v>
      </c>
      <c r="B50">
        <v>1</v>
      </c>
      <c r="D50">
        <f t="shared" si="0"/>
        <v>3</v>
      </c>
      <c r="E50">
        <f t="shared" si="1"/>
        <v>2</v>
      </c>
    </row>
    <row r="51" spans="1:5" x14ac:dyDescent="0.25">
      <c r="A51" s="1">
        <v>46072</v>
      </c>
      <c r="B51">
        <v>1</v>
      </c>
      <c r="D51">
        <f t="shared" si="0"/>
        <v>4</v>
      </c>
      <c r="E51">
        <f t="shared" si="1"/>
        <v>2</v>
      </c>
    </row>
    <row r="52" spans="1:5" x14ac:dyDescent="0.25">
      <c r="A52" s="1">
        <v>46073</v>
      </c>
      <c r="B52">
        <v>1</v>
      </c>
      <c r="D52">
        <f t="shared" si="0"/>
        <v>5</v>
      </c>
      <c r="E52">
        <f t="shared" si="1"/>
        <v>2</v>
      </c>
    </row>
    <row r="53" spans="1:5" x14ac:dyDescent="0.25">
      <c r="A53" s="1">
        <v>46074</v>
      </c>
      <c r="B53">
        <v>0</v>
      </c>
      <c r="D53">
        <f t="shared" si="0"/>
        <v>6</v>
      </c>
      <c r="E53">
        <f t="shared" si="1"/>
        <v>2</v>
      </c>
    </row>
    <row r="54" spans="1:5" x14ac:dyDescent="0.25">
      <c r="A54" s="1">
        <v>46075</v>
      </c>
      <c r="B54">
        <v>0</v>
      </c>
      <c r="D54">
        <f t="shared" si="0"/>
        <v>7</v>
      </c>
      <c r="E54">
        <f t="shared" si="1"/>
        <v>2</v>
      </c>
    </row>
    <row r="55" spans="1:5" x14ac:dyDescent="0.25">
      <c r="A55" s="1">
        <v>46076</v>
      </c>
      <c r="B55">
        <v>0</v>
      </c>
      <c r="D55">
        <f t="shared" si="0"/>
        <v>1</v>
      </c>
      <c r="E55">
        <f t="shared" si="1"/>
        <v>2</v>
      </c>
    </row>
    <row r="56" spans="1:5" x14ac:dyDescent="0.25">
      <c r="A56" s="1">
        <v>46077</v>
      </c>
      <c r="B56">
        <v>1</v>
      </c>
      <c r="D56">
        <f t="shared" si="0"/>
        <v>2</v>
      </c>
      <c r="E56">
        <f t="shared" si="1"/>
        <v>2</v>
      </c>
    </row>
    <row r="57" spans="1:5" x14ac:dyDescent="0.25">
      <c r="A57" s="1">
        <v>46078</v>
      </c>
      <c r="B57">
        <v>1</v>
      </c>
      <c r="D57">
        <f t="shared" si="0"/>
        <v>3</v>
      </c>
      <c r="E57">
        <f t="shared" si="1"/>
        <v>2</v>
      </c>
    </row>
    <row r="58" spans="1:5" x14ac:dyDescent="0.25">
      <c r="A58" s="1">
        <v>46079</v>
      </c>
      <c r="B58">
        <v>1</v>
      </c>
      <c r="D58">
        <f t="shared" si="0"/>
        <v>4</v>
      </c>
      <c r="E58">
        <f t="shared" si="1"/>
        <v>2</v>
      </c>
    </row>
    <row r="59" spans="1:5" x14ac:dyDescent="0.25">
      <c r="A59" s="1">
        <v>46080</v>
      </c>
      <c r="B59">
        <v>1</v>
      </c>
      <c r="D59">
        <f t="shared" si="0"/>
        <v>5</v>
      </c>
      <c r="E59">
        <f t="shared" si="1"/>
        <v>2</v>
      </c>
    </row>
    <row r="60" spans="1:5" x14ac:dyDescent="0.25">
      <c r="A60" s="1">
        <v>46081</v>
      </c>
      <c r="B60">
        <v>0</v>
      </c>
      <c r="D60">
        <f t="shared" si="0"/>
        <v>6</v>
      </c>
      <c r="E60">
        <f t="shared" si="1"/>
        <v>2</v>
      </c>
    </row>
    <row r="61" spans="1:5" x14ac:dyDescent="0.25">
      <c r="A61" s="1">
        <v>46082</v>
      </c>
      <c r="B61">
        <v>0</v>
      </c>
      <c r="D61">
        <f t="shared" si="0"/>
        <v>7</v>
      </c>
      <c r="E61">
        <f t="shared" si="1"/>
        <v>3</v>
      </c>
    </row>
    <row r="62" spans="1:5" x14ac:dyDescent="0.25">
      <c r="A62" s="1">
        <v>46083</v>
      </c>
      <c r="B62">
        <v>1</v>
      </c>
      <c r="D62">
        <f t="shared" si="0"/>
        <v>1</v>
      </c>
      <c r="E62">
        <f t="shared" si="1"/>
        <v>3</v>
      </c>
    </row>
    <row r="63" spans="1:5" x14ac:dyDescent="0.25">
      <c r="A63" s="1">
        <v>46084</v>
      </c>
      <c r="B63">
        <v>1</v>
      </c>
      <c r="D63">
        <f t="shared" si="0"/>
        <v>2</v>
      </c>
      <c r="E63">
        <f t="shared" si="1"/>
        <v>3</v>
      </c>
    </row>
    <row r="64" spans="1:5" x14ac:dyDescent="0.25">
      <c r="A64" s="1">
        <v>46085</v>
      </c>
      <c r="B64">
        <v>1</v>
      </c>
      <c r="D64">
        <f t="shared" si="0"/>
        <v>3</v>
      </c>
      <c r="E64">
        <f t="shared" si="1"/>
        <v>3</v>
      </c>
    </row>
    <row r="65" spans="1:5" x14ac:dyDescent="0.25">
      <c r="A65" s="1">
        <v>46086</v>
      </c>
      <c r="B65">
        <v>1</v>
      </c>
      <c r="D65">
        <f t="shared" si="0"/>
        <v>4</v>
      </c>
      <c r="E65">
        <f t="shared" si="1"/>
        <v>3</v>
      </c>
    </row>
    <row r="66" spans="1:5" x14ac:dyDescent="0.25">
      <c r="A66" s="1">
        <v>46087</v>
      </c>
      <c r="B66">
        <v>1</v>
      </c>
      <c r="D66">
        <f t="shared" si="0"/>
        <v>5</v>
      </c>
      <c r="E66">
        <f t="shared" si="1"/>
        <v>3</v>
      </c>
    </row>
    <row r="67" spans="1:5" x14ac:dyDescent="0.25">
      <c r="A67" s="1">
        <v>46088</v>
      </c>
      <c r="B67">
        <v>0</v>
      </c>
      <c r="D67">
        <f t="shared" ref="D67:D130" si="2">WEEKDAY(A67,2)</f>
        <v>6</v>
      </c>
      <c r="E67">
        <f t="shared" ref="E67:E130" si="3">MONTH(A67)</f>
        <v>3</v>
      </c>
    </row>
    <row r="68" spans="1:5" x14ac:dyDescent="0.25">
      <c r="A68" s="1">
        <v>46089</v>
      </c>
      <c r="B68">
        <v>0</v>
      </c>
      <c r="D68">
        <f t="shared" si="2"/>
        <v>7</v>
      </c>
      <c r="E68">
        <f t="shared" si="3"/>
        <v>3</v>
      </c>
    </row>
    <row r="69" spans="1:5" x14ac:dyDescent="0.25">
      <c r="A69" s="1">
        <v>46090</v>
      </c>
      <c r="B69">
        <v>0</v>
      </c>
      <c r="D69">
        <f t="shared" si="2"/>
        <v>1</v>
      </c>
      <c r="E69">
        <f t="shared" si="3"/>
        <v>3</v>
      </c>
    </row>
    <row r="70" spans="1:5" x14ac:dyDescent="0.25">
      <c r="A70" s="1">
        <v>46091</v>
      </c>
      <c r="B70">
        <v>1</v>
      </c>
      <c r="D70">
        <f t="shared" si="2"/>
        <v>2</v>
      </c>
      <c r="E70">
        <f t="shared" si="3"/>
        <v>3</v>
      </c>
    </row>
    <row r="71" spans="1:5" x14ac:dyDescent="0.25">
      <c r="A71" s="1">
        <v>46092</v>
      </c>
      <c r="B71">
        <v>1</v>
      </c>
      <c r="D71">
        <f t="shared" si="2"/>
        <v>3</v>
      </c>
      <c r="E71">
        <f t="shared" si="3"/>
        <v>3</v>
      </c>
    </row>
    <row r="72" spans="1:5" x14ac:dyDescent="0.25">
      <c r="A72" s="1">
        <v>46093</v>
      </c>
      <c r="B72">
        <v>1</v>
      </c>
      <c r="D72">
        <f t="shared" si="2"/>
        <v>4</v>
      </c>
      <c r="E72">
        <f t="shared" si="3"/>
        <v>3</v>
      </c>
    </row>
    <row r="73" spans="1:5" x14ac:dyDescent="0.25">
      <c r="A73" s="1">
        <v>46094</v>
      </c>
      <c r="B73">
        <v>1</v>
      </c>
      <c r="D73">
        <f t="shared" si="2"/>
        <v>5</v>
      </c>
      <c r="E73">
        <f t="shared" si="3"/>
        <v>3</v>
      </c>
    </row>
    <row r="74" spans="1:5" x14ac:dyDescent="0.25">
      <c r="A74" s="1">
        <v>46095</v>
      </c>
      <c r="B74">
        <v>0</v>
      </c>
      <c r="D74">
        <f t="shared" si="2"/>
        <v>6</v>
      </c>
      <c r="E74">
        <f t="shared" si="3"/>
        <v>3</v>
      </c>
    </row>
    <row r="75" spans="1:5" x14ac:dyDescent="0.25">
      <c r="A75" s="1">
        <v>46096</v>
      </c>
      <c r="B75">
        <v>0</v>
      </c>
      <c r="D75">
        <f t="shared" si="2"/>
        <v>7</v>
      </c>
      <c r="E75">
        <f t="shared" si="3"/>
        <v>3</v>
      </c>
    </row>
    <row r="76" spans="1:5" x14ac:dyDescent="0.25">
      <c r="A76" s="1">
        <v>46097</v>
      </c>
      <c r="B76">
        <v>1</v>
      </c>
      <c r="D76">
        <f t="shared" si="2"/>
        <v>1</v>
      </c>
      <c r="E76">
        <f t="shared" si="3"/>
        <v>3</v>
      </c>
    </row>
    <row r="77" spans="1:5" x14ac:dyDescent="0.25">
      <c r="A77" s="1">
        <v>46098</v>
      </c>
      <c r="B77">
        <v>1</v>
      </c>
      <c r="D77">
        <f t="shared" si="2"/>
        <v>2</v>
      </c>
      <c r="E77">
        <f t="shared" si="3"/>
        <v>3</v>
      </c>
    </row>
    <row r="78" spans="1:5" x14ac:dyDescent="0.25">
      <c r="A78" s="1">
        <v>46099</v>
      </c>
      <c r="B78">
        <v>1</v>
      </c>
      <c r="D78">
        <f t="shared" si="2"/>
        <v>3</v>
      </c>
      <c r="E78">
        <f t="shared" si="3"/>
        <v>3</v>
      </c>
    </row>
    <row r="79" spans="1:5" x14ac:dyDescent="0.25">
      <c r="A79" s="1">
        <v>46100</v>
      </c>
      <c r="B79">
        <v>1</v>
      </c>
      <c r="D79">
        <f t="shared" si="2"/>
        <v>4</v>
      </c>
      <c r="E79">
        <f t="shared" si="3"/>
        <v>3</v>
      </c>
    </row>
    <row r="80" spans="1:5" x14ac:dyDescent="0.25">
      <c r="A80" s="1">
        <v>46101</v>
      </c>
      <c r="B80">
        <v>1</v>
      </c>
      <c r="D80">
        <f t="shared" si="2"/>
        <v>5</v>
      </c>
      <c r="E80">
        <f t="shared" si="3"/>
        <v>3</v>
      </c>
    </row>
    <row r="81" spans="1:5" x14ac:dyDescent="0.25">
      <c r="A81" s="1">
        <v>46102</v>
      </c>
      <c r="B81">
        <v>0</v>
      </c>
      <c r="D81">
        <f t="shared" si="2"/>
        <v>6</v>
      </c>
      <c r="E81">
        <f t="shared" si="3"/>
        <v>3</v>
      </c>
    </row>
    <row r="82" spans="1:5" x14ac:dyDescent="0.25">
      <c r="A82" s="1">
        <v>46103</v>
      </c>
      <c r="B82">
        <v>0</v>
      </c>
      <c r="D82">
        <f t="shared" si="2"/>
        <v>7</v>
      </c>
      <c r="E82">
        <f t="shared" si="3"/>
        <v>3</v>
      </c>
    </row>
    <row r="83" spans="1:5" x14ac:dyDescent="0.25">
      <c r="A83" s="1">
        <v>46104</v>
      </c>
      <c r="B83">
        <v>1</v>
      </c>
      <c r="D83">
        <f t="shared" si="2"/>
        <v>1</v>
      </c>
      <c r="E83">
        <f t="shared" si="3"/>
        <v>3</v>
      </c>
    </row>
    <row r="84" spans="1:5" x14ac:dyDescent="0.25">
      <c r="A84" s="1">
        <v>46105</v>
      </c>
      <c r="B84">
        <v>1</v>
      </c>
      <c r="D84">
        <f t="shared" si="2"/>
        <v>2</v>
      </c>
      <c r="E84">
        <f t="shared" si="3"/>
        <v>3</v>
      </c>
    </row>
    <row r="85" spans="1:5" x14ac:dyDescent="0.25">
      <c r="A85" s="1">
        <v>46106</v>
      </c>
      <c r="B85">
        <v>1</v>
      </c>
      <c r="D85">
        <f t="shared" si="2"/>
        <v>3</v>
      </c>
      <c r="E85">
        <f t="shared" si="3"/>
        <v>3</v>
      </c>
    </row>
    <row r="86" spans="1:5" x14ac:dyDescent="0.25">
      <c r="A86" s="1">
        <v>46107</v>
      </c>
      <c r="B86">
        <v>1</v>
      </c>
      <c r="D86">
        <f t="shared" si="2"/>
        <v>4</v>
      </c>
      <c r="E86">
        <f t="shared" si="3"/>
        <v>3</v>
      </c>
    </row>
    <row r="87" spans="1:5" x14ac:dyDescent="0.25">
      <c r="A87" s="1">
        <v>46108</v>
      </c>
      <c r="B87">
        <v>1</v>
      </c>
      <c r="D87">
        <f t="shared" si="2"/>
        <v>5</v>
      </c>
      <c r="E87">
        <f t="shared" si="3"/>
        <v>3</v>
      </c>
    </row>
    <row r="88" spans="1:5" x14ac:dyDescent="0.25">
      <c r="A88" s="1">
        <v>46109</v>
      </c>
      <c r="B88">
        <v>0</v>
      </c>
      <c r="D88">
        <f t="shared" si="2"/>
        <v>6</v>
      </c>
      <c r="E88">
        <f t="shared" si="3"/>
        <v>3</v>
      </c>
    </row>
    <row r="89" spans="1:5" x14ac:dyDescent="0.25">
      <c r="A89" s="1">
        <v>46110</v>
      </c>
      <c r="B89">
        <v>0</v>
      </c>
      <c r="D89">
        <f t="shared" si="2"/>
        <v>7</v>
      </c>
      <c r="E89">
        <f t="shared" si="3"/>
        <v>3</v>
      </c>
    </row>
    <row r="90" spans="1:5" x14ac:dyDescent="0.25">
      <c r="A90" s="1">
        <v>46111</v>
      </c>
      <c r="B90">
        <v>1</v>
      </c>
      <c r="D90">
        <f t="shared" si="2"/>
        <v>1</v>
      </c>
      <c r="E90">
        <f t="shared" si="3"/>
        <v>3</v>
      </c>
    </row>
    <row r="91" spans="1:5" x14ac:dyDescent="0.25">
      <c r="A91" s="1">
        <v>46112</v>
      </c>
      <c r="B91">
        <v>1</v>
      </c>
      <c r="D91">
        <f t="shared" si="2"/>
        <v>2</v>
      </c>
      <c r="E91">
        <f t="shared" si="3"/>
        <v>3</v>
      </c>
    </row>
    <row r="92" spans="1:5" x14ac:dyDescent="0.25">
      <c r="A92" s="1">
        <v>46113</v>
      </c>
      <c r="B92">
        <v>1</v>
      </c>
      <c r="D92">
        <f t="shared" si="2"/>
        <v>3</v>
      </c>
      <c r="E92">
        <f t="shared" si="3"/>
        <v>4</v>
      </c>
    </row>
    <row r="93" spans="1:5" x14ac:dyDescent="0.25">
      <c r="A93" s="1">
        <v>46114</v>
      </c>
      <c r="B93">
        <v>1</v>
      </c>
      <c r="D93">
        <f t="shared" si="2"/>
        <v>4</v>
      </c>
      <c r="E93">
        <f t="shared" si="3"/>
        <v>4</v>
      </c>
    </row>
    <row r="94" spans="1:5" x14ac:dyDescent="0.25">
      <c r="A94" s="1">
        <v>46115</v>
      </c>
      <c r="B94">
        <v>1</v>
      </c>
      <c r="D94">
        <f t="shared" si="2"/>
        <v>5</v>
      </c>
      <c r="E94">
        <f t="shared" si="3"/>
        <v>4</v>
      </c>
    </row>
    <row r="95" spans="1:5" x14ac:dyDescent="0.25">
      <c r="A95" s="1">
        <v>46116</v>
      </c>
      <c r="B95">
        <v>0</v>
      </c>
      <c r="D95">
        <f t="shared" si="2"/>
        <v>6</v>
      </c>
      <c r="E95">
        <f t="shared" si="3"/>
        <v>4</v>
      </c>
    </row>
    <row r="96" spans="1:5" x14ac:dyDescent="0.25">
      <c r="A96" s="1">
        <v>46117</v>
      </c>
      <c r="B96">
        <v>0</v>
      </c>
      <c r="D96">
        <f t="shared" si="2"/>
        <v>7</v>
      </c>
      <c r="E96">
        <f t="shared" si="3"/>
        <v>4</v>
      </c>
    </row>
    <row r="97" spans="1:5" x14ac:dyDescent="0.25">
      <c r="A97" s="1">
        <v>46118</v>
      </c>
      <c r="B97">
        <v>1</v>
      </c>
      <c r="D97">
        <f t="shared" si="2"/>
        <v>1</v>
      </c>
      <c r="E97">
        <f t="shared" si="3"/>
        <v>4</v>
      </c>
    </row>
    <row r="98" spans="1:5" x14ac:dyDescent="0.25">
      <c r="A98" s="1">
        <v>46119</v>
      </c>
      <c r="B98">
        <v>1</v>
      </c>
      <c r="D98">
        <f t="shared" si="2"/>
        <v>2</v>
      </c>
      <c r="E98">
        <f t="shared" si="3"/>
        <v>4</v>
      </c>
    </row>
    <row r="99" spans="1:5" x14ac:dyDescent="0.25">
      <c r="A99" s="1">
        <v>46120</v>
      </c>
      <c r="B99">
        <v>1</v>
      </c>
      <c r="D99">
        <f t="shared" si="2"/>
        <v>3</v>
      </c>
      <c r="E99">
        <f t="shared" si="3"/>
        <v>4</v>
      </c>
    </row>
    <row r="100" spans="1:5" x14ac:dyDescent="0.25">
      <c r="A100" s="1">
        <v>46121</v>
      </c>
      <c r="B100">
        <v>1</v>
      </c>
      <c r="D100">
        <f t="shared" si="2"/>
        <v>4</v>
      </c>
      <c r="E100">
        <f t="shared" si="3"/>
        <v>4</v>
      </c>
    </row>
    <row r="101" spans="1:5" x14ac:dyDescent="0.25">
      <c r="A101" s="1">
        <v>46122</v>
      </c>
      <c r="B101">
        <v>1</v>
      </c>
      <c r="D101">
        <f t="shared" si="2"/>
        <v>5</v>
      </c>
      <c r="E101">
        <f t="shared" si="3"/>
        <v>4</v>
      </c>
    </row>
    <row r="102" spans="1:5" x14ac:dyDescent="0.25">
      <c r="A102" s="1">
        <v>46123</v>
      </c>
      <c r="B102">
        <v>0</v>
      </c>
      <c r="D102">
        <f t="shared" si="2"/>
        <v>6</v>
      </c>
      <c r="E102">
        <f t="shared" si="3"/>
        <v>4</v>
      </c>
    </row>
    <row r="103" spans="1:5" x14ac:dyDescent="0.25">
      <c r="A103" s="1">
        <v>46124</v>
      </c>
      <c r="B103">
        <v>0</v>
      </c>
      <c r="D103">
        <f t="shared" si="2"/>
        <v>7</v>
      </c>
      <c r="E103">
        <f t="shared" si="3"/>
        <v>4</v>
      </c>
    </row>
    <row r="104" spans="1:5" x14ac:dyDescent="0.25">
      <c r="A104" s="1">
        <v>46125</v>
      </c>
      <c r="B104">
        <v>1</v>
      </c>
      <c r="D104">
        <f t="shared" si="2"/>
        <v>1</v>
      </c>
      <c r="E104">
        <f t="shared" si="3"/>
        <v>4</v>
      </c>
    </row>
    <row r="105" spans="1:5" x14ac:dyDescent="0.25">
      <c r="A105" s="1">
        <v>46126</v>
      </c>
      <c r="B105">
        <v>1</v>
      </c>
      <c r="D105">
        <f t="shared" si="2"/>
        <v>2</v>
      </c>
      <c r="E105">
        <f t="shared" si="3"/>
        <v>4</v>
      </c>
    </row>
    <row r="106" spans="1:5" x14ac:dyDescent="0.25">
      <c r="A106" s="1">
        <v>46127</v>
      </c>
      <c r="B106">
        <v>1</v>
      </c>
      <c r="D106">
        <f t="shared" si="2"/>
        <v>3</v>
      </c>
      <c r="E106">
        <f t="shared" si="3"/>
        <v>4</v>
      </c>
    </row>
    <row r="107" spans="1:5" x14ac:dyDescent="0.25">
      <c r="A107" s="1">
        <v>46128</v>
      </c>
      <c r="B107">
        <v>1</v>
      </c>
      <c r="D107">
        <f t="shared" si="2"/>
        <v>4</v>
      </c>
      <c r="E107">
        <f t="shared" si="3"/>
        <v>4</v>
      </c>
    </row>
    <row r="108" spans="1:5" x14ac:dyDescent="0.25">
      <c r="A108" s="1">
        <v>46129</v>
      </c>
      <c r="B108">
        <v>1</v>
      </c>
      <c r="D108">
        <f t="shared" si="2"/>
        <v>5</v>
      </c>
      <c r="E108">
        <f t="shared" si="3"/>
        <v>4</v>
      </c>
    </row>
    <row r="109" spans="1:5" x14ac:dyDescent="0.25">
      <c r="A109" s="1">
        <v>46130</v>
      </c>
      <c r="B109">
        <v>0</v>
      </c>
      <c r="D109">
        <f t="shared" si="2"/>
        <v>6</v>
      </c>
      <c r="E109">
        <f t="shared" si="3"/>
        <v>4</v>
      </c>
    </row>
    <row r="110" spans="1:5" x14ac:dyDescent="0.25">
      <c r="A110" s="1">
        <v>46131</v>
      </c>
      <c r="B110">
        <v>0</v>
      </c>
      <c r="D110">
        <f t="shared" si="2"/>
        <v>7</v>
      </c>
      <c r="E110">
        <f t="shared" si="3"/>
        <v>4</v>
      </c>
    </row>
    <row r="111" spans="1:5" x14ac:dyDescent="0.25">
      <c r="A111" s="1">
        <v>46132</v>
      </c>
      <c r="B111">
        <v>1</v>
      </c>
      <c r="D111">
        <f t="shared" si="2"/>
        <v>1</v>
      </c>
      <c r="E111">
        <f t="shared" si="3"/>
        <v>4</v>
      </c>
    </row>
    <row r="112" spans="1:5" x14ac:dyDescent="0.25">
      <c r="A112" s="1">
        <v>46133</v>
      </c>
      <c r="B112">
        <v>1</v>
      </c>
      <c r="D112">
        <f t="shared" si="2"/>
        <v>2</v>
      </c>
      <c r="E112">
        <f t="shared" si="3"/>
        <v>4</v>
      </c>
    </row>
    <row r="113" spans="1:5" x14ac:dyDescent="0.25">
      <c r="A113" s="1">
        <v>46134</v>
      </c>
      <c r="B113">
        <v>1</v>
      </c>
      <c r="D113">
        <f t="shared" si="2"/>
        <v>3</v>
      </c>
      <c r="E113">
        <f t="shared" si="3"/>
        <v>4</v>
      </c>
    </row>
    <row r="114" spans="1:5" x14ac:dyDescent="0.25">
      <c r="A114" s="1">
        <v>46135</v>
      </c>
      <c r="B114">
        <v>1</v>
      </c>
      <c r="D114">
        <f t="shared" si="2"/>
        <v>4</v>
      </c>
      <c r="E114">
        <f t="shared" si="3"/>
        <v>4</v>
      </c>
    </row>
    <row r="115" spans="1:5" x14ac:dyDescent="0.25">
      <c r="A115" s="1">
        <v>46136</v>
      </c>
      <c r="B115">
        <v>1</v>
      </c>
      <c r="D115">
        <f t="shared" si="2"/>
        <v>5</v>
      </c>
      <c r="E115">
        <f t="shared" si="3"/>
        <v>4</v>
      </c>
    </row>
    <row r="116" spans="1:5" x14ac:dyDescent="0.25">
      <c r="A116" s="1">
        <v>46137</v>
      </c>
      <c r="B116">
        <v>0</v>
      </c>
      <c r="D116">
        <f t="shared" si="2"/>
        <v>6</v>
      </c>
      <c r="E116">
        <f t="shared" si="3"/>
        <v>4</v>
      </c>
    </row>
    <row r="117" spans="1:5" x14ac:dyDescent="0.25">
      <c r="A117" s="1">
        <v>46138</v>
      </c>
      <c r="B117">
        <v>0</v>
      </c>
      <c r="D117">
        <f t="shared" si="2"/>
        <v>7</v>
      </c>
      <c r="E117">
        <f t="shared" si="3"/>
        <v>4</v>
      </c>
    </row>
    <row r="118" spans="1:5" x14ac:dyDescent="0.25">
      <c r="A118" s="1">
        <v>46139</v>
      </c>
      <c r="B118">
        <v>1</v>
      </c>
      <c r="D118">
        <f t="shared" si="2"/>
        <v>1</v>
      </c>
      <c r="E118">
        <f t="shared" si="3"/>
        <v>4</v>
      </c>
    </row>
    <row r="119" spans="1:5" x14ac:dyDescent="0.25">
      <c r="A119" s="1">
        <v>46140</v>
      </c>
      <c r="B119">
        <v>1</v>
      </c>
      <c r="D119">
        <f t="shared" si="2"/>
        <v>2</v>
      </c>
      <c r="E119">
        <f t="shared" si="3"/>
        <v>4</v>
      </c>
    </row>
    <row r="120" spans="1:5" x14ac:dyDescent="0.25">
      <c r="A120" s="1">
        <v>46141</v>
      </c>
      <c r="B120">
        <v>1</v>
      </c>
      <c r="D120">
        <f t="shared" si="2"/>
        <v>3</v>
      </c>
      <c r="E120">
        <f t="shared" si="3"/>
        <v>4</v>
      </c>
    </row>
    <row r="121" spans="1:5" x14ac:dyDescent="0.25">
      <c r="A121" s="1">
        <v>46142</v>
      </c>
      <c r="B121">
        <v>1</v>
      </c>
      <c r="D121">
        <f t="shared" si="2"/>
        <v>4</v>
      </c>
      <c r="E121">
        <f t="shared" si="3"/>
        <v>4</v>
      </c>
    </row>
    <row r="122" spans="1:5" x14ac:dyDescent="0.25">
      <c r="A122" s="1">
        <v>46143</v>
      </c>
      <c r="B122">
        <v>0</v>
      </c>
      <c r="D122">
        <f t="shared" si="2"/>
        <v>5</v>
      </c>
      <c r="E122">
        <f t="shared" si="3"/>
        <v>5</v>
      </c>
    </row>
    <row r="123" spans="1:5" x14ac:dyDescent="0.25">
      <c r="A123" s="1">
        <v>46144</v>
      </c>
      <c r="B123">
        <v>0</v>
      </c>
      <c r="D123">
        <f t="shared" si="2"/>
        <v>6</v>
      </c>
      <c r="E123">
        <f t="shared" si="3"/>
        <v>5</v>
      </c>
    </row>
    <row r="124" spans="1:5" x14ac:dyDescent="0.25">
      <c r="A124" s="1">
        <v>46145</v>
      </c>
      <c r="B124">
        <v>0</v>
      </c>
      <c r="D124">
        <f t="shared" si="2"/>
        <v>7</v>
      </c>
      <c r="E124">
        <f t="shared" si="3"/>
        <v>5</v>
      </c>
    </row>
    <row r="125" spans="1:5" x14ac:dyDescent="0.25">
      <c r="A125" s="1">
        <v>46146</v>
      </c>
      <c r="B125">
        <v>1</v>
      </c>
      <c r="D125">
        <f t="shared" si="2"/>
        <v>1</v>
      </c>
      <c r="E125">
        <f t="shared" si="3"/>
        <v>5</v>
      </c>
    </row>
    <row r="126" spans="1:5" x14ac:dyDescent="0.25">
      <c r="A126" s="1">
        <v>46147</v>
      </c>
      <c r="B126">
        <v>1</v>
      </c>
      <c r="D126">
        <f t="shared" si="2"/>
        <v>2</v>
      </c>
      <c r="E126">
        <f t="shared" si="3"/>
        <v>5</v>
      </c>
    </row>
    <row r="127" spans="1:5" x14ac:dyDescent="0.25">
      <c r="A127" s="1">
        <v>46148</v>
      </c>
      <c r="B127">
        <v>1</v>
      </c>
      <c r="D127">
        <f t="shared" si="2"/>
        <v>3</v>
      </c>
      <c r="E127">
        <f t="shared" si="3"/>
        <v>5</v>
      </c>
    </row>
    <row r="128" spans="1:5" x14ac:dyDescent="0.25">
      <c r="A128" s="1">
        <v>46149</v>
      </c>
      <c r="B128">
        <v>1</v>
      </c>
      <c r="D128">
        <f t="shared" si="2"/>
        <v>4</v>
      </c>
      <c r="E128">
        <f t="shared" si="3"/>
        <v>5</v>
      </c>
    </row>
    <row r="129" spans="1:5" x14ac:dyDescent="0.25">
      <c r="A129" s="1">
        <v>46150</v>
      </c>
      <c r="B129">
        <v>1</v>
      </c>
      <c r="D129">
        <f t="shared" si="2"/>
        <v>5</v>
      </c>
      <c r="E129">
        <f t="shared" si="3"/>
        <v>5</v>
      </c>
    </row>
    <row r="130" spans="1:5" x14ac:dyDescent="0.25">
      <c r="A130" s="1">
        <v>46151</v>
      </c>
      <c r="B130">
        <v>0</v>
      </c>
      <c r="D130">
        <f t="shared" si="2"/>
        <v>6</v>
      </c>
      <c r="E130">
        <f t="shared" si="3"/>
        <v>5</v>
      </c>
    </row>
    <row r="131" spans="1:5" x14ac:dyDescent="0.25">
      <c r="A131" s="1">
        <v>46152</v>
      </c>
      <c r="B131">
        <v>0</v>
      </c>
      <c r="D131">
        <f t="shared" ref="D131:D194" si="4">WEEKDAY(A131,2)</f>
        <v>7</v>
      </c>
      <c r="E131">
        <f t="shared" ref="E131:E194" si="5">MONTH(A131)</f>
        <v>5</v>
      </c>
    </row>
    <row r="132" spans="1:5" x14ac:dyDescent="0.25">
      <c r="A132" s="1">
        <v>46153</v>
      </c>
      <c r="B132">
        <v>0</v>
      </c>
      <c r="D132">
        <f t="shared" si="4"/>
        <v>1</v>
      </c>
      <c r="E132">
        <f t="shared" si="5"/>
        <v>5</v>
      </c>
    </row>
    <row r="133" spans="1:5" x14ac:dyDescent="0.25">
      <c r="A133" s="1">
        <v>46154</v>
      </c>
      <c r="B133">
        <v>1</v>
      </c>
      <c r="D133">
        <f t="shared" si="4"/>
        <v>2</v>
      </c>
      <c r="E133">
        <f t="shared" si="5"/>
        <v>5</v>
      </c>
    </row>
    <row r="134" spans="1:5" x14ac:dyDescent="0.25">
      <c r="A134" s="1">
        <v>46155</v>
      </c>
      <c r="B134">
        <v>1</v>
      </c>
      <c r="D134">
        <f t="shared" si="4"/>
        <v>3</v>
      </c>
      <c r="E134">
        <f t="shared" si="5"/>
        <v>5</v>
      </c>
    </row>
    <row r="135" spans="1:5" x14ac:dyDescent="0.25">
      <c r="A135" s="1">
        <v>46156</v>
      </c>
      <c r="B135">
        <v>1</v>
      </c>
      <c r="D135">
        <f t="shared" si="4"/>
        <v>4</v>
      </c>
      <c r="E135">
        <f t="shared" si="5"/>
        <v>5</v>
      </c>
    </row>
    <row r="136" spans="1:5" x14ac:dyDescent="0.25">
      <c r="A136" s="1">
        <v>46157</v>
      </c>
      <c r="B136">
        <v>1</v>
      </c>
      <c r="D136">
        <f t="shared" si="4"/>
        <v>5</v>
      </c>
      <c r="E136">
        <f t="shared" si="5"/>
        <v>5</v>
      </c>
    </row>
    <row r="137" spans="1:5" x14ac:dyDescent="0.25">
      <c r="A137" s="1">
        <v>46158</v>
      </c>
      <c r="B137">
        <v>0</v>
      </c>
      <c r="D137">
        <f t="shared" si="4"/>
        <v>6</v>
      </c>
      <c r="E137">
        <f t="shared" si="5"/>
        <v>5</v>
      </c>
    </row>
    <row r="138" spans="1:5" x14ac:dyDescent="0.25">
      <c r="A138" s="1">
        <v>46159</v>
      </c>
      <c r="B138">
        <v>0</v>
      </c>
      <c r="D138">
        <f t="shared" si="4"/>
        <v>7</v>
      </c>
      <c r="E138">
        <f t="shared" si="5"/>
        <v>5</v>
      </c>
    </row>
    <row r="139" spans="1:5" x14ac:dyDescent="0.25">
      <c r="A139" s="1">
        <v>46160</v>
      </c>
      <c r="B139">
        <v>1</v>
      </c>
      <c r="D139">
        <f t="shared" si="4"/>
        <v>1</v>
      </c>
      <c r="E139">
        <f t="shared" si="5"/>
        <v>5</v>
      </c>
    </row>
    <row r="140" spans="1:5" x14ac:dyDescent="0.25">
      <c r="A140" s="1">
        <v>46161</v>
      </c>
      <c r="B140">
        <v>1</v>
      </c>
      <c r="D140">
        <f t="shared" si="4"/>
        <v>2</v>
      </c>
      <c r="E140">
        <f t="shared" si="5"/>
        <v>5</v>
      </c>
    </row>
    <row r="141" spans="1:5" x14ac:dyDescent="0.25">
      <c r="A141" s="1">
        <v>46162</v>
      </c>
      <c r="B141">
        <v>1</v>
      </c>
      <c r="D141">
        <f t="shared" si="4"/>
        <v>3</v>
      </c>
      <c r="E141">
        <f t="shared" si="5"/>
        <v>5</v>
      </c>
    </row>
    <row r="142" spans="1:5" x14ac:dyDescent="0.25">
      <c r="A142" s="1">
        <v>46163</v>
      </c>
      <c r="B142">
        <v>1</v>
      </c>
      <c r="D142">
        <f t="shared" si="4"/>
        <v>4</v>
      </c>
      <c r="E142">
        <f t="shared" si="5"/>
        <v>5</v>
      </c>
    </row>
    <row r="143" spans="1:5" x14ac:dyDescent="0.25">
      <c r="A143" s="1">
        <v>46164</v>
      </c>
      <c r="B143">
        <v>1</v>
      </c>
      <c r="D143">
        <f t="shared" si="4"/>
        <v>5</v>
      </c>
      <c r="E143">
        <f t="shared" si="5"/>
        <v>5</v>
      </c>
    </row>
    <row r="144" spans="1:5" x14ac:dyDescent="0.25">
      <c r="A144" s="1">
        <v>46165</v>
      </c>
      <c r="B144">
        <v>0</v>
      </c>
      <c r="D144">
        <f t="shared" si="4"/>
        <v>6</v>
      </c>
      <c r="E144">
        <f t="shared" si="5"/>
        <v>5</v>
      </c>
    </row>
    <row r="145" spans="1:5" x14ac:dyDescent="0.25">
      <c r="A145" s="1">
        <v>46166</v>
      </c>
      <c r="B145">
        <v>0</v>
      </c>
      <c r="D145">
        <f t="shared" si="4"/>
        <v>7</v>
      </c>
      <c r="E145">
        <f t="shared" si="5"/>
        <v>5</v>
      </c>
    </row>
    <row r="146" spans="1:5" x14ac:dyDescent="0.25">
      <c r="A146" s="1">
        <v>46167</v>
      </c>
      <c r="B146">
        <v>1</v>
      </c>
      <c r="D146">
        <f t="shared" si="4"/>
        <v>1</v>
      </c>
      <c r="E146">
        <f t="shared" si="5"/>
        <v>5</v>
      </c>
    </row>
    <row r="147" spans="1:5" x14ac:dyDescent="0.25">
      <c r="A147" s="1">
        <v>46168</v>
      </c>
      <c r="B147">
        <v>1</v>
      </c>
      <c r="D147">
        <f t="shared" si="4"/>
        <v>2</v>
      </c>
      <c r="E147">
        <f t="shared" si="5"/>
        <v>5</v>
      </c>
    </row>
    <row r="148" spans="1:5" x14ac:dyDescent="0.25">
      <c r="A148" s="1">
        <v>46169</v>
      </c>
      <c r="B148">
        <v>1</v>
      </c>
      <c r="D148">
        <f t="shared" si="4"/>
        <v>3</v>
      </c>
      <c r="E148">
        <f t="shared" si="5"/>
        <v>5</v>
      </c>
    </row>
    <row r="149" spans="1:5" x14ac:dyDescent="0.25">
      <c r="A149" s="1">
        <v>46170</v>
      </c>
      <c r="B149">
        <v>1</v>
      </c>
      <c r="D149">
        <f t="shared" si="4"/>
        <v>4</v>
      </c>
      <c r="E149">
        <f t="shared" si="5"/>
        <v>5</v>
      </c>
    </row>
    <row r="150" spans="1:5" x14ac:dyDescent="0.25">
      <c r="A150" s="1">
        <v>46171</v>
      </c>
      <c r="B150">
        <v>1</v>
      </c>
      <c r="D150">
        <f t="shared" si="4"/>
        <v>5</v>
      </c>
      <c r="E150">
        <f t="shared" si="5"/>
        <v>5</v>
      </c>
    </row>
    <row r="151" spans="1:5" x14ac:dyDescent="0.25">
      <c r="A151" s="1">
        <v>46172</v>
      </c>
      <c r="B151">
        <v>0</v>
      </c>
      <c r="D151">
        <f t="shared" si="4"/>
        <v>6</v>
      </c>
      <c r="E151">
        <f t="shared" si="5"/>
        <v>5</v>
      </c>
    </row>
    <row r="152" spans="1:5" x14ac:dyDescent="0.25">
      <c r="A152" s="1">
        <v>46173</v>
      </c>
      <c r="B152">
        <v>0</v>
      </c>
      <c r="D152">
        <f t="shared" si="4"/>
        <v>7</v>
      </c>
      <c r="E152">
        <f t="shared" si="5"/>
        <v>5</v>
      </c>
    </row>
    <row r="153" spans="1:5" x14ac:dyDescent="0.25">
      <c r="A153" s="1">
        <v>46174</v>
      </c>
      <c r="B153">
        <v>1</v>
      </c>
      <c r="D153">
        <f t="shared" si="4"/>
        <v>1</v>
      </c>
      <c r="E153">
        <f t="shared" si="5"/>
        <v>6</v>
      </c>
    </row>
    <row r="154" spans="1:5" x14ac:dyDescent="0.25">
      <c r="A154" s="1">
        <v>46175</v>
      </c>
      <c r="B154">
        <v>1</v>
      </c>
      <c r="D154">
        <f t="shared" si="4"/>
        <v>2</v>
      </c>
      <c r="E154">
        <f t="shared" si="5"/>
        <v>6</v>
      </c>
    </row>
    <row r="155" spans="1:5" x14ac:dyDescent="0.25">
      <c r="A155" s="1">
        <v>46176</v>
      </c>
      <c r="B155">
        <v>1</v>
      </c>
      <c r="D155">
        <f t="shared" si="4"/>
        <v>3</v>
      </c>
      <c r="E155">
        <f t="shared" si="5"/>
        <v>6</v>
      </c>
    </row>
    <row r="156" spans="1:5" x14ac:dyDescent="0.25">
      <c r="A156" s="1">
        <v>46177</v>
      </c>
      <c r="B156">
        <v>1</v>
      </c>
      <c r="D156">
        <f t="shared" si="4"/>
        <v>4</v>
      </c>
      <c r="E156">
        <f t="shared" si="5"/>
        <v>6</v>
      </c>
    </row>
    <row r="157" spans="1:5" x14ac:dyDescent="0.25">
      <c r="A157" s="1">
        <v>46178</v>
      </c>
      <c r="B157">
        <v>1</v>
      </c>
      <c r="D157">
        <f t="shared" si="4"/>
        <v>5</v>
      </c>
      <c r="E157">
        <f t="shared" si="5"/>
        <v>6</v>
      </c>
    </row>
    <row r="158" spans="1:5" x14ac:dyDescent="0.25">
      <c r="A158" s="1">
        <v>46179</v>
      </c>
      <c r="B158">
        <v>0</v>
      </c>
      <c r="D158">
        <f t="shared" si="4"/>
        <v>6</v>
      </c>
      <c r="E158">
        <f t="shared" si="5"/>
        <v>6</v>
      </c>
    </row>
    <row r="159" spans="1:5" x14ac:dyDescent="0.25">
      <c r="A159" s="1">
        <v>46180</v>
      </c>
      <c r="B159">
        <v>0</v>
      </c>
      <c r="D159">
        <f t="shared" si="4"/>
        <v>7</v>
      </c>
      <c r="E159">
        <f t="shared" si="5"/>
        <v>6</v>
      </c>
    </row>
    <row r="160" spans="1:5" x14ac:dyDescent="0.25">
      <c r="A160" s="1">
        <v>46181</v>
      </c>
      <c r="B160">
        <v>1</v>
      </c>
      <c r="D160">
        <f t="shared" si="4"/>
        <v>1</v>
      </c>
      <c r="E160">
        <f t="shared" si="5"/>
        <v>6</v>
      </c>
    </row>
    <row r="161" spans="1:5" x14ac:dyDescent="0.25">
      <c r="A161" s="1">
        <v>46182</v>
      </c>
      <c r="B161">
        <v>1</v>
      </c>
      <c r="D161">
        <f t="shared" si="4"/>
        <v>2</v>
      </c>
      <c r="E161">
        <f t="shared" si="5"/>
        <v>6</v>
      </c>
    </row>
    <row r="162" spans="1:5" x14ac:dyDescent="0.25">
      <c r="A162" s="1">
        <v>46183</v>
      </c>
      <c r="B162">
        <v>1</v>
      </c>
      <c r="D162">
        <f t="shared" si="4"/>
        <v>3</v>
      </c>
      <c r="E162">
        <f t="shared" si="5"/>
        <v>6</v>
      </c>
    </row>
    <row r="163" spans="1:5" x14ac:dyDescent="0.25">
      <c r="A163" s="1">
        <v>46184</v>
      </c>
      <c r="B163">
        <v>1</v>
      </c>
      <c r="D163">
        <f t="shared" si="4"/>
        <v>4</v>
      </c>
      <c r="E163">
        <f t="shared" si="5"/>
        <v>6</v>
      </c>
    </row>
    <row r="164" spans="1:5" x14ac:dyDescent="0.25">
      <c r="A164" s="1">
        <v>46185</v>
      </c>
      <c r="B164">
        <v>0</v>
      </c>
      <c r="D164">
        <f t="shared" si="4"/>
        <v>5</v>
      </c>
      <c r="E164">
        <f t="shared" si="5"/>
        <v>6</v>
      </c>
    </row>
    <row r="165" spans="1:5" x14ac:dyDescent="0.25">
      <c r="A165" s="1">
        <v>46186</v>
      </c>
      <c r="B165">
        <v>0</v>
      </c>
      <c r="D165">
        <f t="shared" si="4"/>
        <v>6</v>
      </c>
      <c r="E165">
        <f t="shared" si="5"/>
        <v>6</v>
      </c>
    </row>
    <row r="166" spans="1:5" x14ac:dyDescent="0.25">
      <c r="A166" s="1">
        <v>46187</v>
      </c>
      <c r="B166">
        <v>0</v>
      </c>
      <c r="D166">
        <f t="shared" si="4"/>
        <v>7</v>
      </c>
      <c r="E166">
        <f t="shared" si="5"/>
        <v>6</v>
      </c>
    </row>
    <row r="167" spans="1:5" x14ac:dyDescent="0.25">
      <c r="A167" s="1">
        <v>46188</v>
      </c>
      <c r="B167">
        <v>1</v>
      </c>
      <c r="D167">
        <f t="shared" si="4"/>
        <v>1</v>
      </c>
      <c r="E167">
        <f t="shared" si="5"/>
        <v>6</v>
      </c>
    </row>
    <row r="168" spans="1:5" x14ac:dyDescent="0.25">
      <c r="A168" s="1">
        <v>46189</v>
      </c>
      <c r="B168">
        <v>1</v>
      </c>
      <c r="D168">
        <f t="shared" si="4"/>
        <v>2</v>
      </c>
      <c r="E168">
        <f t="shared" si="5"/>
        <v>6</v>
      </c>
    </row>
    <row r="169" spans="1:5" x14ac:dyDescent="0.25">
      <c r="A169" s="1">
        <v>46190</v>
      </c>
      <c r="B169">
        <v>1</v>
      </c>
      <c r="D169">
        <f t="shared" si="4"/>
        <v>3</v>
      </c>
      <c r="E169">
        <f t="shared" si="5"/>
        <v>6</v>
      </c>
    </row>
    <row r="170" spans="1:5" x14ac:dyDescent="0.25">
      <c r="A170" s="1">
        <v>46191</v>
      </c>
      <c r="B170">
        <v>1</v>
      </c>
      <c r="D170">
        <f t="shared" si="4"/>
        <v>4</v>
      </c>
      <c r="E170">
        <f t="shared" si="5"/>
        <v>6</v>
      </c>
    </row>
    <row r="171" spans="1:5" x14ac:dyDescent="0.25">
      <c r="A171" s="1">
        <v>46192</v>
      </c>
      <c r="B171">
        <v>1</v>
      </c>
      <c r="D171">
        <f t="shared" si="4"/>
        <v>5</v>
      </c>
      <c r="E171">
        <f t="shared" si="5"/>
        <v>6</v>
      </c>
    </row>
    <row r="172" spans="1:5" x14ac:dyDescent="0.25">
      <c r="A172" s="1">
        <v>46193</v>
      </c>
      <c r="B172">
        <v>0</v>
      </c>
      <c r="D172">
        <f t="shared" si="4"/>
        <v>6</v>
      </c>
      <c r="E172">
        <f t="shared" si="5"/>
        <v>6</v>
      </c>
    </row>
    <row r="173" spans="1:5" x14ac:dyDescent="0.25">
      <c r="A173" s="1">
        <v>46194</v>
      </c>
      <c r="B173">
        <v>0</v>
      </c>
      <c r="D173">
        <f t="shared" si="4"/>
        <v>7</v>
      </c>
      <c r="E173">
        <f t="shared" si="5"/>
        <v>6</v>
      </c>
    </row>
    <row r="174" spans="1:5" x14ac:dyDescent="0.25">
      <c r="A174" s="1">
        <v>46195</v>
      </c>
      <c r="B174">
        <v>1</v>
      </c>
      <c r="D174">
        <f t="shared" si="4"/>
        <v>1</v>
      </c>
      <c r="E174">
        <f t="shared" si="5"/>
        <v>6</v>
      </c>
    </row>
    <row r="175" spans="1:5" x14ac:dyDescent="0.25">
      <c r="A175" s="1">
        <v>46196</v>
      </c>
      <c r="B175">
        <v>1</v>
      </c>
      <c r="D175">
        <f t="shared" si="4"/>
        <v>2</v>
      </c>
      <c r="E175">
        <f t="shared" si="5"/>
        <v>6</v>
      </c>
    </row>
    <row r="176" spans="1:5" x14ac:dyDescent="0.25">
      <c r="A176" s="1">
        <v>46197</v>
      </c>
      <c r="B176">
        <v>1</v>
      </c>
      <c r="D176">
        <f t="shared" si="4"/>
        <v>3</v>
      </c>
      <c r="E176">
        <f t="shared" si="5"/>
        <v>6</v>
      </c>
    </row>
    <row r="177" spans="1:5" x14ac:dyDescent="0.25">
      <c r="A177" s="1">
        <v>46198</v>
      </c>
      <c r="B177">
        <v>1</v>
      </c>
      <c r="D177">
        <f t="shared" si="4"/>
        <v>4</v>
      </c>
      <c r="E177">
        <f t="shared" si="5"/>
        <v>6</v>
      </c>
    </row>
    <row r="178" spans="1:5" x14ac:dyDescent="0.25">
      <c r="A178" s="1">
        <v>46199</v>
      </c>
      <c r="B178">
        <v>1</v>
      </c>
      <c r="D178">
        <f t="shared" si="4"/>
        <v>5</v>
      </c>
      <c r="E178">
        <f t="shared" si="5"/>
        <v>6</v>
      </c>
    </row>
    <row r="179" spans="1:5" x14ac:dyDescent="0.25">
      <c r="A179" s="1">
        <v>46200</v>
      </c>
      <c r="B179">
        <v>0</v>
      </c>
      <c r="D179">
        <f t="shared" si="4"/>
        <v>6</v>
      </c>
      <c r="E179">
        <f t="shared" si="5"/>
        <v>6</v>
      </c>
    </row>
    <row r="180" spans="1:5" x14ac:dyDescent="0.25">
      <c r="A180" s="1">
        <v>46201</v>
      </c>
      <c r="B180">
        <v>0</v>
      </c>
      <c r="D180">
        <f t="shared" si="4"/>
        <v>7</v>
      </c>
      <c r="E180">
        <f t="shared" si="5"/>
        <v>6</v>
      </c>
    </row>
    <row r="181" spans="1:5" x14ac:dyDescent="0.25">
      <c r="A181" s="1">
        <v>46202</v>
      </c>
      <c r="B181">
        <v>1</v>
      </c>
      <c r="D181">
        <f t="shared" si="4"/>
        <v>1</v>
      </c>
      <c r="E181">
        <f t="shared" si="5"/>
        <v>6</v>
      </c>
    </row>
    <row r="182" spans="1:5" x14ac:dyDescent="0.25">
      <c r="A182" s="1">
        <v>46203</v>
      </c>
      <c r="B182">
        <v>1</v>
      </c>
      <c r="D182">
        <f t="shared" si="4"/>
        <v>2</v>
      </c>
      <c r="E182">
        <f t="shared" si="5"/>
        <v>6</v>
      </c>
    </row>
    <row r="183" spans="1:5" x14ac:dyDescent="0.25">
      <c r="A183" s="1">
        <v>46204</v>
      </c>
      <c r="B183">
        <v>1</v>
      </c>
      <c r="D183">
        <f t="shared" si="4"/>
        <v>3</v>
      </c>
      <c r="E183">
        <f t="shared" si="5"/>
        <v>7</v>
      </c>
    </row>
    <row r="184" spans="1:5" x14ac:dyDescent="0.25">
      <c r="A184" s="1">
        <v>46205</v>
      </c>
      <c r="B184">
        <v>1</v>
      </c>
      <c r="D184">
        <f t="shared" si="4"/>
        <v>4</v>
      </c>
      <c r="E184">
        <f t="shared" si="5"/>
        <v>7</v>
      </c>
    </row>
    <row r="185" spans="1:5" x14ac:dyDescent="0.25">
      <c r="A185" s="1">
        <v>46206</v>
      </c>
      <c r="B185">
        <v>1</v>
      </c>
      <c r="D185">
        <f t="shared" si="4"/>
        <v>5</v>
      </c>
      <c r="E185">
        <f t="shared" si="5"/>
        <v>7</v>
      </c>
    </row>
    <row r="186" spans="1:5" x14ac:dyDescent="0.25">
      <c r="A186" s="1">
        <v>46207</v>
      </c>
      <c r="B186">
        <v>0</v>
      </c>
      <c r="D186">
        <f t="shared" si="4"/>
        <v>6</v>
      </c>
      <c r="E186">
        <f t="shared" si="5"/>
        <v>7</v>
      </c>
    </row>
    <row r="187" spans="1:5" x14ac:dyDescent="0.25">
      <c r="A187" s="1">
        <v>46208</v>
      </c>
      <c r="B187">
        <v>0</v>
      </c>
      <c r="D187">
        <f t="shared" si="4"/>
        <v>7</v>
      </c>
      <c r="E187">
        <f t="shared" si="5"/>
        <v>7</v>
      </c>
    </row>
    <row r="188" spans="1:5" x14ac:dyDescent="0.25">
      <c r="A188" s="1">
        <v>46209</v>
      </c>
      <c r="B188">
        <v>1</v>
      </c>
      <c r="D188">
        <f t="shared" si="4"/>
        <v>1</v>
      </c>
      <c r="E188">
        <f t="shared" si="5"/>
        <v>7</v>
      </c>
    </row>
    <row r="189" spans="1:5" x14ac:dyDescent="0.25">
      <c r="A189" s="1">
        <v>46210</v>
      </c>
      <c r="B189">
        <v>1</v>
      </c>
      <c r="D189">
        <f t="shared" si="4"/>
        <v>2</v>
      </c>
      <c r="E189">
        <f t="shared" si="5"/>
        <v>7</v>
      </c>
    </row>
    <row r="190" spans="1:5" x14ac:dyDescent="0.25">
      <c r="A190" s="1">
        <v>46211</v>
      </c>
      <c r="B190">
        <v>1</v>
      </c>
      <c r="D190">
        <f t="shared" si="4"/>
        <v>3</v>
      </c>
      <c r="E190">
        <f t="shared" si="5"/>
        <v>7</v>
      </c>
    </row>
    <row r="191" spans="1:5" x14ac:dyDescent="0.25">
      <c r="A191" s="1">
        <v>46212</v>
      </c>
      <c r="B191">
        <v>1</v>
      </c>
      <c r="D191">
        <f t="shared" si="4"/>
        <v>4</v>
      </c>
      <c r="E191">
        <f t="shared" si="5"/>
        <v>7</v>
      </c>
    </row>
    <row r="192" spans="1:5" x14ac:dyDescent="0.25">
      <c r="A192" s="1">
        <v>46213</v>
      </c>
      <c r="B192">
        <v>1</v>
      </c>
      <c r="D192">
        <f t="shared" si="4"/>
        <v>5</v>
      </c>
      <c r="E192">
        <f t="shared" si="5"/>
        <v>7</v>
      </c>
    </row>
    <row r="193" spans="1:5" x14ac:dyDescent="0.25">
      <c r="A193" s="1">
        <v>46214</v>
      </c>
      <c r="B193">
        <v>0</v>
      </c>
      <c r="D193">
        <f t="shared" si="4"/>
        <v>6</v>
      </c>
      <c r="E193">
        <f t="shared" si="5"/>
        <v>7</v>
      </c>
    </row>
    <row r="194" spans="1:5" x14ac:dyDescent="0.25">
      <c r="A194" s="1">
        <v>46215</v>
      </c>
      <c r="B194">
        <v>0</v>
      </c>
      <c r="D194">
        <f t="shared" si="4"/>
        <v>7</v>
      </c>
      <c r="E194">
        <f t="shared" si="5"/>
        <v>7</v>
      </c>
    </row>
    <row r="195" spans="1:5" x14ac:dyDescent="0.25">
      <c r="A195" s="1">
        <v>46216</v>
      </c>
      <c r="B195">
        <v>1</v>
      </c>
      <c r="D195">
        <f t="shared" ref="D195:D258" si="6">WEEKDAY(A195,2)</f>
        <v>1</v>
      </c>
      <c r="E195">
        <f t="shared" ref="E195:E258" si="7">MONTH(A195)</f>
        <v>7</v>
      </c>
    </row>
    <row r="196" spans="1:5" x14ac:dyDescent="0.25">
      <c r="A196" s="1">
        <v>46217</v>
      </c>
      <c r="B196">
        <v>1</v>
      </c>
      <c r="D196">
        <f t="shared" si="6"/>
        <v>2</v>
      </c>
      <c r="E196">
        <f t="shared" si="7"/>
        <v>7</v>
      </c>
    </row>
    <row r="197" spans="1:5" x14ac:dyDescent="0.25">
      <c r="A197" s="1">
        <v>46218</v>
      </c>
      <c r="B197">
        <v>1</v>
      </c>
      <c r="D197">
        <f t="shared" si="6"/>
        <v>3</v>
      </c>
      <c r="E197">
        <f t="shared" si="7"/>
        <v>7</v>
      </c>
    </row>
    <row r="198" spans="1:5" x14ac:dyDescent="0.25">
      <c r="A198" s="1">
        <v>46219</v>
      </c>
      <c r="B198">
        <v>1</v>
      </c>
      <c r="D198">
        <f t="shared" si="6"/>
        <v>4</v>
      </c>
      <c r="E198">
        <f t="shared" si="7"/>
        <v>7</v>
      </c>
    </row>
    <row r="199" spans="1:5" x14ac:dyDescent="0.25">
      <c r="A199" s="1">
        <v>46220</v>
      </c>
      <c r="B199">
        <v>1</v>
      </c>
      <c r="D199">
        <f t="shared" si="6"/>
        <v>5</v>
      </c>
      <c r="E199">
        <f t="shared" si="7"/>
        <v>7</v>
      </c>
    </row>
    <row r="200" spans="1:5" x14ac:dyDescent="0.25">
      <c r="A200" s="1">
        <v>46221</v>
      </c>
      <c r="B200">
        <v>0</v>
      </c>
      <c r="D200">
        <f t="shared" si="6"/>
        <v>6</v>
      </c>
      <c r="E200">
        <f t="shared" si="7"/>
        <v>7</v>
      </c>
    </row>
    <row r="201" spans="1:5" x14ac:dyDescent="0.25">
      <c r="A201" s="1">
        <v>46222</v>
      </c>
      <c r="B201">
        <v>0</v>
      </c>
      <c r="D201">
        <f t="shared" si="6"/>
        <v>7</v>
      </c>
      <c r="E201">
        <f t="shared" si="7"/>
        <v>7</v>
      </c>
    </row>
    <row r="202" spans="1:5" x14ac:dyDescent="0.25">
      <c r="A202" s="1">
        <v>46223</v>
      </c>
      <c r="B202">
        <v>1</v>
      </c>
      <c r="D202">
        <f t="shared" si="6"/>
        <v>1</v>
      </c>
      <c r="E202">
        <f t="shared" si="7"/>
        <v>7</v>
      </c>
    </row>
    <row r="203" spans="1:5" x14ac:dyDescent="0.25">
      <c r="A203" s="1">
        <v>46224</v>
      </c>
      <c r="B203">
        <v>1</v>
      </c>
      <c r="D203">
        <f t="shared" si="6"/>
        <v>2</v>
      </c>
      <c r="E203">
        <f t="shared" si="7"/>
        <v>7</v>
      </c>
    </row>
    <row r="204" spans="1:5" x14ac:dyDescent="0.25">
      <c r="A204" s="1">
        <v>46225</v>
      </c>
      <c r="B204">
        <v>1</v>
      </c>
      <c r="D204">
        <f t="shared" si="6"/>
        <v>3</v>
      </c>
      <c r="E204">
        <f t="shared" si="7"/>
        <v>7</v>
      </c>
    </row>
    <row r="205" spans="1:5" x14ac:dyDescent="0.25">
      <c r="A205" s="1">
        <v>46226</v>
      </c>
      <c r="B205">
        <v>1</v>
      </c>
      <c r="D205">
        <f t="shared" si="6"/>
        <v>4</v>
      </c>
      <c r="E205">
        <f t="shared" si="7"/>
        <v>7</v>
      </c>
    </row>
    <row r="206" spans="1:5" x14ac:dyDescent="0.25">
      <c r="A206" s="1">
        <v>46227</v>
      </c>
      <c r="B206">
        <v>1</v>
      </c>
      <c r="D206">
        <f t="shared" si="6"/>
        <v>5</v>
      </c>
      <c r="E206">
        <f t="shared" si="7"/>
        <v>7</v>
      </c>
    </row>
    <row r="207" spans="1:5" x14ac:dyDescent="0.25">
      <c r="A207" s="1">
        <v>46228</v>
      </c>
      <c r="B207">
        <v>0</v>
      </c>
      <c r="D207">
        <f t="shared" si="6"/>
        <v>6</v>
      </c>
      <c r="E207">
        <f t="shared" si="7"/>
        <v>7</v>
      </c>
    </row>
    <row r="208" spans="1:5" x14ac:dyDescent="0.25">
      <c r="A208" s="1">
        <v>46229</v>
      </c>
      <c r="B208">
        <v>0</v>
      </c>
      <c r="D208">
        <f t="shared" si="6"/>
        <v>7</v>
      </c>
      <c r="E208">
        <f t="shared" si="7"/>
        <v>7</v>
      </c>
    </row>
    <row r="209" spans="1:5" x14ac:dyDescent="0.25">
      <c r="A209" s="1">
        <v>46230</v>
      </c>
      <c r="B209">
        <v>1</v>
      </c>
      <c r="D209">
        <f t="shared" si="6"/>
        <v>1</v>
      </c>
      <c r="E209">
        <f t="shared" si="7"/>
        <v>7</v>
      </c>
    </row>
    <row r="210" spans="1:5" x14ac:dyDescent="0.25">
      <c r="A210" s="1">
        <v>46231</v>
      </c>
      <c r="B210">
        <v>1</v>
      </c>
      <c r="D210">
        <f t="shared" si="6"/>
        <v>2</v>
      </c>
      <c r="E210">
        <f t="shared" si="7"/>
        <v>7</v>
      </c>
    </row>
    <row r="211" spans="1:5" x14ac:dyDescent="0.25">
      <c r="A211" s="1">
        <v>46232</v>
      </c>
      <c r="B211">
        <v>1</v>
      </c>
      <c r="D211">
        <f t="shared" si="6"/>
        <v>3</v>
      </c>
      <c r="E211">
        <f t="shared" si="7"/>
        <v>7</v>
      </c>
    </row>
    <row r="212" spans="1:5" x14ac:dyDescent="0.25">
      <c r="A212" s="1">
        <v>46233</v>
      </c>
      <c r="B212">
        <v>1</v>
      </c>
      <c r="D212">
        <f t="shared" si="6"/>
        <v>4</v>
      </c>
      <c r="E212">
        <f t="shared" si="7"/>
        <v>7</v>
      </c>
    </row>
    <row r="213" spans="1:5" x14ac:dyDescent="0.25">
      <c r="A213" s="1">
        <v>46234</v>
      </c>
      <c r="B213">
        <v>1</v>
      </c>
      <c r="D213">
        <f t="shared" si="6"/>
        <v>5</v>
      </c>
      <c r="E213">
        <f t="shared" si="7"/>
        <v>7</v>
      </c>
    </row>
    <row r="214" spans="1:5" x14ac:dyDescent="0.25">
      <c r="A214" s="1">
        <v>46235</v>
      </c>
      <c r="B214">
        <v>0</v>
      </c>
      <c r="D214">
        <f t="shared" si="6"/>
        <v>6</v>
      </c>
      <c r="E214">
        <f t="shared" si="7"/>
        <v>8</v>
      </c>
    </row>
    <row r="215" spans="1:5" x14ac:dyDescent="0.25">
      <c r="A215" s="1">
        <v>46236</v>
      </c>
      <c r="B215">
        <v>0</v>
      </c>
      <c r="D215">
        <f t="shared" si="6"/>
        <v>7</v>
      </c>
      <c r="E215">
        <f t="shared" si="7"/>
        <v>8</v>
      </c>
    </row>
    <row r="216" spans="1:5" x14ac:dyDescent="0.25">
      <c r="A216" s="1">
        <v>46237</v>
      </c>
      <c r="B216">
        <v>1</v>
      </c>
      <c r="D216">
        <f t="shared" si="6"/>
        <v>1</v>
      </c>
      <c r="E216">
        <f t="shared" si="7"/>
        <v>8</v>
      </c>
    </row>
    <row r="217" spans="1:5" x14ac:dyDescent="0.25">
      <c r="A217" s="1">
        <v>46238</v>
      </c>
      <c r="B217">
        <v>1</v>
      </c>
      <c r="D217">
        <f t="shared" si="6"/>
        <v>2</v>
      </c>
      <c r="E217">
        <f t="shared" si="7"/>
        <v>8</v>
      </c>
    </row>
    <row r="218" spans="1:5" x14ac:dyDescent="0.25">
      <c r="A218" s="1">
        <v>46239</v>
      </c>
      <c r="B218">
        <v>1</v>
      </c>
      <c r="D218">
        <f t="shared" si="6"/>
        <v>3</v>
      </c>
      <c r="E218">
        <f t="shared" si="7"/>
        <v>8</v>
      </c>
    </row>
    <row r="219" spans="1:5" x14ac:dyDescent="0.25">
      <c r="A219" s="1">
        <v>46240</v>
      </c>
      <c r="B219">
        <v>1</v>
      </c>
      <c r="D219">
        <f t="shared" si="6"/>
        <v>4</v>
      </c>
      <c r="E219">
        <f t="shared" si="7"/>
        <v>8</v>
      </c>
    </row>
    <row r="220" spans="1:5" x14ac:dyDescent="0.25">
      <c r="A220" s="1">
        <v>46241</v>
      </c>
      <c r="B220">
        <v>1</v>
      </c>
      <c r="D220">
        <f t="shared" si="6"/>
        <v>5</v>
      </c>
      <c r="E220">
        <f t="shared" si="7"/>
        <v>8</v>
      </c>
    </row>
    <row r="221" spans="1:5" x14ac:dyDescent="0.25">
      <c r="A221" s="1">
        <v>46242</v>
      </c>
      <c r="B221">
        <v>0</v>
      </c>
      <c r="D221">
        <f t="shared" si="6"/>
        <v>6</v>
      </c>
      <c r="E221">
        <f t="shared" si="7"/>
        <v>8</v>
      </c>
    </row>
    <row r="222" spans="1:5" x14ac:dyDescent="0.25">
      <c r="A222" s="1">
        <v>46243</v>
      </c>
      <c r="B222">
        <v>0</v>
      </c>
      <c r="D222">
        <f t="shared" si="6"/>
        <v>7</v>
      </c>
      <c r="E222">
        <f t="shared" si="7"/>
        <v>8</v>
      </c>
    </row>
    <row r="223" spans="1:5" x14ac:dyDescent="0.25">
      <c r="A223" s="1">
        <v>46244</v>
      </c>
      <c r="B223">
        <v>1</v>
      </c>
      <c r="D223">
        <f t="shared" si="6"/>
        <v>1</v>
      </c>
      <c r="E223">
        <f t="shared" si="7"/>
        <v>8</v>
      </c>
    </row>
    <row r="224" spans="1:5" x14ac:dyDescent="0.25">
      <c r="A224" s="1">
        <v>46245</v>
      </c>
      <c r="B224">
        <v>1</v>
      </c>
      <c r="D224">
        <f t="shared" si="6"/>
        <v>2</v>
      </c>
      <c r="E224">
        <f t="shared" si="7"/>
        <v>8</v>
      </c>
    </row>
    <row r="225" spans="1:5" x14ac:dyDescent="0.25">
      <c r="A225" s="1">
        <v>46246</v>
      </c>
      <c r="B225">
        <v>1</v>
      </c>
      <c r="D225">
        <f t="shared" si="6"/>
        <v>3</v>
      </c>
      <c r="E225">
        <f t="shared" si="7"/>
        <v>8</v>
      </c>
    </row>
    <row r="226" spans="1:5" x14ac:dyDescent="0.25">
      <c r="A226" s="1">
        <v>46247</v>
      </c>
      <c r="B226">
        <v>1</v>
      </c>
      <c r="D226">
        <f t="shared" si="6"/>
        <v>4</v>
      </c>
      <c r="E226">
        <f t="shared" si="7"/>
        <v>8</v>
      </c>
    </row>
    <row r="227" spans="1:5" x14ac:dyDescent="0.25">
      <c r="A227" s="1">
        <v>46248</v>
      </c>
      <c r="B227">
        <v>1</v>
      </c>
      <c r="D227">
        <f t="shared" si="6"/>
        <v>5</v>
      </c>
      <c r="E227">
        <f t="shared" si="7"/>
        <v>8</v>
      </c>
    </row>
    <row r="228" spans="1:5" x14ac:dyDescent="0.25">
      <c r="A228" s="1">
        <v>46249</v>
      </c>
      <c r="B228">
        <v>0</v>
      </c>
      <c r="D228">
        <f t="shared" si="6"/>
        <v>6</v>
      </c>
      <c r="E228">
        <f t="shared" si="7"/>
        <v>8</v>
      </c>
    </row>
    <row r="229" spans="1:5" x14ac:dyDescent="0.25">
      <c r="A229" s="1">
        <v>46250</v>
      </c>
      <c r="B229">
        <v>0</v>
      </c>
      <c r="D229">
        <f t="shared" si="6"/>
        <v>7</v>
      </c>
      <c r="E229">
        <f t="shared" si="7"/>
        <v>8</v>
      </c>
    </row>
    <row r="230" spans="1:5" x14ac:dyDescent="0.25">
      <c r="A230" s="1">
        <v>46251</v>
      </c>
      <c r="B230">
        <v>1</v>
      </c>
      <c r="D230">
        <f t="shared" si="6"/>
        <v>1</v>
      </c>
      <c r="E230">
        <f t="shared" si="7"/>
        <v>8</v>
      </c>
    </row>
    <row r="231" spans="1:5" x14ac:dyDescent="0.25">
      <c r="A231" s="1">
        <v>46252</v>
      </c>
      <c r="B231">
        <v>1</v>
      </c>
      <c r="D231">
        <f t="shared" si="6"/>
        <v>2</v>
      </c>
      <c r="E231">
        <f t="shared" si="7"/>
        <v>8</v>
      </c>
    </row>
    <row r="232" spans="1:5" x14ac:dyDescent="0.25">
      <c r="A232" s="1">
        <v>46253</v>
      </c>
      <c r="B232">
        <v>1</v>
      </c>
      <c r="D232">
        <f t="shared" si="6"/>
        <v>3</v>
      </c>
      <c r="E232">
        <f t="shared" si="7"/>
        <v>8</v>
      </c>
    </row>
    <row r="233" spans="1:5" x14ac:dyDescent="0.25">
      <c r="A233" s="1">
        <v>46254</v>
      </c>
      <c r="B233">
        <v>1</v>
      </c>
      <c r="D233">
        <f t="shared" si="6"/>
        <v>4</v>
      </c>
      <c r="E233">
        <f t="shared" si="7"/>
        <v>8</v>
      </c>
    </row>
    <row r="234" spans="1:5" x14ac:dyDescent="0.25">
      <c r="A234" s="1">
        <v>46255</v>
      </c>
      <c r="B234">
        <v>1</v>
      </c>
      <c r="D234">
        <f t="shared" si="6"/>
        <v>5</v>
      </c>
      <c r="E234">
        <f t="shared" si="7"/>
        <v>8</v>
      </c>
    </row>
    <row r="235" spans="1:5" x14ac:dyDescent="0.25">
      <c r="A235" s="1">
        <v>46256</v>
      </c>
      <c r="B235">
        <v>0</v>
      </c>
      <c r="D235">
        <f t="shared" si="6"/>
        <v>6</v>
      </c>
      <c r="E235">
        <f t="shared" si="7"/>
        <v>8</v>
      </c>
    </row>
    <row r="236" spans="1:5" x14ac:dyDescent="0.25">
      <c r="A236" s="1">
        <v>46257</v>
      </c>
      <c r="B236">
        <v>0</v>
      </c>
      <c r="D236">
        <f t="shared" si="6"/>
        <v>7</v>
      </c>
      <c r="E236">
        <f t="shared" si="7"/>
        <v>8</v>
      </c>
    </row>
    <row r="237" spans="1:5" x14ac:dyDescent="0.25">
      <c r="A237" s="1">
        <v>46258</v>
      </c>
      <c r="B237">
        <v>1</v>
      </c>
      <c r="D237">
        <f t="shared" si="6"/>
        <v>1</v>
      </c>
      <c r="E237">
        <f t="shared" si="7"/>
        <v>8</v>
      </c>
    </row>
    <row r="238" spans="1:5" x14ac:dyDescent="0.25">
      <c r="A238" s="1">
        <v>46259</v>
      </c>
      <c r="B238">
        <v>1</v>
      </c>
      <c r="D238">
        <f t="shared" si="6"/>
        <v>2</v>
      </c>
      <c r="E238">
        <f t="shared" si="7"/>
        <v>8</v>
      </c>
    </row>
    <row r="239" spans="1:5" x14ac:dyDescent="0.25">
      <c r="A239" s="1">
        <v>46260</v>
      </c>
      <c r="B239">
        <v>1</v>
      </c>
      <c r="D239">
        <f t="shared" si="6"/>
        <v>3</v>
      </c>
      <c r="E239">
        <f t="shared" si="7"/>
        <v>8</v>
      </c>
    </row>
    <row r="240" spans="1:5" x14ac:dyDescent="0.25">
      <c r="A240" s="1">
        <v>46261</v>
      </c>
      <c r="B240">
        <v>1</v>
      </c>
      <c r="D240">
        <f t="shared" si="6"/>
        <v>4</v>
      </c>
      <c r="E240">
        <f t="shared" si="7"/>
        <v>8</v>
      </c>
    </row>
    <row r="241" spans="1:5" x14ac:dyDescent="0.25">
      <c r="A241" s="1">
        <v>46262</v>
      </c>
      <c r="B241">
        <v>1</v>
      </c>
      <c r="D241">
        <f t="shared" si="6"/>
        <v>5</v>
      </c>
      <c r="E241">
        <f t="shared" si="7"/>
        <v>8</v>
      </c>
    </row>
    <row r="242" spans="1:5" x14ac:dyDescent="0.25">
      <c r="A242" s="1">
        <v>46263</v>
      </c>
      <c r="B242">
        <v>0</v>
      </c>
      <c r="D242">
        <f t="shared" si="6"/>
        <v>6</v>
      </c>
      <c r="E242">
        <f t="shared" si="7"/>
        <v>8</v>
      </c>
    </row>
    <row r="243" spans="1:5" x14ac:dyDescent="0.25">
      <c r="A243" s="1">
        <v>46264</v>
      </c>
      <c r="B243">
        <v>0</v>
      </c>
      <c r="D243">
        <f t="shared" si="6"/>
        <v>7</v>
      </c>
      <c r="E243">
        <f t="shared" si="7"/>
        <v>8</v>
      </c>
    </row>
    <row r="244" spans="1:5" x14ac:dyDescent="0.25">
      <c r="A244" s="1">
        <v>46265</v>
      </c>
      <c r="B244">
        <v>1</v>
      </c>
      <c r="D244">
        <f t="shared" si="6"/>
        <v>1</v>
      </c>
      <c r="E244">
        <f t="shared" si="7"/>
        <v>8</v>
      </c>
    </row>
    <row r="245" spans="1:5" x14ac:dyDescent="0.25">
      <c r="A245" s="1">
        <v>46266</v>
      </c>
      <c r="B245">
        <v>1</v>
      </c>
      <c r="D245">
        <f t="shared" si="6"/>
        <v>2</v>
      </c>
      <c r="E245">
        <f t="shared" si="7"/>
        <v>9</v>
      </c>
    </row>
    <row r="246" spans="1:5" x14ac:dyDescent="0.25">
      <c r="A246" s="1">
        <v>46267</v>
      </c>
      <c r="B246">
        <v>1</v>
      </c>
      <c r="D246">
        <f t="shared" si="6"/>
        <v>3</v>
      </c>
      <c r="E246">
        <f t="shared" si="7"/>
        <v>9</v>
      </c>
    </row>
    <row r="247" spans="1:5" x14ac:dyDescent="0.25">
      <c r="A247" s="1">
        <v>46268</v>
      </c>
      <c r="B247">
        <v>1</v>
      </c>
      <c r="D247">
        <f t="shared" si="6"/>
        <v>4</v>
      </c>
      <c r="E247">
        <f t="shared" si="7"/>
        <v>9</v>
      </c>
    </row>
    <row r="248" spans="1:5" x14ac:dyDescent="0.25">
      <c r="A248" s="1">
        <v>46269</v>
      </c>
      <c r="B248">
        <v>1</v>
      </c>
      <c r="D248">
        <f t="shared" si="6"/>
        <v>5</v>
      </c>
      <c r="E248">
        <f t="shared" si="7"/>
        <v>9</v>
      </c>
    </row>
    <row r="249" spans="1:5" x14ac:dyDescent="0.25">
      <c r="A249" s="1">
        <v>46270</v>
      </c>
      <c r="B249">
        <v>0</v>
      </c>
      <c r="D249">
        <f t="shared" si="6"/>
        <v>6</v>
      </c>
      <c r="E249">
        <f t="shared" si="7"/>
        <v>9</v>
      </c>
    </row>
    <row r="250" spans="1:5" x14ac:dyDescent="0.25">
      <c r="A250" s="1">
        <v>46271</v>
      </c>
      <c r="B250">
        <v>0</v>
      </c>
      <c r="D250">
        <f t="shared" si="6"/>
        <v>7</v>
      </c>
      <c r="E250">
        <f t="shared" si="7"/>
        <v>9</v>
      </c>
    </row>
    <row r="251" spans="1:5" x14ac:dyDescent="0.25">
      <c r="A251" s="1">
        <v>46272</v>
      </c>
      <c r="B251">
        <v>1</v>
      </c>
      <c r="D251">
        <f t="shared" si="6"/>
        <v>1</v>
      </c>
      <c r="E251">
        <f t="shared" si="7"/>
        <v>9</v>
      </c>
    </row>
    <row r="252" spans="1:5" x14ac:dyDescent="0.25">
      <c r="A252" s="1">
        <v>46273</v>
      </c>
      <c r="B252">
        <v>1</v>
      </c>
      <c r="D252">
        <f t="shared" si="6"/>
        <v>2</v>
      </c>
      <c r="E252">
        <f t="shared" si="7"/>
        <v>9</v>
      </c>
    </row>
    <row r="253" spans="1:5" x14ac:dyDescent="0.25">
      <c r="A253" s="1">
        <v>46274</v>
      </c>
      <c r="B253">
        <v>1</v>
      </c>
      <c r="D253">
        <f t="shared" si="6"/>
        <v>3</v>
      </c>
      <c r="E253">
        <f t="shared" si="7"/>
        <v>9</v>
      </c>
    </row>
    <row r="254" spans="1:5" x14ac:dyDescent="0.25">
      <c r="A254" s="1">
        <v>46275</v>
      </c>
      <c r="B254">
        <v>1</v>
      </c>
      <c r="D254">
        <f t="shared" si="6"/>
        <v>4</v>
      </c>
      <c r="E254">
        <f t="shared" si="7"/>
        <v>9</v>
      </c>
    </row>
    <row r="255" spans="1:5" x14ac:dyDescent="0.25">
      <c r="A255" s="1">
        <v>46276</v>
      </c>
      <c r="B255">
        <v>1</v>
      </c>
      <c r="D255">
        <f t="shared" si="6"/>
        <v>5</v>
      </c>
      <c r="E255">
        <f t="shared" si="7"/>
        <v>9</v>
      </c>
    </row>
    <row r="256" spans="1:5" x14ac:dyDescent="0.25">
      <c r="A256" s="1">
        <v>46277</v>
      </c>
      <c r="B256">
        <v>0</v>
      </c>
      <c r="D256">
        <f t="shared" si="6"/>
        <v>6</v>
      </c>
      <c r="E256">
        <f t="shared" si="7"/>
        <v>9</v>
      </c>
    </row>
    <row r="257" spans="1:5" x14ac:dyDescent="0.25">
      <c r="A257" s="1">
        <v>46278</v>
      </c>
      <c r="B257">
        <v>0</v>
      </c>
      <c r="D257">
        <f t="shared" si="6"/>
        <v>7</v>
      </c>
      <c r="E257">
        <f t="shared" si="7"/>
        <v>9</v>
      </c>
    </row>
    <row r="258" spans="1:5" x14ac:dyDescent="0.25">
      <c r="A258" s="1">
        <v>46279</v>
      </c>
      <c r="B258">
        <v>1</v>
      </c>
      <c r="D258">
        <f t="shared" si="6"/>
        <v>1</v>
      </c>
      <c r="E258">
        <f t="shared" si="7"/>
        <v>9</v>
      </c>
    </row>
    <row r="259" spans="1:5" x14ac:dyDescent="0.25">
      <c r="A259" s="1">
        <v>46280</v>
      </c>
      <c r="B259">
        <v>1</v>
      </c>
      <c r="D259">
        <f t="shared" ref="D259:D322" si="8">WEEKDAY(A259,2)</f>
        <v>2</v>
      </c>
      <c r="E259">
        <f t="shared" ref="E259:E322" si="9">MONTH(A259)</f>
        <v>9</v>
      </c>
    </row>
    <row r="260" spans="1:5" x14ac:dyDescent="0.25">
      <c r="A260" s="1">
        <v>46281</v>
      </c>
      <c r="B260">
        <v>1</v>
      </c>
      <c r="D260">
        <f t="shared" si="8"/>
        <v>3</v>
      </c>
      <c r="E260">
        <f t="shared" si="9"/>
        <v>9</v>
      </c>
    </row>
    <row r="261" spans="1:5" x14ac:dyDescent="0.25">
      <c r="A261" s="1">
        <v>46282</v>
      </c>
      <c r="B261">
        <v>1</v>
      </c>
      <c r="D261">
        <f t="shared" si="8"/>
        <v>4</v>
      </c>
      <c r="E261">
        <f t="shared" si="9"/>
        <v>9</v>
      </c>
    </row>
    <row r="262" spans="1:5" x14ac:dyDescent="0.25">
      <c r="A262" s="1">
        <v>46283</v>
      </c>
      <c r="B262">
        <v>1</v>
      </c>
      <c r="D262">
        <f t="shared" si="8"/>
        <v>5</v>
      </c>
      <c r="E262">
        <f t="shared" si="9"/>
        <v>9</v>
      </c>
    </row>
    <row r="263" spans="1:5" x14ac:dyDescent="0.25">
      <c r="A263" s="1">
        <v>46284</v>
      </c>
      <c r="B263">
        <v>0</v>
      </c>
      <c r="D263">
        <f t="shared" si="8"/>
        <v>6</v>
      </c>
      <c r="E263">
        <f t="shared" si="9"/>
        <v>9</v>
      </c>
    </row>
    <row r="264" spans="1:5" x14ac:dyDescent="0.25">
      <c r="A264" s="1">
        <v>46285</v>
      </c>
      <c r="B264">
        <v>0</v>
      </c>
      <c r="D264">
        <f t="shared" si="8"/>
        <v>7</v>
      </c>
      <c r="E264">
        <f t="shared" si="9"/>
        <v>9</v>
      </c>
    </row>
    <row r="265" spans="1:5" x14ac:dyDescent="0.25">
      <c r="A265" s="1">
        <v>46286</v>
      </c>
      <c r="B265">
        <v>1</v>
      </c>
      <c r="D265">
        <f t="shared" si="8"/>
        <v>1</v>
      </c>
      <c r="E265">
        <f t="shared" si="9"/>
        <v>9</v>
      </c>
    </row>
    <row r="266" spans="1:5" x14ac:dyDescent="0.25">
      <c r="A266" s="1">
        <v>46287</v>
      </c>
      <c r="B266">
        <v>1</v>
      </c>
      <c r="D266">
        <f t="shared" si="8"/>
        <v>2</v>
      </c>
      <c r="E266">
        <f t="shared" si="9"/>
        <v>9</v>
      </c>
    </row>
    <row r="267" spans="1:5" x14ac:dyDescent="0.25">
      <c r="A267" s="1">
        <v>46288</v>
      </c>
      <c r="B267">
        <v>1</v>
      </c>
      <c r="D267">
        <f t="shared" si="8"/>
        <v>3</v>
      </c>
      <c r="E267">
        <f t="shared" si="9"/>
        <v>9</v>
      </c>
    </row>
    <row r="268" spans="1:5" x14ac:dyDescent="0.25">
      <c r="A268" s="1">
        <v>46289</v>
      </c>
      <c r="B268">
        <v>1</v>
      </c>
      <c r="D268">
        <f t="shared" si="8"/>
        <v>4</v>
      </c>
      <c r="E268">
        <f t="shared" si="9"/>
        <v>9</v>
      </c>
    </row>
    <row r="269" spans="1:5" x14ac:dyDescent="0.25">
      <c r="A269" s="1">
        <v>46290</v>
      </c>
      <c r="B269">
        <v>1</v>
      </c>
      <c r="D269">
        <f t="shared" si="8"/>
        <v>5</v>
      </c>
      <c r="E269">
        <f t="shared" si="9"/>
        <v>9</v>
      </c>
    </row>
    <row r="270" spans="1:5" x14ac:dyDescent="0.25">
      <c r="A270" s="1">
        <v>46291</v>
      </c>
      <c r="B270">
        <v>0</v>
      </c>
      <c r="D270">
        <f t="shared" si="8"/>
        <v>6</v>
      </c>
      <c r="E270">
        <f t="shared" si="9"/>
        <v>9</v>
      </c>
    </row>
    <row r="271" spans="1:5" x14ac:dyDescent="0.25">
      <c r="A271" s="1">
        <v>46292</v>
      </c>
      <c r="B271">
        <v>0</v>
      </c>
      <c r="D271">
        <f t="shared" si="8"/>
        <v>7</v>
      </c>
      <c r="E271">
        <f t="shared" si="9"/>
        <v>9</v>
      </c>
    </row>
    <row r="272" spans="1:5" x14ac:dyDescent="0.25">
      <c r="A272" s="1">
        <v>46293</v>
      </c>
      <c r="B272">
        <v>1</v>
      </c>
      <c r="D272">
        <f t="shared" si="8"/>
        <v>1</v>
      </c>
      <c r="E272">
        <f t="shared" si="9"/>
        <v>9</v>
      </c>
    </row>
    <row r="273" spans="1:5" x14ac:dyDescent="0.25">
      <c r="A273" s="1">
        <v>46294</v>
      </c>
      <c r="B273">
        <v>1</v>
      </c>
      <c r="D273">
        <f t="shared" si="8"/>
        <v>2</v>
      </c>
      <c r="E273">
        <f t="shared" si="9"/>
        <v>9</v>
      </c>
    </row>
    <row r="274" spans="1:5" x14ac:dyDescent="0.25">
      <c r="A274" s="1">
        <v>46295</v>
      </c>
      <c r="B274">
        <v>1</v>
      </c>
      <c r="D274">
        <f t="shared" si="8"/>
        <v>3</v>
      </c>
      <c r="E274">
        <f t="shared" si="9"/>
        <v>9</v>
      </c>
    </row>
    <row r="275" spans="1:5" x14ac:dyDescent="0.25">
      <c r="A275" s="1">
        <v>46296</v>
      </c>
      <c r="B275">
        <v>1</v>
      </c>
      <c r="D275">
        <f t="shared" si="8"/>
        <v>4</v>
      </c>
      <c r="E275">
        <f t="shared" si="9"/>
        <v>10</v>
      </c>
    </row>
    <row r="276" spans="1:5" x14ac:dyDescent="0.25">
      <c r="A276" s="1">
        <v>46297</v>
      </c>
      <c r="B276">
        <v>1</v>
      </c>
      <c r="D276">
        <f t="shared" si="8"/>
        <v>5</v>
      </c>
      <c r="E276">
        <f t="shared" si="9"/>
        <v>10</v>
      </c>
    </row>
    <row r="277" spans="1:5" x14ac:dyDescent="0.25">
      <c r="A277" s="1">
        <v>46298</v>
      </c>
      <c r="B277">
        <v>0</v>
      </c>
      <c r="D277">
        <f t="shared" si="8"/>
        <v>6</v>
      </c>
      <c r="E277">
        <f t="shared" si="9"/>
        <v>10</v>
      </c>
    </row>
    <row r="278" spans="1:5" x14ac:dyDescent="0.25">
      <c r="A278" s="1">
        <v>46299</v>
      </c>
      <c r="B278">
        <v>0</v>
      </c>
      <c r="D278">
        <f t="shared" si="8"/>
        <v>7</v>
      </c>
      <c r="E278">
        <f t="shared" si="9"/>
        <v>10</v>
      </c>
    </row>
    <row r="279" spans="1:5" x14ac:dyDescent="0.25">
      <c r="A279" s="1">
        <v>46300</v>
      </c>
      <c r="B279">
        <v>1</v>
      </c>
      <c r="D279">
        <f t="shared" si="8"/>
        <v>1</v>
      </c>
      <c r="E279">
        <f t="shared" si="9"/>
        <v>10</v>
      </c>
    </row>
    <row r="280" spans="1:5" x14ac:dyDescent="0.25">
      <c r="A280" s="1">
        <v>46301</v>
      </c>
      <c r="B280">
        <v>1</v>
      </c>
      <c r="D280">
        <f t="shared" si="8"/>
        <v>2</v>
      </c>
      <c r="E280">
        <f t="shared" si="9"/>
        <v>10</v>
      </c>
    </row>
    <row r="281" spans="1:5" x14ac:dyDescent="0.25">
      <c r="A281" s="1">
        <v>46302</v>
      </c>
      <c r="B281">
        <v>1</v>
      </c>
      <c r="D281">
        <f t="shared" si="8"/>
        <v>3</v>
      </c>
      <c r="E281">
        <f t="shared" si="9"/>
        <v>10</v>
      </c>
    </row>
    <row r="282" spans="1:5" x14ac:dyDescent="0.25">
      <c r="A282" s="1">
        <v>46303</v>
      </c>
      <c r="B282">
        <v>1</v>
      </c>
      <c r="D282">
        <f t="shared" si="8"/>
        <v>4</v>
      </c>
      <c r="E282">
        <f t="shared" si="9"/>
        <v>10</v>
      </c>
    </row>
    <row r="283" spans="1:5" x14ac:dyDescent="0.25">
      <c r="A283" s="1">
        <v>46304</v>
      </c>
      <c r="B283">
        <v>1</v>
      </c>
      <c r="D283">
        <f t="shared" si="8"/>
        <v>5</v>
      </c>
      <c r="E283">
        <f t="shared" si="9"/>
        <v>10</v>
      </c>
    </row>
    <row r="284" spans="1:5" x14ac:dyDescent="0.25">
      <c r="A284" s="1">
        <v>46305</v>
      </c>
      <c r="B284">
        <v>0</v>
      </c>
      <c r="D284">
        <f t="shared" si="8"/>
        <v>6</v>
      </c>
      <c r="E284">
        <f t="shared" si="9"/>
        <v>10</v>
      </c>
    </row>
    <row r="285" spans="1:5" x14ac:dyDescent="0.25">
      <c r="A285" s="1">
        <v>46306</v>
      </c>
      <c r="B285">
        <v>0</v>
      </c>
      <c r="D285">
        <f t="shared" si="8"/>
        <v>7</v>
      </c>
      <c r="E285">
        <f t="shared" si="9"/>
        <v>10</v>
      </c>
    </row>
    <row r="286" spans="1:5" x14ac:dyDescent="0.25">
      <c r="A286" s="1">
        <v>46307</v>
      </c>
      <c r="B286">
        <v>1</v>
      </c>
      <c r="D286">
        <f t="shared" si="8"/>
        <v>1</v>
      </c>
      <c r="E286">
        <f t="shared" si="9"/>
        <v>10</v>
      </c>
    </row>
    <row r="287" spans="1:5" x14ac:dyDescent="0.25">
      <c r="A287" s="1">
        <v>46308</v>
      </c>
      <c r="B287">
        <v>1</v>
      </c>
      <c r="D287">
        <f t="shared" si="8"/>
        <v>2</v>
      </c>
      <c r="E287">
        <f t="shared" si="9"/>
        <v>10</v>
      </c>
    </row>
    <row r="288" spans="1:5" x14ac:dyDescent="0.25">
      <c r="A288" s="1">
        <v>46309</v>
      </c>
      <c r="B288">
        <v>1</v>
      </c>
      <c r="D288">
        <f t="shared" si="8"/>
        <v>3</v>
      </c>
      <c r="E288">
        <f t="shared" si="9"/>
        <v>10</v>
      </c>
    </row>
    <row r="289" spans="1:5" x14ac:dyDescent="0.25">
      <c r="A289" s="1">
        <v>46310</v>
      </c>
      <c r="B289">
        <v>1</v>
      </c>
      <c r="D289">
        <f t="shared" si="8"/>
        <v>4</v>
      </c>
      <c r="E289">
        <f t="shared" si="9"/>
        <v>10</v>
      </c>
    </row>
    <row r="290" spans="1:5" x14ac:dyDescent="0.25">
      <c r="A290" s="1">
        <v>46311</v>
      </c>
      <c r="B290">
        <v>1</v>
      </c>
      <c r="D290">
        <f t="shared" si="8"/>
        <v>5</v>
      </c>
      <c r="E290">
        <f t="shared" si="9"/>
        <v>10</v>
      </c>
    </row>
    <row r="291" spans="1:5" x14ac:dyDescent="0.25">
      <c r="A291" s="1">
        <v>46312</v>
      </c>
      <c r="B291">
        <v>0</v>
      </c>
      <c r="D291">
        <f t="shared" si="8"/>
        <v>6</v>
      </c>
      <c r="E291">
        <f t="shared" si="9"/>
        <v>10</v>
      </c>
    </row>
    <row r="292" spans="1:5" x14ac:dyDescent="0.25">
      <c r="A292" s="1">
        <v>46313</v>
      </c>
      <c r="B292">
        <v>0</v>
      </c>
      <c r="D292">
        <f t="shared" si="8"/>
        <v>7</v>
      </c>
      <c r="E292">
        <f t="shared" si="9"/>
        <v>10</v>
      </c>
    </row>
    <row r="293" spans="1:5" x14ac:dyDescent="0.25">
      <c r="A293" s="1">
        <v>46314</v>
      </c>
      <c r="B293">
        <v>1</v>
      </c>
      <c r="D293">
        <f t="shared" si="8"/>
        <v>1</v>
      </c>
      <c r="E293">
        <f t="shared" si="9"/>
        <v>10</v>
      </c>
    </row>
    <row r="294" spans="1:5" x14ac:dyDescent="0.25">
      <c r="A294" s="1">
        <v>46315</v>
      </c>
      <c r="B294">
        <v>1</v>
      </c>
      <c r="D294">
        <f t="shared" si="8"/>
        <v>2</v>
      </c>
      <c r="E294">
        <f t="shared" si="9"/>
        <v>10</v>
      </c>
    </row>
    <row r="295" spans="1:5" x14ac:dyDescent="0.25">
      <c r="A295" s="1">
        <v>46316</v>
      </c>
      <c r="B295">
        <v>1</v>
      </c>
      <c r="D295">
        <f t="shared" si="8"/>
        <v>3</v>
      </c>
      <c r="E295">
        <f t="shared" si="9"/>
        <v>10</v>
      </c>
    </row>
    <row r="296" spans="1:5" x14ac:dyDescent="0.25">
      <c r="A296" s="1">
        <v>46317</v>
      </c>
      <c r="B296">
        <v>1</v>
      </c>
      <c r="D296">
        <f t="shared" si="8"/>
        <v>4</v>
      </c>
      <c r="E296">
        <f t="shared" si="9"/>
        <v>10</v>
      </c>
    </row>
    <row r="297" spans="1:5" x14ac:dyDescent="0.25">
      <c r="A297" s="1">
        <v>46318</v>
      </c>
      <c r="B297">
        <v>1</v>
      </c>
      <c r="D297">
        <f t="shared" si="8"/>
        <v>5</v>
      </c>
      <c r="E297">
        <f t="shared" si="9"/>
        <v>10</v>
      </c>
    </row>
    <row r="298" spans="1:5" x14ac:dyDescent="0.25">
      <c r="A298" s="1">
        <v>46319</v>
      </c>
      <c r="B298">
        <v>0</v>
      </c>
      <c r="D298">
        <f t="shared" si="8"/>
        <v>6</v>
      </c>
      <c r="E298">
        <f t="shared" si="9"/>
        <v>10</v>
      </c>
    </row>
    <row r="299" spans="1:5" x14ac:dyDescent="0.25">
      <c r="A299" s="1">
        <v>46320</v>
      </c>
      <c r="B299">
        <v>0</v>
      </c>
      <c r="D299">
        <f t="shared" si="8"/>
        <v>7</v>
      </c>
      <c r="E299">
        <f t="shared" si="9"/>
        <v>10</v>
      </c>
    </row>
    <row r="300" spans="1:5" x14ac:dyDescent="0.25">
      <c r="A300" s="1">
        <v>46321</v>
      </c>
      <c r="B300">
        <v>1</v>
      </c>
      <c r="D300">
        <f t="shared" si="8"/>
        <v>1</v>
      </c>
      <c r="E300">
        <f t="shared" si="9"/>
        <v>10</v>
      </c>
    </row>
    <row r="301" spans="1:5" x14ac:dyDescent="0.25">
      <c r="A301" s="1">
        <v>46322</v>
      </c>
      <c r="B301">
        <v>1</v>
      </c>
      <c r="D301">
        <f t="shared" si="8"/>
        <v>2</v>
      </c>
      <c r="E301">
        <f t="shared" si="9"/>
        <v>10</v>
      </c>
    </row>
    <row r="302" spans="1:5" x14ac:dyDescent="0.25">
      <c r="A302" s="1">
        <v>46323</v>
      </c>
      <c r="B302">
        <v>1</v>
      </c>
      <c r="D302">
        <f t="shared" si="8"/>
        <v>3</v>
      </c>
      <c r="E302">
        <f t="shared" si="9"/>
        <v>10</v>
      </c>
    </row>
    <row r="303" spans="1:5" x14ac:dyDescent="0.25">
      <c r="A303" s="1">
        <v>46324</v>
      </c>
      <c r="B303">
        <v>1</v>
      </c>
      <c r="D303">
        <f t="shared" si="8"/>
        <v>4</v>
      </c>
      <c r="E303">
        <f t="shared" si="9"/>
        <v>10</v>
      </c>
    </row>
    <row r="304" spans="1:5" x14ac:dyDescent="0.25">
      <c r="A304" s="1">
        <v>46325</v>
      </c>
      <c r="B304">
        <v>1</v>
      </c>
      <c r="D304">
        <f t="shared" si="8"/>
        <v>5</v>
      </c>
      <c r="E304">
        <f t="shared" si="9"/>
        <v>10</v>
      </c>
    </row>
    <row r="305" spans="1:5" x14ac:dyDescent="0.25">
      <c r="A305" s="1">
        <v>46326</v>
      </c>
      <c r="B305">
        <v>0</v>
      </c>
      <c r="D305">
        <f t="shared" si="8"/>
        <v>6</v>
      </c>
      <c r="E305">
        <f t="shared" si="9"/>
        <v>10</v>
      </c>
    </row>
    <row r="306" spans="1:5" x14ac:dyDescent="0.25">
      <c r="A306" s="1">
        <v>46327</v>
      </c>
      <c r="B306">
        <v>0</v>
      </c>
      <c r="D306">
        <f t="shared" si="8"/>
        <v>7</v>
      </c>
      <c r="E306">
        <f t="shared" si="9"/>
        <v>11</v>
      </c>
    </row>
    <row r="307" spans="1:5" x14ac:dyDescent="0.25">
      <c r="A307" s="1">
        <v>46328</v>
      </c>
      <c r="B307">
        <v>1</v>
      </c>
      <c r="D307">
        <f t="shared" si="8"/>
        <v>1</v>
      </c>
      <c r="E307">
        <f t="shared" si="9"/>
        <v>11</v>
      </c>
    </row>
    <row r="308" spans="1:5" x14ac:dyDescent="0.25">
      <c r="A308" s="1">
        <v>46329</v>
      </c>
      <c r="B308">
        <v>1</v>
      </c>
      <c r="D308">
        <f t="shared" si="8"/>
        <v>2</v>
      </c>
      <c r="E308">
        <f t="shared" si="9"/>
        <v>11</v>
      </c>
    </row>
    <row r="309" spans="1:5" x14ac:dyDescent="0.25">
      <c r="A309" s="1">
        <v>46330</v>
      </c>
      <c r="B309">
        <v>0</v>
      </c>
      <c r="D309">
        <f t="shared" si="8"/>
        <v>3</v>
      </c>
      <c r="E309">
        <f t="shared" si="9"/>
        <v>11</v>
      </c>
    </row>
    <row r="310" spans="1:5" x14ac:dyDescent="0.25">
      <c r="A310" s="1">
        <v>46331</v>
      </c>
      <c r="B310">
        <v>1</v>
      </c>
      <c r="D310">
        <f t="shared" si="8"/>
        <v>4</v>
      </c>
      <c r="E310">
        <f t="shared" si="9"/>
        <v>11</v>
      </c>
    </row>
    <row r="311" spans="1:5" x14ac:dyDescent="0.25">
      <c r="A311" s="1">
        <v>46332</v>
      </c>
      <c r="B311">
        <v>1</v>
      </c>
      <c r="D311">
        <f t="shared" si="8"/>
        <v>5</v>
      </c>
      <c r="E311">
        <f t="shared" si="9"/>
        <v>11</v>
      </c>
    </row>
    <row r="312" spans="1:5" x14ac:dyDescent="0.25">
      <c r="A312" s="1">
        <v>46333</v>
      </c>
      <c r="B312">
        <v>0</v>
      </c>
      <c r="D312">
        <f t="shared" si="8"/>
        <v>6</v>
      </c>
      <c r="E312">
        <f t="shared" si="9"/>
        <v>11</v>
      </c>
    </row>
    <row r="313" spans="1:5" x14ac:dyDescent="0.25">
      <c r="A313" s="1">
        <v>46334</v>
      </c>
      <c r="B313">
        <v>0</v>
      </c>
      <c r="D313">
        <f t="shared" si="8"/>
        <v>7</v>
      </c>
      <c r="E313">
        <f t="shared" si="9"/>
        <v>11</v>
      </c>
    </row>
    <row r="314" spans="1:5" x14ac:dyDescent="0.25">
      <c r="A314" s="1">
        <v>46335</v>
      </c>
      <c r="B314">
        <v>1</v>
      </c>
      <c r="D314">
        <f t="shared" si="8"/>
        <v>1</v>
      </c>
      <c r="E314">
        <f t="shared" si="9"/>
        <v>11</v>
      </c>
    </row>
    <row r="315" spans="1:5" x14ac:dyDescent="0.25">
      <c r="A315" s="1">
        <v>46336</v>
      </c>
      <c r="B315">
        <v>1</v>
      </c>
      <c r="D315">
        <f t="shared" si="8"/>
        <v>2</v>
      </c>
      <c r="E315">
        <f t="shared" si="9"/>
        <v>11</v>
      </c>
    </row>
    <row r="316" spans="1:5" x14ac:dyDescent="0.25">
      <c r="A316" s="1">
        <v>46337</v>
      </c>
      <c r="B316">
        <v>1</v>
      </c>
      <c r="D316">
        <f t="shared" si="8"/>
        <v>3</v>
      </c>
      <c r="E316">
        <f t="shared" si="9"/>
        <v>11</v>
      </c>
    </row>
    <row r="317" spans="1:5" x14ac:dyDescent="0.25">
      <c r="A317" s="1">
        <v>46338</v>
      </c>
      <c r="B317">
        <v>1</v>
      </c>
      <c r="D317">
        <f t="shared" si="8"/>
        <v>4</v>
      </c>
      <c r="E317">
        <f t="shared" si="9"/>
        <v>11</v>
      </c>
    </row>
    <row r="318" spans="1:5" x14ac:dyDescent="0.25">
      <c r="A318" s="1">
        <v>46339</v>
      </c>
      <c r="B318">
        <v>1</v>
      </c>
      <c r="D318">
        <f t="shared" si="8"/>
        <v>5</v>
      </c>
      <c r="E318">
        <f t="shared" si="9"/>
        <v>11</v>
      </c>
    </row>
    <row r="319" spans="1:5" x14ac:dyDescent="0.25">
      <c r="A319" s="1">
        <v>46340</v>
      </c>
      <c r="B319">
        <v>0</v>
      </c>
      <c r="D319">
        <f t="shared" si="8"/>
        <v>6</v>
      </c>
      <c r="E319">
        <f t="shared" si="9"/>
        <v>11</v>
      </c>
    </row>
    <row r="320" spans="1:5" x14ac:dyDescent="0.25">
      <c r="A320" s="1">
        <v>46341</v>
      </c>
      <c r="B320">
        <v>0</v>
      </c>
      <c r="D320">
        <f t="shared" si="8"/>
        <v>7</v>
      </c>
      <c r="E320">
        <f t="shared" si="9"/>
        <v>11</v>
      </c>
    </row>
    <row r="321" spans="1:5" x14ac:dyDescent="0.25">
      <c r="A321" s="1">
        <v>46342</v>
      </c>
      <c r="B321">
        <v>1</v>
      </c>
      <c r="D321">
        <f t="shared" si="8"/>
        <v>1</v>
      </c>
      <c r="E321">
        <f t="shared" si="9"/>
        <v>11</v>
      </c>
    </row>
    <row r="322" spans="1:5" x14ac:dyDescent="0.25">
      <c r="A322" s="1">
        <v>46343</v>
      </c>
      <c r="B322">
        <v>1</v>
      </c>
      <c r="D322">
        <f t="shared" si="8"/>
        <v>2</v>
      </c>
      <c r="E322">
        <f t="shared" si="9"/>
        <v>11</v>
      </c>
    </row>
    <row r="323" spans="1:5" x14ac:dyDescent="0.25">
      <c r="A323" s="1">
        <v>46344</v>
      </c>
      <c r="B323">
        <v>1</v>
      </c>
      <c r="D323">
        <f t="shared" ref="D323:D366" si="10">WEEKDAY(A323,2)</f>
        <v>3</v>
      </c>
      <c r="E323">
        <f t="shared" ref="E323:E366" si="11">MONTH(A323)</f>
        <v>11</v>
      </c>
    </row>
    <row r="324" spans="1:5" x14ac:dyDescent="0.25">
      <c r="A324" s="1">
        <v>46345</v>
      </c>
      <c r="B324">
        <v>1</v>
      </c>
      <c r="D324">
        <f t="shared" si="10"/>
        <v>4</v>
      </c>
      <c r="E324">
        <f t="shared" si="11"/>
        <v>11</v>
      </c>
    </row>
    <row r="325" spans="1:5" x14ac:dyDescent="0.25">
      <c r="A325" s="1">
        <v>46346</v>
      </c>
      <c r="B325">
        <v>1</v>
      </c>
      <c r="D325">
        <f t="shared" si="10"/>
        <v>5</v>
      </c>
      <c r="E325">
        <f t="shared" si="11"/>
        <v>11</v>
      </c>
    </row>
    <row r="326" spans="1:5" x14ac:dyDescent="0.25">
      <c r="A326" s="1">
        <v>46347</v>
      </c>
      <c r="B326">
        <v>0</v>
      </c>
      <c r="D326">
        <f t="shared" si="10"/>
        <v>6</v>
      </c>
      <c r="E326">
        <f t="shared" si="11"/>
        <v>11</v>
      </c>
    </row>
    <row r="327" spans="1:5" x14ac:dyDescent="0.25">
      <c r="A327" s="1">
        <v>46348</v>
      </c>
      <c r="B327">
        <v>0</v>
      </c>
      <c r="D327">
        <f t="shared" si="10"/>
        <v>7</v>
      </c>
      <c r="E327">
        <f t="shared" si="11"/>
        <v>11</v>
      </c>
    </row>
    <row r="328" spans="1:5" x14ac:dyDescent="0.25">
      <c r="A328" s="1">
        <v>46349</v>
      </c>
      <c r="B328">
        <v>1</v>
      </c>
      <c r="D328">
        <f t="shared" si="10"/>
        <v>1</v>
      </c>
      <c r="E328">
        <f t="shared" si="11"/>
        <v>11</v>
      </c>
    </row>
    <row r="329" spans="1:5" x14ac:dyDescent="0.25">
      <c r="A329" s="1">
        <v>46350</v>
      </c>
      <c r="B329">
        <v>1</v>
      </c>
      <c r="D329">
        <f t="shared" si="10"/>
        <v>2</v>
      </c>
      <c r="E329">
        <f t="shared" si="11"/>
        <v>11</v>
      </c>
    </row>
    <row r="330" spans="1:5" x14ac:dyDescent="0.25">
      <c r="A330" s="1">
        <v>46351</v>
      </c>
      <c r="B330">
        <v>1</v>
      </c>
      <c r="D330">
        <f t="shared" si="10"/>
        <v>3</v>
      </c>
      <c r="E330">
        <f t="shared" si="11"/>
        <v>11</v>
      </c>
    </row>
    <row r="331" spans="1:5" x14ac:dyDescent="0.25">
      <c r="A331" s="1">
        <v>46352</v>
      </c>
      <c r="B331">
        <v>1</v>
      </c>
      <c r="D331">
        <f t="shared" si="10"/>
        <v>4</v>
      </c>
      <c r="E331">
        <f t="shared" si="11"/>
        <v>11</v>
      </c>
    </row>
    <row r="332" spans="1:5" x14ac:dyDescent="0.25">
      <c r="A332" s="1">
        <v>46353</v>
      </c>
      <c r="B332">
        <v>1</v>
      </c>
      <c r="D332">
        <f t="shared" si="10"/>
        <v>5</v>
      </c>
      <c r="E332">
        <f t="shared" si="11"/>
        <v>11</v>
      </c>
    </row>
    <row r="333" spans="1:5" x14ac:dyDescent="0.25">
      <c r="A333" s="1">
        <v>46354</v>
      </c>
      <c r="B333">
        <v>0</v>
      </c>
      <c r="D333">
        <f t="shared" si="10"/>
        <v>6</v>
      </c>
      <c r="E333">
        <f t="shared" si="11"/>
        <v>11</v>
      </c>
    </row>
    <row r="334" spans="1:5" x14ac:dyDescent="0.25">
      <c r="A334" s="1">
        <v>46355</v>
      </c>
      <c r="B334">
        <v>0</v>
      </c>
      <c r="D334">
        <f t="shared" si="10"/>
        <v>7</v>
      </c>
      <c r="E334">
        <f t="shared" si="11"/>
        <v>11</v>
      </c>
    </row>
    <row r="335" spans="1:5" x14ac:dyDescent="0.25">
      <c r="A335" s="1">
        <v>46356</v>
      </c>
      <c r="B335">
        <v>1</v>
      </c>
      <c r="D335">
        <f t="shared" si="10"/>
        <v>1</v>
      </c>
      <c r="E335">
        <f t="shared" si="11"/>
        <v>11</v>
      </c>
    </row>
    <row r="336" spans="1:5" x14ac:dyDescent="0.25">
      <c r="A336" s="1">
        <v>46357</v>
      </c>
      <c r="B336">
        <v>1</v>
      </c>
      <c r="D336">
        <f t="shared" si="10"/>
        <v>2</v>
      </c>
      <c r="E336">
        <f t="shared" si="11"/>
        <v>12</v>
      </c>
    </row>
    <row r="337" spans="1:5" x14ac:dyDescent="0.25">
      <c r="A337" s="1">
        <v>46358</v>
      </c>
      <c r="B337">
        <v>1</v>
      </c>
      <c r="D337">
        <f t="shared" si="10"/>
        <v>3</v>
      </c>
      <c r="E337">
        <f t="shared" si="11"/>
        <v>12</v>
      </c>
    </row>
    <row r="338" spans="1:5" x14ac:dyDescent="0.25">
      <c r="A338" s="1">
        <v>46359</v>
      </c>
      <c r="B338">
        <v>1</v>
      </c>
      <c r="D338">
        <f t="shared" si="10"/>
        <v>4</v>
      </c>
      <c r="E338">
        <f t="shared" si="11"/>
        <v>12</v>
      </c>
    </row>
    <row r="339" spans="1:5" x14ac:dyDescent="0.25">
      <c r="A339" s="1">
        <v>46360</v>
      </c>
      <c r="B339">
        <v>1</v>
      </c>
      <c r="D339">
        <f t="shared" si="10"/>
        <v>5</v>
      </c>
      <c r="E339">
        <f t="shared" si="11"/>
        <v>12</v>
      </c>
    </row>
    <row r="340" spans="1:5" x14ac:dyDescent="0.25">
      <c r="A340" s="1">
        <v>46361</v>
      </c>
      <c r="B340">
        <v>0</v>
      </c>
      <c r="D340">
        <f t="shared" si="10"/>
        <v>6</v>
      </c>
      <c r="E340">
        <f t="shared" si="11"/>
        <v>12</v>
      </c>
    </row>
    <row r="341" spans="1:5" x14ac:dyDescent="0.25">
      <c r="A341" s="1">
        <v>46362</v>
      </c>
      <c r="B341">
        <v>0</v>
      </c>
      <c r="D341">
        <f t="shared" si="10"/>
        <v>7</v>
      </c>
      <c r="E341">
        <f t="shared" si="11"/>
        <v>12</v>
      </c>
    </row>
    <row r="342" spans="1:5" x14ac:dyDescent="0.25">
      <c r="A342" s="1">
        <v>46363</v>
      </c>
      <c r="B342">
        <v>1</v>
      </c>
      <c r="D342">
        <f t="shared" si="10"/>
        <v>1</v>
      </c>
      <c r="E342">
        <f t="shared" si="11"/>
        <v>12</v>
      </c>
    </row>
    <row r="343" spans="1:5" x14ac:dyDescent="0.25">
      <c r="A343" s="1">
        <v>46364</v>
      </c>
      <c r="B343">
        <v>1</v>
      </c>
      <c r="D343">
        <f t="shared" si="10"/>
        <v>2</v>
      </c>
      <c r="E343">
        <f t="shared" si="11"/>
        <v>12</v>
      </c>
    </row>
    <row r="344" spans="1:5" x14ac:dyDescent="0.25">
      <c r="A344" s="1">
        <v>46365</v>
      </c>
      <c r="B344">
        <v>1</v>
      </c>
      <c r="D344">
        <f t="shared" si="10"/>
        <v>3</v>
      </c>
      <c r="E344">
        <f t="shared" si="11"/>
        <v>12</v>
      </c>
    </row>
    <row r="345" spans="1:5" x14ac:dyDescent="0.25">
      <c r="A345" s="1">
        <v>46366</v>
      </c>
      <c r="B345">
        <v>1</v>
      </c>
      <c r="D345">
        <f t="shared" si="10"/>
        <v>4</v>
      </c>
      <c r="E345">
        <f t="shared" si="11"/>
        <v>12</v>
      </c>
    </row>
    <row r="346" spans="1:5" x14ac:dyDescent="0.25">
      <c r="A346" s="1">
        <v>46367</v>
      </c>
      <c r="B346">
        <v>1</v>
      </c>
      <c r="D346">
        <f t="shared" si="10"/>
        <v>5</v>
      </c>
      <c r="E346">
        <f t="shared" si="11"/>
        <v>12</v>
      </c>
    </row>
    <row r="347" spans="1:5" x14ac:dyDescent="0.25">
      <c r="A347" s="1">
        <v>46368</v>
      </c>
      <c r="B347">
        <v>0</v>
      </c>
      <c r="D347">
        <f t="shared" si="10"/>
        <v>6</v>
      </c>
      <c r="E347">
        <f t="shared" si="11"/>
        <v>12</v>
      </c>
    </row>
    <row r="348" spans="1:5" x14ac:dyDescent="0.25">
      <c r="A348" s="1">
        <v>46369</v>
      </c>
      <c r="B348">
        <v>0</v>
      </c>
      <c r="D348">
        <f t="shared" si="10"/>
        <v>7</v>
      </c>
      <c r="E348">
        <f t="shared" si="11"/>
        <v>12</v>
      </c>
    </row>
    <row r="349" spans="1:5" x14ac:dyDescent="0.25">
      <c r="A349" s="1">
        <v>46370</v>
      </c>
      <c r="B349">
        <v>1</v>
      </c>
      <c r="D349">
        <f t="shared" si="10"/>
        <v>1</v>
      </c>
      <c r="E349">
        <f t="shared" si="11"/>
        <v>12</v>
      </c>
    </row>
    <row r="350" spans="1:5" x14ac:dyDescent="0.25">
      <c r="A350" s="1">
        <v>46371</v>
      </c>
      <c r="B350">
        <v>1</v>
      </c>
      <c r="D350">
        <f t="shared" si="10"/>
        <v>2</v>
      </c>
      <c r="E350">
        <f t="shared" si="11"/>
        <v>12</v>
      </c>
    </row>
    <row r="351" spans="1:5" x14ac:dyDescent="0.25">
      <c r="A351" s="1">
        <v>46372</v>
      </c>
      <c r="B351">
        <v>1</v>
      </c>
      <c r="D351">
        <f t="shared" si="10"/>
        <v>3</v>
      </c>
      <c r="E351">
        <f t="shared" si="11"/>
        <v>12</v>
      </c>
    </row>
    <row r="352" spans="1:5" x14ac:dyDescent="0.25">
      <c r="A352" s="1">
        <v>46373</v>
      </c>
      <c r="B352">
        <v>1</v>
      </c>
      <c r="D352">
        <f t="shared" si="10"/>
        <v>4</v>
      </c>
      <c r="E352">
        <f t="shared" si="11"/>
        <v>12</v>
      </c>
    </row>
    <row r="353" spans="1:5" x14ac:dyDescent="0.25">
      <c r="A353" s="1">
        <v>46374</v>
      </c>
      <c r="B353">
        <v>1</v>
      </c>
      <c r="D353">
        <f t="shared" si="10"/>
        <v>5</v>
      </c>
      <c r="E353">
        <f t="shared" si="11"/>
        <v>12</v>
      </c>
    </row>
    <row r="354" spans="1:5" x14ac:dyDescent="0.25">
      <c r="A354" s="1">
        <v>46375</v>
      </c>
      <c r="B354">
        <v>0</v>
      </c>
      <c r="D354">
        <f t="shared" si="10"/>
        <v>6</v>
      </c>
      <c r="E354">
        <f t="shared" si="11"/>
        <v>12</v>
      </c>
    </row>
    <row r="355" spans="1:5" x14ac:dyDescent="0.25">
      <c r="A355" s="1">
        <v>46376</v>
      </c>
      <c r="B355">
        <v>0</v>
      </c>
      <c r="D355">
        <f t="shared" si="10"/>
        <v>7</v>
      </c>
      <c r="E355">
        <f t="shared" si="11"/>
        <v>12</v>
      </c>
    </row>
    <row r="356" spans="1:5" x14ac:dyDescent="0.25">
      <c r="A356" s="1">
        <v>46377</v>
      </c>
      <c r="B356">
        <v>1</v>
      </c>
      <c r="D356">
        <f t="shared" si="10"/>
        <v>1</v>
      </c>
      <c r="E356">
        <f t="shared" si="11"/>
        <v>12</v>
      </c>
    </row>
    <row r="357" spans="1:5" x14ac:dyDescent="0.25">
      <c r="A357" s="1">
        <v>46378</v>
      </c>
      <c r="B357">
        <v>1</v>
      </c>
      <c r="D357">
        <f t="shared" si="10"/>
        <v>2</v>
      </c>
      <c r="E357">
        <f t="shared" si="11"/>
        <v>12</v>
      </c>
    </row>
    <row r="358" spans="1:5" x14ac:dyDescent="0.25">
      <c r="A358" s="1">
        <v>46379</v>
      </c>
      <c r="B358">
        <v>1</v>
      </c>
      <c r="D358">
        <f t="shared" si="10"/>
        <v>3</v>
      </c>
      <c r="E358">
        <f t="shared" si="11"/>
        <v>12</v>
      </c>
    </row>
    <row r="359" spans="1:5" x14ac:dyDescent="0.25">
      <c r="A359" s="1">
        <v>46380</v>
      </c>
      <c r="B359">
        <v>1</v>
      </c>
      <c r="D359">
        <f t="shared" si="10"/>
        <v>4</v>
      </c>
      <c r="E359">
        <f t="shared" si="11"/>
        <v>12</v>
      </c>
    </row>
    <row r="360" spans="1:5" x14ac:dyDescent="0.25">
      <c r="A360" s="1">
        <v>46381</v>
      </c>
      <c r="B360">
        <v>1</v>
      </c>
      <c r="D360">
        <f t="shared" si="10"/>
        <v>5</v>
      </c>
      <c r="E360">
        <f t="shared" si="11"/>
        <v>12</v>
      </c>
    </row>
    <row r="361" spans="1:5" x14ac:dyDescent="0.25">
      <c r="A361" s="1">
        <v>46382</v>
      </c>
      <c r="B361">
        <v>0</v>
      </c>
      <c r="D361">
        <f t="shared" si="10"/>
        <v>6</v>
      </c>
      <c r="E361">
        <f t="shared" si="11"/>
        <v>12</v>
      </c>
    </row>
    <row r="362" spans="1:5" x14ac:dyDescent="0.25">
      <c r="A362" s="1">
        <v>46383</v>
      </c>
      <c r="B362">
        <v>0</v>
      </c>
      <c r="D362">
        <f t="shared" si="10"/>
        <v>7</v>
      </c>
      <c r="E362">
        <f t="shared" si="11"/>
        <v>12</v>
      </c>
    </row>
    <row r="363" spans="1:5" x14ac:dyDescent="0.25">
      <c r="A363" s="1">
        <v>46384</v>
      </c>
      <c r="B363">
        <v>1</v>
      </c>
      <c r="D363">
        <f t="shared" si="10"/>
        <v>1</v>
      </c>
      <c r="E363">
        <f t="shared" si="11"/>
        <v>12</v>
      </c>
    </row>
    <row r="364" spans="1:5" x14ac:dyDescent="0.25">
      <c r="A364" s="1">
        <v>46385</v>
      </c>
      <c r="B364">
        <v>1</v>
      </c>
      <c r="D364">
        <f t="shared" si="10"/>
        <v>2</v>
      </c>
      <c r="E364">
        <f t="shared" si="11"/>
        <v>12</v>
      </c>
    </row>
    <row r="365" spans="1:5" x14ac:dyDescent="0.25">
      <c r="A365" s="1">
        <v>46386</v>
      </c>
      <c r="B365">
        <v>1</v>
      </c>
      <c r="D365">
        <f t="shared" si="10"/>
        <v>3</v>
      </c>
      <c r="E365">
        <f t="shared" si="11"/>
        <v>12</v>
      </c>
    </row>
    <row r="366" spans="1:5" x14ac:dyDescent="0.25">
      <c r="A366" s="1">
        <v>46387</v>
      </c>
      <c r="B366">
        <v>0</v>
      </c>
      <c r="D366">
        <f t="shared" si="10"/>
        <v>4</v>
      </c>
      <c r="E366">
        <f t="shared" si="11"/>
        <v>12</v>
      </c>
    </row>
  </sheetData>
  <autoFilter ref="A1:E366" xr:uid="{D7A2E936-8931-46F2-BB06-79DEA3C43CD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Загрузка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Иванов Данила Владимирович</dc:creator>
  <cp:lastModifiedBy>Иванов Данила Владимирович</cp:lastModifiedBy>
  <dcterms:created xsi:type="dcterms:W3CDTF">2015-06-05T18:19:34Z</dcterms:created>
  <dcterms:modified xsi:type="dcterms:W3CDTF">2026-04-03T10:12:45Z</dcterms:modified>
</cp:coreProperties>
</file>